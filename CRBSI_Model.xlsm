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9" codeName="{4D1C537B-E38A-612A-F078-A93A15B4B7F4}"/>
  <workbookPr codeName="ThisWorkbook" defaultThemeVersion="166925"/>
  <mc:AlternateContent xmlns:mc="http://schemas.openxmlformats.org/markup-compatibility/2006">
    <mc:Choice Requires="x15">
      <x15ac:absPath xmlns:x15ac="http://schemas.microsoft.com/office/spreadsheetml/2010/11/ac" url="/Users/shivani/Desktop/"/>
    </mc:Choice>
  </mc:AlternateContent>
  <xr:revisionPtr revIDLastSave="0" documentId="8_{D02CD917-70EA-5245-951D-AB49EC4D3675}" xr6:coauthVersionLast="47" xr6:coauthVersionMax="47" xr10:uidLastSave="{00000000-0000-0000-0000-000000000000}"/>
  <bookViews>
    <workbookView xWindow="0" yWindow="0" windowWidth="28800" windowHeight="18000" xr2:uid="{53A94EA4-BAD2-4432-B64D-6F6CDBA2D0F4}"/>
  </bookViews>
  <sheets>
    <sheet name="Cover" sheetId="15" r:id="rId1"/>
    <sheet name="Introduction" sheetId="6" r:id="rId2"/>
    <sheet name="Model Structure" sheetId="21" r:id="rId3"/>
    <sheet name="Assumptions" sheetId="16" r:id="rId4"/>
    <sheet name="Model_Settings" sheetId="1" r:id="rId5"/>
    <sheet name="Costs" sheetId="34" r:id="rId6"/>
    <sheet name="Tp_CHG" sheetId="30" r:id="rId7"/>
    <sheet name="Tp_Non_CHG" sheetId="31" r:id="rId8"/>
    <sheet name="Results_1" sheetId="14" r:id="rId9"/>
    <sheet name="Results" sheetId="35" r:id="rId10"/>
    <sheet name="DSA_Results" sheetId="33" r:id="rId11"/>
    <sheet name="DSA" sheetId="36" r:id="rId12"/>
    <sheet name="PSA_Results" sheetId="25" r:id="rId13"/>
    <sheet name="PSA" sheetId="27" r:id="rId14"/>
    <sheet name="Parameters" sheetId="5" r:id="rId15"/>
    <sheet name="Calculation" sheetId="26" r:id="rId16"/>
    <sheet name="PF_CHG_Dressing" sheetId="9" r:id="rId17"/>
    <sheet name="PF_Non_CHG_Dressing" sheetId="12" r:id="rId18"/>
    <sheet name="Report Export" sheetId="20" r:id="rId19"/>
    <sheet name="Error" sheetId="32" r:id="rId20"/>
    <sheet name="Version Control Sheet" sheetId="28" r:id="rId21"/>
  </sheets>
  <definedNames>
    <definedName name="Adverse_Event_Cost">Calculation!$J$11</definedName>
    <definedName name="assumedSE">Parameters!$F$11</definedName>
    <definedName name="c_currency">Model_Settings!$E$11</definedName>
    <definedName name="CHG1_cost_perpatient">Calculation!$E$12</definedName>
    <definedName name="con_age">Model_Settings!$G$17</definedName>
    <definedName name="DSA_clear_LB">DSA_Results!$E$36:$F$183</definedName>
    <definedName name="DSA_clear_name">DSA_Results!$D$36:$D$183</definedName>
    <definedName name="DSA_clear_UB">DSA_Results!$H$36:$I$183</definedName>
    <definedName name="DSA_copy">DSA_Results!$E$32:$F$32</definedName>
    <definedName name="DSA_live_results">DSA_Results!$G$32</definedName>
    <definedName name="DSA_output">DSA_Results!$F$12</definedName>
    <definedName name="DSA_parameter">DSA_Results!$D$35</definedName>
    <definedName name="DSA_paste_LB">DSA_Results!$E$35:$F$35</definedName>
    <definedName name="DSA_paste_UB">DSA_Results!$H$35:$I$35</definedName>
    <definedName name="DSA_range">DSA_Results!$D$36:$D$183,DSA_Results!$E$36:$F$183,DSA_Results!$H$36:$I$183</definedName>
    <definedName name="DSA_value_lb_ref">DSA_Results!$E$36</definedName>
    <definedName name="DSA_value_ub_ref">DSA_Results!$H$36</definedName>
    <definedName name="ICU_Cost_per_day_without">Costs!$F$20</definedName>
    <definedName name="ICU_cost_with">Calculation!$H$11</definedName>
    <definedName name="ICU_Cost_without">Calculation!$G$11</definedName>
    <definedName name="Incl_AE">Model_Settings!$E$19</definedName>
    <definedName name="Include_PVIT1">Model_Settings!#REF!</definedName>
    <definedName name="No_of_iterations_PSA">PSA_Results!$D$34</definedName>
    <definedName name="OWSA_active">#REF!</definedName>
    <definedName name="owsa_activeResults">DSA_Results!$AF$13:$AK$13</definedName>
    <definedName name="owsa_base">DSA_Results!$E$27</definedName>
    <definedName name="OWSA_clear_range">#REF!</definedName>
    <definedName name="owsa_comp">DSA_Results!$C$5</definedName>
    <definedName name="OWSA_include">Parameters!$I$13</definedName>
    <definedName name="owsa_max">DSA_Results!$E$29</definedName>
    <definedName name="owsa_min">DSA_Results!$E$28</definedName>
    <definedName name="OWSA_n">#REF!</definedName>
    <definedName name="OWSA_pastelb">#REF!</definedName>
    <definedName name="OWSA_pastepara">#REF!</definedName>
    <definedName name="OWSA_pasteub">#REF!</definedName>
    <definedName name="OWSA_range">#REF!,#REF!</definedName>
    <definedName name="OWSA_Results">#REF!</definedName>
    <definedName name="p_add_cost_los">Parameters!$F$2178</definedName>
    <definedName name="p_AE_c_derma">Parameters!$F$2175</definedName>
    <definedName name="p_con_age">Parameters!$F$14</definedName>
    <definedName name="p_Control">Parameters!$G$13</definedName>
    <definedName name="p_cost_CGH">Parameters!$F$2170</definedName>
    <definedName name="p_cost_Non_CHG">Parameters!$F$2169</definedName>
    <definedName name="p_ICU_cost">Parameters!$F$2177</definedName>
    <definedName name="p_OWSAN">Parameters!$R$8</definedName>
    <definedName name="p_Reso_cost">Parameters!$F$2179</definedName>
    <definedName name="p_rows">Parameters!$R$7</definedName>
    <definedName name="p_treatment_cost">Parameters!$F$2176</definedName>
    <definedName name="para_name">Parameters!$E$13</definedName>
    <definedName name="pf_cost_CHG_T1">PF_CHG_Dressing!$X$9</definedName>
    <definedName name="pf_cost_PVI_T1">PF_Non_CHG_Dressing!$X$10</definedName>
    <definedName name="pf_CRBSI_redu_CHG_T1">PF_CHG_Dressing!$R$9</definedName>
    <definedName name="pf_CRBSI_redu_PVI_T1">PF_Non_CHG_Dressing!$R$10</definedName>
    <definedName name="psa_iteration">PSA_Results!$E$13</definedName>
    <definedName name="PSA_live">PSA_Results!$D$38:$G$38</definedName>
    <definedName name="PSA_paste">PSA_Results!$D$39:$G$39</definedName>
    <definedName name="PSA_range">PSA_Results!$D$40:$G$1039</definedName>
    <definedName name="PVI1_cost_perpatient">Calculation!$E$11</definedName>
    <definedName name="Resource_cost">Calculation!$I$11</definedName>
    <definedName name="Resource_use_cost">Costs!$F$24</definedName>
    <definedName name="Results_range">#REF!</definedName>
    <definedName name="tornado_lb_lef">DSA_Results!$E$19</definedName>
    <definedName name="tornado_ub_ref">DSA_Results!$F$19</definedName>
    <definedName name="treatment_cost">Calculation!$F$11</definedName>
    <definedName name="Use_in_PSA">Parameters!$L$13</definedName>
    <definedName name="WTP">Model_Settings!$G$13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0" i="20" l="1"/>
  <c r="F15" i="20"/>
  <c r="G15" i="20"/>
  <c r="H15" i="20"/>
  <c r="D15" i="20"/>
  <c r="E15" i="20"/>
  <c r="E14" i="20"/>
  <c r="D14" i="20"/>
  <c r="H13" i="20"/>
  <c r="F13" i="20"/>
  <c r="D13" i="20"/>
  <c r="R20" i="20"/>
  <c r="N232" i="20"/>
  <c r="N233" i="20"/>
  <c r="N234" i="20"/>
  <c r="N235" i="20"/>
  <c r="N236" i="20"/>
  <c r="N237" i="20"/>
  <c r="N238" i="20"/>
  <c r="N239" i="20"/>
  <c r="N240" i="20"/>
  <c r="N241" i="20"/>
  <c r="N242" i="20"/>
  <c r="N243" i="20"/>
  <c r="N244" i="20"/>
  <c r="N245" i="20"/>
  <c r="N246" i="20"/>
  <c r="N247" i="20"/>
  <c r="N248" i="20"/>
  <c r="N249" i="20"/>
  <c r="N250" i="20"/>
  <c r="N251" i="20"/>
  <c r="N252" i="20"/>
  <c r="N253" i="20"/>
  <c r="N254" i="20"/>
  <c r="N255" i="20"/>
  <c r="N256" i="20"/>
  <c r="N257" i="20"/>
  <c r="N258" i="20"/>
  <c r="N259" i="20"/>
  <c r="N260" i="20"/>
  <c r="N261" i="20"/>
  <c r="N262" i="20"/>
  <c r="N263" i="20"/>
  <c r="N264" i="20"/>
  <c r="N265" i="20"/>
  <c r="N266" i="20"/>
  <c r="N267" i="20"/>
  <c r="N268" i="20"/>
  <c r="N269" i="20"/>
  <c r="N270" i="20"/>
  <c r="N271" i="20"/>
  <c r="N272" i="20"/>
  <c r="N273" i="20"/>
  <c r="N274" i="20"/>
  <c r="N275" i="20"/>
  <c r="N276" i="20"/>
  <c r="N277" i="20"/>
  <c r="N278" i="20"/>
  <c r="N279" i="20"/>
  <c r="N280" i="20"/>
  <c r="N281" i="20"/>
  <c r="N282" i="20"/>
  <c r="N283" i="20"/>
  <c r="N284" i="20"/>
  <c r="N285" i="20"/>
  <c r="N286" i="20"/>
  <c r="N287" i="20"/>
  <c r="N288" i="20"/>
  <c r="N289" i="20"/>
  <c r="N290" i="20"/>
  <c r="N291" i="20"/>
  <c r="N292" i="20"/>
  <c r="N293" i="20"/>
  <c r="N294" i="20"/>
  <c r="N295" i="20"/>
  <c r="N296" i="20"/>
  <c r="N297" i="20"/>
  <c r="N298" i="20"/>
  <c r="N299" i="20"/>
  <c r="N300" i="20"/>
  <c r="N301" i="20"/>
  <c r="N302" i="20"/>
  <c r="N303" i="20"/>
  <c r="N304" i="20"/>
  <c r="N305" i="20"/>
  <c r="N306" i="20"/>
  <c r="N307" i="20"/>
  <c r="N308" i="20"/>
  <c r="N309" i="20"/>
  <c r="N310" i="20"/>
  <c r="N311" i="20"/>
  <c r="N312" i="20"/>
  <c r="N313" i="20"/>
  <c r="N314" i="20"/>
  <c r="N315" i="20"/>
  <c r="N316" i="20"/>
  <c r="N317" i="20"/>
  <c r="N318" i="20"/>
  <c r="N319" i="20"/>
  <c r="N320" i="20"/>
  <c r="N321" i="20"/>
  <c r="N322" i="20"/>
  <c r="N323" i="20"/>
  <c r="N324" i="20"/>
  <c r="N325" i="20"/>
  <c r="N326" i="20"/>
  <c r="N327" i="20"/>
  <c r="N328" i="20"/>
  <c r="N329" i="20"/>
  <c r="N330" i="20"/>
  <c r="N331" i="20"/>
  <c r="N332" i="20"/>
  <c r="N333" i="20"/>
  <c r="N334" i="20"/>
  <c r="N335" i="20"/>
  <c r="N336" i="20"/>
  <c r="N337" i="20"/>
  <c r="N338" i="20"/>
  <c r="N339" i="20"/>
  <c r="N340" i="20"/>
  <c r="N341" i="20"/>
  <c r="N342" i="20"/>
  <c r="N343" i="20"/>
  <c r="N344" i="20"/>
  <c r="N345" i="20"/>
  <c r="N346" i="20"/>
  <c r="N347" i="20"/>
  <c r="N348" i="20"/>
  <c r="N349" i="20"/>
  <c r="N350" i="20"/>
  <c r="N351" i="20"/>
  <c r="N352" i="20"/>
  <c r="N353" i="20"/>
  <c r="N354" i="20"/>
  <c r="N355" i="20"/>
  <c r="N356" i="20"/>
  <c r="N357" i="20"/>
  <c r="N358" i="20"/>
  <c r="N359" i="20"/>
  <c r="N360" i="20"/>
  <c r="N361" i="20"/>
  <c r="N362" i="20"/>
  <c r="N363" i="20"/>
  <c r="N364" i="20"/>
  <c r="N365" i="20"/>
  <c r="N366" i="20"/>
  <c r="N367" i="20"/>
  <c r="N368" i="20"/>
  <c r="N369" i="20"/>
  <c r="N370" i="20"/>
  <c r="N371" i="20"/>
  <c r="N372" i="20"/>
  <c r="N373" i="20"/>
  <c r="N374" i="20"/>
  <c r="N375" i="20"/>
  <c r="N376" i="20"/>
  <c r="N377" i="20"/>
  <c r="N378" i="20"/>
  <c r="N379" i="20"/>
  <c r="N380" i="20"/>
  <c r="N381" i="20"/>
  <c r="N382" i="20"/>
  <c r="N383" i="20"/>
  <c r="N384" i="20"/>
  <c r="N385" i="20"/>
  <c r="N386" i="20"/>
  <c r="N387" i="20"/>
  <c r="N388" i="20"/>
  <c r="N389" i="20"/>
  <c r="N390" i="20"/>
  <c r="N391" i="20"/>
  <c r="N392" i="20"/>
  <c r="N393" i="20"/>
  <c r="N394" i="20"/>
  <c r="N395" i="20"/>
  <c r="N396" i="20"/>
  <c r="N397" i="20"/>
  <c r="N398" i="20"/>
  <c r="N399" i="20"/>
  <c r="N400" i="20"/>
  <c r="N401" i="20"/>
  <c r="N402" i="20"/>
  <c r="N403" i="20"/>
  <c r="N404" i="20"/>
  <c r="N405" i="20"/>
  <c r="N406" i="20"/>
  <c r="N407" i="20"/>
  <c r="N408" i="20"/>
  <c r="N409" i="20"/>
  <c r="N410" i="20"/>
  <c r="N411" i="20"/>
  <c r="N412" i="20"/>
  <c r="N413" i="20"/>
  <c r="N414" i="20"/>
  <c r="N415" i="20"/>
  <c r="N416" i="20"/>
  <c r="N417" i="20"/>
  <c r="N418" i="20"/>
  <c r="N419" i="20"/>
  <c r="N420" i="20"/>
  <c r="N421" i="20"/>
  <c r="N422" i="20"/>
  <c r="N423" i="20"/>
  <c r="N424" i="20"/>
  <c r="N425" i="20"/>
  <c r="N426" i="20"/>
  <c r="N427" i="20"/>
  <c r="N428" i="20"/>
  <c r="N429" i="20"/>
  <c r="N430" i="20"/>
  <c r="N431" i="20"/>
  <c r="N432" i="20"/>
  <c r="N433" i="20"/>
  <c r="N434" i="20"/>
  <c r="N435" i="20"/>
  <c r="N436" i="20"/>
  <c r="N437" i="20"/>
  <c r="N438" i="20"/>
  <c r="N439" i="20"/>
  <c r="N440" i="20"/>
  <c r="N441" i="20"/>
  <c r="N442" i="20"/>
  <c r="N443" i="20"/>
  <c r="N444" i="20"/>
  <c r="N445" i="20"/>
  <c r="N446" i="20"/>
  <c r="N447" i="20"/>
  <c r="N231" i="20"/>
  <c r="N14" i="20"/>
  <c r="N15" i="20"/>
  <c r="N16" i="20"/>
  <c r="N17" i="20"/>
  <c r="N18" i="20"/>
  <c r="N19" i="20"/>
  <c r="N20" i="20"/>
  <c r="N21" i="20"/>
  <c r="N22" i="20"/>
  <c r="N23" i="20"/>
  <c r="N24" i="20"/>
  <c r="N25" i="20"/>
  <c r="N26" i="20"/>
  <c r="N27" i="20"/>
  <c r="N28" i="20"/>
  <c r="N29" i="20"/>
  <c r="N30" i="20"/>
  <c r="N31" i="20"/>
  <c r="N32" i="20"/>
  <c r="N33" i="20"/>
  <c r="N34" i="20"/>
  <c r="N35" i="20"/>
  <c r="N36" i="20"/>
  <c r="N37" i="20"/>
  <c r="N38" i="20"/>
  <c r="N39" i="20"/>
  <c r="N40" i="20"/>
  <c r="N41" i="20"/>
  <c r="N42" i="20"/>
  <c r="N43" i="20"/>
  <c r="N44" i="20"/>
  <c r="N45" i="20"/>
  <c r="N46" i="20"/>
  <c r="N47" i="20"/>
  <c r="N48" i="20"/>
  <c r="N49" i="20"/>
  <c r="N50" i="20"/>
  <c r="N51" i="20"/>
  <c r="N52" i="20"/>
  <c r="N53" i="20"/>
  <c r="N54" i="20"/>
  <c r="N55" i="20"/>
  <c r="N56" i="20"/>
  <c r="N57" i="20"/>
  <c r="N58" i="20"/>
  <c r="N59" i="20"/>
  <c r="N60" i="20"/>
  <c r="N61" i="20"/>
  <c r="N62" i="20"/>
  <c r="N63" i="20"/>
  <c r="N64" i="20"/>
  <c r="N65" i="20"/>
  <c r="N66" i="20"/>
  <c r="N67" i="20"/>
  <c r="N68" i="20"/>
  <c r="N69" i="20"/>
  <c r="N70" i="20"/>
  <c r="N71" i="20"/>
  <c r="N72" i="20"/>
  <c r="N73" i="20"/>
  <c r="N74" i="20"/>
  <c r="N75" i="20"/>
  <c r="N76" i="20"/>
  <c r="N77" i="20"/>
  <c r="N78" i="20"/>
  <c r="N79" i="20"/>
  <c r="N80" i="20"/>
  <c r="N81" i="20"/>
  <c r="N82" i="20"/>
  <c r="N83" i="20"/>
  <c r="N84" i="20"/>
  <c r="N85" i="20"/>
  <c r="N86" i="20"/>
  <c r="N87" i="20"/>
  <c r="N88" i="20"/>
  <c r="N89" i="20"/>
  <c r="N90" i="20"/>
  <c r="N91" i="20"/>
  <c r="N92" i="20"/>
  <c r="N93" i="20"/>
  <c r="N94" i="20"/>
  <c r="N95" i="20"/>
  <c r="N96" i="20"/>
  <c r="N97" i="20"/>
  <c r="N98" i="20"/>
  <c r="N99" i="20"/>
  <c r="N100" i="20"/>
  <c r="N101" i="20"/>
  <c r="N102" i="20"/>
  <c r="N103" i="20"/>
  <c r="N104" i="20"/>
  <c r="N105" i="20"/>
  <c r="N106" i="20"/>
  <c r="N107" i="20"/>
  <c r="N108" i="20"/>
  <c r="N109" i="20"/>
  <c r="N110" i="20"/>
  <c r="N111" i="20"/>
  <c r="N112" i="20"/>
  <c r="N113" i="20"/>
  <c r="N114" i="20"/>
  <c r="N115" i="20"/>
  <c r="N116" i="20"/>
  <c r="N117" i="20"/>
  <c r="N118" i="20"/>
  <c r="N119" i="20"/>
  <c r="N120" i="20"/>
  <c r="N121" i="20"/>
  <c r="N122" i="20"/>
  <c r="N123" i="20"/>
  <c r="N124" i="20"/>
  <c r="N125" i="20"/>
  <c r="N126" i="20"/>
  <c r="N127" i="20"/>
  <c r="N128" i="20"/>
  <c r="N129" i="20"/>
  <c r="N130" i="20"/>
  <c r="N131" i="20"/>
  <c r="N132" i="20"/>
  <c r="N133" i="20"/>
  <c r="N134" i="20"/>
  <c r="N135" i="20"/>
  <c r="N136" i="20"/>
  <c r="N137" i="20"/>
  <c r="N138" i="20"/>
  <c r="N139" i="20"/>
  <c r="N140" i="20"/>
  <c r="N141" i="20"/>
  <c r="N142" i="20"/>
  <c r="N143" i="20"/>
  <c r="N144" i="20"/>
  <c r="N145" i="20"/>
  <c r="N146" i="20"/>
  <c r="N147" i="20"/>
  <c r="N148" i="20"/>
  <c r="N149" i="20"/>
  <c r="N150" i="20"/>
  <c r="N151" i="20"/>
  <c r="N152" i="20"/>
  <c r="N153" i="20"/>
  <c r="N154" i="20"/>
  <c r="N155" i="20"/>
  <c r="N156" i="20"/>
  <c r="N157" i="20"/>
  <c r="N158" i="20"/>
  <c r="N159" i="20"/>
  <c r="N160" i="20"/>
  <c r="N161" i="20"/>
  <c r="N162" i="20"/>
  <c r="N163" i="20"/>
  <c r="N164" i="20"/>
  <c r="N165" i="20"/>
  <c r="N166" i="20"/>
  <c r="N167" i="20"/>
  <c r="N168" i="20"/>
  <c r="N169" i="20"/>
  <c r="N170" i="20"/>
  <c r="N171" i="20"/>
  <c r="N172" i="20"/>
  <c r="N173" i="20"/>
  <c r="N174" i="20"/>
  <c r="N175" i="20"/>
  <c r="N176" i="20"/>
  <c r="N177" i="20"/>
  <c r="N178" i="20"/>
  <c r="N179" i="20"/>
  <c r="N180" i="20"/>
  <c r="N181" i="20"/>
  <c r="N182" i="20"/>
  <c r="N183" i="20"/>
  <c r="N184" i="20"/>
  <c r="N185" i="20"/>
  <c r="N186" i="20"/>
  <c r="N187" i="20"/>
  <c r="N188" i="20"/>
  <c r="N189" i="20"/>
  <c r="N190" i="20"/>
  <c r="N191" i="20"/>
  <c r="N192" i="20"/>
  <c r="N193" i="20"/>
  <c r="N194" i="20"/>
  <c r="N195" i="20"/>
  <c r="N196" i="20"/>
  <c r="N197" i="20"/>
  <c r="N198" i="20"/>
  <c r="N199" i="20"/>
  <c r="N200" i="20"/>
  <c r="N201" i="20"/>
  <c r="N202" i="20"/>
  <c r="N203" i="20"/>
  <c r="N204" i="20"/>
  <c r="N205" i="20"/>
  <c r="N206" i="20"/>
  <c r="N207" i="20"/>
  <c r="N208" i="20"/>
  <c r="N209" i="20"/>
  <c r="N210" i="20"/>
  <c r="N211" i="20"/>
  <c r="N212" i="20"/>
  <c r="N213" i="20"/>
  <c r="N214" i="20"/>
  <c r="N215" i="20"/>
  <c r="N216" i="20"/>
  <c r="N217" i="20"/>
  <c r="N218" i="20"/>
  <c r="N219" i="20"/>
  <c r="N220" i="20"/>
  <c r="N221" i="20"/>
  <c r="N222" i="20"/>
  <c r="N223" i="20"/>
  <c r="N224" i="20"/>
  <c r="N225" i="20"/>
  <c r="N226" i="20"/>
  <c r="N227" i="20"/>
  <c r="N228" i="20"/>
  <c r="N229" i="20"/>
  <c r="N230" i="20"/>
  <c r="N13" i="20"/>
  <c r="N469" i="20"/>
  <c r="N466" i="20"/>
  <c r="N465" i="20"/>
  <c r="N462" i="20"/>
  <c r="N458" i="20"/>
  <c r="N459" i="20"/>
  <c r="N457" i="20"/>
  <c r="N454" i="20"/>
  <c r="N453" i="20"/>
  <c r="N451" i="20"/>
  <c r="N450" i="20"/>
  <c r="L458" i="20"/>
  <c r="M458" i="20"/>
  <c r="L459" i="20"/>
  <c r="M459" i="20"/>
  <c r="M457" i="20"/>
  <c r="L457" i="20"/>
  <c r="K459" i="20"/>
  <c r="K458" i="20"/>
  <c r="K457" i="20"/>
  <c r="J459" i="20"/>
  <c r="J458" i="20"/>
  <c r="J457" i="20"/>
  <c r="M454" i="20"/>
  <c r="L454" i="20"/>
  <c r="M453" i="20"/>
  <c r="L453" i="20"/>
  <c r="K454" i="20"/>
  <c r="K453" i="20"/>
  <c r="J454" i="20"/>
  <c r="J453" i="20"/>
  <c r="M451" i="20"/>
  <c r="L451" i="20"/>
  <c r="K451" i="20"/>
  <c r="M450" i="20"/>
  <c r="L450" i="20"/>
  <c r="K450" i="20"/>
  <c r="J451" i="20"/>
  <c r="J450" i="20"/>
  <c r="M442" i="20"/>
  <c r="M443" i="20"/>
  <c r="M444" i="20"/>
  <c r="M445" i="20"/>
  <c r="M446" i="20"/>
  <c r="M447" i="20"/>
  <c r="L442" i="20"/>
  <c r="L443" i="20"/>
  <c r="L444" i="20"/>
  <c r="L445" i="20"/>
  <c r="L446" i="20"/>
  <c r="L447" i="20"/>
  <c r="L441" i="20"/>
  <c r="M441" i="20"/>
  <c r="L440" i="20"/>
  <c r="M440" i="20"/>
  <c r="L439" i="20"/>
  <c r="M439" i="20"/>
  <c r="L438" i="20"/>
  <c r="M438" i="20"/>
  <c r="M419" i="20"/>
  <c r="M420" i="20"/>
  <c r="M421" i="20"/>
  <c r="M422" i="20"/>
  <c r="M423" i="20"/>
  <c r="M424" i="20"/>
  <c r="M425" i="20"/>
  <c r="M426" i="20"/>
  <c r="M427" i="20"/>
  <c r="M428" i="20"/>
  <c r="M429" i="20"/>
  <c r="M430" i="20"/>
  <c r="M431" i="20"/>
  <c r="M432" i="20"/>
  <c r="M433" i="20"/>
  <c r="M434" i="20"/>
  <c r="M435" i="20"/>
  <c r="M436" i="20"/>
  <c r="M437" i="20"/>
  <c r="L419" i="20"/>
  <c r="L420" i="20"/>
  <c r="L421" i="20"/>
  <c r="L422" i="20"/>
  <c r="L423" i="20"/>
  <c r="L424" i="20"/>
  <c r="L425" i="20"/>
  <c r="L426" i="20"/>
  <c r="L427" i="20"/>
  <c r="L428" i="20"/>
  <c r="L429" i="20"/>
  <c r="L430" i="20"/>
  <c r="L431" i="20"/>
  <c r="L432" i="20"/>
  <c r="L433" i="20"/>
  <c r="L434" i="20"/>
  <c r="L435" i="20"/>
  <c r="L436" i="20"/>
  <c r="L437" i="20"/>
  <c r="J415" i="20"/>
  <c r="J416" i="20"/>
  <c r="J417" i="20"/>
  <c r="J418" i="20"/>
  <c r="J419" i="20"/>
  <c r="J420" i="20"/>
  <c r="J421" i="20"/>
  <c r="J422" i="20"/>
  <c r="J423" i="20"/>
  <c r="J424" i="20"/>
  <c r="J425" i="20"/>
  <c r="J426" i="20"/>
  <c r="J427" i="20"/>
  <c r="J428" i="20"/>
  <c r="J429" i="20"/>
  <c r="J430" i="20"/>
  <c r="J431" i="20"/>
  <c r="J432" i="20"/>
  <c r="J433" i="20"/>
  <c r="J434" i="20"/>
  <c r="J435" i="20"/>
  <c r="J436" i="20"/>
  <c r="J437" i="20"/>
  <c r="J438" i="20"/>
  <c r="J439" i="20"/>
  <c r="J440" i="20"/>
  <c r="J441" i="20"/>
  <c r="J442" i="20"/>
  <c r="J443" i="20"/>
  <c r="J444" i="20"/>
  <c r="J445" i="20"/>
  <c r="J446" i="20"/>
  <c r="J447" i="20"/>
  <c r="K447" i="20"/>
  <c r="K444" i="20"/>
  <c r="K445" i="20"/>
  <c r="K446" i="20"/>
  <c r="K439" i="20"/>
  <c r="K440" i="20"/>
  <c r="K441" i="20"/>
  <c r="K442" i="20"/>
  <c r="K443" i="20"/>
  <c r="K438" i="20"/>
  <c r="K435" i="20"/>
  <c r="K436" i="20"/>
  <c r="K437" i="20"/>
  <c r="K426" i="20"/>
  <c r="K427" i="20"/>
  <c r="K428" i="20"/>
  <c r="K429" i="20"/>
  <c r="K430" i="20"/>
  <c r="K431" i="20"/>
  <c r="K432" i="20"/>
  <c r="K433" i="20"/>
  <c r="K434" i="20"/>
  <c r="K420" i="20"/>
  <c r="K421" i="20"/>
  <c r="K422" i="20"/>
  <c r="K423" i="20"/>
  <c r="K424" i="20"/>
  <c r="K425" i="20"/>
  <c r="K419" i="20"/>
  <c r="M415" i="20"/>
  <c r="M416" i="20"/>
  <c r="M417" i="20"/>
  <c r="M418" i="20"/>
  <c r="L415" i="20"/>
  <c r="L416" i="20"/>
  <c r="L417" i="20"/>
  <c r="L418" i="20"/>
  <c r="K415" i="20"/>
  <c r="K416" i="20"/>
  <c r="K417" i="20"/>
  <c r="K418" i="20"/>
  <c r="J330" i="20"/>
  <c r="J331" i="20"/>
  <c r="J332" i="20"/>
  <c r="J333" i="20"/>
  <c r="J334" i="20"/>
  <c r="J335" i="20"/>
  <c r="J336" i="20"/>
  <c r="J337" i="20"/>
  <c r="J338" i="20"/>
  <c r="J339" i="20"/>
  <c r="J340" i="20"/>
  <c r="J341" i="20"/>
  <c r="J342" i="20"/>
  <c r="J343" i="20"/>
  <c r="J344" i="20"/>
  <c r="J345" i="20"/>
  <c r="J346" i="20"/>
  <c r="J347" i="20"/>
  <c r="J348" i="20"/>
  <c r="J349" i="20"/>
  <c r="J350" i="20"/>
  <c r="J351" i="20"/>
  <c r="J352" i="20"/>
  <c r="J353" i="20"/>
  <c r="J354" i="20"/>
  <c r="J355" i="20"/>
  <c r="J356" i="20"/>
  <c r="J357" i="20"/>
  <c r="J358" i="20"/>
  <c r="J359" i="20"/>
  <c r="J360" i="20"/>
  <c r="J361" i="20"/>
  <c r="J362" i="20"/>
  <c r="J363" i="20"/>
  <c r="J364" i="20"/>
  <c r="J365" i="20"/>
  <c r="J366" i="20"/>
  <c r="J367" i="20"/>
  <c r="J368" i="20"/>
  <c r="J369" i="20"/>
  <c r="J370" i="20"/>
  <c r="J371" i="20"/>
  <c r="J372" i="20"/>
  <c r="J373" i="20"/>
  <c r="J374" i="20"/>
  <c r="J375" i="20"/>
  <c r="J376" i="20"/>
  <c r="J377" i="20"/>
  <c r="J378" i="20"/>
  <c r="J379" i="20"/>
  <c r="J380" i="20"/>
  <c r="J381" i="20"/>
  <c r="J382" i="20"/>
  <c r="J383" i="20"/>
  <c r="J384" i="20"/>
  <c r="J385" i="20"/>
  <c r="J386" i="20"/>
  <c r="J387" i="20"/>
  <c r="J388" i="20"/>
  <c r="J389" i="20"/>
  <c r="J390" i="20"/>
  <c r="J391" i="20"/>
  <c r="J392" i="20"/>
  <c r="J393" i="20"/>
  <c r="J394" i="20"/>
  <c r="J395" i="20"/>
  <c r="J396" i="20"/>
  <c r="J397" i="20"/>
  <c r="J398" i="20"/>
  <c r="J399" i="20"/>
  <c r="J400" i="20"/>
  <c r="J401" i="20"/>
  <c r="J402" i="20"/>
  <c r="J403" i="20"/>
  <c r="J404" i="20"/>
  <c r="J405" i="20"/>
  <c r="J406" i="20"/>
  <c r="J407" i="20"/>
  <c r="J408" i="20"/>
  <c r="J409" i="20"/>
  <c r="J410" i="20"/>
  <c r="J411" i="20"/>
  <c r="J412" i="20"/>
  <c r="J413" i="20"/>
  <c r="J414" i="20"/>
  <c r="M362" i="20"/>
  <c r="M363" i="20"/>
  <c r="M364" i="20"/>
  <c r="M365" i="20"/>
  <c r="M366" i="20"/>
  <c r="M367" i="20"/>
  <c r="M368" i="20"/>
  <c r="M369" i="20"/>
  <c r="M370" i="20"/>
  <c r="M371" i="20"/>
  <c r="M372" i="20"/>
  <c r="M373" i="20"/>
  <c r="M374" i="20"/>
  <c r="M375" i="20"/>
  <c r="M376" i="20"/>
  <c r="M377" i="20"/>
  <c r="M378" i="20"/>
  <c r="M379" i="20"/>
  <c r="M380" i="20"/>
  <c r="M381" i="20"/>
  <c r="M382" i="20"/>
  <c r="M383" i="20"/>
  <c r="M384" i="20"/>
  <c r="M385" i="20"/>
  <c r="M386" i="20"/>
  <c r="M387" i="20"/>
  <c r="M388" i="20"/>
  <c r="M389" i="20"/>
  <c r="M390" i="20"/>
  <c r="M391" i="20"/>
  <c r="M392" i="20"/>
  <c r="M393" i="20"/>
  <c r="M394" i="20"/>
  <c r="M395" i="20"/>
  <c r="M396" i="20"/>
  <c r="M397" i="20"/>
  <c r="M398" i="20"/>
  <c r="M399" i="20"/>
  <c r="M400" i="20"/>
  <c r="M401" i="20"/>
  <c r="M402" i="20"/>
  <c r="M403" i="20"/>
  <c r="M404" i="20"/>
  <c r="M405" i="20"/>
  <c r="M406" i="20"/>
  <c r="M407" i="20"/>
  <c r="M408" i="20"/>
  <c r="M409" i="20"/>
  <c r="M410" i="20"/>
  <c r="M411" i="20"/>
  <c r="M412" i="20"/>
  <c r="M413" i="20"/>
  <c r="M414" i="20"/>
  <c r="L362" i="20"/>
  <c r="L363" i="20"/>
  <c r="L364" i="20"/>
  <c r="L365" i="20"/>
  <c r="L366" i="20"/>
  <c r="L367" i="20"/>
  <c r="L368" i="20"/>
  <c r="L369" i="20"/>
  <c r="L370" i="20"/>
  <c r="L371" i="20"/>
  <c r="L372" i="20"/>
  <c r="L373" i="20"/>
  <c r="L374" i="20"/>
  <c r="L375" i="20"/>
  <c r="L376" i="20"/>
  <c r="L377" i="20"/>
  <c r="L378" i="20"/>
  <c r="L379" i="20"/>
  <c r="L380" i="20"/>
  <c r="L381" i="20"/>
  <c r="L382" i="20"/>
  <c r="L383" i="20"/>
  <c r="L384" i="20"/>
  <c r="L385" i="20"/>
  <c r="L386" i="20"/>
  <c r="L387" i="20"/>
  <c r="L388" i="20"/>
  <c r="L389" i="20"/>
  <c r="L390" i="20"/>
  <c r="L391" i="20"/>
  <c r="L392" i="20"/>
  <c r="L393" i="20"/>
  <c r="L394" i="20"/>
  <c r="L395" i="20"/>
  <c r="L396" i="20"/>
  <c r="L397" i="20"/>
  <c r="L398" i="20"/>
  <c r="L399" i="20"/>
  <c r="L400" i="20"/>
  <c r="L401" i="20"/>
  <c r="L402" i="20"/>
  <c r="L403" i="20"/>
  <c r="L404" i="20"/>
  <c r="L405" i="20"/>
  <c r="L406" i="20"/>
  <c r="L407" i="20"/>
  <c r="L408" i="20"/>
  <c r="L409" i="20"/>
  <c r="L410" i="20"/>
  <c r="L411" i="20"/>
  <c r="L412" i="20"/>
  <c r="L413" i="20"/>
  <c r="L414" i="20"/>
  <c r="K380" i="20"/>
  <c r="K381" i="20"/>
  <c r="K382" i="20"/>
  <c r="K383" i="20"/>
  <c r="K384" i="20"/>
  <c r="K385" i="20"/>
  <c r="K386" i="20"/>
  <c r="K387" i="20"/>
  <c r="K388" i="20"/>
  <c r="K389" i="20"/>
  <c r="K390" i="20"/>
  <c r="K391" i="20"/>
  <c r="K392" i="20"/>
  <c r="K393" i="20"/>
  <c r="K394" i="20"/>
  <c r="K395" i="20"/>
  <c r="K396" i="20"/>
  <c r="K397" i="20"/>
  <c r="K398" i="20"/>
  <c r="K399" i="20"/>
  <c r="K400" i="20"/>
  <c r="K401" i="20"/>
  <c r="K402" i="20"/>
  <c r="K403" i="20"/>
  <c r="K404" i="20"/>
  <c r="K405" i="20"/>
  <c r="K406" i="20"/>
  <c r="K407" i="20"/>
  <c r="K408" i="20"/>
  <c r="K409" i="20"/>
  <c r="K410" i="20"/>
  <c r="K411" i="20"/>
  <c r="K412" i="20"/>
  <c r="K413" i="20"/>
  <c r="K414" i="20"/>
  <c r="K362" i="20"/>
  <c r="K363" i="20"/>
  <c r="K364" i="20"/>
  <c r="K365" i="20"/>
  <c r="K366" i="20"/>
  <c r="K367" i="20"/>
  <c r="K368" i="20"/>
  <c r="K369" i="20"/>
  <c r="K370" i="20"/>
  <c r="K371" i="20"/>
  <c r="K372" i="20"/>
  <c r="K373" i="20"/>
  <c r="K374" i="20"/>
  <c r="K375" i="20"/>
  <c r="K376" i="20"/>
  <c r="K377" i="20"/>
  <c r="K378" i="20"/>
  <c r="K379" i="20"/>
  <c r="M348" i="20"/>
  <c r="M349" i="20"/>
  <c r="M350" i="20"/>
  <c r="M351" i="20"/>
  <c r="M352" i="20"/>
  <c r="M353" i="20"/>
  <c r="M354" i="20"/>
  <c r="M355" i="20"/>
  <c r="M356" i="20"/>
  <c r="M357" i="20"/>
  <c r="M358" i="20"/>
  <c r="M359" i="20"/>
  <c r="M360" i="20"/>
  <c r="M361" i="20"/>
  <c r="L348" i="20"/>
  <c r="L349" i="20"/>
  <c r="L350" i="20"/>
  <c r="L351" i="20"/>
  <c r="L352" i="20"/>
  <c r="L353" i="20"/>
  <c r="L354" i="20"/>
  <c r="L355" i="20"/>
  <c r="L356" i="20"/>
  <c r="L357" i="20"/>
  <c r="L358" i="20"/>
  <c r="L359" i="20"/>
  <c r="L360" i="20"/>
  <c r="L361" i="20"/>
  <c r="K348" i="20"/>
  <c r="K349" i="20"/>
  <c r="K350" i="20"/>
  <c r="K351" i="20"/>
  <c r="K352" i="20"/>
  <c r="K353" i="20"/>
  <c r="K354" i="20"/>
  <c r="K355" i="20"/>
  <c r="K356" i="20"/>
  <c r="K357" i="20"/>
  <c r="K358" i="20"/>
  <c r="K359" i="20"/>
  <c r="K360" i="20"/>
  <c r="K361" i="20"/>
  <c r="M341" i="20"/>
  <c r="M342" i="20"/>
  <c r="M343" i="20"/>
  <c r="M344" i="20"/>
  <c r="M345" i="20"/>
  <c r="M346" i="20"/>
  <c r="M347" i="20"/>
  <c r="L341" i="20"/>
  <c r="L342" i="20"/>
  <c r="L343" i="20"/>
  <c r="L344" i="20"/>
  <c r="L345" i="20"/>
  <c r="L346" i="20"/>
  <c r="L347" i="20"/>
  <c r="K341" i="20"/>
  <c r="K342" i="20"/>
  <c r="K343" i="20"/>
  <c r="K344" i="20"/>
  <c r="K345" i="20"/>
  <c r="K346" i="20"/>
  <c r="K347" i="20"/>
  <c r="M330" i="20"/>
  <c r="M331" i="20"/>
  <c r="M332" i="20"/>
  <c r="M333" i="20"/>
  <c r="M334" i="20"/>
  <c r="M335" i="20"/>
  <c r="M336" i="20"/>
  <c r="M337" i="20"/>
  <c r="M338" i="20"/>
  <c r="M339" i="20"/>
  <c r="M340" i="20"/>
  <c r="L330" i="20"/>
  <c r="L331" i="20"/>
  <c r="L332" i="20"/>
  <c r="L333" i="20"/>
  <c r="L334" i="20"/>
  <c r="L335" i="20"/>
  <c r="L336" i="20"/>
  <c r="L337" i="20"/>
  <c r="L338" i="20"/>
  <c r="L339" i="20"/>
  <c r="L340" i="20"/>
  <c r="K334" i="20"/>
  <c r="K335" i="20"/>
  <c r="K336" i="20"/>
  <c r="K337" i="20"/>
  <c r="K338" i="20"/>
  <c r="K339" i="20"/>
  <c r="K340" i="20"/>
  <c r="K330" i="20"/>
  <c r="K331" i="20"/>
  <c r="K332" i="20"/>
  <c r="K333" i="20"/>
  <c r="M326" i="20"/>
  <c r="M327" i="20"/>
  <c r="M328" i="20"/>
  <c r="M329" i="20"/>
  <c r="L326" i="20"/>
  <c r="L327" i="20"/>
  <c r="L328" i="20"/>
  <c r="L329" i="20"/>
  <c r="K326" i="20"/>
  <c r="K327" i="20"/>
  <c r="K328" i="20"/>
  <c r="K329" i="20"/>
  <c r="J323" i="20"/>
  <c r="J324" i="20"/>
  <c r="J325" i="20"/>
  <c r="J326" i="20"/>
  <c r="J327" i="20"/>
  <c r="J328" i="20"/>
  <c r="J329" i="20"/>
  <c r="M315" i="20"/>
  <c r="M316" i="20"/>
  <c r="M317" i="20"/>
  <c r="M318" i="20"/>
  <c r="M319" i="20"/>
  <c r="M320" i="20"/>
  <c r="M321" i="20"/>
  <c r="M322" i="20"/>
  <c r="M323" i="20"/>
  <c r="M324" i="20"/>
  <c r="M325" i="20"/>
  <c r="L315" i="20"/>
  <c r="L316" i="20"/>
  <c r="L317" i="20"/>
  <c r="L318" i="20"/>
  <c r="L319" i="20"/>
  <c r="L320" i="20"/>
  <c r="L321" i="20"/>
  <c r="L322" i="20"/>
  <c r="L323" i="20"/>
  <c r="L324" i="20"/>
  <c r="L325" i="20"/>
  <c r="K315" i="20"/>
  <c r="K316" i="20"/>
  <c r="K317" i="20"/>
  <c r="K318" i="20"/>
  <c r="K319" i="20"/>
  <c r="K320" i="20"/>
  <c r="K321" i="20"/>
  <c r="K322" i="20"/>
  <c r="K323" i="20"/>
  <c r="K324" i="20"/>
  <c r="K325" i="20"/>
  <c r="J315" i="20"/>
  <c r="J316" i="20"/>
  <c r="J317" i="20"/>
  <c r="J318" i="20"/>
  <c r="J319" i="20"/>
  <c r="J320" i="20"/>
  <c r="J321" i="20"/>
  <c r="J322" i="20"/>
  <c r="M309" i="20"/>
  <c r="M310" i="20"/>
  <c r="M311" i="20"/>
  <c r="M312" i="20"/>
  <c r="M313" i="20"/>
  <c r="M314" i="20"/>
  <c r="L309" i="20"/>
  <c r="L310" i="20"/>
  <c r="L311" i="20"/>
  <c r="L312" i="20"/>
  <c r="L313" i="20"/>
  <c r="L314" i="20"/>
  <c r="K309" i="20"/>
  <c r="K310" i="20"/>
  <c r="K311" i="20"/>
  <c r="K312" i="20"/>
  <c r="K313" i="20"/>
  <c r="K314" i="20"/>
  <c r="J309" i="20"/>
  <c r="J310" i="20"/>
  <c r="J311" i="20"/>
  <c r="J312" i="20"/>
  <c r="J313" i="20"/>
  <c r="J314" i="20"/>
  <c r="M302" i="20"/>
  <c r="M303" i="20"/>
  <c r="M304" i="20"/>
  <c r="M305" i="20"/>
  <c r="M306" i="20"/>
  <c r="M307" i="20"/>
  <c r="M308" i="20"/>
  <c r="L302" i="20"/>
  <c r="L303" i="20"/>
  <c r="L304" i="20"/>
  <c r="L305" i="20"/>
  <c r="L306" i="20"/>
  <c r="L307" i="20"/>
  <c r="L308" i="20"/>
  <c r="K302" i="20"/>
  <c r="K303" i="20"/>
  <c r="K304" i="20"/>
  <c r="K305" i="20"/>
  <c r="K306" i="20"/>
  <c r="K307" i="20"/>
  <c r="K308" i="20"/>
  <c r="J302" i="20"/>
  <c r="J303" i="20"/>
  <c r="J304" i="20"/>
  <c r="J305" i="20"/>
  <c r="J306" i="20"/>
  <c r="J307" i="20"/>
  <c r="J308" i="20"/>
  <c r="M232" i="20"/>
  <c r="M233" i="20"/>
  <c r="M234" i="20"/>
  <c r="M235" i="20"/>
  <c r="M236" i="20"/>
  <c r="M237" i="20"/>
  <c r="M238" i="20"/>
  <c r="M239" i="20"/>
  <c r="M240" i="20"/>
  <c r="M241" i="20"/>
  <c r="M242" i="20"/>
  <c r="M243" i="20"/>
  <c r="M244" i="20"/>
  <c r="M245" i="20"/>
  <c r="M246" i="20"/>
  <c r="M247" i="20"/>
  <c r="M248" i="20"/>
  <c r="M249" i="20"/>
  <c r="M250" i="20"/>
  <c r="M251" i="20"/>
  <c r="M252" i="20"/>
  <c r="M253" i="20"/>
  <c r="M254" i="20"/>
  <c r="M255" i="20"/>
  <c r="M256" i="20"/>
  <c r="M257" i="20"/>
  <c r="M258" i="20"/>
  <c r="M259" i="20"/>
  <c r="M260" i="20"/>
  <c r="M261" i="20"/>
  <c r="M262" i="20"/>
  <c r="M263" i="20"/>
  <c r="M264" i="20"/>
  <c r="M265" i="20"/>
  <c r="M266" i="20"/>
  <c r="M267" i="20"/>
  <c r="M268" i="20"/>
  <c r="M269" i="20"/>
  <c r="M270" i="20"/>
  <c r="M271" i="20"/>
  <c r="M272" i="20"/>
  <c r="M273" i="20"/>
  <c r="M274" i="20"/>
  <c r="M275" i="20"/>
  <c r="M276" i="20"/>
  <c r="M277" i="20"/>
  <c r="M278" i="20"/>
  <c r="M279" i="20"/>
  <c r="M280" i="20"/>
  <c r="M281" i="20"/>
  <c r="M282" i="20"/>
  <c r="M283" i="20"/>
  <c r="M284" i="20"/>
  <c r="M285" i="20"/>
  <c r="M286" i="20"/>
  <c r="M287" i="20"/>
  <c r="M288" i="20"/>
  <c r="M289" i="20"/>
  <c r="M290" i="20"/>
  <c r="M291" i="20"/>
  <c r="M292" i="20"/>
  <c r="M293" i="20"/>
  <c r="M294" i="20"/>
  <c r="M295" i="20"/>
  <c r="M296" i="20"/>
  <c r="M297" i="20"/>
  <c r="M298" i="20"/>
  <c r="M299" i="20"/>
  <c r="M300" i="20"/>
  <c r="M301" i="20"/>
  <c r="L184" i="20"/>
  <c r="L185" i="20"/>
  <c r="L186" i="20"/>
  <c r="L187" i="20"/>
  <c r="L188" i="20"/>
  <c r="L301" i="20"/>
  <c r="L232" i="20"/>
  <c r="L233" i="20"/>
  <c r="L234" i="20"/>
  <c r="L235" i="20"/>
  <c r="L236" i="20"/>
  <c r="L237" i="20"/>
  <c r="L238" i="20"/>
  <c r="L239" i="20"/>
  <c r="L240" i="20"/>
  <c r="L241" i="20"/>
  <c r="L242" i="20"/>
  <c r="L243" i="20"/>
  <c r="L244" i="20"/>
  <c r="L245" i="20"/>
  <c r="L246" i="20"/>
  <c r="L247" i="20"/>
  <c r="L248" i="20"/>
  <c r="L249" i="20"/>
  <c r="L250" i="20"/>
  <c r="L251" i="20"/>
  <c r="L252" i="20"/>
  <c r="L253" i="20"/>
  <c r="L254" i="20"/>
  <c r="L255" i="20"/>
  <c r="L256" i="20"/>
  <c r="L257" i="20"/>
  <c r="L258" i="20"/>
  <c r="L259" i="20"/>
  <c r="L260" i="20"/>
  <c r="L261" i="20"/>
  <c r="L262" i="20"/>
  <c r="L263" i="20"/>
  <c r="L264" i="20"/>
  <c r="L265" i="20"/>
  <c r="L266" i="20"/>
  <c r="L267" i="20"/>
  <c r="L268" i="20"/>
  <c r="L269" i="20"/>
  <c r="L270" i="20"/>
  <c r="L271" i="20"/>
  <c r="L272" i="20"/>
  <c r="L273" i="20"/>
  <c r="L274" i="20"/>
  <c r="L275" i="20"/>
  <c r="L276" i="20"/>
  <c r="L277" i="20"/>
  <c r="L278" i="20"/>
  <c r="L279" i="20"/>
  <c r="L280" i="20"/>
  <c r="L281" i="20"/>
  <c r="L282" i="20"/>
  <c r="L283" i="20"/>
  <c r="L284" i="20"/>
  <c r="L285" i="20"/>
  <c r="L286" i="20"/>
  <c r="L287" i="20"/>
  <c r="L288" i="20"/>
  <c r="L289" i="20"/>
  <c r="L290" i="20"/>
  <c r="L291" i="20"/>
  <c r="L292" i="20"/>
  <c r="L293" i="20"/>
  <c r="L294" i="20"/>
  <c r="L295" i="20"/>
  <c r="L296" i="20"/>
  <c r="L297" i="20"/>
  <c r="L298" i="20"/>
  <c r="L299" i="20"/>
  <c r="L300" i="20"/>
  <c r="K298" i="20"/>
  <c r="K299" i="20"/>
  <c r="K300" i="20"/>
  <c r="K301" i="20"/>
  <c r="J298" i="20"/>
  <c r="J299" i="20"/>
  <c r="J300" i="20"/>
  <c r="J301" i="20"/>
  <c r="K294" i="20"/>
  <c r="K295" i="20"/>
  <c r="K296" i="20"/>
  <c r="K297" i="20"/>
  <c r="J294" i="20"/>
  <c r="J295" i="20"/>
  <c r="J296" i="20"/>
  <c r="J297" i="20"/>
  <c r="K288" i="20"/>
  <c r="K289" i="20"/>
  <c r="K290" i="20"/>
  <c r="K291" i="20"/>
  <c r="K292" i="20"/>
  <c r="K293" i="20"/>
  <c r="J288" i="20"/>
  <c r="J289" i="20"/>
  <c r="J290" i="20"/>
  <c r="J291" i="20"/>
  <c r="J292" i="20"/>
  <c r="J293" i="20"/>
  <c r="K281" i="20"/>
  <c r="K282" i="20"/>
  <c r="K283" i="20"/>
  <c r="K284" i="20"/>
  <c r="K285" i="20"/>
  <c r="K286" i="20"/>
  <c r="K287" i="20"/>
  <c r="J281" i="20"/>
  <c r="J282" i="20"/>
  <c r="J283" i="20"/>
  <c r="J284" i="20"/>
  <c r="J285" i="20"/>
  <c r="J286" i="20"/>
  <c r="J287" i="20"/>
  <c r="K278" i="20"/>
  <c r="K279" i="20"/>
  <c r="K280" i="20"/>
  <c r="J278" i="20"/>
  <c r="J279" i="20"/>
  <c r="J280" i="20"/>
  <c r="K276" i="20"/>
  <c r="K277" i="20"/>
  <c r="J276" i="20"/>
  <c r="J277" i="20"/>
  <c r="K272" i="20"/>
  <c r="K273" i="20"/>
  <c r="K274" i="20"/>
  <c r="K275" i="20"/>
  <c r="J272" i="20"/>
  <c r="J273" i="20"/>
  <c r="J274" i="20"/>
  <c r="J275" i="20"/>
  <c r="K266" i="20"/>
  <c r="K267" i="20"/>
  <c r="K268" i="20"/>
  <c r="K269" i="20"/>
  <c r="K270" i="20"/>
  <c r="K271" i="20"/>
  <c r="J266" i="20"/>
  <c r="J267" i="20"/>
  <c r="J268" i="20"/>
  <c r="J269" i="20"/>
  <c r="J270" i="20"/>
  <c r="J271" i="20"/>
  <c r="K262" i="20"/>
  <c r="K263" i="20"/>
  <c r="K264" i="20"/>
  <c r="K265" i="20"/>
  <c r="J262" i="20"/>
  <c r="J263" i="20"/>
  <c r="J264" i="20"/>
  <c r="J265" i="20"/>
  <c r="K232" i="20" l="1"/>
  <c r="K233" i="20"/>
  <c r="K234" i="20"/>
  <c r="K235" i="20"/>
  <c r="K236" i="20"/>
  <c r="K237" i="20"/>
  <c r="K238" i="20"/>
  <c r="K239" i="20"/>
  <c r="K240" i="20"/>
  <c r="K241" i="20"/>
  <c r="K242" i="20"/>
  <c r="K243" i="20"/>
  <c r="K244" i="20"/>
  <c r="K245" i="20"/>
  <c r="K246" i="20"/>
  <c r="K247" i="20"/>
  <c r="K248" i="20"/>
  <c r="K249" i="20"/>
  <c r="K250" i="20"/>
  <c r="K251" i="20"/>
  <c r="K252" i="20"/>
  <c r="K253" i="20"/>
  <c r="K254" i="20"/>
  <c r="K255" i="20"/>
  <c r="K256" i="20"/>
  <c r="K257" i="20"/>
  <c r="K258" i="20"/>
  <c r="K259" i="20"/>
  <c r="K260" i="20"/>
  <c r="K261" i="20"/>
  <c r="M231" i="20"/>
  <c r="L231" i="20"/>
  <c r="K231" i="20"/>
  <c r="J232" i="20"/>
  <c r="J233" i="20"/>
  <c r="J234" i="20"/>
  <c r="J235" i="20"/>
  <c r="J236" i="20"/>
  <c r="J237" i="20"/>
  <c r="J238" i="20"/>
  <c r="J239" i="20"/>
  <c r="J240" i="20"/>
  <c r="J241" i="20"/>
  <c r="J242" i="20"/>
  <c r="J243" i="20"/>
  <c r="J244" i="20"/>
  <c r="J245" i="20"/>
  <c r="J246" i="20"/>
  <c r="J247" i="20"/>
  <c r="J248" i="20"/>
  <c r="J249" i="20"/>
  <c r="J250" i="20"/>
  <c r="J251" i="20"/>
  <c r="J252" i="20"/>
  <c r="J253" i="20"/>
  <c r="J254" i="20"/>
  <c r="J255" i="20"/>
  <c r="J256" i="20"/>
  <c r="J257" i="20"/>
  <c r="J258" i="20"/>
  <c r="J259" i="20"/>
  <c r="J260" i="20"/>
  <c r="J261" i="20"/>
  <c r="J231" i="20"/>
  <c r="M230" i="20"/>
  <c r="L230" i="20"/>
  <c r="K230" i="20"/>
  <c r="J230" i="20"/>
  <c r="J229" i="20"/>
  <c r="M228" i="20"/>
  <c r="L228" i="20"/>
  <c r="K228" i="20"/>
  <c r="J228" i="20"/>
  <c r="M227" i="20"/>
  <c r="L227" i="20"/>
  <c r="K227" i="20"/>
  <c r="J227" i="20"/>
  <c r="M226" i="20"/>
  <c r="L226" i="20"/>
  <c r="K226" i="20"/>
  <c r="J226" i="20"/>
  <c r="M225" i="20"/>
  <c r="L225" i="20"/>
  <c r="K225" i="20"/>
  <c r="J225" i="20"/>
  <c r="J224" i="20"/>
  <c r="M224" i="20"/>
  <c r="L224" i="20"/>
  <c r="K224" i="20"/>
  <c r="M218" i="20"/>
  <c r="M219" i="20"/>
  <c r="M220" i="20"/>
  <c r="M221" i="20"/>
  <c r="M222" i="20"/>
  <c r="M223" i="20"/>
  <c r="L218" i="20"/>
  <c r="L219" i="20"/>
  <c r="L220" i="20"/>
  <c r="L221" i="20"/>
  <c r="L222" i="20"/>
  <c r="L223" i="20"/>
  <c r="M217" i="20"/>
  <c r="L217" i="20"/>
  <c r="K218" i="20"/>
  <c r="K219" i="20"/>
  <c r="K220" i="20"/>
  <c r="K221" i="20"/>
  <c r="K222" i="20"/>
  <c r="K223" i="20"/>
  <c r="K217" i="20"/>
  <c r="J218" i="20"/>
  <c r="J219" i="20"/>
  <c r="J220" i="20"/>
  <c r="J221" i="20"/>
  <c r="J222" i="20"/>
  <c r="J223" i="20"/>
  <c r="J217" i="20"/>
  <c r="M216" i="20"/>
  <c r="L216" i="20"/>
  <c r="K216" i="20"/>
  <c r="J216" i="20"/>
  <c r="M215" i="20"/>
  <c r="L215" i="20"/>
  <c r="K215" i="20"/>
  <c r="J215" i="20"/>
  <c r="M214" i="20"/>
  <c r="L214" i="20"/>
  <c r="K214" i="20"/>
  <c r="J214" i="20"/>
  <c r="M213" i="20"/>
  <c r="L213" i="20"/>
  <c r="K213" i="20"/>
  <c r="M212" i="20"/>
  <c r="L212" i="20"/>
  <c r="K212" i="20"/>
  <c r="J213" i="20"/>
  <c r="J212" i="20"/>
  <c r="M211" i="20"/>
  <c r="L211" i="20"/>
  <c r="K211" i="20"/>
  <c r="J211" i="20"/>
  <c r="M210" i="20"/>
  <c r="L210" i="20"/>
  <c r="K210" i="20"/>
  <c r="J210" i="20"/>
  <c r="M209" i="20"/>
  <c r="L209" i="20"/>
  <c r="K209" i="20"/>
  <c r="J209" i="20"/>
  <c r="M208" i="20"/>
  <c r="L208" i="20"/>
  <c r="J208" i="20"/>
  <c r="M199" i="20"/>
  <c r="M200" i="20"/>
  <c r="M201" i="20"/>
  <c r="M202" i="20"/>
  <c r="M203" i="20"/>
  <c r="M204" i="20"/>
  <c r="M205" i="20"/>
  <c r="M206" i="20"/>
  <c r="M207" i="20"/>
  <c r="L199" i="20"/>
  <c r="L200" i="20"/>
  <c r="L201" i="20"/>
  <c r="L202" i="20"/>
  <c r="L203" i="20"/>
  <c r="L204" i="20"/>
  <c r="L205" i="20"/>
  <c r="L206" i="20"/>
  <c r="L207" i="20"/>
  <c r="K208" i="20"/>
  <c r="K199" i="20"/>
  <c r="K200" i="20"/>
  <c r="K201" i="20"/>
  <c r="K202" i="20"/>
  <c r="K203" i="20"/>
  <c r="K204" i="20"/>
  <c r="K205" i="20"/>
  <c r="K206" i="20"/>
  <c r="K207" i="20"/>
  <c r="J198" i="20"/>
  <c r="J199" i="20"/>
  <c r="J200" i="20"/>
  <c r="J201" i="20"/>
  <c r="J202" i="20"/>
  <c r="J203" i="20"/>
  <c r="J204" i="20"/>
  <c r="J205" i="20"/>
  <c r="J206" i="20"/>
  <c r="J207" i="20"/>
  <c r="K198" i="20"/>
  <c r="L196" i="20"/>
  <c r="M196" i="20"/>
  <c r="L197" i="20"/>
  <c r="M197" i="20"/>
  <c r="L198" i="20"/>
  <c r="M198" i="20"/>
  <c r="M195" i="20"/>
  <c r="L195" i="20"/>
  <c r="K196" i="20"/>
  <c r="K197" i="20"/>
  <c r="K195" i="20"/>
  <c r="J196" i="20"/>
  <c r="J197" i="20"/>
  <c r="J195" i="20"/>
  <c r="M194" i="20"/>
  <c r="L194" i="20"/>
  <c r="K194" i="20"/>
  <c r="J194" i="20"/>
  <c r="M193" i="20"/>
  <c r="L193" i="20"/>
  <c r="K193" i="20"/>
  <c r="J193" i="20"/>
  <c r="M192" i="20"/>
  <c r="L192" i="20"/>
  <c r="K192" i="20"/>
  <c r="J192" i="20"/>
  <c r="M190" i="20"/>
  <c r="M191" i="20"/>
  <c r="L191" i="20"/>
  <c r="L190" i="20"/>
  <c r="K191" i="20"/>
  <c r="K190" i="20"/>
  <c r="J191" i="20"/>
  <c r="J190" i="20"/>
  <c r="L14" i="20"/>
  <c r="M14" i="20"/>
  <c r="L15" i="20"/>
  <c r="M15" i="20"/>
  <c r="L16" i="20"/>
  <c r="M16" i="20"/>
  <c r="L17" i="20"/>
  <c r="M17" i="20"/>
  <c r="L18" i="20"/>
  <c r="M18" i="20"/>
  <c r="L19" i="20"/>
  <c r="M19" i="20"/>
  <c r="L20" i="20"/>
  <c r="M20" i="20"/>
  <c r="L21" i="20"/>
  <c r="M21" i="20"/>
  <c r="L22" i="20"/>
  <c r="M22" i="20"/>
  <c r="L23" i="20"/>
  <c r="M23" i="20"/>
  <c r="L24" i="20"/>
  <c r="M24" i="20"/>
  <c r="L25" i="20"/>
  <c r="M25" i="20"/>
  <c r="L26" i="20"/>
  <c r="M26" i="20"/>
  <c r="L27" i="20"/>
  <c r="M27" i="20"/>
  <c r="L28" i="20"/>
  <c r="M28" i="20"/>
  <c r="L29" i="20"/>
  <c r="M29" i="20"/>
  <c r="L30" i="20"/>
  <c r="M30" i="20"/>
  <c r="L31" i="20"/>
  <c r="M31" i="20"/>
  <c r="L32" i="20"/>
  <c r="M32" i="20"/>
  <c r="L33" i="20"/>
  <c r="M33" i="20"/>
  <c r="L34" i="20"/>
  <c r="M34" i="20"/>
  <c r="L35" i="20"/>
  <c r="M35" i="20"/>
  <c r="L36" i="20"/>
  <c r="M36" i="20"/>
  <c r="L37" i="20"/>
  <c r="M37" i="20"/>
  <c r="L38" i="20"/>
  <c r="M38" i="20"/>
  <c r="L39" i="20"/>
  <c r="M39" i="20"/>
  <c r="L40" i="20"/>
  <c r="M40" i="20"/>
  <c r="L41" i="20"/>
  <c r="M41" i="20"/>
  <c r="L42" i="20"/>
  <c r="M42" i="20"/>
  <c r="L43" i="20"/>
  <c r="M43" i="20"/>
  <c r="L44" i="20"/>
  <c r="M44" i="20"/>
  <c r="L45" i="20"/>
  <c r="M45" i="20"/>
  <c r="L46" i="20"/>
  <c r="M46" i="20"/>
  <c r="L47" i="20"/>
  <c r="M47" i="20"/>
  <c r="L48" i="20"/>
  <c r="M48" i="20"/>
  <c r="L49" i="20"/>
  <c r="M49" i="20"/>
  <c r="L50" i="20"/>
  <c r="M50" i="20"/>
  <c r="L51" i="20"/>
  <c r="M51" i="20"/>
  <c r="L52" i="20"/>
  <c r="M52" i="20"/>
  <c r="L53" i="20"/>
  <c r="M53" i="20"/>
  <c r="L54" i="20"/>
  <c r="M54" i="20"/>
  <c r="L55" i="20"/>
  <c r="M55" i="20"/>
  <c r="L56" i="20"/>
  <c r="M56" i="20"/>
  <c r="L57" i="20"/>
  <c r="M57" i="20"/>
  <c r="L58" i="20"/>
  <c r="M58" i="20"/>
  <c r="L59" i="20"/>
  <c r="M59" i="20"/>
  <c r="L60" i="20"/>
  <c r="M60" i="20"/>
  <c r="L61" i="20"/>
  <c r="M61" i="20"/>
  <c r="L62" i="20"/>
  <c r="M62" i="20"/>
  <c r="L63" i="20"/>
  <c r="M63" i="20"/>
  <c r="L64" i="20"/>
  <c r="M64" i="20"/>
  <c r="L65" i="20"/>
  <c r="M65" i="20"/>
  <c r="L66" i="20"/>
  <c r="M66" i="20"/>
  <c r="L67" i="20"/>
  <c r="M67" i="20"/>
  <c r="L68" i="20"/>
  <c r="M68" i="20"/>
  <c r="L69" i="20"/>
  <c r="M69" i="20"/>
  <c r="L70" i="20"/>
  <c r="M70" i="20"/>
  <c r="L71" i="20"/>
  <c r="M71" i="20"/>
  <c r="L72" i="20"/>
  <c r="M72" i="20"/>
  <c r="L73" i="20"/>
  <c r="M73" i="20"/>
  <c r="L74" i="20"/>
  <c r="M74" i="20"/>
  <c r="L75" i="20"/>
  <c r="M75" i="20"/>
  <c r="L76" i="20"/>
  <c r="M76" i="20"/>
  <c r="L77" i="20"/>
  <c r="M77" i="20"/>
  <c r="L78" i="20"/>
  <c r="M78" i="20"/>
  <c r="L79" i="20"/>
  <c r="M79" i="20"/>
  <c r="L80" i="20"/>
  <c r="M80" i="20"/>
  <c r="L81" i="20"/>
  <c r="M81" i="20"/>
  <c r="L82" i="20"/>
  <c r="M82" i="20"/>
  <c r="L83" i="20"/>
  <c r="M83" i="20"/>
  <c r="L84" i="20"/>
  <c r="M84" i="20"/>
  <c r="L85" i="20"/>
  <c r="M85" i="20"/>
  <c r="L86" i="20"/>
  <c r="M86" i="20"/>
  <c r="L87" i="20"/>
  <c r="M87" i="20"/>
  <c r="L88" i="20"/>
  <c r="M88" i="20"/>
  <c r="L89" i="20"/>
  <c r="M89" i="20"/>
  <c r="L90" i="20"/>
  <c r="M90" i="20"/>
  <c r="L91" i="20"/>
  <c r="M91" i="20"/>
  <c r="L92" i="20"/>
  <c r="M92" i="20"/>
  <c r="L93" i="20"/>
  <c r="M93" i="20"/>
  <c r="L94" i="20"/>
  <c r="M94" i="20"/>
  <c r="L95" i="20"/>
  <c r="M95" i="20"/>
  <c r="L96" i="20"/>
  <c r="M96" i="20"/>
  <c r="L97" i="20"/>
  <c r="M97" i="20"/>
  <c r="L98" i="20"/>
  <c r="M98" i="20"/>
  <c r="L99" i="20"/>
  <c r="M99" i="20"/>
  <c r="L100" i="20"/>
  <c r="M100" i="20"/>
  <c r="L101" i="20"/>
  <c r="M101" i="20"/>
  <c r="L102" i="20"/>
  <c r="M102" i="20"/>
  <c r="L103" i="20"/>
  <c r="M103" i="20"/>
  <c r="L104" i="20"/>
  <c r="M104" i="20"/>
  <c r="L105" i="20"/>
  <c r="M105" i="20"/>
  <c r="L106" i="20"/>
  <c r="M106" i="20"/>
  <c r="L107" i="20"/>
  <c r="M107" i="20"/>
  <c r="L108" i="20"/>
  <c r="M108" i="20"/>
  <c r="L109" i="20"/>
  <c r="M109" i="20"/>
  <c r="L110" i="20"/>
  <c r="M110" i="20"/>
  <c r="L111" i="20"/>
  <c r="M111" i="20"/>
  <c r="L112" i="20"/>
  <c r="M112" i="20"/>
  <c r="L113" i="20"/>
  <c r="M113" i="20"/>
  <c r="L114" i="20"/>
  <c r="M114" i="20"/>
  <c r="L115" i="20"/>
  <c r="M115" i="20"/>
  <c r="L116" i="20"/>
  <c r="M116" i="20"/>
  <c r="L117" i="20"/>
  <c r="M117" i="20"/>
  <c r="L118" i="20"/>
  <c r="M118" i="20"/>
  <c r="L119" i="20"/>
  <c r="M119" i="20"/>
  <c r="L120" i="20"/>
  <c r="M120" i="20"/>
  <c r="L121" i="20"/>
  <c r="M121" i="20"/>
  <c r="L122" i="20"/>
  <c r="M122" i="20"/>
  <c r="L123" i="20"/>
  <c r="M123" i="20"/>
  <c r="L124" i="20"/>
  <c r="M124" i="20"/>
  <c r="L125" i="20"/>
  <c r="M125" i="20"/>
  <c r="L126" i="20"/>
  <c r="M126" i="20"/>
  <c r="L127" i="20"/>
  <c r="M127" i="20"/>
  <c r="L128" i="20"/>
  <c r="M128" i="20"/>
  <c r="L129" i="20"/>
  <c r="M129" i="20"/>
  <c r="L130" i="20"/>
  <c r="M130" i="20"/>
  <c r="L131" i="20"/>
  <c r="M131" i="20"/>
  <c r="L132" i="20"/>
  <c r="M132" i="20"/>
  <c r="L133" i="20"/>
  <c r="M133" i="20"/>
  <c r="L134" i="20"/>
  <c r="M134" i="20"/>
  <c r="L135" i="20"/>
  <c r="M135" i="20"/>
  <c r="L136" i="20"/>
  <c r="M136" i="20"/>
  <c r="L137" i="20"/>
  <c r="M137" i="20"/>
  <c r="L138" i="20"/>
  <c r="M138" i="20"/>
  <c r="L139" i="20"/>
  <c r="M139" i="20"/>
  <c r="L140" i="20"/>
  <c r="M140" i="20"/>
  <c r="L141" i="20"/>
  <c r="M141" i="20"/>
  <c r="L142" i="20"/>
  <c r="M142" i="20"/>
  <c r="L143" i="20"/>
  <c r="M143" i="20"/>
  <c r="L144" i="20"/>
  <c r="M144" i="20"/>
  <c r="L145" i="20"/>
  <c r="M145" i="20"/>
  <c r="L146" i="20"/>
  <c r="M146" i="20"/>
  <c r="L147" i="20"/>
  <c r="M147" i="20"/>
  <c r="L148" i="20"/>
  <c r="M148" i="20"/>
  <c r="L149" i="20"/>
  <c r="M149" i="20"/>
  <c r="L150" i="20"/>
  <c r="M150" i="20"/>
  <c r="L151" i="20"/>
  <c r="M151" i="20"/>
  <c r="L152" i="20"/>
  <c r="M152" i="20"/>
  <c r="L153" i="20"/>
  <c r="M153" i="20"/>
  <c r="L154" i="20"/>
  <c r="M154" i="20"/>
  <c r="L155" i="20"/>
  <c r="M155" i="20"/>
  <c r="L156" i="20"/>
  <c r="M156" i="20"/>
  <c r="L157" i="20"/>
  <c r="M157" i="20"/>
  <c r="L158" i="20"/>
  <c r="M158" i="20"/>
  <c r="L159" i="20"/>
  <c r="M159" i="20"/>
  <c r="L160" i="20"/>
  <c r="M160" i="20"/>
  <c r="L161" i="20"/>
  <c r="M161" i="20"/>
  <c r="L162" i="20"/>
  <c r="M162" i="20"/>
  <c r="L163" i="20"/>
  <c r="M163" i="20"/>
  <c r="L164" i="20"/>
  <c r="M164" i="20"/>
  <c r="L165" i="20"/>
  <c r="M165" i="20"/>
  <c r="L166" i="20"/>
  <c r="M166" i="20"/>
  <c r="L167" i="20"/>
  <c r="M167" i="20"/>
  <c r="L168" i="20"/>
  <c r="M168" i="20"/>
  <c r="L169" i="20"/>
  <c r="M169" i="20"/>
  <c r="L170" i="20"/>
  <c r="M170" i="20"/>
  <c r="L171" i="20"/>
  <c r="M171" i="20"/>
  <c r="L172" i="20"/>
  <c r="M172" i="20"/>
  <c r="L173" i="20"/>
  <c r="M173" i="20"/>
  <c r="L174" i="20"/>
  <c r="M174" i="20"/>
  <c r="L175" i="20"/>
  <c r="M175" i="20"/>
  <c r="L176" i="20"/>
  <c r="M176" i="20"/>
  <c r="L177" i="20"/>
  <c r="M177" i="20"/>
  <c r="L178" i="20"/>
  <c r="M178" i="20"/>
  <c r="L179" i="20"/>
  <c r="M179" i="20"/>
  <c r="L180" i="20"/>
  <c r="M180" i="20"/>
  <c r="L181" i="20"/>
  <c r="M181" i="20"/>
  <c r="L182" i="20"/>
  <c r="M182" i="20"/>
  <c r="L183" i="20"/>
  <c r="M183" i="20"/>
  <c r="M184" i="20"/>
  <c r="M185" i="20"/>
  <c r="M186" i="20"/>
  <c r="M187" i="20"/>
  <c r="M188" i="20"/>
  <c r="L189" i="20"/>
  <c r="M189" i="20"/>
  <c r="L229" i="20"/>
  <c r="M229" i="20"/>
  <c r="M13" i="20"/>
  <c r="L13" i="20"/>
  <c r="K14" i="20"/>
  <c r="K15" i="20"/>
  <c r="K16" i="20"/>
  <c r="K17" i="20"/>
  <c r="K18" i="20"/>
  <c r="K19" i="20"/>
  <c r="K20" i="20"/>
  <c r="K21" i="20"/>
  <c r="K22" i="20"/>
  <c r="K23" i="20"/>
  <c r="K24" i="20"/>
  <c r="K25" i="20"/>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72" i="20"/>
  <c r="K73" i="20"/>
  <c r="K74" i="20"/>
  <c r="K75" i="20"/>
  <c r="K76" i="20"/>
  <c r="K77" i="20"/>
  <c r="K78" i="20"/>
  <c r="K79" i="20"/>
  <c r="K80" i="20"/>
  <c r="K81" i="20"/>
  <c r="K82" i="20"/>
  <c r="K83" i="20"/>
  <c r="K84" i="20"/>
  <c r="K85" i="20"/>
  <c r="K86" i="20"/>
  <c r="K87" i="20"/>
  <c r="K88" i="20"/>
  <c r="K89" i="20"/>
  <c r="K90" i="20"/>
  <c r="K91" i="20"/>
  <c r="K92" i="20"/>
  <c r="K93" i="20"/>
  <c r="K94" i="20"/>
  <c r="K95" i="20"/>
  <c r="K96" i="20"/>
  <c r="K97" i="20"/>
  <c r="K98" i="20"/>
  <c r="K99" i="20"/>
  <c r="K100" i="20"/>
  <c r="K101" i="20"/>
  <c r="K102" i="20"/>
  <c r="K103" i="20"/>
  <c r="K104" i="20"/>
  <c r="K105" i="20"/>
  <c r="K106" i="20"/>
  <c r="K107" i="20"/>
  <c r="K108" i="20"/>
  <c r="K109" i="20"/>
  <c r="K110" i="20"/>
  <c r="K111" i="20"/>
  <c r="K112" i="20"/>
  <c r="K113" i="20"/>
  <c r="K114" i="20"/>
  <c r="K115" i="20"/>
  <c r="K116" i="20"/>
  <c r="K117" i="20"/>
  <c r="K118" i="20"/>
  <c r="K119" i="20"/>
  <c r="K120" i="20"/>
  <c r="K121" i="20"/>
  <c r="K122" i="20"/>
  <c r="K123" i="20"/>
  <c r="K124" i="20"/>
  <c r="K125" i="20"/>
  <c r="K126" i="20"/>
  <c r="K127" i="20"/>
  <c r="K128" i="20"/>
  <c r="K129" i="20"/>
  <c r="K130" i="20"/>
  <c r="K131" i="20"/>
  <c r="K132" i="20"/>
  <c r="K133" i="20"/>
  <c r="K134" i="20"/>
  <c r="K135" i="20"/>
  <c r="K136" i="20"/>
  <c r="K137" i="20"/>
  <c r="K138" i="20"/>
  <c r="K139" i="20"/>
  <c r="K140" i="20"/>
  <c r="K141" i="20"/>
  <c r="K142" i="20"/>
  <c r="K143" i="20"/>
  <c r="K144" i="20"/>
  <c r="K145" i="20"/>
  <c r="K146" i="20"/>
  <c r="K147" i="20"/>
  <c r="K148" i="20"/>
  <c r="K149" i="20"/>
  <c r="K150" i="20"/>
  <c r="K151" i="20"/>
  <c r="K152" i="20"/>
  <c r="K153" i="20"/>
  <c r="K154" i="20"/>
  <c r="K155" i="20"/>
  <c r="K156" i="20"/>
  <c r="K157" i="20"/>
  <c r="K158" i="20"/>
  <c r="K159" i="20"/>
  <c r="K160" i="20"/>
  <c r="K161" i="20"/>
  <c r="K162" i="20"/>
  <c r="K163" i="20"/>
  <c r="K164" i="20"/>
  <c r="K165" i="20"/>
  <c r="K166" i="20"/>
  <c r="K167" i="20"/>
  <c r="K168" i="20"/>
  <c r="K169" i="20"/>
  <c r="K170" i="20"/>
  <c r="K171" i="20"/>
  <c r="K172" i="20"/>
  <c r="K173" i="20"/>
  <c r="K174" i="20"/>
  <c r="K175" i="20"/>
  <c r="K176" i="20"/>
  <c r="K177" i="20"/>
  <c r="K178" i="20"/>
  <c r="K179" i="20"/>
  <c r="K180" i="20"/>
  <c r="K181" i="20"/>
  <c r="K182" i="20"/>
  <c r="K183" i="20"/>
  <c r="K184" i="20"/>
  <c r="K185" i="20"/>
  <c r="K186" i="20"/>
  <c r="K187" i="20"/>
  <c r="K188" i="20"/>
  <c r="K189" i="20"/>
  <c r="K229" i="20"/>
  <c r="K13" i="20"/>
  <c r="J189" i="20"/>
  <c r="J188" i="20"/>
  <c r="J187" i="20"/>
  <c r="J186" i="20"/>
  <c r="J185" i="20"/>
  <c r="J184" i="20"/>
  <c r="J183" i="20"/>
  <c r="J182" i="20"/>
  <c r="J181" i="20"/>
  <c r="J180" i="20"/>
  <c r="J179" i="20"/>
  <c r="J178" i="20"/>
  <c r="J177" i="20"/>
  <c r="J176" i="20"/>
  <c r="J175" i="20"/>
  <c r="J174" i="20"/>
  <c r="J173" i="20"/>
  <c r="J172" i="20"/>
  <c r="J171" i="20"/>
  <c r="J170" i="20"/>
  <c r="J169" i="20"/>
  <c r="J168" i="20"/>
  <c r="J167" i="20"/>
  <c r="J166" i="20"/>
  <c r="J165" i="20"/>
  <c r="J164" i="20"/>
  <c r="J163" i="20"/>
  <c r="J162" i="20"/>
  <c r="J161" i="20"/>
  <c r="J160" i="20"/>
  <c r="J159" i="20"/>
  <c r="J158" i="20"/>
  <c r="J157" i="20"/>
  <c r="J156" i="20"/>
  <c r="J155" i="20"/>
  <c r="J154" i="20"/>
  <c r="J153" i="20"/>
  <c r="J152" i="20"/>
  <c r="J151" i="20"/>
  <c r="J150" i="20"/>
  <c r="J149" i="20"/>
  <c r="J148" i="20"/>
  <c r="J147" i="20"/>
  <c r="J146" i="20"/>
  <c r="J145" i="20"/>
  <c r="J144" i="20"/>
  <c r="J143" i="20"/>
  <c r="J142" i="20"/>
  <c r="J141" i="20"/>
  <c r="J140" i="20"/>
  <c r="J139" i="20"/>
  <c r="J138" i="20"/>
  <c r="J137" i="20"/>
  <c r="J136" i="20"/>
  <c r="J135" i="20"/>
  <c r="J134" i="20"/>
  <c r="J133" i="20"/>
  <c r="J132" i="20"/>
  <c r="J131" i="20"/>
  <c r="J130" i="20"/>
  <c r="J129" i="20"/>
  <c r="J128" i="20"/>
  <c r="J127" i="20"/>
  <c r="J126" i="20"/>
  <c r="J125" i="20"/>
  <c r="J124" i="20"/>
  <c r="J123" i="20"/>
  <c r="J122" i="20"/>
  <c r="J121" i="20"/>
  <c r="J120" i="20"/>
  <c r="J119" i="20"/>
  <c r="J118" i="20"/>
  <c r="J117" i="20"/>
  <c r="J116" i="20"/>
  <c r="J115" i="20"/>
  <c r="J114" i="20"/>
  <c r="J113" i="20"/>
  <c r="J112" i="20"/>
  <c r="J111" i="20"/>
  <c r="J110" i="20"/>
  <c r="J109" i="20"/>
  <c r="J108" i="20"/>
  <c r="J107" i="20"/>
  <c r="J106" i="20"/>
  <c r="J105" i="20"/>
  <c r="J104" i="20"/>
  <c r="J103" i="20"/>
  <c r="J102" i="20"/>
  <c r="J101" i="20"/>
  <c r="J100" i="20"/>
  <c r="J99" i="20"/>
  <c r="J98" i="20"/>
  <c r="J97" i="20"/>
  <c r="J96" i="20"/>
  <c r="J95" i="20"/>
  <c r="J94" i="20"/>
  <c r="J93" i="20"/>
  <c r="J92" i="20"/>
  <c r="J91" i="20"/>
  <c r="J90" i="20"/>
  <c r="J89" i="20"/>
  <c r="J88" i="20"/>
  <c r="J87" i="20"/>
  <c r="J86" i="20"/>
  <c r="J85" i="20"/>
  <c r="J84" i="20"/>
  <c r="J83" i="20"/>
  <c r="J82" i="20"/>
  <c r="J81" i="20"/>
  <c r="J80" i="20"/>
  <c r="J79" i="20"/>
  <c r="J78" i="20"/>
  <c r="J77" i="20"/>
  <c r="J76" i="20"/>
  <c r="J75" i="20"/>
  <c r="J74" i="20"/>
  <c r="J73" i="20"/>
  <c r="J72" i="20"/>
  <c r="J71" i="20"/>
  <c r="J70" i="20"/>
  <c r="J69" i="20"/>
  <c r="J68" i="20"/>
  <c r="J67" i="20"/>
  <c r="J66" i="20"/>
  <c r="J65" i="20"/>
  <c r="J64" i="20"/>
  <c r="J63" i="20"/>
  <c r="J62" i="20"/>
  <c r="J61" i="20"/>
  <c r="J60" i="20"/>
  <c r="J59" i="20"/>
  <c r="J58" i="20"/>
  <c r="J57" i="20"/>
  <c r="J56" i="20"/>
  <c r="J55" i="20"/>
  <c r="J54" i="20"/>
  <c r="J53" i="20"/>
  <c r="J52" i="20"/>
  <c r="J51" i="20"/>
  <c r="J50" i="20"/>
  <c r="J49" i="20"/>
  <c r="J48" i="20"/>
  <c r="J47" i="20"/>
  <c r="J46" i="20"/>
  <c r="J45" i="20"/>
  <c r="J44" i="20"/>
  <c r="J43" i="20"/>
  <c r="J42" i="20"/>
  <c r="J41" i="20"/>
  <c r="J40" i="20"/>
  <c r="J39" i="20"/>
  <c r="J38" i="20"/>
  <c r="J37" i="20"/>
  <c r="J36" i="20"/>
  <c r="J35" i="20"/>
  <c r="J34" i="20"/>
  <c r="J33" i="20"/>
  <c r="J32" i="20"/>
  <c r="J31" i="20"/>
  <c r="J30" i="20"/>
  <c r="J29" i="20"/>
  <c r="J28" i="20"/>
  <c r="J27" i="20"/>
  <c r="J26" i="20"/>
  <c r="J25" i="20"/>
  <c r="J24" i="20"/>
  <c r="J23" i="20"/>
  <c r="J22" i="20"/>
  <c r="J21" i="20"/>
  <c r="J20" i="20"/>
  <c r="J19" i="20"/>
  <c r="J18" i="20"/>
  <c r="J17" i="20"/>
  <c r="J16" i="20"/>
  <c r="J15" i="20"/>
  <c r="J14" i="20"/>
  <c r="J13" i="20"/>
  <c r="F13" i="34"/>
  <c r="F14" i="34"/>
  <c r="F15" i="34"/>
  <c r="F17" i="34"/>
  <c r="F20" i="34"/>
  <c r="F22" i="34"/>
  <c r="F24" i="34"/>
  <c r="F27" i="34"/>
  <c r="F28" i="34"/>
  <c r="F29" i="34"/>
  <c r="F12" i="34"/>
  <c r="O1372" i="5" l="1"/>
  <c r="O1373" i="5"/>
  <c r="O1374" i="5"/>
  <c r="O1375" i="5"/>
  <c r="O1376" i="5"/>
  <c r="O1377" i="5"/>
  <c r="O1378" i="5"/>
  <c r="O1379" i="5"/>
  <c r="O1380" i="5"/>
  <c r="O1381" i="5"/>
  <c r="O1382" i="5"/>
  <c r="O828" i="5"/>
  <c r="O829" i="5"/>
  <c r="O831" i="5"/>
  <c r="O832" i="5"/>
  <c r="O833" i="5"/>
  <c r="O834" i="5"/>
  <c r="O835" i="5"/>
  <c r="O836" i="5"/>
  <c r="O837" i="5"/>
  <c r="O712" i="5"/>
  <c r="O709" i="5"/>
  <c r="O389" i="5"/>
  <c r="O385" i="5"/>
  <c r="N44" i="31"/>
  <c r="N45" i="31"/>
  <c r="N46" i="31"/>
  <c r="N47" i="31"/>
  <c r="N48" i="31"/>
  <c r="N49" i="31"/>
  <c r="N50" i="31"/>
  <c r="N51" i="31"/>
  <c r="N52" i="31"/>
  <c r="N53" i="31"/>
  <c r="N54" i="31"/>
  <c r="N55" i="31"/>
  <c r="N56" i="31"/>
  <c r="N57" i="31"/>
  <c r="N58" i="31"/>
  <c r="N59" i="31"/>
  <c r="N60" i="31"/>
  <c r="N61" i="31"/>
  <c r="N62" i="31"/>
  <c r="N63" i="31"/>
  <c r="N64" i="31"/>
  <c r="N65" i="31"/>
  <c r="N66" i="31"/>
  <c r="N67" i="31"/>
  <c r="N68" i="31"/>
  <c r="N69" i="31"/>
  <c r="N70" i="31"/>
  <c r="N71" i="31"/>
  <c r="N72" i="31"/>
  <c r="N43" i="31"/>
  <c r="S44" i="31"/>
  <c r="S45" i="31"/>
  <c r="S46" i="31"/>
  <c r="S47" i="31"/>
  <c r="S48" i="31"/>
  <c r="S49" i="31"/>
  <c r="S50" i="31"/>
  <c r="S51" i="31"/>
  <c r="S52" i="31"/>
  <c r="S53" i="31"/>
  <c r="S54" i="31"/>
  <c r="S55" i="31"/>
  <c r="S56" i="31"/>
  <c r="S57" i="31"/>
  <c r="S58" i="31"/>
  <c r="S59" i="31"/>
  <c r="S60" i="31"/>
  <c r="S61" i="31"/>
  <c r="S62" i="31"/>
  <c r="S63" i="31"/>
  <c r="S64" i="31"/>
  <c r="S65" i="31"/>
  <c r="S66" i="31"/>
  <c r="S67" i="31"/>
  <c r="S68" i="31"/>
  <c r="S69" i="31"/>
  <c r="S70" i="31"/>
  <c r="S71" i="31"/>
  <c r="S72" i="31"/>
  <c r="S43" i="31"/>
  <c r="X44" i="31"/>
  <c r="X45" i="31"/>
  <c r="X46" i="31"/>
  <c r="X47" i="31"/>
  <c r="X48" i="31"/>
  <c r="X49" i="31"/>
  <c r="X50" i="31"/>
  <c r="X51" i="31"/>
  <c r="X52" i="31"/>
  <c r="X53" i="31"/>
  <c r="X54" i="31"/>
  <c r="X55" i="31"/>
  <c r="X56" i="31"/>
  <c r="X57" i="31"/>
  <c r="X58" i="31"/>
  <c r="X59" i="31"/>
  <c r="X60" i="31"/>
  <c r="X61" i="31"/>
  <c r="X62" i="31"/>
  <c r="X63" i="31"/>
  <c r="X64" i="31"/>
  <c r="X65" i="31"/>
  <c r="X66" i="31"/>
  <c r="X67" i="31"/>
  <c r="X68" i="31"/>
  <c r="X69" i="31"/>
  <c r="X70" i="31"/>
  <c r="X71" i="31"/>
  <c r="X72" i="31"/>
  <c r="X43"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36" i="31"/>
  <c r="I237" i="31"/>
  <c r="I238" i="31"/>
  <c r="I239" i="31"/>
  <c r="I240" i="31"/>
  <c r="I241" i="31"/>
  <c r="I242" i="31"/>
  <c r="I243" i="31"/>
  <c r="I244" i="31"/>
  <c r="I245" i="31"/>
  <c r="I246" i="31"/>
  <c r="I247" i="31"/>
  <c r="I248" i="31"/>
  <c r="I249" i="31"/>
  <c r="I250" i="31"/>
  <c r="I251" i="31"/>
  <c r="I252" i="31"/>
  <c r="I253" i="31"/>
  <c r="I254" i="31"/>
  <c r="I255" i="31"/>
  <c r="I256" i="31"/>
  <c r="I257" i="31"/>
  <c r="I258" i="31"/>
  <c r="I259" i="31"/>
  <c r="I260" i="31"/>
  <c r="I261" i="31"/>
  <c r="I262" i="31"/>
  <c r="I263" i="31"/>
  <c r="I264" i="31"/>
  <c r="I265" i="31"/>
  <c r="I236" i="31"/>
  <c r="N237" i="31"/>
  <c r="N238" i="31"/>
  <c r="N239" i="31"/>
  <c r="N240" i="31"/>
  <c r="N241" i="31"/>
  <c r="N242" i="31"/>
  <c r="N243" i="31"/>
  <c r="N244" i="31"/>
  <c r="N245" i="31"/>
  <c r="N246" i="31"/>
  <c r="N247" i="31"/>
  <c r="N248" i="31"/>
  <c r="N249" i="31"/>
  <c r="N250" i="31"/>
  <c r="N251" i="31"/>
  <c r="N252" i="31"/>
  <c r="N253" i="31"/>
  <c r="N254" i="31"/>
  <c r="N255" i="31"/>
  <c r="N256" i="31"/>
  <c r="N257" i="31"/>
  <c r="N258" i="31"/>
  <c r="N259" i="31"/>
  <c r="N260" i="31"/>
  <c r="N261" i="31"/>
  <c r="N262" i="31"/>
  <c r="N263" i="31"/>
  <c r="N264" i="31"/>
  <c r="N265" i="31"/>
  <c r="N236" i="31"/>
  <c r="S237" i="31"/>
  <c r="S238" i="31"/>
  <c r="S239" i="31"/>
  <c r="S240" i="31"/>
  <c r="S241" i="31"/>
  <c r="S242" i="31"/>
  <c r="S243" i="31"/>
  <c r="S244" i="31"/>
  <c r="S245" i="31"/>
  <c r="S246" i="31"/>
  <c r="S247" i="31"/>
  <c r="S248" i="31"/>
  <c r="S249" i="31"/>
  <c r="S250" i="31"/>
  <c r="S251" i="31"/>
  <c r="S252" i="31"/>
  <c r="S253" i="31"/>
  <c r="S254" i="31"/>
  <c r="S255" i="31"/>
  <c r="S256" i="31"/>
  <c r="S257" i="31"/>
  <c r="S258" i="31"/>
  <c r="S259" i="31"/>
  <c r="S260" i="31"/>
  <c r="S261" i="31"/>
  <c r="S262" i="31"/>
  <c r="S263" i="31"/>
  <c r="S264" i="31"/>
  <c r="S265" i="31"/>
  <c r="S236" i="31"/>
  <c r="X237" i="31"/>
  <c r="X238" i="31"/>
  <c r="X239" i="31"/>
  <c r="X240" i="31"/>
  <c r="X241" i="31"/>
  <c r="X242" i="31"/>
  <c r="X243" i="31"/>
  <c r="X244" i="31"/>
  <c r="X245" i="31"/>
  <c r="X246" i="31"/>
  <c r="X247" i="31"/>
  <c r="X248" i="31"/>
  <c r="X249" i="31"/>
  <c r="X250" i="31"/>
  <c r="X251" i="31"/>
  <c r="X252" i="31"/>
  <c r="X253" i="31"/>
  <c r="X254" i="31"/>
  <c r="X255" i="31"/>
  <c r="X256" i="31"/>
  <c r="X257" i="31"/>
  <c r="X258" i="31"/>
  <c r="X259" i="31"/>
  <c r="X260" i="31"/>
  <c r="X261" i="31"/>
  <c r="X262" i="31"/>
  <c r="X263" i="31"/>
  <c r="X264" i="31"/>
  <c r="X265" i="31"/>
  <c r="X236" i="31"/>
  <c r="X205" i="31"/>
  <c r="X206" i="31"/>
  <c r="X207" i="31"/>
  <c r="X208" i="31"/>
  <c r="X209" i="31"/>
  <c r="X210" i="31"/>
  <c r="X211" i="31"/>
  <c r="X212" i="31"/>
  <c r="E2036" i="5" s="1"/>
  <c r="X213" i="31"/>
  <c r="X214" i="31"/>
  <c r="X215" i="31"/>
  <c r="X216" i="31"/>
  <c r="X217" i="31"/>
  <c r="X218" i="31"/>
  <c r="X219" i="31"/>
  <c r="X220" i="31"/>
  <c r="X221" i="31"/>
  <c r="X222" i="31"/>
  <c r="X223" i="31"/>
  <c r="X224" i="31"/>
  <c r="X225" i="31"/>
  <c r="X226" i="31"/>
  <c r="X227" i="31"/>
  <c r="X228" i="31"/>
  <c r="X229" i="31"/>
  <c r="X230" i="31"/>
  <c r="X231" i="31"/>
  <c r="X232" i="31"/>
  <c r="X233" i="31"/>
  <c r="X204" i="31"/>
  <c r="S205" i="31"/>
  <c r="S206" i="31"/>
  <c r="S207" i="31"/>
  <c r="S208" i="31"/>
  <c r="S209" i="31"/>
  <c r="S210" i="31"/>
  <c r="S211" i="31"/>
  <c r="S212" i="31"/>
  <c r="S213" i="31"/>
  <c r="S214" i="31"/>
  <c r="S215" i="31"/>
  <c r="S216" i="31"/>
  <c r="E2010" i="5" s="1"/>
  <c r="S217" i="31"/>
  <c r="S218" i="31"/>
  <c r="S219" i="31"/>
  <c r="S220" i="31"/>
  <c r="E2014" i="5" s="1"/>
  <c r="S221" i="31"/>
  <c r="E2015" i="5" s="1"/>
  <c r="S222" i="31"/>
  <c r="S223" i="31"/>
  <c r="S224" i="31"/>
  <c r="E2018" i="5" s="1"/>
  <c r="S225" i="31"/>
  <c r="S226" i="31"/>
  <c r="S227" i="31"/>
  <c r="S228" i="31"/>
  <c r="E2022" i="5" s="1"/>
  <c r="S229" i="31"/>
  <c r="E2023" i="5" s="1"/>
  <c r="S230" i="31"/>
  <c r="S231" i="31"/>
  <c r="S232" i="31"/>
  <c r="E2026" i="5" s="1"/>
  <c r="S233" i="31"/>
  <c r="S204" i="31"/>
  <c r="N205" i="31"/>
  <c r="N206" i="31"/>
  <c r="N207" i="31"/>
  <c r="N208" i="31"/>
  <c r="N209" i="31"/>
  <c r="N210" i="31"/>
  <c r="N211" i="31"/>
  <c r="N212" i="31"/>
  <c r="N213" i="31"/>
  <c r="N214" i="31"/>
  <c r="N215" i="31"/>
  <c r="N216" i="31"/>
  <c r="N217" i="31"/>
  <c r="N218" i="31"/>
  <c r="N219" i="31"/>
  <c r="N220" i="31"/>
  <c r="N221" i="31"/>
  <c r="N222" i="31"/>
  <c r="N223" i="31"/>
  <c r="N224" i="31"/>
  <c r="N225" i="31"/>
  <c r="N226" i="31"/>
  <c r="N227" i="31"/>
  <c r="N228" i="31"/>
  <c r="N229" i="31"/>
  <c r="N230" i="31"/>
  <c r="N231" i="31"/>
  <c r="N232" i="31"/>
  <c r="N233" i="31"/>
  <c r="N204" i="31"/>
  <c r="I205" i="31"/>
  <c r="I206" i="31"/>
  <c r="I207" i="31"/>
  <c r="I208" i="31"/>
  <c r="I209" i="31"/>
  <c r="I210" i="31"/>
  <c r="I211" i="31"/>
  <c r="I212" i="31"/>
  <c r="I213" i="31"/>
  <c r="I214" i="31"/>
  <c r="I215" i="31"/>
  <c r="I216" i="31"/>
  <c r="I217" i="31"/>
  <c r="I218" i="31"/>
  <c r="I219" i="31"/>
  <c r="I220" i="31"/>
  <c r="I221" i="31"/>
  <c r="I222" i="31"/>
  <c r="I223" i="31"/>
  <c r="I224" i="31"/>
  <c r="I225" i="31"/>
  <c r="I226" i="31"/>
  <c r="I227" i="31"/>
  <c r="I228" i="31"/>
  <c r="I229" i="31"/>
  <c r="I230" i="31"/>
  <c r="I231" i="31"/>
  <c r="I232" i="31"/>
  <c r="I233" i="31"/>
  <c r="I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04"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172" i="31"/>
  <c r="N140" i="31"/>
  <c r="N141" i="31"/>
  <c r="N142" i="31"/>
  <c r="N143" i="31"/>
  <c r="N144" i="31"/>
  <c r="N145" i="31"/>
  <c r="N146" i="31"/>
  <c r="N147" i="31"/>
  <c r="N148" i="31"/>
  <c r="N149" i="31"/>
  <c r="N150" i="31"/>
  <c r="N151" i="31"/>
  <c r="N152" i="31"/>
  <c r="N153" i="31"/>
  <c r="N154" i="31"/>
  <c r="N155" i="31"/>
  <c r="N156" i="31"/>
  <c r="N157" i="31"/>
  <c r="N158" i="31"/>
  <c r="N159" i="31"/>
  <c r="N160" i="31"/>
  <c r="N161" i="31"/>
  <c r="N162" i="31"/>
  <c r="N163" i="31"/>
  <c r="N164" i="31"/>
  <c r="N165" i="31"/>
  <c r="N166" i="31"/>
  <c r="N167" i="31"/>
  <c r="N168" i="31"/>
  <c r="N139" i="31"/>
  <c r="I140" i="31"/>
  <c r="I141" i="31"/>
  <c r="I142" i="31"/>
  <c r="I143" i="31"/>
  <c r="I144" i="31"/>
  <c r="I145" i="31"/>
  <c r="I146" i="31"/>
  <c r="I147" i="31"/>
  <c r="I148" i="31"/>
  <c r="I149" i="31"/>
  <c r="I150" i="31"/>
  <c r="I151" i="31"/>
  <c r="I152" i="31"/>
  <c r="I153" i="31"/>
  <c r="I154" i="31"/>
  <c r="I155" i="31"/>
  <c r="I156" i="31"/>
  <c r="I157" i="31"/>
  <c r="I158" i="31"/>
  <c r="I159" i="31"/>
  <c r="I160" i="31"/>
  <c r="I161" i="31"/>
  <c r="I162" i="31"/>
  <c r="I163" i="31"/>
  <c r="I164" i="31"/>
  <c r="I165" i="31"/>
  <c r="I166" i="31"/>
  <c r="I167" i="31"/>
  <c r="I168" i="31"/>
  <c r="I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39"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07" i="31"/>
  <c r="I108" i="31"/>
  <c r="I109" i="31"/>
  <c r="I110" i="31"/>
  <c r="I111" i="31"/>
  <c r="I112" i="31"/>
  <c r="I113" i="31"/>
  <c r="I114" i="31"/>
  <c r="I115" i="31"/>
  <c r="I116" i="31"/>
  <c r="I117" i="31"/>
  <c r="I118" i="31"/>
  <c r="I119" i="31"/>
  <c r="I120" i="31"/>
  <c r="I121" i="31"/>
  <c r="I122" i="31"/>
  <c r="I123" i="31"/>
  <c r="I124" i="31"/>
  <c r="I125" i="31"/>
  <c r="I126" i="31"/>
  <c r="I127" i="31"/>
  <c r="I128" i="31"/>
  <c r="I129" i="31"/>
  <c r="I130" i="31"/>
  <c r="I131" i="31"/>
  <c r="I132" i="31"/>
  <c r="I133" i="31"/>
  <c r="I134" i="31"/>
  <c r="I135" i="31"/>
  <c r="I136" i="31"/>
  <c r="I107" i="31"/>
  <c r="N108" i="31"/>
  <c r="N109" i="31"/>
  <c r="N110" i="31"/>
  <c r="N111" i="31"/>
  <c r="N112" i="31"/>
  <c r="N113" i="31"/>
  <c r="N114" i="31"/>
  <c r="N115" i="31"/>
  <c r="N116" i="31"/>
  <c r="N117" i="31"/>
  <c r="N118" i="31"/>
  <c r="N119" i="31"/>
  <c r="N120" i="31"/>
  <c r="N121" i="31"/>
  <c r="N122" i="31"/>
  <c r="N123" i="31"/>
  <c r="N124" i="31"/>
  <c r="N125" i="31"/>
  <c r="N126" i="31"/>
  <c r="N127" i="31"/>
  <c r="N128" i="31"/>
  <c r="N129" i="31"/>
  <c r="N130" i="31"/>
  <c r="N131" i="31"/>
  <c r="N132" i="31"/>
  <c r="N133" i="31"/>
  <c r="N134" i="31"/>
  <c r="N135" i="31"/>
  <c r="N136" i="31"/>
  <c r="N107" i="31"/>
  <c r="S108" i="31"/>
  <c r="S109" i="31"/>
  <c r="S110" i="31"/>
  <c r="S111" i="31"/>
  <c r="S112" i="31"/>
  <c r="S113" i="31"/>
  <c r="S114" i="31"/>
  <c r="S115" i="31"/>
  <c r="S116" i="31"/>
  <c r="S117" i="31"/>
  <c r="S118" i="31"/>
  <c r="S119" i="31"/>
  <c r="S120" i="31"/>
  <c r="S121" i="31"/>
  <c r="S122" i="31"/>
  <c r="S123" i="31"/>
  <c r="S124" i="31"/>
  <c r="S125" i="31"/>
  <c r="S126" i="31"/>
  <c r="S127" i="31"/>
  <c r="S128" i="31"/>
  <c r="S129" i="31"/>
  <c r="S130" i="31"/>
  <c r="S131" i="31"/>
  <c r="S132" i="31"/>
  <c r="S133" i="31"/>
  <c r="S134" i="31"/>
  <c r="S135" i="31"/>
  <c r="S136" i="31"/>
  <c r="S107" i="31"/>
  <c r="S140" i="31"/>
  <c r="S141" i="31"/>
  <c r="S142" i="31"/>
  <c r="S143" i="31"/>
  <c r="S144" i="31"/>
  <c r="S145" i="31"/>
  <c r="S146" i="31"/>
  <c r="S147" i="31"/>
  <c r="S148" i="31"/>
  <c r="S149" i="31"/>
  <c r="S150" i="31"/>
  <c r="S151" i="31"/>
  <c r="S152" i="31"/>
  <c r="S153" i="31"/>
  <c r="S154" i="31"/>
  <c r="S155" i="31"/>
  <c r="S156" i="31"/>
  <c r="S157" i="31"/>
  <c r="S158" i="31"/>
  <c r="S159" i="31"/>
  <c r="S160" i="31"/>
  <c r="S161" i="31"/>
  <c r="S162" i="31"/>
  <c r="S163" i="31"/>
  <c r="S164" i="31"/>
  <c r="S165" i="31"/>
  <c r="S166" i="31"/>
  <c r="S167" i="31"/>
  <c r="S168" i="31"/>
  <c r="S139" i="31"/>
  <c r="X140" i="31"/>
  <c r="X141" i="31"/>
  <c r="X142" i="31"/>
  <c r="X143" i="31"/>
  <c r="X144" i="31"/>
  <c r="X145" i="31"/>
  <c r="X146" i="31"/>
  <c r="X147" i="31"/>
  <c r="X148" i="31"/>
  <c r="X149" i="31"/>
  <c r="X150" i="31"/>
  <c r="X151" i="31"/>
  <c r="X152" i="31"/>
  <c r="X153" i="31"/>
  <c r="X154" i="31"/>
  <c r="X155" i="31"/>
  <c r="X156" i="31"/>
  <c r="X157" i="31"/>
  <c r="X158" i="31"/>
  <c r="X159" i="31"/>
  <c r="X160" i="31"/>
  <c r="X161" i="31"/>
  <c r="X162" i="31"/>
  <c r="X163" i="31"/>
  <c r="X164" i="31"/>
  <c r="X165" i="31"/>
  <c r="X166" i="31"/>
  <c r="X167" i="31"/>
  <c r="X168" i="31"/>
  <c r="X139" i="31"/>
  <c r="X108" i="31"/>
  <c r="X109" i="31"/>
  <c r="X110" i="31"/>
  <c r="X111" i="31"/>
  <c r="X112" i="31"/>
  <c r="X113" i="31"/>
  <c r="X114" i="31"/>
  <c r="X115" i="31"/>
  <c r="X116" i="31"/>
  <c r="X117" i="31"/>
  <c r="X118" i="31"/>
  <c r="X119" i="31"/>
  <c r="X120" i="31"/>
  <c r="X121" i="31"/>
  <c r="X122" i="31"/>
  <c r="X123" i="31"/>
  <c r="X124" i="31"/>
  <c r="X125" i="31"/>
  <c r="X126" i="31"/>
  <c r="X127" i="31"/>
  <c r="X128" i="31"/>
  <c r="X129" i="31"/>
  <c r="X130" i="31"/>
  <c r="X131" i="31"/>
  <c r="X132" i="31"/>
  <c r="X133" i="31"/>
  <c r="X134" i="31"/>
  <c r="X135" i="31"/>
  <c r="X136" i="31"/>
  <c r="X107" i="31"/>
  <c r="X76" i="31"/>
  <c r="X77" i="31"/>
  <c r="X78" i="31"/>
  <c r="X79" i="31"/>
  <c r="X80" i="31"/>
  <c r="X81" i="31"/>
  <c r="X82" i="31"/>
  <c r="X83" i="31"/>
  <c r="X84" i="31"/>
  <c r="X85" i="31"/>
  <c r="X86" i="31"/>
  <c r="X87" i="31"/>
  <c r="X88" i="31"/>
  <c r="X89" i="31"/>
  <c r="X90" i="31"/>
  <c r="X91" i="31"/>
  <c r="X92" i="31"/>
  <c r="X93" i="31"/>
  <c r="X94" i="31"/>
  <c r="X95" i="31"/>
  <c r="X96" i="31"/>
  <c r="X97" i="31"/>
  <c r="X98" i="31"/>
  <c r="X99" i="31"/>
  <c r="X100" i="31"/>
  <c r="X101" i="31"/>
  <c r="X102" i="31"/>
  <c r="X103" i="31"/>
  <c r="X104" i="31"/>
  <c r="X75" i="31"/>
  <c r="S76" i="31"/>
  <c r="S77" i="31"/>
  <c r="S78" i="31"/>
  <c r="S79" i="31"/>
  <c r="S80" i="31"/>
  <c r="S81" i="31"/>
  <c r="S82" i="31"/>
  <c r="S83" i="31"/>
  <c r="S84" i="31"/>
  <c r="S85" i="31"/>
  <c r="S86" i="31"/>
  <c r="S87" i="31"/>
  <c r="S88" i="31"/>
  <c r="S89" i="31"/>
  <c r="S90" i="31"/>
  <c r="S91" i="31"/>
  <c r="S92" i="31"/>
  <c r="S93" i="31"/>
  <c r="S94" i="31"/>
  <c r="S95" i="31"/>
  <c r="S96" i="31"/>
  <c r="S97" i="31"/>
  <c r="S98" i="31"/>
  <c r="S99" i="31"/>
  <c r="S100" i="31"/>
  <c r="S101" i="31"/>
  <c r="S102" i="31"/>
  <c r="S103" i="31"/>
  <c r="S104" i="31"/>
  <c r="S75" i="31"/>
  <c r="N76" i="31"/>
  <c r="N77" i="31"/>
  <c r="N78" i="31"/>
  <c r="N79" i="31"/>
  <c r="N80" i="31"/>
  <c r="N81" i="31"/>
  <c r="N82" i="31"/>
  <c r="N83" i="31"/>
  <c r="N84" i="31"/>
  <c r="N85" i="31"/>
  <c r="N86" i="31"/>
  <c r="N87" i="31"/>
  <c r="N88" i="31"/>
  <c r="N89" i="31"/>
  <c r="N90" i="31"/>
  <c r="N91" i="31"/>
  <c r="N92" i="31"/>
  <c r="N93" i="31"/>
  <c r="N94" i="31"/>
  <c r="N95" i="31"/>
  <c r="N96" i="31"/>
  <c r="N97" i="31"/>
  <c r="N98" i="31"/>
  <c r="N99" i="31"/>
  <c r="N100" i="31"/>
  <c r="N101" i="31"/>
  <c r="N102" i="31"/>
  <c r="N103" i="31"/>
  <c r="N104" i="31"/>
  <c r="N75" i="31"/>
  <c r="I76" i="31"/>
  <c r="I77" i="31"/>
  <c r="I78" i="31"/>
  <c r="I79" i="31"/>
  <c r="I80" i="31"/>
  <c r="I81" i="31"/>
  <c r="I82" i="31"/>
  <c r="I83" i="31"/>
  <c r="I84" i="31"/>
  <c r="I85" i="31"/>
  <c r="I86" i="31"/>
  <c r="I87" i="31"/>
  <c r="I88" i="31"/>
  <c r="I89" i="31"/>
  <c r="I90" i="31"/>
  <c r="I91" i="31"/>
  <c r="I92" i="31"/>
  <c r="I93" i="31"/>
  <c r="I94" i="31"/>
  <c r="I95" i="31"/>
  <c r="I96" i="31"/>
  <c r="I97" i="31"/>
  <c r="I98" i="31"/>
  <c r="I99" i="31"/>
  <c r="I100" i="31"/>
  <c r="I101" i="31"/>
  <c r="I102" i="31"/>
  <c r="I103" i="31"/>
  <c r="I104" i="31"/>
  <c r="I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75" i="31"/>
  <c r="E2009" i="5"/>
  <c r="O2009" i="5"/>
  <c r="O2010" i="5"/>
  <c r="E2011" i="5"/>
  <c r="O2011" i="5"/>
  <c r="E2012" i="5"/>
  <c r="O2012" i="5"/>
  <c r="E2013" i="5"/>
  <c r="O2013" i="5"/>
  <c r="O2014" i="5"/>
  <c r="O2015" i="5"/>
  <c r="E2016" i="5"/>
  <c r="O2016" i="5"/>
  <c r="E2017" i="5"/>
  <c r="O2017" i="5"/>
  <c r="O2018" i="5"/>
  <c r="E2019" i="5"/>
  <c r="O2019" i="5"/>
  <c r="E2020" i="5"/>
  <c r="O2020" i="5"/>
  <c r="E2021" i="5"/>
  <c r="O2021" i="5"/>
  <c r="O2022" i="5"/>
  <c r="O2023" i="5"/>
  <c r="E2024" i="5"/>
  <c r="O2024" i="5"/>
  <c r="E2025" i="5"/>
  <c r="O2025" i="5"/>
  <c r="O2026" i="5"/>
  <c r="E2027" i="5"/>
  <c r="O2027" i="5"/>
  <c r="E2028" i="5"/>
  <c r="O2028" i="5"/>
  <c r="E2029" i="5"/>
  <c r="O2029" i="5"/>
  <c r="E2030" i="5"/>
  <c r="O2030" i="5"/>
  <c r="E2031" i="5"/>
  <c r="O2031" i="5"/>
  <c r="E2032" i="5"/>
  <c r="O2032" i="5"/>
  <c r="E2033" i="5"/>
  <c r="O2033" i="5"/>
  <c r="E2034" i="5"/>
  <c r="O2034" i="5"/>
  <c r="E2035" i="5"/>
  <c r="O2035" i="5"/>
  <c r="O2036" i="5"/>
  <c r="E2037" i="5"/>
  <c r="O2037" i="5"/>
  <c r="K184" i="33"/>
  <c r="J184" i="33"/>
  <c r="G184" i="33"/>
  <c r="K183" i="33"/>
  <c r="J183" i="33"/>
  <c r="G183" i="33"/>
  <c r="K182" i="33"/>
  <c r="J182" i="33"/>
  <c r="G182" i="33"/>
  <c r="K181" i="33"/>
  <c r="J181" i="33"/>
  <c r="G181" i="33"/>
  <c r="K180" i="33"/>
  <c r="J180" i="33"/>
  <c r="G180" i="33"/>
  <c r="K179" i="33"/>
  <c r="J179" i="33"/>
  <c r="G179" i="33"/>
  <c r="K178" i="33"/>
  <c r="J178" i="33"/>
  <c r="G178" i="33"/>
  <c r="K177" i="33"/>
  <c r="J177" i="33"/>
  <c r="G177" i="33"/>
  <c r="K176" i="33"/>
  <c r="J176" i="33"/>
  <c r="G176" i="33"/>
  <c r="K175" i="33"/>
  <c r="J175" i="33"/>
  <c r="G175" i="33"/>
  <c r="K174" i="33"/>
  <c r="J174" i="33"/>
  <c r="G174" i="33"/>
  <c r="K173" i="33"/>
  <c r="J173" i="33"/>
  <c r="G173" i="33"/>
  <c r="K172" i="33"/>
  <c r="J172" i="33"/>
  <c r="G172" i="33"/>
  <c r="K171" i="33"/>
  <c r="J171" i="33"/>
  <c r="G171" i="33"/>
  <c r="K170" i="33"/>
  <c r="J170" i="33"/>
  <c r="G170" i="33"/>
  <c r="K169" i="33"/>
  <c r="J169" i="33"/>
  <c r="G169" i="33"/>
  <c r="K168" i="33"/>
  <c r="J168" i="33"/>
  <c r="G168" i="33"/>
  <c r="K167" i="33"/>
  <c r="J167" i="33"/>
  <c r="G167" i="33"/>
  <c r="K166" i="33"/>
  <c r="J166" i="33"/>
  <c r="G166" i="33"/>
  <c r="K165" i="33"/>
  <c r="J165" i="33"/>
  <c r="G165" i="33"/>
  <c r="K164" i="33"/>
  <c r="J164" i="33"/>
  <c r="G164" i="33"/>
  <c r="K163" i="33"/>
  <c r="J163" i="33"/>
  <c r="G163" i="33"/>
  <c r="K162" i="33"/>
  <c r="J162" i="33"/>
  <c r="G162" i="33"/>
  <c r="K161" i="33"/>
  <c r="J161" i="33"/>
  <c r="G161" i="33"/>
  <c r="K160" i="33"/>
  <c r="J160" i="33"/>
  <c r="G160" i="33"/>
  <c r="K159" i="33"/>
  <c r="J159" i="33"/>
  <c r="G159" i="33"/>
  <c r="K158" i="33"/>
  <c r="J158" i="33"/>
  <c r="G158" i="33"/>
  <c r="K157" i="33"/>
  <c r="J157" i="33"/>
  <c r="G157" i="33"/>
  <c r="K156" i="33"/>
  <c r="J156" i="33"/>
  <c r="G156" i="33"/>
  <c r="K155" i="33"/>
  <c r="J155" i="33"/>
  <c r="G155" i="33"/>
  <c r="K154" i="33"/>
  <c r="J154" i="33"/>
  <c r="G154" i="33"/>
  <c r="K153" i="33"/>
  <c r="J153" i="33"/>
  <c r="G153" i="33"/>
  <c r="K152" i="33"/>
  <c r="J152" i="33"/>
  <c r="G152" i="33"/>
  <c r="K151" i="33"/>
  <c r="J151" i="33"/>
  <c r="G151" i="33"/>
  <c r="K150" i="33"/>
  <c r="J150" i="33"/>
  <c r="G150" i="33"/>
  <c r="K149" i="33"/>
  <c r="J149" i="33"/>
  <c r="G149" i="33"/>
  <c r="K148" i="33"/>
  <c r="J148" i="33"/>
  <c r="G148" i="33"/>
  <c r="K147" i="33"/>
  <c r="J147" i="33"/>
  <c r="G147" i="33"/>
  <c r="K146" i="33"/>
  <c r="J146" i="33"/>
  <c r="G146" i="33"/>
  <c r="K145" i="33"/>
  <c r="J145" i="33"/>
  <c r="G145" i="33"/>
  <c r="K144" i="33"/>
  <c r="J144" i="33"/>
  <c r="G144" i="33"/>
  <c r="K143" i="33"/>
  <c r="J143" i="33"/>
  <c r="G143" i="33"/>
  <c r="K142" i="33"/>
  <c r="J142" i="33"/>
  <c r="G142" i="33"/>
  <c r="K141" i="33"/>
  <c r="J141" i="33"/>
  <c r="G141" i="33"/>
  <c r="K140" i="33"/>
  <c r="J140" i="33"/>
  <c r="G140" i="33"/>
  <c r="K139" i="33"/>
  <c r="J139" i="33"/>
  <c r="G139" i="33"/>
  <c r="K138" i="33"/>
  <c r="J138" i="33"/>
  <c r="G138" i="33"/>
  <c r="K137" i="33"/>
  <c r="J137" i="33"/>
  <c r="G137" i="33"/>
  <c r="J136" i="33"/>
  <c r="K136" i="33" s="1"/>
  <c r="G136" i="33"/>
  <c r="J135" i="33"/>
  <c r="G135" i="33"/>
  <c r="J134" i="33"/>
  <c r="G134" i="33"/>
  <c r="K134" i="33" s="1"/>
  <c r="J133" i="33"/>
  <c r="G133" i="33"/>
  <c r="J132" i="33"/>
  <c r="K132" i="33" s="1"/>
  <c r="G132" i="33"/>
  <c r="J131" i="33"/>
  <c r="K131" i="33" s="1"/>
  <c r="G131" i="33"/>
  <c r="J130" i="33"/>
  <c r="G130" i="33"/>
  <c r="J129" i="33"/>
  <c r="G129" i="33"/>
  <c r="J128" i="33"/>
  <c r="G128" i="33"/>
  <c r="J127" i="33"/>
  <c r="G127" i="33"/>
  <c r="J126" i="33"/>
  <c r="G126" i="33"/>
  <c r="K126" i="33" s="1"/>
  <c r="J125" i="33"/>
  <c r="K125" i="33" s="1"/>
  <c r="G125" i="33"/>
  <c r="J124" i="33"/>
  <c r="K124" i="33" s="1"/>
  <c r="G124" i="33"/>
  <c r="J123" i="33"/>
  <c r="G123" i="33"/>
  <c r="J122" i="33"/>
  <c r="G122" i="33"/>
  <c r="J121" i="33"/>
  <c r="G121" i="33"/>
  <c r="J120" i="33"/>
  <c r="K120" i="33" s="1"/>
  <c r="G120" i="33"/>
  <c r="J119" i="33"/>
  <c r="G119" i="33"/>
  <c r="J118" i="33"/>
  <c r="G118" i="33"/>
  <c r="K118" i="33" s="1"/>
  <c r="J117" i="33"/>
  <c r="G117" i="33"/>
  <c r="J116" i="33"/>
  <c r="K116" i="33" s="1"/>
  <c r="G116" i="33"/>
  <c r="J115" i="33"/>
  <c r="G115" i="33"/>
  <c r="J114" i="33"/>
  <c r="G114" i="33"/>
  <c r="J113" i="33"/>
  <c r="G113" i="33"/>
  <c r="J112" i="33"/>
  <c r="K112" i="33" s="1"/>
  <c r="G112" i="33"/>
  <c r="J111" i="33"/>
  <c r="G111" i="33"/>
  <c r="J110" i="33"/>
  <c r="G110" i="33"/>
  <c r="J109" i="33"/>
  <c r="K109" i="33" s="1"/>
  <c r="G109" i="33"/>
  <c r="J108" i="33"/>
  <c r="K108" i="33" s="1"/>
  <c r="G108" i="33"/>
  <c r="J107" i="33"/>
  <c r="K107" i="33" s="1"/>
  <c r="G107" i="33"/>
  <c r="J106" i="33"/>
  <c r="G106" i="33"/>
  <c r="J105" i="33"/>
  <c r="K105" i="33" s="1"/>
  <c r="G105" i="33"/>
  <c r="J104" i="33"/>
  <c r="K104" i="33" s="1"/>
  <c r="G104" i="33"/>
  <c r="J103" i="33"/>
  <c r="K103" i="33" s="1"/>
  <c r="G103" i="33"/>
  <c r="J102" i="33"/>
  <c r="G102" i="33"/>
  <c r="J101" i="33"/>
  <c r="K101" i="33" s="1"/>
  <c r="G101" i="33"/>
  <c r="J100" i="33"/>
  <c r="K100" i="33" s="1"/>
  <c r="G100" i="33"/>
  <c r="J99" i="33"/>
  <c r="K99" i="33" s="1"/>
  <c r="G99" i="33"/>
  <c r="J98" i="33"/>
  <c r="G98" i="33"/>
  <c r="J97" i="33"/>
  <c r="K97" i="33" s="1"/>
  <c r="G97" i="33"/>
  <c r="J96" i="33"/>
  <c r="K96" i="33" s="1"/>
  <c r="G96" i="33"/>
  <c r="J95" i="33"/>
  <c r="G95" i="33"/>
  <c r="J94" i="33"/>
  <c r="G94" i="33"/>
  <c r="J93" i="33"/>
  <c r="K93" i="33" s="1"/>
  <c r="G93" i="33"/>
  <c r="J92" i="33"/>
  <c r="G92" i="33"/>
  <c r="J91" i="33"/>
  <c r="G91" i="33"/>
  <c r="J90" i="33"/>
  <c r="G90" i="33"/>
  <c r="J89" i="33"/>
  <c r="K89" i="33" s="1"/>
  <c r="G89" i="33"/>
  <c r="J88" i="33"/>
  <c r="G88" i="33"/>
  <c r="J87" i="33"/>
  <c r="K87" i="33" s="1"/>
  <c r="G87" i="33"/>
  <c r="J86" i="33"/>
  <c r="G86" i="33"/>
  <c r="J85" i="33"/>
  <c r="G85" i="33"/>
  <c r="J84" i="33"/>
  <c r="G84" i="33"/>
  <c r="J83" i="33"/>
  <c r="K83" i="33" s="1"/>
  <c r="G83" i="33"/>
  <c r="J82" i="33"/>
  <c r="G82" i="33"/>
  <c r="J81" i="33"/>
  <c r="G81" i="33"/>
  <c r="J80" i="33"/>
  <c r="G80" i="33"/>
  <c r="J79" i="33"/>
  <c r="K79" i="33" s="1"/>
  <c r="G79" i="33"/>
  <c r="J78" i="33"/>
  <c r="G78" i="33"/>
  <c r="J77" i="33"/>
  <c r="K77" i="33" s="1"/>
  <c r="G77" i="33"/>
  <c r="J76" i="33"/>
  <c r="G76" i="33"/>
  <c r="J75" i="33"/>
  <c r="G75" i="33"/>
  <c r="J74" i="33"/>
  <c r="G74" i="33"/>
  <c r="J73" i="33"/>
  <c r="K73" i="33" s="1"/>
  <c r="G73" i="33"/>
  <c r="J72" i="33"/>
  <c r="G72" i="33"/>
  <c r="J71" i="33"/>
  <c r="G71" i="33"/>
  <c r="J70" i="33"/>
  <c r="G70" i="33"/>
  <c r="J69" i="33"/>
  <c r="G69" i="33"/>
  <c r="J68" i="33"/>
  <c r="G68" i="33"/>
  <c r="J67" i="33"/>
  <c r="G67" i="33"/>
  <c r="J66" i="33"/>
  <c r="G66" i="33"/>
  <c r="J65" i="33"/>
  <c r="G65" i="33"/>
  <c r="J64" i="33"/>
  <c r="K64" i="33" s="1"/>
  <c r="G64" i="33"/>
  <c r="J63" i="33"/>
  <c r="G63" i="33"/>
  <c r="J62" i="33"/>
  <c r="G62" i="33"/>
  <c r="J61" i="33"/>
  <c r="K61" i="33" s="1"/>
  <c r="G61" i="33"/>
  <c r="J60" i="33"/>
  <c r="K60" i="33" s="1"/>
  <c r="G60" i="33"/>
  <c r="J59" i="33"/>
  <c r="G59" i="33"/>
  <c r="J58" i="33"/>
  <c r="G58" i="33"/>
  <c r="J57" i="33"/>
  <c r="G57" i="33"/>
  <c r="J56" i="33"/>
  <c r="K56" i="33" s="1"/>
  <c r="G56" i="33"/>
  <c r="J55" i="33"/>
  <c r="G55" i="33"/>
  <c r="J54" i="33"/>
  <c r="G54" i="33"/>
  <c r="J53" i="33"/>
  <c r="G53" i="33"/>
  <c r="J52" i="33"/>
  <c r="K52" i="33" s="1"/>
  <c r="G52" i="33"/>
  <c r="J51" i="33"/>
  <c r="G51" i="33"/>
  <c r="J50" i="33"/>
  <c r="G50" i="33"/>
  <c r="J49" i="33"/>
  <c r="G49" i="33"/>
  <c r="J48" i="33"/>
  <c r="G48" i="33"/>
  <c r="J47" i="33"/>
  <c r="K47" i="33" s="1"/>
  <c r="G47" i="33"/>
  <c r="J46" i="33"/>
  <c r="G46" i="33"/>
  <c r="J45" i="33"/>
  <c r="G45" i="33"/>
  <c r="J44" i="33"/>
  <c r="G44" i="33"/>
  <c r="J43" i="33"/>
  <c r="G43" i="33"/>
  <c r="J42" i="33"/>
  <c r="G42" i="33"/>
  <c r="J41" i="33"/>
  <c r="G41" i="33"/>
  <c r="J40" i="33"/>
  <c r="G40" i="33"/>
  <c r="J39" i="33"/>
  <c r="G39" i="33"/>
  <c r="J38" i="33"/>
  <c r="G38" i="33"/>
  <c r="C38" i="33"/>
  <c r="C39" i="33" s="1"/>
  <c r="C40" i="33" s="1"/>
  <c r="C41" i="33" s="1"/>
  <c r="C42" i="33" s="1"/>
  <c r="C43" i="33" s="1"/>
  <c r="C44" i="33" s="1"/>
  <c r="C45" i="33" s="1"/>
  <c r="C46" i="33" s="1"/>
  <c r="C47" i="33" s="1"/>
  <c r="C48" i="33" s="1"/>
  <c r="C49" i="33" s="1"/>
  <c r="C50" i="33" s="1"/>
  <c r="C51" i="33" s="1"/>
  <c r="C52" i="33" s="1"/>
  <c r="C53" i="33" s="1"/>
  <c r="C54" i="33" s="1"/>
  <c r="C55" i="33" s="1"/>
  <c r="C56" i="33" s="1"/>
  <c r="C57" i="33" s="1"/>
  <c r="C58" i="33" s="1"/>
  <c r="C59" i="33" s="1"/>
  <c r="C60" i="33" s="1"/>
  <c r="C61" i="33" s="1"/>
  <c r="C62" i="33" s="1"/>
  <c r="C63" i="33" s="1"/>
  <c r="C64" i="33" s="1"/>
  <c r="C65" i="33" s="1"/>
  <c r="C66" i="33" s="1"/>
  <c r="C67" i="33" s="1"/>
  <c r="C68" i="33" s="1"/>
  <c r="C69" i="33" s="1"/>
  <c r="C70" i="33" s="1"/>
  <c r="C71" i="33" s="1"/>
  <c r="C72" i="33" s="1"/>
  <c r="C73" i="33" s="1"/>
  <c r="C74" i="33" s="1"/>
  <c r="C75" i="33" s="1"/>
  <c r="C76" i="33" s="1"/>
  <c r="C77" i="33" s="1"/>
  <c r="C78" i="33" s="1"/>
  <c r="C79" i="33" s="1"/>
  <c r="C80" i="33" s="1"/>
  <c r="C81" i="33" s="1"/>
  <c r="C82" i="33" s="1"/>
  <c r="C83" i="33" s="1"/>
  <c r="C84" i="33" s="1"/>
  <c r="C85" i="33" s="1"/>
  <c r="C86" i="33" s="1"/>
  <c r="C87" i="33" s="1"/>
  <c r="C88" i="33" s="1"/>
  <c r="C89" i="33" s="1"/>
  <c r="C90" i="33" s="1"/>
  <c r="C91" i="33" s="1"/>
  <c r="C92" i="33" s="1"/>
  <c r="C93" i="33" s="1"/>
  <c r="C94" i="33" s="1"/>
  <c r="C95" i="33" s="1"/>
  <c r="C96" i="33" s="1"/>
  <c r="C97" i="33" s="1"/>
  <c r="C98" i="33" s="1"/>
  <c r="C99" i="33" s="1"/>
  <c r="C100" i="33" s="1"/>
  <c r="C101" i="33" s="1"/>
  <c r="C102" i="33" s="1"/>
  <c r="C103" i="33" s="1"/>
  <c r="C104" i="33" s="1"/>
  <c r="C105" i="33" s="1"/>
  <c r="C106" i="33" s="1"/>
  <c r="C107" i="33" s="1"/>
  <c r="C108" i="33" s="1"/>
  <c r="C109" i="33" s="1"/>
  <c r="C110" i="33" s="1"/>
  <c r="C111" i="33" s="1"/>
  <c r="C112" i="33" s="1"/>
  <c r="C113" i="33" s="1"/>
  <c r="C114" i="33" s="1"/>
  <c r="C115" i="33" s="1"/>
  <c r="C116" i="33" s="1"/>
  <c r="C117" i="33" s="1"/>
  <c r="C118" i="33" s="1"/>
  <c r="C119" i="33" s="1"/>
  <c r="C120" i="33" s="1"/>
  <c r="C121" i="33" s="1"/>
  <c r="C122" i="33" s="1"/>
  <c r="C123" i="33" s="1"/>
  <c r="C124" i="33" s="1"/>
  <c r="C125" i="33" s="1"/>
  <c r="C126" i="33" s="1"/>
  <c r="C127" i="33" s="1"/>
  <c r="C128" i="33" s="1"/>
  <c r="C129" i="33" s="1"/>
  <c r="C130" i="33" s="1"/>
  <c r="C131" i="33" s="1"/>
  <c r="C132" i="33" s="1"/>
  <c r="C133" i="33" s="1"/>
  <c r="C134" i="33" s="1"/>
  <c r="C135" i="33" s="1"/>
  <c r="C136" i="33" s="1"/>
  <c r="C137" i="33" s="1"/>
  <c r="C138" i="33" s="1"/>
  <c r="C139" i="33" s="1"/>
  <c r="C140" i="33" s="1"/>
  <c r="C141" i="33" s="1"/>
  <c r="C142" i="33" s="1"/>
  <c r="C143" i="33" s="1"/>
  <c r="C144" i="33" s="1"/>
  <c r="C145" i="33" s="1"/>
  <c r="C146" i="33" s="1"/>
  <c r="C147" i="33" s="1"/>
  <c r="C148" i="33" s="1"/>
  <c r="C149" i="33" s="1"/>
  <c r="C150" i="33" s="1"/>
  <c r="C151" i="33" s="1"/>
  <c r="C152" i="33" s="1"/>
  <c r="C153" i="33" s="1"/>
  <c r="C154" i="33" s="1"/>
  <c r="C155" i="33" s="1"/>
  <c r="C156" i="33" s="1"/>
  <c r="C157" i="33" s="1"/>
  <c r="C158" i="33" s="1"/>
  <c r="C159" i="33" s="1"/>
  <c r="J37" i="33"/>
  <c r="G37" i="33"/>
  <c r="C37" i="33"/>
  <c r="J36" i="33"/>
  <c r="G36" i="33"/>
  <c r="J35" i="33"/>
  <c r="G35" i="33"/>
  <c r="K34" i="33"/>
  <c r="G31" i="33"/>
  <c r="I12" i="33"/>
  <c r="K38" i="33" l="1"/>
  <c r="K42" i="33"/>
  <c r="K46" i="33"/>
  <c r="K54" i="33"/>
  <c r="K58" i="33"/>
  <c r="K130" i="33"/>
  <c r="K44" i="33"/>
  <c r="K76" i="33"/>
  <c r="K62" i="33"/>
  <c r="K70" i="33"/>
  <c r="K74" i="33"/>
  <c r="K122" i="33"/>
  <c r="K91" i="33"/>
  <c r="K95" i="33"/>
  <c r="K111" i="33"/>
  <c r="K115" i="33"/>
  <c r="K123" i="33"/>
  <c r="K127" i="33"/>
  <c r="K41" i="33"/>
  <c r="K128" i="33"/>
  <c r="K40" i="33"/>
  <c r="K48" i="33"/>
  <c r="K63" i="33"/>
  <c r="K78" i="33"/>
  <c r="K98" i="33"/>
  <c r="K102" i="33"/>
  <c r="K106" i="33"/>
  <c r="K110" i="33"/>
  <c r="K114" i="33"/>
  <c r="K121" i="33"/>
  <c r="K45" i="33"/>
  <c r="K57" i="33"/>
  <c r="K68" i="33"/>
  <c r="K72" i="33"/>
  <c r="K119" i="33"/>
  <c r="K135" i="33"/>
  <c r="K50" i="33"/>
  <c r="K129" i="33"/>
  <c r="K36" i="33"/>
  <c r="K66" i="33"/>
  <c r="K113" i="33"/>
  <c r="K117" i="33"/>
  <c r="K133" i="33"/>
  <c r="K49" i="33"/>
  <c r="K65" i="33"/>
  <c r="K37" i="33"/>
  <c r="K43" i="33"/>
  <c r="K59" i="33"/>
  <c r="K75" i="33"/>
  <c r="K82" i="33"/>
  <c r="K86" i="33"/>
  <c r="K90" i="33"/>
  <c r="K94" i="33"/>
  <c r="K53" i="33"/>
  <c r="K69" i="33"/>
  <c r="K51" i="33"/>
  <c r="K67" i="33"/>
  <c r="K80" i="33"/>
  <c r="K84" i="33"/>
  <c r="K88" i="33"/>
  <c r="K92" i="33"/>
  <c r="K39" i="33"/>
  <c r="K55" i="33"/>
  <c r="K71" i="33"/>
  <c r="K81" i="33"/>
  <c r="K85" i="33"/>
  <c r="G22" i="33" l="1"/>
  <c r="G19" i="33"/>
  <c r="F19" i="33" s="1"/>
  <c r="G23" i="33"/>
  <c r="G20" i="33"/>
  <c r="G21" i="33"/>
  <c r="F21" i="33" l="1"/>
  <c r="D21" i="33"/>
  <c r="Q13" i="20" s="1"/>
  <c r="E21" i="33"/>
  <c r="F20" i="33"/>
  <c r="E20" i="33"/>
  <c r="D20" i="33"/>
  <c r="Q12" i="20" s="1"/>
  <c r="F23" i="33"/>
  <c r="E23" i="33"/>
  <c r="D23" i="33"/>
  <c r="Q15" i="20" s="1"/>
  <c r="E19" i="33"/>
  <c r="D19" i="33"/>
  <c r="Q11" i="20" s="1"/>
  <c r="F22" i="33"/>
  <c r="E22" i="33"/>
  <c r="D22" i="33"/>
  <c r="Q14" i="20" s="1"/>
  <c r="O19" i="5" l="1"/>
  <c r="O23" i="5"/>
  <c r="O27" i="5"/>
  <c r="O31" i="5"/>
  <c r="O36" i="5"/>
  <c r="O41" i="5"/>
  <c r="O46" i="5"/>
  <c r="O52" i="5"/>
  <c r="O57" i="5"/>
  <c r="O62" i="5"/>
  <c r="O67" i="5"/>
  <c r="O71" i="5"/>
  <c r="O75" i="5"/>
  <c r="O80" i="5"/>
  <c r="O85" i="5"/>
  <c r="O89" i="5"/>
  <c r="O93" i="5"/>
  <c r="O97" i="5"/>
  <c r="O102" i="5"/>
  <c r="O106" i="5"/>
  <c r="O111" i="5"/>
  <c r="O115" i="5"/>
  <c r="O120" i="5"/>
  <c r="O124" i="5"/>
  <c r="O128" i="5"/>
  <c r="O133" i="5"/>
  <c r="O137" i="5"/>
  <c r="O141" i="5"/>
  <c r="O145" i="5"/>
  <c r="O149" i="5"/>
  <c r="O150" i="5"/>
  <c r="O151" i="5"/>
  <c r="O154" i="5"/>
  <c r="O156" i="5"/>
  <c r="O158" i="5"/>
  <c r="O160" i="5"/>
  <c r="O161" i="5"/>
  <c r="O162" i="5"/>
  <c r="O165" i="5"/>
  <c r="O166" i="5"/>
  <c r="O167" i="5"/>
  <c r="O168" i="5"/>
  <c r="O170" i="5"/>
  <c r="O171" i="5"/>
  <c r="O172" i="5"/>
  <c r="O173" i="5"/>
  <c r="O175" i="5"/>
  <c r="O176" i="5"/>
  <c r="O177" i="5"/>
  <c r="O178" i="5"/>
  <c r="O179" i="5"/>
  <c r="O180" i="5"/>
  <c r="O181" i="5"/>
  <c r="O182" i="5"/>
  <c r="O184" i="5"/>
  <c r="O185" i="5"/>
  <c r="O187"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29" i="5"/>
  <c r="O231" i="5"/>
  <c r="O232" i="5"/>
  <c r="O233" i="5"/>
  <c r="O234" i="5"/>
  <c r="O235" i="5"/>
  <c r="O236" i="5"/>
  <c r="O237" i="5"/>
  <c r="O238" i="5"/>
  <c r="O239" i="5"/>
  <c r="O240" i="5"/>
  <c r="O241" i="5"/>
  <c r="O242" i="5"/>
  <c r="O243" i="5"/>
  <c r="O244" i="5"/>
  <c r="O245" i="5"/>
  <c r="O246" i="5"/>
  <c r="O247" i="5"/>
  <c r="O248" i="5"/>
  <c r="O249" i="5"/>
  <c r="O250" i="5"/>
  <c r="O251" i="5"/>
  <c r="O252" i="5"/>
  <c r="O253" i="5"/>
  <c r="O254" i="5"/>
  <c r="O255" i="5"/>
  <c r="O256" i="5"/>
  <c r="O257" i="5"/>
  <c r="O258" i="5"/>
  <c r="O259" i="5"/>
  <c r="O260" i="5"/>
  <c r="O261" i="5"/>
  <c r="O262" i="5"/>
  <c r="O264" i="5"/>
  <c r="O266" i="5"/>
  <c r="O269" i="5"/>
  <c r="O271" i="5"/>
  <c r="O272" i="5"/>
  <c r="O274" i="5"/>
  <c r="O275" i="5"/>
  <c r="O277" i="5"/>
  <c r="O278" i="5"/>
  <c r="O279" i="5"/>
  <c r="O280" i="5"/>
  <c r="O281" i="5"/>
  <c r="O282" i="5"/>
  <c r="O284" i="5"/>
  <c r="O285" i="5"/>
  <c r="O287" i="5"/>
  <c r="O288" i="5"/>
  <c r="O290" i="5"/>
  <c r="O291" i="5"/>
  <c r="O292" i="5"/>
  <c r="O16" i="5"/>
  <c r="O20" i="5"/>
  <c r="O24" i="5"/>
  <c r="O28" i="5"/>
  <c r="O32" i="5"/>
  <c r="O37" i="5"/>
  <c r="O42" i="5"/>
  <c r="O47" i="5"/>
  <c r="O53" i="5"/>
  <c r="O58" i="5"/>
  <c r="O63" i="5"/>
  <c r="O68" i="5"/>
  <c r="O72" i="5"/>
  <c r="O76" i="5"/>
  <c r="O81" i="5"/>
  <c r="O86" i="5"/>
  <c r="O90" i="5"/>
  <c r="O94" i="5"/>
  <c r="O98" i="5"/>
  <c r="O103" i="5"/>
  <c r="O107" i="5"/>
  <c r="O112" i="5"/>
  <c r="O116" i="5"/>
  <c r="O121" i="5"/>
  <c r="O125" i="5"/>
  <c r="O129" i="5"/>
  <c r="O134" i="5"/>
  <c r="O138" i="5"/>
  <c r="O142" i="5"/>
  <c r="O146" i="5"/>
  <c r="O293" i="5"/>
  <c r="O294" i="5"/>
  <c r="O152" i="5"/>
  <c r="O295" i="5"/>
  <c r="O157" i="5"/>
  <c r="O296" i="5"/>
  <c r="O159" i="5"/>
  <c r="O297" i="5"/>
  <c r="O298" i="5"/>
  <c r="O299" i="5"/>
  <c r="O300" i="5"/>
  <c r="O301" i="5"/>
  <c r="O169" i="5"/>
  <c r="O302" i="5"/>
  <c r="O303" i="5"/>
  <c r="O304" i="5"/>
  <c r="O174" i="5"/>
  <c r="O305" i="5"/>
  <c r="O306" i="5"/>
  <c r="O307" i="5"/>
  <c r="O308" i="5"/>
  <c r="O309" i="5"/>
  <c r="O310" i="5"/>
  <c r="O311" i="5"/>
  <c r="O183" i="5"/>
  <c r="O312" i="5"/>
  <c r="O186"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230"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267" i="5"/>
  <c r="O386" i="5"/>
  <c r="O387" i="5"/>
  <c r="O388" i="5"/>
  <c r="O276" i="5"/>
  <c r="O390" i="5"/>
  <c r="O391" i="5"/>
  <c r="O392" i="5"/>
  <c r="O393" i="5"/>
  <c r="O394" i="5"/>
  <c r="O283" i="5"/>
  <c r="O395" i="5"/>
  <c r="O396" i="5"/>
  <c r="O397" i="5"/>
  <c r="O289"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O533" i="5"/>
  <c r="O534" i="5"/>
  <c r="O535" i="5"/>
  <c r="O536" i="5"/>
  <c r="O537" i="5"/>
  <c r="O538" i="5"/>
  <c r="O539" i="5"/>
  <c r="O540" i="5"/>
  <c r="O541" i="5"/>
  <c r="O542" i="5"/>
  <c r="O543" i="5"/>
  <c r="O544" i="5"/>
  <c r="O545" i="5"/>
  <c r="O546" i="5"/>
  <c r="O547" i="5"/>
  <c r="O548" i="5"/>
  <c r="O549" i="5"/>
  <c r="O550" i="5"/>
  <c r="O551" i="5"/>
  <c r="O552" i="5"/>
  <c r="O553" i="5"/>
  <c r="O554" i="5"/>
  <c r="O555" i="5"/>
  <c r="O556" i="5"/>
  <c r="O43" i="5"/>
  <c r="O48" i="5"/>
  <c r="O557" i="5"/>
  <c r="O558" i="5"/>
  <c r="O559" i="5"/>
  <c r="O560" i="5"/>
  <c r="O561" i="5"/>
  <c r="O562" i="5"/>
  <c r="O82" i="5"/>
  <c r="O563" i="5"/>
  <c r="O564" i="5"/>
  <c r="O565" i="5"/>
  <c r="O566" i="5"/>
  <c r="O567" i="5"/>
  <c r="O568" i="5"/>
  <c r="O569" i="5"/>
  <c r="O570" i="5"/>
  <c r="O571" i="5"/>
  <c r="O572" i="5"/>
  <c r="O573" i="5"/>
  <c r="O574" i="5"/>
  <c r="O575" i="5"/>
  <c r="O576" i="5"/>
  <c r="O577" i="5"/>
  <c r="O578" i="5"/>
  <c r="O579" i="5"/>
  <c r="O580" i="5"/>
  <c r="O581" i="5"/>
  <c r="O582" i="5"/>
  <c r="O583" i="5"/>
  <c r="O584" i="5"/>
  <c r="O585" i="5"/>
  <c r="O586" i="5"/>
  <c r="O587" i="5"/>
  <c r="O588" i="5"/>
  <c r="O589" i="5"/>
  <c r="O590" i="5"/>
  <c r="O591" i="5"/>
  <c r="O592" i="5"/>
  <c r="O593" i="5"/>
  <c r="O594" i="5"/>
  <c r="O595" i="5"/>
  <c r="O596" i="5"/>
  <c r="O597" i="5"/>
  <c r="O598" i="5"/>
  <c r="O599" i="5"/>
  <c r="O600" i="5"/>
  <c r="O601" i="5"/>
  <c r="O602" i="5"/>
  <c r="O603" i="5"/>
  <c r="O604" i="5"/>
  <c r="O605" i="5"/>
  <c r="O606" i="5"/>
  <c r="O607" i="5"/>
  <c r="O608" i="5"/>
  <c r="O609" i="5"/>
  <c r="O610" i="5"/>
  <c r="O611" i="5"/>
  <c r="O612" i="5"/>
  <c r="O613" i="5"/>
  <c r="O614" i="5"/>
  <c r="O615" i="5"/>
  <c r="O616" i="5"/>
  <c r="O617" i="5"/>
  <c r="O618" i="5"/>
  <c r="O619" i="5"/>
  <c r="O620" i="5"/>
  <c r="O621" i="5"/>
  <c r="O622" i="5"/>
  <c r="O623" i="5"/>
  <c r="O624" i="5"/>
  <c r="O625" i="5"/>
  <c r="O626" i="5"/>
  <c r="O627" i="5"/>
  <c r="O628" i="5"/>
  <c r="O629" i="5"/>
  <c r="O630" i="5"/>
  <c r="O631" i="5"/>
  <c r="O632" i="5"/>
  <c r="O633" i="5"/>
  <c r="O634" i="5"/>
  <c r="O635" i="5"/>
  <c r="O636" i="5"/>
  <c r="O637" i="5"/>
  <c r="O638" i="5"/>
  <c r="O639" i="5"/>
  <c r="O640" i="5"/>
  <c r="O641" i="5"/>
  <c r="O642" i="5"/>
  <c r="O643" i="5"/>
  <c r="O644" i="5"/>
  <c r="O645" i="5"/>
  <c r="O646" i="5"/>
  <c r="O647" i="5"/>
  <c r="O648" i="5"/>
  <c r="O649" i="5"/>
  <c r="O650" i="5"/>
  <c r="O651" i="5"/>
  <c r="O652" i="5"/>
  <c r="O653" i="5"/>
  <c r="O654" i="5"/>
  <c r="O655" i="5"/>
  <c r="O656" i="5"/>
  <c r="O657" i="5"/>
  <c r="O658" i="5"/>
  <c r="O659" i="5"/>
  <c r="O660" i="5"/>
  <c r="O661" i="5"/>
  <c r="O662" i="5"/>
  <c r="O663" i="5"/>
  <c r="O664" i="5"/>
  <c r="O665" i="5"/>
  <c r="O666" i="5"/>
  <c r="O667" i="5"/>
  <c r="O668" i="5"/>
  <c r="O669" i="5"/>
  <c r="O670" i="5"/>
  <c r="O671" i="5"/>
  <c r="O672" i="5"/>
  <c r="O673" i="5"/>
  <c r="O674" i="5"/>
  <c r="O675" i="5"/>
  <c r="O676" i="5"/>
  <c r="O677" i="5"/>
  <c r="O678" i="5"/>
  <c r="O679" i="5"/>
  <c r="O680" i="5"/>
  <c r="O681" i="5"/>
  <c r="O682" i="5"/>
  <c r="O683" i="5"/>
  <c r="O684" i="5"/>
  <c r="O685" i="5"/>
  <c r="O686" i="5"/>
  <c r="O687" i="5"/>
  <c r="O688" i="5"/>
  <c r="O689" i="5"/>
  <c r="O690" i="5"/>
  <c r="O691" i="5"/>
  <c r="O692" i="5"/>
  <c r="O693" i="5"/>
  <c r="O694" i="5"/>
  <c r="O695" i="5"/>
  <c r="O696" i="5"/>
  <c r="O697" i="5"/>
  <c r="O698" i="5"/>
  <c r="O699" i="5"/>
  <c r="O700" i="5"/>
  <c r="O701" i="5"/>
  <c r="O33" i="5"/>
  <c r="O38" i="5"/>
  <c r="O702" i="5"/>
  <c r="O49" i="5"/>
  <c r="O54" i="5"/>
  <c r="O59" i="5"/>
  <c r="O64" i="5"/>
  <c r="O703" i="5"/>
  <c r="O704" i="5"/>
  <c r="O77" i="5"/>
  <c r="O705" i="5"/>
  <c r="O706" i="5"/>
  <c r="O707" i="5"/>
  <c r="O708" i="5"/>
  <c r="O99" i="5"/>
  <c r="O108" i="5"/>
  <c r="O710" i="5"/>
  <c r="O117" i="5"/>
  <c r="O711" i="5"/>
  <c r="O130" i="5"/>
  <c r="O713" i="5"/>
  <c r="O714" i="5"/>
  <c r="O715" i="5"/>
  <c r="O716" i="5"/>
  <c r="O717" i="5"/>
  <c r="O718" i="5"/>
  <c r="O719" i="5"/>
  <c r="O720" i="5"/>
  <c r="O721" i="5"/>
  <c r="O722" i="5"/>
  <c r="O723" i="5"/>
  <c r="O724" i="5"/>
  <c r="O163" i="5"/>
  <c r="O725" i="5"/>
  <c r="O726" i="5"/>
  <c r="O727" i="5"/>
  <c r="O728" i="5"/>
  <c r="O729" i="5"/>
  <c r="O730" i="5"/>
  <c r="O731" i="5"/>
  <c r="O732" i="5"/>
  <c r="O733" i="5"/>
  <c r="O734" i="5"/>
  <c r="O735" i="5"/>
  <c r="O736" i="5"/>
  <c r="O737" i="5"/>
  <c r="O738" i="5"/>
  <c r="O739" i="5"/>
  <c r="O740" i="5"/>
  <c r="O741" i="5"/>
  <c r="O742" i="5"/>
  <c r="O188" i="5"/>
  <c r="O743" i="5"/>
  <c r="O744" i="5"/>
  <c r="O745" i="5"/>
  <c r="O746" i="5"/>
  <c r="O747" i="5"/>
  <c r="O748" i="5"/>
  <c r="O749" i="5"/>
  <c r="O750" i="5"/>
  <c r="O751" i="5"/>
  <c r="O752" i="5"/>
  <c r="O753" i="5"/>
  <c r="O754" i="5"/>
  <c r="O755" i="5"/>
  <c r="O756" i="5"/>
  <c r="O757" i="5"/>
  <c r="O758" i="5"/>
  <c r="O759" i="5"/>
  <c r="O760" i="5"/>
  <c r="O761" i="5"/>
  <c r="O762" i="5"/>
  <c r="O763" i="5"/>
  <c r="O764" i="5"/>
  <c r="O765" i="5"/>
  <c r="O766" i="5"/>
  <c r="O767" i="5"/>
  <c r="O768" i="5"/>
  <c r="O769" i="5"/>
  <c r="O770" i="5"/>
  <c r="O771" i="5"/>
  <c r="O772" i="5"/>
  <c r="O773" i="5"/>
  <c r="O774" i="5"/>
  <c r="O775" i="5"/>
  <c r="O776" i="5"/>
  <c r="O777" i="5"/>
  <c r="O778" i="5"/>
  <c r="O779" i="5"/>
  <c r="O780" i="5"/>
  <c r="O781" i="5"/>
  <c r="O782" i="5"/>
  <c r="O783" i="5"/>
  <c r="O784" i="5"/>
  <c r="O785" i="5"/>
  <c r="O786" i="5"/>
  <c r="O787" i="5"/>
  <c r="O788" i="5"/>
  <c r="O789" i="5"/>
  <c r="O790" i="5"/>
  <c r="O791" i="5"/>
  <c r="O792" i="5"/>
  <c r="O793" i="5"/>
  <c r="O794" i="5"/>
  <c r="O795" i="5"/>
  <c r="O796" i="5"/>
  <c r="O797" i="5"/>
  <c r="O798" i="5"/>
  <c r="O799" i="5"/>
  <c r="O800" i="5"/>
  <c r="O801" i="5"/>
  <c r="O802" i="5"/>
  <c r="O803" i="5"/>
  <c r="O804" i="5"/>
  <c r="O805" i="5"/>
  <c r="O806" i="5"/>
  <c r="O807" i="5"/>
  <c r="O263" i="5"/>
  <c r="O265" i="5"/>
  <c r="O268" i="5"/>
  <c r="O270" i="5"/>
  <c r="O808" i="5"/>
  <c r="O273" i="5"/>
  <c r="O809" i="5"/>
  <c r="O810" i="5"/>
  <c r="O811" i="5"/>
  <c r="O812" i="5"/>
  <c r="O813" i="5"/>
  <c r="O814" i="5"/>
  <c r="O815" i="5"/>
  <c r="O816" i="5"/>
  <c r="O817" i="5"/>
  <c r="O286" i="5"/>
  <c r="O818" i="5"/>
  <c r="O819" i="5"/>
  <c r="O820" i="5"/>
  <c r="O821" i="5"/>
  <c r="O822" i="5"/>
  <c r="O823" i="5"/>
  <c r="O824" i="5"/>
  <c r="O825" i="5"/>
  <c r="O826" i="5"/>
  <c r="O827" i="5"/>
  <c r="O830" i="5"/>
  <c r="O838" i="5"/>
  <c r="O839" i="5"/>
  <c r="O840" i="5"/>
  <c r="O841" i="5"/>
  <c r="O842" i="5"/>
  <c r="O843" i="5"/>
  <c r="O844" i="5"/>
  <c r="O845" i="5"/>
  <c r="O846" i="5"/>
  <c r="O847" i="5"/>
  <c r="O848" i="5"/>
  <c r="O849" i="5"/>
  <c r="O850" i="5"/>
  <c r="O851" i="5"/>
  <c r="O852" i="5"/>
  <c r="O17" i="5"/>
  <c r="O21" i="5"/>
  <c r="O25" i="5"/>
  <c r="O29" i="5"/>
  <c r="O34" i="5"/>
  <c r="O39" i="5"/>
  <c r="O44" i="5"/>
  <c r="O50" i="5"/>
  <c r="O55" i="5"/>
  <c r="O60" i="5"/>
  <c r="O65" i="5"/>
  <c r="O69" i="5"/>
  <c r="O73" i="5"/>
  <c r="O78" i="5"/>
  <c r="O83" i="5"/>
  <c r="O87" i="5"/>
  <c r="O91" i="5"/>
  <c r="O95" i="5"/>
  <c r="O100" i="5"/>
  <c r="O104" i="5"/>
  <c r="O109" i="5"/>
  <c r="O113" i="5"/>
  <c r="O118" i="5"/>
  <c r="O122" i="5"/>
  <c r="O126" i="5"/>
  <c r="O131" i="5"/>
  <c r="O135" i="5"/>
  <c r="O139" i="5"/>
  <c r="O143" i="5"/>
  <c r="O147" i="5"/>
  <c r="O853" i="5"/>
  <c r="O854" i="5"/>
  <c r="O855" i="5"/>
  <c r="O856" i="5"/>
  <c r="O857" i="5"/>
  <c r="O858" i="5"/>
  <c r="O859" i="5"/>
  <c r="O860" i="5"/>
  <c r="O861" i="5"/>
  <c r="O862" i="5"/>
  <c r="O863" i="5"/>
  <c r="O864" i="5"/>
  <c r="O865" i="5"/>
  <c r="O866" i="5"/>
  <c r="O867" i="5"/>
  <c r="O868" i="5"/>
  <c r="O869" i="5"/>
  <c r="O870" i="5"/>
  <c r="O871" i="5"/>
  <c r="O872" i="5"/>
  <c r="O873" i="5"/>
  <c r="O874" i="5"/>
  <c r="O875" i="5"/>
  <c r="O876" i="5"/>
  <c r="O877" i="5"/>
  <c r="O878" i="5"/>
  <c r="O879" i="5"/>
  <c r="O189" i="5"/>
  <c r="O880" i="5"/>
  <c r="O881" i="5"/>
  <c r="O882" i="5"/>
  <c r="O883" i="5"/>
  <c r="O884" i="5"/>
  <c r="O885" i="5"/>
  <c r="O886" i="5"/>
  <c r="O887" i="5"/>
  <c r="O888" i="5"/>
  <c r="O889" i="5"/>
  <c r="O890" i="5"/>
  <c r="O891" i="5"/>
  <c r="O892" i="5"/>
  <c r="O893" i="5"/>
  <c r="O894" i="5"/>
  <c r="O895" i="5"/>
  <c r="O896" i="5"/>
  <c r="O897" i="5"/>
  <c r="O898" i="5"/>
  <c r="O899" i="5"/>
  <c r="O900" i="5"/>
  <c r="O901" i="5"/>
  <c r="O902" i="5"/>
  <c r="O903" i="5"/>
  <c r="O904" i="5"/>
  <c r="O905" i="5"/>
  <c r="O906" i="5"/>
  <c r="O907" i="5"/>
  <c r="O908" i="5"/>
  <c r="O909" i="5"/>
  <c r="O910" i="5"/>
  <c r="O911" i="5"/>
  <c r="O912" i="5"/>
  <c r="O913" i="5"/>
  <c r="O914" i="5"/>
  <c r="O915" i="5"/>
  <c r="O916" i="5"/>
  <c r="O917" i="5"/>
  <c r="O918" i="5"/>
  <c r="O919" i="5"/>
  <c r="O920" i="5"/>
  <c r="O921" i="5"/>
  <c r="O922" i="5"/>
  <c r="O923" i="5"/>
  <c r="O924" i="5"/>
  <c r="O925" i="5"/>
  <c r="O926" i="5"/>
  <c r="O927" i="5"/>
  <c r="O928" i="5"/>
  <c r="O929" i="5"/>
  <c r="O930" i="5"/>
  <c r="O931" i="5"/>
  <c r="O932" i="5"/>
  <c r="O933" i="5"/>
  <c r="O934" i="5"/>
  <c r="O935" i="5"/>
  <c r="O936" i="5"/>
  <c r="O937" i="5"/>
  <c r="O938" i="5"/>
  <c r="O939" i="5"/>
  <c r="O940" i="5"/>
  <c r="O941" i="5"/>
  <c r="O942" i="5"/>
  <c r="O943" i="5"/>
  <c r="O944" i="5"/>
  <c r="O945" i="5"/>
  <c r="O946" i="5"/>
  <c r="O947" i="5"/>
  <c r="O948" i="5"/>
  <c r="O949" i="5"/>
  <c r="O950" i="5"/>
  <c r="O951" i="5"/>
  <c r="O952" i="5"/>
  <c r="O953" i="5"/>
  <c r="O954" i="5"/>
  <c r="O955" i="5"/>
  <c r="O956" i="5"/>
  <c r="O957" i="5"/>
  <c r="O958" i="5"/>
  <c r="O959" i="5"/>
  <c r="O960" i="5"/>
  <c r="O961" i="5"/>
  <c r="O962" i="5"/>
  <c r="O963" i="5"/>
  <c r="O964" i="5"/>
  <c r="O965" i="5"/>
  <c r="O966" i="5"/>
  <c r="O967" i="5"/>
  <c r="O968" i="5"/>
  <c r="O969" i="5"/>
  <c r="O970" i="5"/>
  <c r="O971" i="5"/>
  <c r="O18" i="5"/>
  <c r="O22" i="5"/>
  <c r="O26" i="5"/>
  <c r="O30" i="5"/>
  <c r="O35" i="5"/>
  <c r="O40" i="5"/>
  <c r="O45" i="5"/>
  <c r="O51" i="5"/>
  <c r="O56" i="5"/>
  <c r="O61" i="5"/>
  <c r="O66" i="5"/>
  <c r="O70" i="5"/>
  <c r="O74" i="5"/>
  <c r="O79" i="5"/>
  <c r="O84" i="5"/>
  <c r="O88" i="5"/>
  <c r="O92" i="5"/>
  <c r="O96" i="5"/>
  <c r="O101" i="5"/>
  <c r="O105" i="5"/>
  <c r="O110" i="5"/>
  <c r="O114" i="5"/>
  <c r="O119" i="5"/>
  <c r="O123" i="5"/>
  <c r="O127" i="5"/>
  <c r="O132" i="5"/>
  <c r="O136" i="5"/>
  <c r="O140" i="5"/>
  <c r="O144" i="5"/>
  <c r="O148" i="5"/>
  <c r="O972" i="5"/>
  <c r="O973" i="5"/>
  <c r="O153" i="5"/>
  <c r="O155" i="5"/>
  <c r="O974" i="5"/>
  <c r="O975" i="5"/>
  <c r="O976" i="5"/>
  <c r="O977" i="5"/>
  <c r="O164" i="5"/>
  <c r="O978" i="5"/>
  <c r="O979" i="5"/>
  <c r="O980" i="5"/>
  <c r="O981" i="5"/>
  <c r="O982" i="5"/>
  <c r="O983" i="5"/>
  <c r="O984" i="5"/>
  <c r="O985" i="5"/>
  <c r="O986" i="5"/>
  <c r="O987" i="5"/>
  <c r="O988" i="5"/>
  <c r="O989" i="5"/>
  <c r="O990" i="5"/>
  <c r="O991" i="5"/>
  <c r="O992" i="5"/>
  <c r="O993" i="5"/>
  <c r="O994" i="5"/>
  <c r="O995" i="5"/>
  <c r="O996" i="5"/>
  <c r="O997" i="5"/>
  <c r="O998" i="5"/>
  <c r="O999" i="5"/>
  <c r="O1000" i="5"/>
  <c r="O1001" i="5"/>
  <c r="O1002" i="5"/>
  <c r="O1003" i="5"/>
  <c r="O1004" i="5"/>
  <c r="O1005" i="5"/>
  <c r="O1006" i="5"/>
  <c r="O1007" i="5"/>
  <c r="O1008" i="5"/>
  <c r="O1009" i="5"/>
  <c r="O1010" i="5"/>
  <c r="O1011" i="5"/>
  <c r="O1012" i="5"/>
  <c r="O1013" i="5"/>
  <c r="O1014" i="5"/>
  <c r="O1015" i="5"/>
  <c r="O1016" i="5"/>
  <c r="O1017" i="5"/>
  <c r="O1018" i="5"/>
  <c r="O1019" i="5"/>
  <c r="O1020" i="5"/>
  <c r="O1021" i="5"/>
  <c r="O1022" i="5"/>
  <c r="O1023" i="5"/>
  <c r="O1024" i="5"/>
  <c r="O1025" i="5"/>
  <c r="O1026" i="5"/>
  <c r="O1027" i="5"/>
  <c r="O1028" i="5"/>
  <c r="O1029" i="5"/>
  <c r="O1030" i="5"/>
  <c r="O1031" i="5"/>
  <c r="O1032" i="5"/>
  <c r="O1033" i="5"/>
  <c r="O1034" i="5"/>
  <c r="O1035" i="5"/>
  <c r="O1036" i="5"/>
  <c r="O1037" i="5"/>
  <c r="O1038" i="5"/>
  <c r="O1039" i="5"/>
  <c r="O1040" i="5"/>
  <c r="O1041" i="5"/>
  <c r="O1042" i="5"/>
  <c r="O1043" i="5"/>
  <c r="O1044" i="5"/>
  <c r="O1045" i="5"/>
  <c r="O1046" i="5"/>
  <c r="O1047" i="5"/>
  <c r="O1048" i="5"/>
  <c r="O1049" i="5"/>
  <c r="O1050" i="5"/>
  <c r="O1051" i="5"/>
  <c r="O1052" i="5"/>
  <c r="O1053" i="5"/>
  <c r="O1054" i="5"/>
  <c r="O1055" i="5"/>
  <c r="O1056" i="5"/>
  <c r="O1057" i="5"/>
  <c r="O1058" i="5"/>
  <c r="O1059" i="5"/>
  <c r="O1060" i="5"/>
  <c r="O1061" i="5"/>
  <c r="O1062" i="5"/>
  <c r="O1063" i="5"/>
  <c r="O1064" i="5"/>
  <c r="O1065" i="5"/>
  <c r="O1066" i="5"/>
  <c r="O1067" i="5"/>
  <c r="O1068" i="5"/>
  <c r="O1069" i="5"/>
  <c r="O1070" i="5"/>
  <c r="O1071" i="5"/>
  <c r="O1072" i="5"/>
  <c r="O1073" i="5"/>
  <c r="O1074" i="5"/>
  <c r="O1075" i="5"/>
  <c r="O1076" i="5"/>
  <c r="O1077" i="5"/>
  <c r="O1078" i="5"/>
  <c r="O1079" i="5"/>
  <c r="O1080" i="5"/>
  <c r="O1081" i="5"/>
  <c r="O1082" i="5"/>
  <c r="O1083" i="5"/>
  <c r="O1084" i="5"/>
  <c r="O1085" i="5"/>
  <c r="O1086" i="5"/>
  <c r="O1087" i="5"/>
  <c r="O1088" i="5"/>
  <c r="O1089" i="5"/>
  <c r="O1093" i="5"/>
  <c r="O1097" i="5"/>
  <c r="O1101" i="5"/>
  <c r="O1105" i="5"/>
  <c r="O1109" i="5"/>
  <c r="O1115" i="5"/>
  <c r="O1121" i="5"/>
  <c r="O1125" i="5"/>
  <c r="O1131" i="5"/>
  <c r="O1137" i="5"/>
  <c r="O1142" i="5"/>
  <c r="O1149" i="5"/>
  <c r="O1154" i="5"/>
  <c r="O1158" i="5"/>
  <c r="O1162" i="5"/>
  <c r="O1166" i="5"/>
  <c r="O1172" i="5"/>
  <c r="O1177" i="5"/>
  <c r="O1182" i="5"/>
  <c r="O1187" i="5"/>
  <c r="O1191" i="5"/>
  <c r="O1196" i="5"/>
  <c r="O1201" i="5"/>
  <c r="O1205" i="5"/>
  <c r="O1210" i="5"/>
  <c r="O1214" i="5"/>
  <c r="O1217" i="5"/>
  <c r="O1222" i="5"/>
  <c r="O1227" i="5"/>
  <c r="O1231" i="5"/>
  <c r="O1232" i="5"/>
  <c r="O1234" i="5"/>
  <c r="O1236" i="5"/>
  <c r="O1238" i="5"/>
  <c r="O1239" i="5"/>
  <c r="O1240" i="5"/>
  <c r="O1242" i="5"/>
  <c r="O1244" i="5"/>
  <c r="O1247" i="5"/>
  <c r="O1248" i="5"/>
  <c r="O1249" i="5"/>
  <c r="O1251" i="5"/>
  <c r="O1252" i="5"/>
  <c r="O1255" i="5"/>
  <c r="O1257" i="5"/>
  <c r="O1258" i="5"/>
  <c r="O1259" i="5"/>
  <c r="O1261" i="5"/>
  <c r="O1263" i="5"/>
  <c r="O1264" i="5"/>
  <c r="O1265" i="5"/>
  <c r="O1266" i="5"/>
  <c r="O1267" i="5"/>
  <c r="O1268" i="5"/>
  <c r="O1269" i="5"/>
  <c r="O1270" i="5"/>
  <c r="O1272" i="5"/>
  <c r="O1273" i="5"/>
  <c r="O1274" i="5"/>
  <c r="O1275" i="5"/>
  <c r="O1276" i="5"/>
  <c r="O1277" i="5"/>
  <c r="O1278" i="5"/>
  <c r="O1279" i="5"/>
  <c r="O1280" i="5"/>
  <c r="O1281" i="5"/>
  <c r="O1282" i="5"/>
  <c r="O1283" i="5"/>
  <c r="O1284" i="5"/>
  <c r="O1285" i="5"/>
  <c r="O1286" i="5"/>
  <c r="O1287" i="5"/>
  <c r="O1288" i="5"/>
  <c r="O1289" i="5"/>
  <c r="O1290" i="5"/>
  <c r="O1291" i="5"/>
  <c r="O1292" i="5"/>
  <c r="O1293" i="5"/>
  <c r="O1294" i="5"/>
  <c r="O1295" i="5"/>
  <c r="O1296" i="5"/>
  <c r="O1297" i="5"/>
  <c r="O1298" i="5"/>
  <c r="O1299" i="5"/>
  <c r="O1300" i="5"/>
  <c r="O1301" i="5"/>
  <c r="O1302" i="5"/>
  <c r="O1303" i="5"/>
  <c r="O1304" i="5"/>
  <c r="O1305" i="5"/>
  <c r="O1306" i="5"/>
  <c r="O1307" i="5"/>
  <c r="O1308" i="5"/>
  <c r="O1309" i="5"/>
  <c r="O1310" i="5"/>
  <c r="O1311" i="5"/>
  <c r="O1312" i="5"/>
  <c r="O1313" i="5"/>
  <c r="O1314" i="5"/>
  <c r="O1315" i="5"/>
  <c r="O1317" i="5"/>
  <c r="O1318" i="5"/>
  <c r="O1320" i="5"/>
  <c r="O1321" i="5"/>
  <c r="O1322" i="5"/>
  <c r="O1323" i="5"/>
  <c r="O1324" i="5"/>
  <c r="O1325" i="5"/>
  <c r="O1326" i="5"/>
  <c r="O1327" i="5"/>
  <c r="O1328" i="5"/>
  <c r="O1329" i="5"/>
  <c r="O1330" i="5"/>
  <c r="O1331" i="5"/>
  <c r="O1332" i="5"/>
  <c r="O1333" i="5"/>
  <c r="O1334" i="5"/>
  <c r="O1335" i="5"/>
  <c r="O1336" i="5"/>
  <c r="O1337" i="5"/>
  <c r="O1338" i="5"/>
  <c r="O1339" i="5"/>
  <c r="O1340" i="5"/>
  <c r="O1341" i="5"/>
  <c r="O1342" i="5"/>
  <c r="O1343" i="5"/>
  <c r="O1344" i="5"/>
  <c r="O1346" i="5"/>
  <c r="O1348" i="5"/>
  <c r="O1349" i="5"/>
  <c r="O1351" i="5"/>
  <c r="O1352" i="5"/>
  <c r="O1353" i="5"/>
  <c r="O1354" i="5"/>
  <c r="O1355" i="5"/>
  <c r="O1356" i="5"/>
  <c r="O1357" i="5"/>
  <c r="O1358" i="5"/>
  <c r="O1359" i="5"/>
  <c r="O1360" i="5"/>
  <c r="O1361" i="5"/>
  <c r="O1362" i="5"/>
  <c r="O1363" i="5"/>
  <c r="O1364" i="5"/>
  <c r="O1366" i="5"/>
  <c r="O1367" i="5"/>
  <c r="O1368" i="5"/>
  <c r="O1369" i="5"/>
  <c r="O1370" i="5"/>
  <c r="O1090" i="5"/>
  <c r="O1094" i="5"/>
  <c r="O1098" i="5"/>
  <c r="O1102" i="5"/>
  <c r="O1106" i="5"/>
  <c r="O1110" i="5"/>
  <c r="O1116" i="5"/>
  <c r="O1122" i="5"/>
  <c r="O1126" i="5"/>
  <c r="O1132" i="5"/>
  <c r="O1138" i="5"/>
  <c r="O1143" i="5"/>
  <c r="O1150" i="5"/>
  <c r="O1155" i="5"/>
  <c r="O1159" i="5"/>
  <c r="O1163" i="5"/>
  <c r="O1167" i="5"/>
  <c r="O1173" i="5"/>
  <c r="O1178" i="5"/>
  <c r="O1183" i="5"/>
  <c r="O1188" i="5"/>
  <c r="O1192" i="5"/>
  <c r="O1197" i="5"/>
  <c r="O1202" i="5"/>
  <c r="O1206" i="5"/>
  <c r="O1211" i="5"/>
  <c r="O1218" i="5"/>
  <c r="O1223" i="5"/>
  <c r="O1228" i="5"/>
  <c r="O1237" i="5"/>
  <c r="O1241" i="5"/>
  <c r="O1243" i="5"/>
  <c r="O1250" i="5"/>
  <c r="O1383" i="5"/>
  <c r="O1384" i="5"/>
  <c r="O1385" i="5"/>
  <c r="O1386" i="5"/>
  <c r="O1262" i="5"/>
  <c r="O1387" i="5"/>
  <c r="O1388" i="5"/>
  <c r="O1389" i="5"/>
  <c r="O1390" i="5"/>
  <c r="O1391" i="5"/>
  <c r="O1392" i="5"/>
  <c r="O1393" i="5"/>
  <c r="O1394" i="5"/>
  <c r="O1395" i="5"/>
  <c r="O1396" i="5"/>
  <c r="O1397" i="5"/>
  <c r="O1398" i="5"/>
  <c r="O1399" i="5"/>
  <c r="O1400" i="5"/>
  <c r="O1401" i="5"/>
  <c r="O1402" i="5"/>
  <c r="O1403" i="5"/>
  <c r="O1404" i="5"/>
  <c r="O1405" i="5"/>
  <c r="O1406" i="5"/>
  <c r="O1407" i="5"/>
  <c r="O1408" i="5"/>
  <c r="O1409" i="5"/>
  <c r="O1410" i="5"/>
  <c r="O1411" i="5"/>
  <c r="O1412" i="5"/>
  <c r="O1413" i="5"/>
  <c r="O1414" i="5"/>
  <c r="O1415" i="5"/>
  <c r="O1416" i="5"/>
  <c r="O1417" i="5"/>
  <c r="O1418" i="5"/>
  <c r="O1419" i="5"/>
  <c r="O1420" i="5"/>
  <c r="O1421" i="5"/>
  <c r="O1422" i="5"/>
  <c r="O1423" i="5"/>
  <c r="O1424" i="5"/>
  <c r="O1425" i="5"/>
  <c r="O1426" i="5"/>
  <c r="O1427" i="5"/>
  <c r="O1428" i="5"/>
  <c r="O1429" i="5"/>
  <c r="O1430" i="5"/>
  <c r="O1431" i="5"/>
  <c r="O1432" i="5"/>
  <c r="O1433" i="5"/>
  <c r="O1434" i="5"/>
  <c r="O1435" i="5"/>
  <c r="O1436" i="5"/>
  <c r="O1437" i="5"/>
  <c r="O1438" i="5"/>
  <c r="O1439" i="5"/>
  <c r="O1319" i="5"/>
  <c r="O1440" i="5"/>
  <c r="O1441" i="5"/>
  <c r="O1442" i="5"/>
  <c r="O1443" i="5"/>
  <c r="O1444" i="5"/>
  <c r="O1445" i="5"/>
  <c r="O1446" i="5"/>
  <c r="O1447" i="5"/>
  <c r="O1448" i="5"/>
  <c r="O1449" i="5"/>
  <c r="O1450" i="5"/>
  <c r="O1451" i="5"/>
  <c r="O1452" i="5"/>
  <c r="O1453" i="5"/>
  <c r="O1454" i="5"/>
  <c r="O1455" i="5"/>
  <c r="O1456" i="5"/>
  <c r="O1457" i="5"/>
  <c r="O1458" i="5"/>
  <c r="O1459" i="5"/>
  <c r="O1460" i="5"/>
  <c r="O1461" i="5"/>
  <c r="O1462" i="5"/>
  <c r="O1463" i="5"/>
  <c r="O1464" i="5"/>
  <c r="O1465" i="5"/>
  <c r="O1466" i="5"/>
  <c r="O1467" i="5"/>
  <c r="O1468" i="5"/>
  <c r="O1469" i="5"/>
  <c r="O1470" i="5"/>
  <c r="O1471" i="5"/>
  <c r="O1472" i="5"/>
  <c r="O1473" i="5"/>
  <c r="O1474" i="5"/>
  <c r="O1475" i="5"/>
  <c r="O1476" i="5"/>
  <c r="O1477" i="5"/>
  <c r="O1478" i="5"/>
  <c r="O1479" i="5"/>
  <c r="O1480" i="5"/>
  <c r="O1481" i="5"/>
  <c r="O1482" i="5"/>
  <c r="O1483" i="5"/>
  <c r="O1484" i="5"/>
  <c r="O1485" i="5"/>
  <c r="O1486" i="5"/>
  <c r="O1487" i="5"/>
  <c r="O1488" i="5"/>
  <c r="O1489" i="5"/>
  <c r="O1490" i="5"/>
  <c r="O1491" i="5"/>
  <c r="O1492" i="5"/>
  <c r="O1493" i="5"/>
  <c r="O1494" i="5"/>
  <c r="O1127" i="5"/>
  <c r="O1133" i="5"/>
  <c r="O1495" i="5"/>
  <c r="O1144" i="5"/>
  <c r="O1151" i="5"/>
  <c r="O1496" i="5"/>
  <c r="O1497" i="5"/>
  <c r="O1498" i="5"/>
  <c r="O1499" i="5"/>
  <c r="O1500" i="5"/>
  <c r="O1501" i="5"/>
  <c r="O1502" i="5"/>
  <c r="O1503" i="5"/>
  <c r="O1193" i="5"/>
  <c r="O1504" i="5"/>
  <c r="O1505" i="5"/>
  <c r="O1506" i="5"/>
  <c r="O1507" i="5"/>
  <c r="O1508" i="5"/>
  <c r="O1509" i="5"/>
  <c r="O1510" i="5"/>
  <c r="O1511" i="5"/>
  <c r="O1512" i="5"/>
  <c r="O1513" i="5"/>
  <c r="O1514" i="5"/>
  <c r="O1515" i="5"/>
  <c r="O1516" i="5"/>
  <c r="O1517" i="5"/>
  <c r="O1518" i="5"/>
  <c r="O1519" i="5"/>
  <c r="O1520" i="5"/>
  <c r="O1521" i="5"/>
  <c r="O1522" i="5"/>
  <c r="O1523" i="5"/>
  <c r="O1524" i="5"/>
  <c r="O1525" i="5"/>
  <c r="O1526" i="5"/>
  <c r="O1527" i="5"/>
  <c r="O1528" i="5"/>
  <c r="O1529" i="5"/>
  <c r="O1530" i="5"/>
  <c r="O1531" i="5"/>
  <c r="O1532" i="5"/>
  <c r="O1533" i="5"/>
  <c r="O1534" i="5"/>
  <c r="O1535" i="5"/>
  <c r="O1536" i="5"/>
  <c r="O1537" i="5"/>
  <c r="O1538" i="5"/>
  <c r="O1539" i="5"/>
  <c r="O1540" i="5"/>
  <c r="O1541" i="5"/>
  <c r="O1542" i="5"/>
  <c r="O1543" i="5"/>
  <c r="O1544" i="5"/>
  <c r="O1545" i="5"/>
  <c r="O1546" i="5"/>
  <c r="O1547" i="5"/>
  <c r="O1548" i="5"/>
  <c r="O1549" i="5"/>
  <c r="O1550" i="5"/>
  <c r="O1551" i="5"/>
  <c r="O1552" i="5"/>
  <c r="O1553" i="5"/>
  <c r="O1554" i="5"/>
  <c r="O1555" i="5"/>
  <c r="O1556" i="5"/>
  <c r="O1557" i="5"/>
  <c r="O1558" i="5"/>
  <c r="O1559" i="5"/>
  <c r="O1560" i="5"/>
  <c r="O1561" i="5"/>
  <c r="O1562" i="5"/>
  <c r="O1563" i="5"/>
  <c r="O1564" i="5"/>
  <c r="O1565" i="5"/>
  <c r="O1566" i="5"/>
  <c r="O1567" i="5"/>
  <c r="O1568" i="5"/>
  <c r="O1569" i="5"/>
  <c r="O1570" i="5"/>
  <c r="O1571" i="5"/>
  <c r="O1572" i="5"/>
  <c r="O1573" i="5"/>
  <c r="O1574" i="5"/>
  <c r="O1575" i="5"/>
  <c r="O1576" i="5"/>
  <c r="O1577" i="5"/>
  <c r="O1578" i="5"/>
  <c r="O1579" i="5"/>
  <c r="O1580" i="5"/>
  <c r="O1581" i="5"/>
  <c r="O1582" i="5"/>
  <c r="O1583" i="5"/>
  <c r="O1584" i="5"/>
  <c r="O1585" i="5"/>
  <c r="O1586" i="5"/>
  <c r="O1587" i="5"/>
  <c r="O1588" i="5"/>
  <c r="O1589" i="5"/>
  <c r="O1590" i="5"/>
  <c r="O1591" i="5"/>
  <c r="O1592" i="5"/>
  <c r="O1593" i="5"/>
  <c r="O1594" i="5"/>
  <c r="O1595" i="5"/>
  <c r="O1596" i="5"/>
  <c r="O1597" i="5"/>
  <c r="O1598" i="5"/>
  <c r="O1599" i="5"/>
  <c r="O1600" i="5"/>
  <c r="O1601" i="5"/>
  <c r="O1602" i="5"/>
  <c r="O1603" i="5"/>
  <c r="O1604" i="5"/>
  <c r="O1605" i="5"/>
  <c r="O1606" i="5"/>
  <c r="O1607" i="5"/>
  <c r="O1608" i="5"/>
  <c r="O1609" i="5"/>
  <c r="O1610" i="5"/>
  <c r="O1611" i="5"/>
  <c r="O1612" i="5"/>
  <c r="O1613" i="5"/>
  <c r="O1614" i="5"/>
  <c r="O1615" i="5"/>
  <c r="O1616" i="5"/>
  <c r="O1617" i="5"/>
  <c r="O1618" i="5"/>
  <c r="O1619" i="5"/>
  <c r="O1620" i="5"/>
  <c r="O1621" i="5"/>
  <c r="O1622" i="5"/>
  <c r="O1623" i="5"/>
  <c r="O1624" i="5"/>
  <c r="O1625" i="5"/>
  <c r="O1626" i="5"/>
  <c r="O1627" i="5"/>
  <c r="O1628" i="5"/>
  <c r="O1629" i="5"/>
  <c r="O1630" i="5"/>
  <c r="O1631" i="5"/>
  <c r="O1632" i="5"/>
  <c r="O1633" i="5"/>
  <c r="O1634" i="5"/>
  <c r="O1635" i="5"/>
  <c r="O1636" i="5"/>
  <c r="O1111" i="5"/>
  <c r="O1117" i="5"/>
  <c r="O1637" i="5"/>
  <c r="O1128" i="5"/>
  <c r="O1134" i="5"/>
  <c r="O1139" i="5"/>
  <c r="O1145" i="5"/>
  <c r="O1638" i="5"/>
  <c r="O1639" i="5"/>
  <c r="O1640" i="5"/>
  <c r="O1641" i="5"/>
  <c r="O1168" i="5"/>
  <c r="O1174" i="5"/>
  <c r="O1179" i="5"/>
  <c r="O1642" i="5"/>
  <c r="O1643" i="5"/>
  <c r="O1644" i="5"/>
  <c r="O1645" i="5"/>
  <c r="O1646" i="5"/>
  <c r="O1647" i="5"/>
  <c r="O1648" i="5"/>
  <c r="O1649" i="5"/>
  <c r="O1650" i="5"/>
  <c r="O1651" i="5"/>
  <c r="O1652" i="5"/>
  <c r="O1653" i="5"/>
  <c r="O1654" i="5"/>
  <c r="O1655" i="5"/>
  <c r="O1656" i="5"/>
  <c r="O1657" i="5"/>
  <c r="O1658" i="5"/>
  <c r="O1659" i="5"/>
  <c r="O1660" i="5"/>
  <c r="O1661" i="5"/>
  <c r="O1662" i="5"/>
  <c r="O1663" i="5"/>
  <c r="O1664" i="5"/>
  <c r="O1665" i="5"/>
  <c r="O1666" i="5"/>
  <c r="O1667" i="5"/>
  <c r="O1668" i="5"/>
  <c r="O1669" i="5"/>
  <c r="O1670" i="5"/>
  <c r="O1671" i="5"/>
  <c r="O1672" i="5"/>
  <c r="O1673" i="5"/>
  <c r="O1674" i="5"/>
  <c r="O1675" i="5"/>
  <c r="O1676" i="5"/>
  <c r="O1677" i="5"/>
  <c r="O1678" i="5"/>
  <c r="O1679" i="5"/>
  <c r="O1680" i="5"/>
  <c r="O1681" i="5"/>
  <c r="O1682" i="5"/>
  <c r="O1683" i="5"/>
  <c r="O1684" i="5"/>
  <c r="O1685" i="5"/>
  <c r="O1686" i="5"/>
  <c r="O1687" i="5"/>
  <c r="O1688" i="5"/>
  <c r="O1689" i="5"/>
  <c r="O1690" i="5"/>
  <c r="O1691" i="5"/>
  <c r="O1692" i="5"/>
  <c r="O1693" i="5"/>
  <c r="O1694" i="5"/>
  <c r="O1695" i="5"/>
  <c r="O1696" i="5"/>
  <c r="O1697" i="5"/>
  <c r="O1698" i="5"/>
  <c r="O1699" i="5"/>
  <c r="O1700" i="5"/>
  <c r="O1701" i="5"/>
  <c r="O1702" i="5"/>
  <c r="O1703" i="5"/>
  <c r="O1704" i="5"/>
  <c r="O1705" i="5"/>
  <c r="O1706" i="5"/>
  <c r="O1707" i="5"/>
  <c r="O1708" i="5"/>
  <c r="O1709" i="5"/>
  <c r="O1710" i="5"/>
  <c r="O1711" i="5"/>
  <c r="O1712" i="5"/>
  <c r="O1713" i="5"/>
  <c r="O1714" i="5"/>
  <c r="O1715" i="5"/>
  <c r="O1716" i="5"/>
  <c r="O1717" i="5"/>
  <c r="O1718" i="5"/>
  <c r="O1719" i="5"/>
  <c r="O1720" i="5"/>
  <c r="O1721" i="5"/>
  <c r="O1722" i="5"/>
  <c r="O1723" i="5"/>
  <c r="O1724" i="5"/>
  <c r="O1725" i="5"/>
  <c r="O1726" i="5"/>
  <c r="O1727" i="5"/>
  <c r="O1728" i="5"/>
  <c r="O1729" i="5"/>
  <c r="O1730" i="5"/>
  <c r="O1731" i="5"/>
  <c r="O1732" i="5"/>
  <c r="O1733" i="5"/>
  <c r="O1734" i="5"/>
  <c r="O1735" i="5"/>
  <c r="O1736" i="5"/>
  <c r="O1737" i="5"/>
  <c r="O1738" i="5"/>
  <c r="O1739" i="5"/>
  <c r="O1740" i="5"/>
  <c r="O1741" i="5"/>
  <c r="O1742" i="5"/>
  <c r="O1743" i="5"/>
  <c r="O1744" i="5"/>
  <c r="O1745" i="5"/>
  <c r="O1746" i="5"/>
  <c r="O1747" i="5"/>
  <c r="O1748" i="5"/>
  <c r="O1749" i="5"/>
  <c r="O1750" i="5"/>
  <c r="O1751" i="5"/>
  <c r="O1752" i="5"/>
  <c r="O1753" i="5"/>
  <c r="O1754" i="5"/>
  <c r="O1755" i="5"/>
  <c r="O1756" i="5"/>
  <c r="O1757" i="5"/>
  <c r="O1758" i="5"/>
  <c r="O1759" i="5"/>
  <c r="O1760" i="5"/>
  <c r="O1761" i="5"/>
  <c r="O1762" i="5"/>
  <c r="O1763" i="5"/>
  <c r="O1764" i="5"/>
  <c r="O1765" i="5"/>
  <c r="O1766" i="5"/>
  <c r="O1767" i="5"/>
  <c r="O1768" i="5"/>
  <c r="O1769" i="5"/>
  <c r="O1770" i="5"/>
  <c r="O1771" i="5"/>
  <c r="O1772" i="5"/>
  <c r="O1773" i="5"/>
  <c r="O1774" i="5"/>
  <c r="O1775" i="5"/>
  <c r="O1776" i="5"/>
  <c r="O1777" i="5"/>
  <c r="O1112" i="5"/>
  <c r="O1118" i="5"/>
  <c r="O1778" i="5"/>
  <c r="O1779" i="5"/>
  <c r="O1780" i="5"/>
  <c r="O1781" i="5"/>
  <c r="O1146" i="5"/>
  <c r="O1782" i="5"/>
  <c r="O1783" i="5"/>
  <c r="O1784" i="5"/>
  <c r="O1785" i="5"/>
  <c r="O1169" i="5"/>
  <c r="O1786" i="5"/>
  <c r="O1787" i="5"/>
  <c r="O1184" i="5"/>
  <c r="O1788" i="5"/>
  <c r="O1789" i="5"/>
  <c r="O1198" i="5"/>
  <c r="O1790" i="5"/>
  <c r="O1207" i="5"/>
  <c r="O1791" i="5"/>
  <c r="O1792" i="5"/>
  <c r="O1219" i="5"/>
  <c r="O1224" i="5"/>
  <c r="O1793" i="5"/>
  <c r="O1794" i="5"/>
  <c r="O1795" i="5"/>
  <c r="O1796" i="5"/>
  <c r="O1797" i="5"/>
  <c r="O1798" i="5"/>
  <c r="O1799" i="5"/>
  <c r="O1800" i="5"/>
  <c r="O1801" i="5"/>
  <c r="O1245" i="5"/>
  <c r="O1802" i="5"/>
  <c r="O1803" i="5"/>
  <c r="O1804" i="5"/>
  <c r="O1805" i="5"/>
  <c r="O1806" i="5"/>
  <c r="O1807" i="5"/>
  <c r="O1808" i="5"/>
  <c r="O1809" i="5"/>
  <c r="O1810" i="5"/>
  <c r="O1811" i="5"/>
  <c r="O1812" i="5"/>
  <c r="O1813" i="5"/>
  <c r="O1814" i="5"/>
  <c r="O1815" i="5"/>
  <c r="O1816" i="5"/>
  <c r="O1817" i="5"/>
  <c r="O1818" i="5"/>
  <c r="O1819" i="5"/>
  <c r="O1820" i="5"/>
  <c r="O1821" i="5"/>
  <c r="O1822" i="5"/>
  <c r="O1823" i="5"/>
  <c r="O1824" i="5"/>
  <c r="O1825" i="5"/>
  <c r="O1826" i="5"/>
  <c r="O1827" i="5"/>
  <c r="O1828" i="5"/>
  <c r="O1829" i="5"/>
  <c r="O1830" i="5"/>
  <c r="O1831" i="5"/>
  <c r="O1832" i="5"/>
  <c r="O1833" i="5"/>
  <c r="O1834" i="5"/>
  <c r="O1835" i="5"/>
  <c r="O1836" i="5"/>
  <c r="O1837" i="5"/>
  <c r="O1838" i="5"/>
  <c r="O1839" i="5"/>
  <c r="O1840" i="5"/>
  <c r="O1841" i="5"/>
  <c r="O1842" i="5"/>
  <c r="O1843" i="5"/>
  <c r="O1844" i="5"/>
  <c r="O1845" i="5"/>
  <c r="O1846" i="5"/>
  <c r="O1847" i="5"/>
  <c r="O1848" i="5"/>
  <c r="O1849" i="5"/>
  <c r="O1850" i="5"/>
  <c r="O1851" i="5"/>
  <c r="O1852" i="5"/>
  <c r="O1853" i="5"/>
  <c r="O1854" i="5"/>
  <c r="O1855" i="5"/>
  <c r="O1856" i="5"/>
  <c r="O1857" i="5"/>
  <c r="O1858" i="5"/>
  <c r="O1859" i="5"/>
  <c r="O1860" i="5"/>
  <c r="O1861" i="5"/>
  <c r="O1862" i="5"/>
  <c r="O1863" i="5"/>
  <c r="O1864" i="5"/>
  <c r="O1865" i="5"/>
  <c r="O1866" i="5"/>
  <c r="O1867" i="5"/>
  <c r="O1868" i="5"/>
  <c r="O1869" i="5"/>
  <c r="O1870" i="5"/>
  <c r="O1871" i="5"/>
  <c r="O1872" i="5"/>
  <c r="O1873" i="5"/>
  <c r="O1874" i="5"/>
  <c r="O1875" i="5"/>
  <c r="O1876" i="5"/>
  <c r="O1877" i="5"/>
  <c r="O1878" i="5"/>
  <c r="O1879" i="5"/>
  <c r="O1880" i="5"/>
  <c r="O1881" i="5"/>
  <c r="O1882" i="5"/>
  <c r="O1883" i="5"/>
  <c r="O1884" i="5"/>
  <c r="O1885" i="5"/>
  <c r="O1886" i="5"/>
  <c r="O1887" i="5"/>
  <c r="O1888" i="5"/>
  <c r="O1889" i="5"/>
  <c r="O1890" i="5"/>
  <c r="O1891" i="5"/>
  <c r="O1892" i="5"/>
  <c r="O1893" i="5"/>
  <c r="O1894" i="5"/>
  <c r="O1895" i="5"/>
  <c r="O1896" i="5"/>
  <c r="O1897" i="5"/>
  <c r="O1898" i="5"/>
  <c r="O1899" i="5"/>
  <c r="O1900" i="5"/>
  <c r="O1901" i="5"/>
  <c r="O1902" i="5"/>
  <c r="O1903" i="5"/>
  <c r="O1904" i="5"/>
  <c r="O1905" i="5"/>
  <c r="O1906" i="5"/>
  <c r="O1365" i="5"/>
  <c r="O1907" i="5"/>
  <c r="O1908" i="5"/>
  <c r="O1909" i="5"/>
  <c r="O1910" i="5"/>
  <c r="O1371" i="5"/>
  <c r="O1911" i="5"/>
  <c r="O1912" i="5"/>
  <c r="O1913" i="5"/>
  <c r="O1914" i="5"/>
  <c r="O1915" i="5"/>
  <c r="O1916" i="5"/>
  <c r="O1917" i="5"/>
  <c r="O1918" i="5"/>
  <c r="O1919" i="5"/>
  <c r="O1920" i="5"/>
  <c r="O1921" i="5"/>
  <c r="O1922" i="5"/>
  <c r="O1923" i="5"/>
  <c r="O1924" i="5"/>
  <c r="O1925" i="5"/>
  <c r="O1926" i="5"/>
  <c r="O1927" i="5"/>
  <c r="O1928" i="5"/>
  <c r="O1929" i="5"/>
  <c r="O1930" i="5"/>
  <c r="O1931" i="5"/>
  <c r="O1932" i="5"/>
  <c r="O1933" i="5"/>
  <c r="O1934" i="5"/>
  <c r="O1935" i="5"/>
  <c r="O1936" i="5"/>
  <c r="O1937" i="5"/>
  <c r="O1938" i="5"/>
  <c r="O1939" i="5"/>
  <c r="O1940" i="5"/>
  <c r="O1091" i="5"/>
  <c r="O1095" i="5"/>
  <c r="O1099" i="5"/>
  <c r="O1103" i="5"/>
  <c r="O1107" i="5"/>
  <c r="O1113" i="5"/>
  <c r="O1119" i="5"/>
  <c r="O1123" i="5"/>
  <c r="O1129" i="5"/>
  <c r="O1135" i="5"/>
  <c r="O1140" i="5"/>
  <c r="O1147" i="5"/>
  <c r="O1152" i="5"/>
  <c r="O1156" i="5"/>
  <c r="O1160" i="5"/>
  <c r="O1164" i="5"/>
  <c r="O1170" i="5"/>
  <c r="O1175" i="5"/>
  <c r="O1180" i="5"/>
  <c r="O1185" i="5"/>
  <c r="O1189" i="5"/>
  <c r="O1194" i="5"/>
  <c r="O1199" i="5"/>
  <c r="O1203" i="5"/>
  <c r="O1208" i="5"/>
  <c r="O1212" i="5"/>
  <c r="O1215" i="5"/>
  <c r="O1220" i="5"/>
  <c r="O1225" i="5"/>
  <c r="O1229" i="5"/>
  <c r="O1941" i="5"/>
  <c r="O1942" i="5"/>
  <c r="O1943" i="5"/>
  <c r="O1944" i="5"/>
  <c r="O1945" i="5"/>
  <c r="O1946" i="5"/>
  <c r="O1947" i="5"/>
  <c r="O1948" i="5"/>
  <c r="O1949" i="5"/>
  <c r="O1950" i="5"/>
  <c r="O1951" i="5"/>
  <c r="O1952" i="5"/>
  <c r="O1953" i="5"/>
  <c r="O1253" i="5"/>
  <c r="O1256" i="5"/>
  <c r="O1954" i="5"/>
  <c r="O1955" i="5"/>
  <c r="O1956" i="5"/>
  <c r="O1957" i="5"/>
  <c r="O1958" i="5"/>
  <c r="O1959" i="5"/>
  <c r="O1960" i="5"/>
  <c r="O1961" i="5"/>
  <c r="O1962" i="5"/>
  <c r="O1963" i="5"/>
  <c r="O1964" i="5"/>
  <c r="O1965" i="5"/>
  <c r="O1966" i="5"/>
  <c r="O1967" i="5"/>
  <c r="O1968" i="5"/>
  <c r="O1969" i="5"/>
  <c r="O1970" i="5"/>
  <c r="O1971" i="5"/>
  <c r="O1972" i="5"/>
  <c r="O1973" i="5"/>
  <c r="O1974" i="5"/>
  <c r="O1975" i="5"/>
  <c r="O1976" i="5"/>
  <c r="O1977" i="5"/>
  <c r="O1978" i="5"/>
  <c r="O1979" i="5"/>
  <c r="O1980" i="5"/>
  <c r="O1981" i="5"/>
  <c r="O1982" i="5"/>
  <c r="O1983" i="5"/>
  <c r="O1984" i="5"/>
  <c r="O1985" i="5"/>
  <c r="O1986" i="5"/>
  <c r="O1987" i="5"/>
  <c r="O1988" i="5"/>
  <c r="O1989" i="5"/>
  <c r="O1990" i="5"/>
  <c r="O1991" i="5"/>
  <c r="O1992" i="5"/>
  <c r="O1993" i="5"/>
  <c r="O1994" i="5"/>
  <c r="O1995" i="5"/>
  <c r="O1996" i="5"/>
  <c r="O1997" i="5"/>
  <c r="O1998" i="5"/>
  <c r="O1999" i="5"/>
  <c r="O2000" i="5"/>
  <c r="O2001" i="5"/>
  <c r="O2002" i="5"/>
  <c r="O2003" i="5"/>
  <c r="O2004" i="5"/>
  <c r="O2005" i="5"/>
  <c r="O2006" i="5"/>
  <c r="O2007" i="5"/>
  <c r="O2008" i="5"/>
  <c r="O1316" i="5"/>
  <c r="O1350" i="5"/>
  <c r="O2038" i="5"/>
  <c r="O2039" i="5"/>
  <c r="O2040" i="5"/>
  <c r="O2041" i="5"/>
  <c r="O2042" i="5"/>
  <c r="O2043" i="5"/>
  <c r="O2044" i="5"/>
  <c r="O2045" i="5"/>
  <c r="O2046" i="5"/>
  <c r="O2047" i="5"/>
  <c r="O2048" i="5"/>
  <c r="O2049" i="5"/>
  <c r="O2050" i="5"/>
  <c r="O2051" i="5"/>
  <c r="O2052" i="5"/>
  <c r="O2053" i="5"/>
  <c r="O2054" i="5"/>
  <c r="O2055" i="5"/>
  <c r="O2056" i="5"/>
  <c r="O1092" i="5"/>
  <c r="O1096" i="5"/>
  <c r="O1100" i="5"/>
  <c r="O1104" i="5"/>
  <c r="O1108" i="5"/>
  <c r="O1114" i="5"/>
  <c r="O1120" i="5"/>
  <c r="O1124" i="5"/>
  <c r="O1130" i="5"/>
  <c r="O1136" i="5"/>
  <c r="O1141" i="5"/>
  <c r="O1148" i="5"/>
  <c r="O1153" i="5"/>
  <c r="O1157" i="5"/>
  <c r="O1161" i="5"/>
  <c r="O1165" i="5"/>
  <c r="O1171" i="5"/>
  <c r="O1176" i="5"/>
  <c r="O1181" i="5"/>
  <c r="O1186" i="5"/>
  <c r="O1190" i="5"/>
  <c r="O1195" i="5"/>
  <c r="O1200" i="5"/>
  <c r="O1204" i="5"/>
  <c r="O1209" i="5"/>
  <c r="O1213" i="5"/>
  <c r="O1216" i="5"/>
  <c r="O1221" i="5"/>
  <c r="O1226" i="5"/>
  <c r="O1230" i="5"/>
  <c r="O2057" i="5"/>
  <c r="O1233" i="5"/>
  <c r="O1235" i="5"/>
  <c r="O2058" i="5"/>
  <c r="O2059" i="5"/>
  <c r="O2060" i="5"/>
  <c r="O2061" i="5"/>
  <c r="O2062" i="5"/>
  <c r="O1246" i="5"/>
  <c r="O2063" i="5"/>
  <c r="O2064" i="5"/>
  <c r="O2065" i="5"/>
  <c r="O2066" i="5"/>
  <c r="O1254" i="5"/>
  <c r="O2067" i="5"/>
  <c r="O2068" i="5"/>
  <c r="O2069" i="5"/>
  <c r="O1260" i="5"/>
  <c r="O2070" i="5"/>
  <c r="O2071" i="5"/>
  <c r="O2072" i="5"/>
  <c r="O2073" i="5"/>
  <c r="O2074" i="5"/>
  <c r="O2075" i="5"/>
  <c r="O2076" i="5"/>
  <c r="O2077" i="5"/>
  <c r="O1271" i="5"/>
  <c r="O2078" i="5"/>
  <c r="O2079" i="5"/>
  <c r="O2080" i="5"/>
  <c r="O2081" i="5"/>
  <c r="O2082" i="5"/>
  <c r="O2083" i="5"/>
  <c r="O2084" i="5"/>
  <c r="O2085" i="5"/>
  <c r="O2086" i="5"/>
  <c r="O2087" i="5"/>
  <c r="O2088" i="5"/>
  <c r="O2089" i="5"/>
  <c r="O2090" i="5"/>
  <c r="O2091" i="5"/>
  <c r="O2092" i="5"/>
  <c r="O2093" i="5"/>
  <c r="O2094" i="5"/>
  <c r="O2095" i="5"/>
  <c r="O2096" i="5"/>
  <c r="O2097" i="5"/>
  <c r="O2098" i="5"/>
  <c r="O2099" i="5"/>
  <c r="O2100" i="5"/>
  <c r="O2101" i="5"/>
  <c r="O2102" i="5"/>
  <c r="O2103" i="5"/>
  <c r="O2104" i="5"/>
  <c r="O2105" i="5"/>
  <c r="O2106" i="5"/>
  <c r="O2107" i="5"/>
  <c r="O2108" i="5"/>
  <c r="O2109" i="5"/>
  <c r="O2110" i="5"/>
  <c r="O2111" i="5"/>
  <c r="O2112" i="5"/>
  <c r="O2113" i="5"/>
  <c r="O2114" i="5"/>
  <c r="O2115" i="5"/>
  <c r="O2116" i="5"/>
  <c r="O2117" i="5"/>
  <c r="O2118" i="5"/>
  <c r="O2119" i="5"/>
  <c r="O2120" i="5"/>
  <c r="O2121" i="5"/>
  <c r="O2122" i="5"/>
  <c r="O2123" i="5"/>
  <c r="O2124" i="5"/>
  <c r="O2125" i="5"/>
  <c r="O2126" i="5"/>
  <c r="O2127" i="5"/>
  <c r="O2128" i="5"/>
  <c r="O2129" i="5"/>
  <c r="O2130" i="5"/>
  <c r="O2131" i="5"/>
  <c r="O2132" i="5"/>
  <c r="O2133" i="5"/>
  <c r="O2134" i="5"/>
  <c r="O2135" i="5"/>
  <c r="O2136" i="5"/>
  <c r="O2137" i="5"/>
  <c r="O2138" i="5"/>
  <c r="O2139" i="5"/>
  <c r="O2140" i="5"/>
  <c r="O2141" i="5"/>
  <c r="O2142" i="5"/>
  <c r="O2143" i="5"/>
  <c r="O2144" i="5"/>
  <c r="O2145" i="5"/>
  <c r="O2146" i="5"/>
  <c r="O2147" i="5"/>
  <c r="O1345" i="5"/>
  <c r="O1347" i="5"/>
  <c r="O2148" i="5"/>
  <c r="O2149" i="5"/>
  <c r="O2150" i="5"/>
  <c r="O2151" i="5"/>
  <c r="O2152" i="5"/>
  <c r="O2153" i="5"/>
  <c r="O2154" i="5"/>
  <c r="O2155" i="5"/>
  <c r="O2156" i="5"/>
  <c r="O2157" i="5"/>
  <c r="O2158" i="5"/>
  <c r="O2159" i="5"/>
  <c r="O2160" i="5"/>
  <c r="O2161" i="5"/>
  <c r="O2162" i="5"/>
  <c r="O2163" i="5"/>
  <c r="O2164" i="5"/>
  <c r="O2165" i="5"/>
  <c r="O2166" i="5"/>
  <c r="O2167" i="5"/>
  <c r="O2168" i="5"/>
  <c r="O2169" i="5"/>
  <c r="O2170" i="5"/>
  <c r="O2171" i="5"/>
  <c r="O2172" i="5"/>
  <c r="O2173" i="5"/>
  <c r="O2174" i="5"/>
  <c r="O2175" i="5"/>
  <c r="O2176" i="5"/>
  <c r="O2177" i="5"/>
  <c r="O2178" i="5"/>
  <c r="O2179" i="5"/>
  <c r="E24" i="14" l="1"/>
  <c r="D24" i="14"/>
  <c r="O15" i="5"/>
  <c r="E2167" i="5" l="1"/>
  <c r="E2168" i="5"/>
  <c r="E2165" i="5"/>
  <c r="E2166" i="5"/>
  <c r="E2157" i="5"/>
  <c r="E2158" i="5"/>
  <c r="E2159" i="5"/>
  <c r="E2160" i="5"/>
  <c r="E2161" i="5"/>
  <c r="E2162" i="5"/>
  <c r="E2163" i="5"/>
  <c r="E2164" i="5"/>
  <c r="E2142" i="5"/>
  <c r="E2143" i="5"/>
  <c r="E2144" i="5"/>
  <c r="E2145" i="5"/>
  <c r="E2146" i="5"/>
  <c r="E2147" i="5"/>
  <c r="E1345" i="5"/>
  <c r="E1347" i="5"/>
  <c r="E2148" i="5"/>
  <c r="E2149" i="5"/>
  <c r="E2150" i="5"/>
  <c r="E2151" i="5"/>
  <c r="E2152" i="5"/>
  <c r="E2153" i="5"/>
  <c r="E2154" i="5"/>
  <c r="E2155" i="5"/>
  <c r="E2156" i="5"/>
  <c r="E2141" i="5"/>
  <c r="E2133" i="5"/>
  <c r="E2134" i="5"/>
  <c r="E2135" i="5"/>
  <c r="E2136" i="5"/>
  <c r="E2137" i="5"/>
  <c r="E2138" i="5"/>
  <c r="E2139" i="5"/>
  <c r="E2140" i="5"/>
  <c r="E2112" i="5"/>
  <c r="E2113" i="5"/>
  <c r="E2114" i="5"/>
  <c r="E2115" i="5"/>
  <c r="E2116" i="5"/>
  <c r="E2117" i="5"/>
  <c r="E2118" i="5"/>
  <c r="E2119" i="5"/>
  <c r="E2120" i="5"/>
  <c r="E2121" i="5"/>
  <c r="E2122" i="5"/>
  <c r="E2123" i="5"/>
  <c r="E2124" i="5"/>
  <c r="E2125" i="5"/>
  <c r="E2126" i="5"/>
  <c r="E2127" i="5"/>
  <c r="E2128" i="5"/>
  <c r="E2129" i="5"/>
  <c r="E2130" i="5"/>
  <c r="E2131" i="5"/>
  <c r="E2132" i="5"/>
  <c r="E2111" i="5"/>
  <c r="E2109" i="5"/>
  <c r="E2110" i="5"/>
  <c r="E2103" i="5"/>
  <c r="E2104" i="5"/>
  <c r="E2105" i="5"/>
  <c r="E2106" i="5"/>
  <c r="E2107" i="5"/>
  <c r="E2108" i="5"/>
  <c r="E2082" i="5"/>
  <c r="E2083" i="5"/>
  <c r="E2084" i="5"/>
  <c r="E2085" i="5"/>
  <c r="E2086" i="5"/>
  <c r="E2087" i="5"/>
  <c r="E2088" i="5"/>
  <c r="E2089" i="5"/>
  <c r="E2090" i="5"/>
  <c r="E2091" i="5"/>
  <c r="E2092" i="5"/>
  <c r="E2093" i="5"/>
  <c r="E2094" i="5"/>
  <c r="E2095" i="5"/>
  <c r="E2096" i="5"/>
  <c r="E2097" i="5"/>
  <c r="E2098" i="5"/>
  <c r="E2099" i="5"/>
  <c r="E2100" i="5"/>
  <c r="E2101" i="5"/>
  <c r="E2102" i="5"/>
  <c r="E2081" i="5"/>
  <c r="E2078" i="5"/>
  <c r="E2079" i="5"/>
  <c r="E2080" i="5"/>
  <c r="E2073" i="5"/>
  <c r="E2074" i="5"/>
  <c r="E2075" i="5"/>
  <c r="E2076" i="5"/>
  <c r="E2077" i="5"/>
  <c r="E1271" i="5"/>
  <c r="E2068" i="5"/>
  <c r="E2069" i="5"/>
  <c r="E1260" i="5"/>
  <c r="E2070" i="5"/>
  <c r="E2071" i="5"/>
  <c r="E2072" i="5"/>
  <c r="E1233" i="5"/>
  <c r="E1235" i="5"/>
  <c r="E2058" i="5"/>
  <c r="E2059" i="5"/>
  <c r="E2060" i="5"/>
  <c r="E2061" i="5"/>
  <c r="E2062" i="5"/>
  <c r="E1246" i="5"/>
  <c r="E2063" i="5"/>
  <c r="E2064" i="5"/>
  <c r="E2065" i="5"/>
  <c r="E2066" i="5"/>
  <c r="E1254" i="5"/>
  <c r="E2067" i="5"/>
  <c r="E2057" i="5"/>
  <c r="E1230" i="5"/>
  <c r="E1209" i="5"/>
  <c r="E1213" i="5"/>
  <c r="E1216" i="5"/>
  <c r="E1221" i="5"/>
  <c r="E1226" i="5"/>
  <c r="E1181" i="5"/>
  <c r="E1186" i="5"/>
  <c r="E1190" i="5"/>
  <c r="E1195" i="5"/>
  <c r="E1200" i="5"/>
  <c r="E1204" i="5"/>
  <c r="E1096" i="5"/>
  <c r="E1100" i="5"/>
  <c r="E1104" i="5"/>
  <c r="E1108" i="5"/>
  <c r="E1114" i="5"/>
  <c r="E1120" i="5"/>
  <c r="E1124" i="5"/>
  <c r="E1130" i="5"/>
  <c r="E1136" i="5"/>
  <c r="E1141" i="5"/>
  <c r="E1148" i="5"/>
  <c r="E1153" i="5"/>
  <c r="E1157" i="5"/>
  <c r="E1161" i="5"/>
  <c r="E1165" i="5"/>
  <c r="E1171" i="5"/>
  <c r="E1176" i="5"/>
  <c r="E1092" i="5"/>
  <c r="E1350" i="5"/>
  <c r="E2038" i="5"/>
  <c r="E2039" i="5"/>
  <c r="E2040" i="5"/>
  <c r="E2041" i="5"/>
  <c r="E2042" i="5"/>
  <c r="E2043" i="5"/>
  <c r="E2044" i="5"/>
  <c r="E2045" i="5"/>
  <c r="E2046" i="5"/>
  <c r="E2047" i="5"/>
  <c r="E2048" i="5"/>
  <c r="E2049" i="5"/>
  <c r="E2050" i="5"/>
  <c r="E2051" i="5"/>
  <c r="E2052" i="5"/>
  <c r="E2053" i="5"/>
  <c r="E2054" i="5"/>
  <c r="E2055" i="5"/>
  <c r="E2056" i="5"/>
  <c r="E2000" i="5"/>
  <c r="E2001" i="5"/>
  <c r="E2002" i="5"/>
  <c r="E2003" i="5"/>
  <c r="E2004" i="5"/>
  <c r="E2005" i="5"/>
  <c r="E2006" i="5"/>
  <c r="E2007" i="5"/>
  <c r="E2008" i="5"/>
  <c r="E1316" i="5"/>
  <c r="E1999" i="5"/>
  <c r="E1994" i="5"/>
  <c r="E1995" i="5"/>
  <c r="E1996" i="5"/>
  <c r="E1997" i="5"/>
  <c r="E1998" i="5"/>
  <c r="E1990" i="5"/>
  <c r="E1991" i="5"/>
  <c r="E1992" i="5"/>
  <c r="E1993" i="5"/>
  <c r="E1978" i="5"/>
  <c r="E1979" i="5"/>
  <c r="E1980" i="5"/>
  <c r="E1981" i="5"/>
  <c r="E1982" i="5"/>
  <c r="E1983" i="5"/>
  <c r="E1984" i="5"/>
  <c r="E1985" i="5"/>
  <c r="E1986" i="5"/>
  <c r="E1987" i="5"/>
  <c r="E1988" i="5"/>
  <c r="E1989" i="5"/>
  <c r="E1970" i="5"/>
  <c r="E1971" i="5"/>
  <c r="E1972" i="5"/>
  <c r="E1973" i="5"/>
  <c r="E1974" i="5"/>
  <c r="E1975" i="5"/>
  <c r="E1976" i="5"/>
  <c r="E1977" i="5"/>
  <c r="E1969" i="5"/>
  <c r="E1942" i="5"/>
  <c r="E1943" i="5"/>
  <c r="E1944" i="5"/>
  <c r="E1945" i="5"/>
  <c r="E1946" i="5"/>
  <c r="E1947" i="5"/>
  <c r="E1948" i="5"/>
  <c r="E1949" i="5"/>
  <c r="E1950" i="5"/>
  <c r="E1951" i="5"/>
  <c r="E1952" i="5"/>
  <c r="E1953" i="5"/>
  <c r="E1253" i="5"/>
  <c r="E1256" i="5"/>
  <c r="E1954" i="5"/>
  <c r="E1955" i="5"/>
  <c r="E1956" i="5"/>
  <c r="E1957" i="5"/>
  <c r="E1958" i="5"/>
  <c r="E1959" i="5"/>
  <c r="E1960" i="5"/>
  <c r="E1961" i="5"/>
  <c r="E1962" i="5"/>
  <c r="E1963" i="5"/>
  <c r="E1964" i="5"/>
  <c r="E1965" i="5"/>
  <c r="E1966" i="5"/>
  <c r="E1967" i="5"/>
  <c r="E1968" i="5"/>
  <c r="E1941" i="5"/>
  <c r="E1095" i="5"/>
  <c r="E1099" i="5"/>
  <c r="E1103" i="5"/>
  <c r="E1107" i="5"/>
  <c r="E1113" i="5"/>
  <c r="E1119" i="5"/>
  <c r="E1123" i="5"/>
  <c r="E1129" i="5"/>
  <c r="E1135" i="5"/>
  <c r="E1140" i="5"/>
  <c r="E1147" i="5"/>
  <c r="E1152" i="5"/>
  <c r="E1156" i="5"/>
  <c r="E1160" i="5"/>
  <c r="E1164" i="5"/>
  <c r="E1170" i="5"/>
  <c r="E1175" i="5"/>
  <c r="E1180" i="5"/>
  <c r="E1185" i="5"/>
  <c r="E1189" i="5"/>
  <c r="E1194" i="5"/>
  <c r="E1199" i="5"/>
  <c r="E1203" i="5"/>
  <c r="E1208" i="5"/>
  <c r="E1212" i="5"/>
  <c r="E1215" i="5"/>
  <c r="E1220" i="5"/>
  <c r="E1225" i="5"/>
  <c r="E1229" i="5"/>
  <c r="E1091" i="5"/>
  <c r="E1936" i="5"/>
  <c r="E1937" i="5"/>
  <c r="E1938" i="5"/>
  <c r="E1939" i="5"/>
  <c r="E1940" i="5"/>
  <c r="E1912" i="5"/>
  <c r="E1913" i="5"/>
  <c r="E1914" i="5"/>
  <c r="E1915" i="5"/>
  <c r="E1916" i="5"/>
  <c r="E1917" i="5"/>
  <c r="E1918" i="5"/>
  <c r="E1919" i="5"/>
  <c r="E1920" i="5"/>
  <c r="E1921" i="5"/>
  <c r="E1922" i="5"/>
  <c r="E1923" i="5"/>
  <c r="E1924" i="5"/>
  <c r="E1925" i="5"/>
  <c r="E1926" i="5"/>
  <c r="E1927" i="5"/>
  <c r="E1928" i="5"/>
  <c r="E1929" i="5"/>
  <c r="E1930" i="5"/>
  <c r="E1931" i="5"/>
  <c r="E1932" i="5"/>
  <c r="E1933" i="5"/>
  <c r="E1934" i="5"/>
  <c r="E1935" i="5"/>
  <c r="E1911" i="5"/>
  <c r="E1904" i="5"/>
  <c r="E1905" i="5"/>
  <c r="E1906" i="5"/>
  <c r="E1365" i="5"/>
  <c r="E1907" i="5"/>
  <c r="E1908" i="5"/>
  <c r="E1909" i="5"/>
  <c r="E1910" i="5"/>
  <c r="E1371" i="5"/>
  <c r="E1884" i="5"/>
  <c r="E1885" i="5"/>
  <c r="E1886" i="5"/>
  <c r="E1887" i="5"/>
  <c r="E1888" i="5"/>
  <c r="E1889" i="5"/>
  <c r="E1890" i="5"/>
  <c r="E1891" i="5"/>
  <c r="E1892" i="5"/>
  <c r="E1893" i="5"/>
  <c r="E1894" i="5"/>
  <c r="E1895" i="5"/>
  <c r="E1896" i="5"/>
  <c r="E1897" i="5"/>
  <c r="E1898" i="5"/>
  <c r="E1899" i="5"/>
  <c r="E1900" i="5"/>
  <c r="E1901" i="5"/>
  <c r="E1902" i="5"/>
  <c r="E1903" i="5"/>
  <c r="E1883" i="5"/>
  <c r="E1881" i="5"/>
  <c r="E1882" i="5"/>
  <c r="E1854" i="5"/>
  <c r="E1855" i="5"/>
  <c r="E1856" i="5"/>
  <c r="E1857" i="5"/>
  <c r="E1858" i="5"/>
  <c r="E1859" i="5"/>
  <c r="E1860" i="5"/>
  <c r="E1861" i="5"/>
  <c r="E1862" i="5"/>
  <c r="E1863" i="5"/>
  <c r="E1864" i="5"/>
  <c r="E1865" i="5"/>
  <c r="E1866" i="5"/>
  <c r="E1867" i="5"/>
  <c r="E1868" i="5"/>
  <c r="E1869" i="5"/>
  <c r="E1870" i="5"/>
  <c r="E1871" i="5"/>
  <c r="E1872" i="5"/>
  <c r="E1873" i="5"/>
  <c r="E1874" i="5"/>
  <c r="E1875" i="5"/>
  <c r="E1876" i="5"/>
  <c r="E1877" i="5"/>
  <c r="E1878" i="5"/>
  <c r="E1879" i="5"/>
  <c r="E1880" i="5"/>
  <c r="E1853" i="5"/>
  <c r="E1824" i="5"/>
  <c r="E1825" i="5"/>
  <c r="E1826" i="5"/>
  <c r="E1827" i="5"/>
  <c r="E1828" i="5"/>
  <c r="E1829" i="5"/>
  <c r="E1830" i="5"/>
  <c r="E1831" i="5"/>
  <c r="E1832" i="5"/>
  <c r="E1833" i="5"/>
  <c r="E1834" i="5"/>
  <c r="E1835" i="5"/>
  <c r="E1836" i="5"/>
  <c r="E1837" i="5"/>
  <c r="E1838" i="5"/>
  <c r="E1839" i="5"/>
  <c r="E1840" i="5"/>
  <c r="E1841" i="5"/>
  <c r="E1842" i="5"/>
  <c r="E1843" i="5"/>
  <c r="E1844" i="5"/>
  <c r="E1845" i="5"/>
  <c r="E1846" i="5"/>
  <c r="E1847" i="5"/>
  <c r="E1848" i="5"/>
  <c r="E1849" i="5"/>
  <c r="E1850" i="5"/>
  <c r="E1851" i="5"/>
  <c r="E1852" i="5"/>
  <c r="E1823" i="5"/>
  <c r="E1821" i="5"/>
  <c r="E1822" i="5"/>
  <c r="E1795" i="5"/>
  <c r="E1796" i="5"/>
  <c r="E1797" i="5"/>
  <c r="E1798" i="5"/>
  <c r="E1799" i="5"/>
  <c r="E1800" i="5"/>
  <c r="E1801" i="5"/>
  <c r="E1245" i="5"/>
  <c r="E1802" i="5"/>
  <c r="E1803" i="5"/>
  <c r="E1804" i="5"/>
  <c r="E1805" i="5"/>
  <c r="E1806" i="5"/>
  <c r="E1807" i="5"/>
  <c r="E1808" i="5"/>
  <c r="E1809" i="5"/>
  <c r="E1810" i="5"/>
  <c r="E1811" i="5"/>
  <c r="E1812" i="5"/>
  <c r="E1813" i="5"/>
  <c r="E1814" i="5"/>
  <c r="E1815" i="5"/>
  <c r="E1816" i="5"/>
  <c r="E1817" i="5"/>
  <c r="E1818" i="5"/>
  <c r="E1819" i="5"/>
  <c r="E1820" i="5"/>
  <c r="E1794" i="5"/>
  <c r="E1774" i="5"/>
  <c r="E1775" i="5"/>
  <c r="E1776" i="5"/>
  <c r="E1777" i="5"/>
  <c r="E1112" i="5"/>
  <c r="E1118" i="5"/>
  <c r="E1778" i="5"/>
  <c r="E1779" i="5"/>
  <c r="E1780" i="5"/>
  <c r="E1781" i="5"/>
  <c r="E1146" i="5"/>
  <c r="E1782" i="5"/>
  <c r="E1783" i="5"/>
  <c r="E1784" i="5"/>
  <c r="E1785" i="5"/>
  <c r="E1169" i="5"/>
  <c r="E1786" i="5"/>
  <c r="E1787" i="5"/>
  <c r="E1184" i="5"/>
  <c r="E1788" i="5"/>
  <c r="E1789" i="5"/>
  <c r="E1198" i="5"/>
  <c r="E1790" i="5"/>
  <c r="E1207" i="5"/>
  <c r="E1791" i="5"/>
  <c r="E1792" i="5"/>
  <c r="E1219" i="5"/>
  <c r="E1224" i="5"/>
  <c r="E1793" i="5"/>
  <c r="E1773" i="5"/>
  <c r="E1771" i="5"/>
  <c r="E1772" i="5"/>
  <c r="E1744" i="5"/>
  <c r="E1745" i="5"/>
  <c r="E1746" i="5"/>
  <c r="E1747" i="5"/>
  <c r="E1748" i="5"/>
  <c r="E1749" i="5"/>
  <c r="E1750" i="5"/>
  <c r="E1751" i="5"/>
  <c r="E1752" i="5"/>
  <c r="E1753" i="5"/>
  <c r="E1754" i="5"/>
  <c r="E1755" i="5"/>
  <c r="E1756" i="5"/>
  <c r="E1757" i="5"/>
  <c r="E1758" i="5"/>
  <c r="E1759" i="5"/>
  <c r="E1760" i="5"/>
  <c r="E1761" i="5"/>
  <c r="E1762" i="5"/>
  <c r="E1763" i="5"/>
  <c r="E1764" i="5"/>
  <c r="E1765" i="5"/>
  <c r="E1766" i="5"/>
  <c r="E1767" i="5"/>
  <c r="E1768" i="5"/>
  <c r="E1769" i="5"/>
  <c r="E1770" i="5"/>
  <c r="E1743" i="5"/>
  <c r="E1714" i="5"/>
  <c r="E1715" i="5"/>
  <c r="E1716" i="5"/>
  <c r="E1717" i="5"/>
  <c r="E1718" i="5"/>
  <c r="E1719" i="5"/>
  <c r="E1720" i="5"/>
  <c r="E1721" i="5"/>
  <c r="E1722" i="5"/>
  <c r="E1723" i="5"/>
  <c r="E1724" i="5"/>
  <c r="E1725" i="5"/>
  <c r="E1726" i="5"/>
  <c r="E1727" i="5"/>
  <c r="E1728" i="5"/>
  <c r="E1729" i="5"/>
  <c r="E1730" i="5"/>
  <c r="E1731" i="5"/>
  <c r="E1732" i="5"/>
  <c r="E1733" i="5"/>
  <c r="E1734" i="5"/>
  <c r="E1735" i="5"/>
  <c r="E1736" i="5"/>
  <c r="E1737" i="5"/>
  <c r="E1738" i="5"/>
  <c r="E1739" i="5"/>
  <c r="E1740" i="5"/>
  <c r="E1741" i="5"/>
  <c r="E1742" i="5"/>
  <c r="E1713" i="5"/>
  <c r="E1712" i="5"/>
  <c r="E1705" i="5"/>
  <c r="E1706" i="5"/>
  <c r="E1707" i="5"/>
  <c r="E1708" i="5"/>
  <c r="E1709" i="5"/>
  <c r="E1710" i="5"/>
  <c r="E1711" i="5"/>
  <c r="E1684" i="5"/>
  <c r="E1685" i="5"/>
  <c r="E1686" i="5"/>
  <c r="E1687" i="5"/>
  <c r="E1688" i="5"/>
  <c r="E1689" i="5"/>
  <c r="E1690" i="5"/>
  <c r="E1691" i="5"/>
  <c r="E1692" i="5"/>
  <c r="E1693" i="5"/>
  <c r="E1694" i="5"/>
  <c r="E1695" i="5"/>
  <c r="E1696" i="5"/>
  <c r="E1697" i="5"/>
  <c r="E1698" i="5"/>
  <c r="E1699" i="5"/>
  <c r="E1700" i="5"/>
  <c r="E1701" i="5"/>
  <c r="E1702" i="5"/>
  <c r="E1703" i="5"/>
  <c r="E1704" i="5"/>
  <c r="E1683" i="5"/>
  <c r="E1681" i="5"/>
  <c r="E1682" i="5"/>
  <c r="E1673" i="5"/>
  <c r="E1674" i="5"/>
  <c r="E1675" i="5"/>
  <c r="E1676" i="5"/>
  <c r="E1677" i="5"/>
  <c r="E1678" i="5"/>
  <c r="E1679" i="5"/>
  <c r="E1680" i="5"/>
  <c r="E1654" i="5"/>
  <c r="E1655" i="5"/>
  <c r="E1656" i="5"/>
  <c r="E1657" i="5"/>
  <c r="E1658" i="5"/>
  <c r="E1659" i="5"/>
  <c r="E1660" i="5"/>
  <c r="E1661" i="5"/>
  <c r="E1662" i="5"/>
  <c r="E1663" i="5"/>
  <c r="E1664" i="5"/>
  <c r="E1665" i="5"/>
  <c r="E1666" i="5"/>
  <c r="E1667" i="5"/>
  <c r="E1668" i="5"/>
  <c r="E1669" i="5"/>
  <c r="E1670" i="5"/>
  <c r="E1671" i="5"/>
  <c r="E1672" i="5"/>
  <c r="E1653" i="5"/>
  <c r="E1652" i="5"/>
  <c r="E1649" i="5"/>
  <c r="E1650" i="5"/>
  <c r="E1651" i="5"/>
  <c r="E1644" i="5"/>
  <c r="E1645" i="5"/>
  <c r="E1646" i="5"/>
  <c r="E1647" i="5"/>
  <c r="E1648" i="5"/>
  <c r="E1633" i="5"/>
  <c r="E1634" i="5"/>
  <c r="E1635" i="5"/>
  <c r="E1636" i="5"/>
  <c r="E1111" i="5"/>
  <c r="E1117" i="5"/>
  <c r="E1637" i="5"/>
  <c r="E1128" i="5"/>
  <c r="E1134" i="5"/>
  <c r="E1139" i="5"/>
  <c r="E1145" i="5"/>
  <c r="E1638" i="5"/>
  <c r="E1639" i="5"/>
  <c r="E1640" i="5"/>
  <c r="E1641" i="5"/>
  <c r="E1168" i="5"/>
  <c r="E1174" i="5"/>
  <c r="E1179" i="5"/>
  <c r="E1642" i="5"/>
  <c r="E1643" i="5"/>
  <c r="E1632" i="5"/>
  <c r="E1603" i="5"/>
  <c r="E1604" i="5"/>
  <c r="E1605" i="5"/>
  <c r="E1606" i="5"/>
  <c r="E1607" i="5"/>
  <c r="E1608" i="5"/>
  <c r="E1609" i="5"/>
  <c r="E1610" i="5"/>
  <c r="E1611" i="5"/>
  <c r="E1612" i="5"/>
  <c r="E1613" i="5"/>
  <c r="E1614" i="5"/>
  <c r="E1615" i="5"/>
  <c r="E1616" i="5"/>
  <c r="E1617" i="5"/>
  <c r="E1618" i="5"/>
  <c r="E1619" i="5"/>
  <c r="E1620" i="5"/>
  <c r="E1621" i="5"/>
  <c r="E1622" i="5"/>
  <c r="E1623" i="5"/>
  <c r="E1624" i="5"/>
  <c r="E1625" i="5"/>
  <c r="E1626" i="5"/>
  <c r="E1627" i="5"/>
  <c r="E1628" i="5"/>
  <c r="E1629" i="5"/>
  <c r="E1630" i="5"/>
  <c r="E1631" i="5"/>
  <c r="E1602" i="5"/>
  <c r="E1573" i="5"/>
  <c r="E1574" i="5"/>
  <c r="E1575" i="5"/>
  <c r="E1576" i="5"/>
  <c r="E1577" i="5"/>
  <c r="E1578" i="5"/>
  <c r="E1579" i="5"/>
  <c r="E1580" i="5"/>
  <c r="E1581" i="5"/>
  <c r="E1582" i="5"/>
  <c r="E1583" i="5"/>
  <c r="E1584" i="5"/>
  <c r="E1585" i="5"/>
  <c r="E1586" i="5"/>
  <c r="E1587" i="5"/>
  <c r="E1588" i="5"/>
  <c r="E1589" i="5"/>
  <c r="E1590" i="5"/>
  <c r="E1591" i="5"/>
  <c r="E1592" i="5"/>
  <c r="E1593" i="5"/>
  <c r="E1594" i="5"/>
  <c r="E1595" i="5"/>
  <c r="E1596" i="5"/>
  <c r="E1597" i="5"/>
  <c r="E1598" i="5"/>
  <c r="E1599" i="5"/>
  <c r="E1600" i="5"/>
  <c r="E1601" i="5"/>
  <c r="E1572" i="5"/>
  <c r="E1569" i="5"/>
  <c r="E1570" i="5"/>
  <c r="E1571" i="5"/>
  <c r="E1543" i="5"/>
  <c r="E1544" i="5"/>
  <c r="E1545" i="5"/>
  <c r="E1546" i="5"/>
  <c r="E1547" i="5"/>
  <c r="E1548" i="5"/>
  <c r="E1549" i="5"/>
  <c r="E1550" i="5"/>
  <c r="E1551" i="5"/>
  <c r="E1552" i="5"/>
  <c r="E1553" i="5"/>
  <c r="E1554" i="5"/>
  <c r="E1555" i="5"/>
  <c r="E1556" i="5"/>
  <c r="E1557" i="5"/>
  <c r="E1558" i="5"/>
  <c r="E1559" i="5"/>
  <c r="E1560" i="5"/>
  <c r="E1561" i="5"/>
  <c r="E1562" i="5"/>
  <c r="E1563" i="5"/>
  <c r="E1564" i="5"/>
  <c r="E1565" i="5"/>
  <c r="E1566" i="5"/>
  <c r="E1567" i="5"/>
  <c r="E1568" i="5"/>
  <c r="E1542" i="5"/>
  <c r="E1538" i="5"/>
  <c r="E1539" i="5"/>
  <c r="E1540" i="5"/>
  <c r="E1541" i="5"/>
  <c r="E1532" i="5"/>
  <c r="E1533" i="5"/>
  <c r="E1534" i="5"/>
  <c r="E1535" i="5"/>
  <c r="E1536" i="5"/>
  <c r="E1537" i="5"/>
  <c r="E1513" i="5"/>
  <c r="E1514" i="5"/>
  <c r="E1515" i="5"/>
  <c r="E1516" i="5"/>
  <c r="E1517" i="5"/>
  <c r="E1518" i="5"/>
  <c r="E1519" i="5"/>
  <c r="E1520" i="5"/>
  <c r="E1521" i="5"/>
  <c r="E1522" i="5"/>
  <c r="E1523" i="5"/>
  <c r="E1524" i="5"/>
  <c r="E1525" i="5"/>
  <c r="E1526" i="5"/>
  <c r="E1527" i="5"/>
  <c r="E1528" i="5"/>
  <c r="E1529" i="5"/>
  <c r="E1530" i="5"/>
  <c r="E1531" i="5"/>
  <c r="E1512" i="5"/>
  <c r="E1488" i="5"/>
  <c r="E1489" i="5"/>
  <c r="E1490" i="5"/>
  <c r="E1491" i="5"/>
  <c r="E1492" i="5"/>
  <c r="E1493" i="5"/>
  <c r="E1494" i="5"/>
  <c r="E1127" i="5"/>
  <c r="E1133" i="5"/>
  <c r="E1495" i="5"/>
  <c r="E1144" i="5"/>
  <c r="E1151" i="5"/>
  <c r="E1496" i="5"/>
  <c r="E1497" i="5"/>
  <c r="E1498" i="5"/>
  <c r="E1499" i="5"/>
  <c r="E1500" i="5"/>
  <c r="E1501" i="5"/>
  <c r="E1502" i="5"/>
  <c r="E1503" i="5"/>
  <c r="E1193" i="5"/>
  <c r="E1504" i="5"/>
  <c r="E1505" i="5"/>
  <c r="E1506" i="5"/>
  <c r="E1507" i="5"/>
  <c r="E1508" i="5"/>
  <c r="E1509" i="5"/>
  <c r="E1510" i="5"/>
  <c r="E1511" i="5"/>
  <c r="E1487" i="5"/>
  <c r="E1458" i="5"/>
  <c r="E1459" i="5"/>
  <c r="E1460" i="5"/>
  <c r="E1461" i="5"/>
  <c r="E1462" i="5"/>
  <c r="E1463" i="5"/>
  <c r="E1464" i="5"/>
  <c r="E1465" i="5"/>
  <c r="E1466" i="5"/>
  <c r="E1467" i="5"/>
  <c r="E1468" i="5"/>
  <c r="E1469" i="5"/>
  <c r="E1470" i="5"/>
  <c r="E1471" i="5"/>
  <c r="E1472" i="5"/>
  <c r="E1473" i="5"/>
  <c r="E1474" i="5"/>
  <c r="E1475" i="5"/>
  <c r="E1476" i="5"/>
  <c r="E1477" i="5"/>
  <c r="E1478" i="5"/>
  <c r="E1479" i="5"/>
  <c r="E1480" i="5"/>
  <c r="E1481" i="5"/>
  <c r="E1482" i="5"/>
  <c r="E1483" i="5"/>
  <c r="E1484" i="5"/>
  <c r="E1485" i="5"/>
  <c r="E1486" i="5"/>
  <c r="E1457" i="5"/>
  <c r="E1429" i="5"/>
  <c r="E1430" i="5"/>
  <c r="E1431" i="5"/>
  <c r="E1432" i="5"/>
  <c r="E1433" i="5"/>
  <c r="E1434" i="5"/>
  <c r="E1435" i="5"/>
  <c r="E1436" i="5"/>
  <c r="E1437" i="5"/>
  <c r="E1438" i="5"/>
  <c r="E1439" i="5"/>
  <c r="E1319" i="5"/>
  <c r="E1440" i="5"/>
  <c r="E1441" i="5"/>
  <c r="E1442" i="5"/>
  <c r="E1443" i="5"/>
  <c r="E1444" i="5"/>
  <c r="E1445" i="5"/>
  <c r="E1446" i="5"/>
  <c r="E1447" i="5"/>
  <c r="E1448" i="5"/>
  <c r="E1449" i="5"/>
  <c r="E1450" i="5"/>
  <c r="E1451" i="5"/>
  <c r="E1452" i="5"/>
  <c r="E1453" i="5"/>
  <c r="E1454" i="5"/>
  <c r="E1455" i="5"/>
  <c r="E1456" i="5"/>
  <c r="E1428" i="5"/>
  <c r="E1426" i="5"/>
  <c r="E1427" i="5"/>
  <c r="E1419" i="5"/>
  <c r="E1420" i="5"/>
  <c r="E1421" i="5"/>
  <c r="E1422" i="5"/>
  <c r="E1423" i="5"/>
  <c r="E1424" i="5"/>
  <c r="E1425" i="5"/>
  <c r="E1413" i="5"/>
  <c r="E1414" i="5"/>
  <c r="E1415" i="5"/>
  <c r="E1416" i="5"/>
  <c r="E1417" i="5"/>
  <c r="E1418" i="5"/>
  <c r="E1399" i="5"/>
  <c r="E1400" i="5"/>
  <c r="E1401" i="5"/>
  <c r="E1402" i="5"/>
  <c r="E1403" i="5"/>
  <c r="E1404" i="5"/>
  <c r="E1405" i="5"/>
  <c r="E1406" i="5"/>
  <c r="E1407" i="5"/>
  <c r="E1408" i="5"/>
  <c r="E1409" i="5"/>
  <c r="E1410" i="5"/>
  <c r="E1411" i="5"/>
  <c r="E1412" i="5"/>
  <c r="E1398" i="5"/>
  <c r="I44" i="31"/>
  <c r="E1374" i="5" s="1"/>
  <c r="I45" i="31"/>
  <c r="E1375" i="5" s="1"/>
  <c r="I46" i="31"/>
  <c r="E1237" i="5" s="1"/>
  <c r="I47" i="31"/>
  <c r="E1376" i="5" s="1"/>
  <c r="I48" i="31"/>
  <c r="E1377" i="5" s="1"/>
  <c r="I49" i="31"/>
  <c r="E1241" i="5" s="1"/>
  <c r="I50" i="31"/>
  <c r="E1243" i="5" s="1"/>
  <c r="I51" i="31"/>
  <c r="E1378" i="5" s="1"/>
  <c r="I52" i="31"/>
  <c r="E1379" i="5" s="1"/>
  <c r="I53" i="31"/>
  <c r="E1380" i="5" s="1"/>
  <c r="I54" i="31"/>
  <c r="E1250" i="5" s="1"/>
  <c r="I55" i="31"/>
  <c r="E1381" i="5" s="1"/>
  <c r="I56" i="31"/>
  <c r="E1382" i="5" s="1"/>
  <c r="I57" i="31"/>
  <c r="E1383" i="5" s="1"/>
  <c r="I58" i="31"/>
  <c r="E1384" i="5" s="1"/>
  <c r="I59" i="31"/>
  <c r="E1385" i="5" s="1"/>
  <c r="I60" i="31"/>
  <c r="E1386" i="5" s="1"/>
  <c r="I61" i="31"/>
  <c r="E1262" i="5" s="1"/>
  <c r="I62" i="31"/>
  <c r="E1387" i="5" s="1"/>
  <c r="I63" i="31"/>
  <c r="E1388" i="5" s="1"/>
  <c r="I64" i="31"/>
  <c r="E1389" i="5" s="1"/>
  <c r="I65" i="31"/>
  <c r="E1390" i="5" s="1"/>
  <c r="I66" i="31"/>
  <c r="E1391" i="5" s="1"/>
  <c r="I67" i="31"/>
  <c r="E1392" i="5" s="1"/>
  <c r="I68" i="31"/>
  <c r="E1393" i="5" s="1"/>
  <c r="I69" i="31"/>
  <c r="E1394" i="5" s="1"/>
  <c r="I70" i="31"/>
  <c r="E1395" i="5" s="1"/>
  <c r="I71" i="31"/>
  <c r="E1396" i="5" s="1"/>
  <c r="I72" i="31"/>
  <c r="E1397" i="5" s="1"/>
  <c r="I43" i="31"/>
  <c r="E1373" i="5" s="1"/>
  <c r="D44" i="31"/>
  <c r="E1094" i="5" s="1"/>
  <c r="D45" i="31"/>
  <c r="E1098" i="5" s="1"/>
  <c r="D46" i="31"/>
  <c r="E1102" i="5" s="1"/>
  <c r="D47" i="31"/>
  <c r="E1106" i="5" s="1"/>
  <c r="D48" i="31"/>
  <c r="E1110" i="5" s="1"/>
  <c r="D49" i="31"/>
  <c r="E1116" i="5" s="1"/>
  <c r="D50" i="31"/>
  <c r="E1122" i="5" s="1"/>
  <c r="D51" i="31"/>
  <c r="E1126" i="5" s="1"/>
  <c r="D52" i="31"/>
  <c r="E1132" i="5" s="1"/>
  <c r="D53" i="31"/>
  <c r="E1138" i="5" s="1"/>
  <c r="D54" i="31"/>
  <c r="E1143" i="5" s="1"/>
  <c r="D55" i="31"/>
  <c r="E1150" i="5" s="1"/>
  <c r="D56" i="31"/>
  <c r="E1155" i="5" s="1"/>
  <c r="D57" i="31"/>
  <c r="E1159" i="5" s="1"/>
  <c r="D58" i="31"/>
  <c r="E1163" i="5" s="1"/>
  <c r="D59" i="31"/>
  <c r="E1167" i="5" s="1"/>
  <c r="D60" i="31"/>
  <c r="E1173" i="5" s="1"/>
  <c r="D61" i="31"/>
  <c r="E1178" i="5" s="1"/>
  <c r="D62" i="31"/>
  <c r="E1183" i="5" s="1"/>
  <c r="D63" i="31"/>
  <c r="E1188" i="5" s="1"/>
  <c r="D64" i="31"/>
  <c r="E1192" i="5" s="1"/>
  <c r="D65" i="31"/>
  <c r="E1197" i="5" s="1"/>
  <c r="D66" i="31"/>
  <c r="E1202" i="5" s="1"/>
  <c r="D67" i="31"/>
  <c r="E1206" i="5" s="1"/>
  <c r="D68" i="31"/>
  <c r="E1211" i="5" s="1"/>
  <c r="D69" i="31"/>
  <c r="E1372" i="5" s="1"/>
  <c r="D70" i="31"/>
  <c r="E1218" i="5" s="1"/>
  <c r="D71" i="31"/>
  <c r="E1223" i="5" s="1"/>
  <c r="D72" i="31"/>
  <c r="E1228" i="5" s="1"/>
  <c r="D43" i="31"/>
  <c r="E1090" i="5" s="1"/>
  <c r="X12" i="31"/>
  <c r="E1338" i="5" s="1"/>
  <c r="X13" i="31"/>
  <c r="E1339" i="5" s="1"/>
  <c r="X14" i="31"/>
  <c r="E1340" i="5" s="1"/>
  <c r="X15" i="31"/>
  <c r="E1341" i="5" s="1"/>
  <c r="X16" i="31"/>
  <c r="E1342" i="5" s="1"/>
  <c r="X17" i="31"/>
  <c r="E1343" i="5" s="1"/>
  <c r="X18" i="31"/>
  <c r="E1344" i="5" s="1"/>
  <c r="X19" i="31"/>
  <c r="E1346" i="5" s="1"/>
  <c r="X20" i="31"/>
  <c r="E1348" i="5" s="1"/>
  <c r="X21" i="31"/>
  <c r="E1349" i="5" s="1"/>
  <c r="X22" i="31"/>
  <c r="E1351" i="5" s="1"/>
  <c r="X23" i="31"/>
  <c r="E1352" i="5" s="1"/>
  <c r="X24" i="31"/>
  <c r="E1353" i="5" s="1"/>
  <c r="X25" i="31"/>
  <c r="E1354" i="5" s="1"/>
  <c r="X26" i="31"/>
  <c r="E1355" i="5" s="1"/>
  <c r="X27" i="31"/>
  <c r="E1356" i="5" s="1"/>
  <c r="X28" i="31"/>
  <c r="E1357" i="5" s="1"/>
  <c r="X29" i="31"/>
  <c r="E1358" i="5" s="1"/>
  <c r="X30" i="31"/>
  <c r="E1359" i="5" s="1"/>
  <c r="X31" i="31"/>
  <c r="E1360" i="5" s="1"/>
  <c r="X32" i="31"/>
  <c r="E1361" i="5" s="1"/>
  <c r="X33" i="31"/>
  <c r="E1362" i="5" s="1"/>
  <c r="X34" i="31"/>
  <c r="E1363" i="5" s="1"/>
  <c r="X35" i="31"/>
  <c r="E1364" i="5" s="1"/>
  <c r="X36" i="31"/>
  <c r="E1366" i="5" s="1"/>
  <c r="X37" i="31"/>
  <c r="E1367" i="5" s="1"/>
  <c r="X38" i="31"/>
  <c r="E1368" i="5" s="1"/>
  <c r="X39" i="31"/>
  <c r="E1369" i="5" s="1"/>
  <c r="X40" i="31"/>
  <c r="E1370" i="5" s="1"/>
  <c r="X11" i="31"/>
  <c r="E1337" i="5" s="1"/>
  <c r="S12" i="31"/>
  <c r="E1306" i="5" s="1"/>
  <c r="S13" i="31"/>
  <c r="E1307" i="5" s="1"/>
  <c r="S14" i="31"/>
  <c r="E1308" i="5" s="1"/>
  <c r="S15" i="31"/>
  <c r="E1309" i="5" s="1"/>
  <c r="S16" i="31"/>
  <c r="E1310" i="5" s="1"/>
  <c r="S17" i="31"/>
  <c r="E1311" i="5" s="1"/>
  <c r="S18" i="31"/>
  <c r="E1312" i="5" s="1"/>
  <c r="S19" i="31"/>
  <c r="E1313" i="5" s="1"/>
  <c r="S20" i="31"/>
  <c r="E1314" i="5" s="1"/>
  <c r="S21" i="31"/>
  <c r="E1315" i="5" s="1"/>
  <c r="S22" i="31"/>
  <c r="E1317" i="5" s="1"/>
  <c r="S23" i="31"/>
  <c r="E1318" i="5" s="1"/>
  <c r="S24" i="31"/>
  <c r="E1320" i="5" s="1"/>
  <c r="S25" i="31"/>
  <c r="E1321" i="5" s="1"/>
  <c r="S26" i="31"/>
  <c r="E1322" i="5" s="1"/>
  <c r="S27" i="31"/>
  <c r="E1323" i="5" s="1"/>
  <c r="S28" i="31"/>
  <c r="E1324" i="5" s="1"/>
  <c r="S29" i="31"/>
  <c r="E1325" i="5" s="1"/>
  <c r="S30" i="31"/>
  <c r="E1326" i="5" s="1"/>
  <c r="S31" i="31"/>
  <c r="E1327" i="5" s="1"/>
  <c r="S32" i="31"/>
  <c r="E1328" i="5" s="1"/>
  <c r="S33" i="31"/>
  <c r="E1329" i="5" s="1"/>
  <c r="S34" i="31"/>
  <c r="E1330" i="5" s="1"/>
  <c r="S35" i="31"/>
  <c r="E1331" i="5" s="1"/>
  <c r="S36" i="31"/>
  <c r="E1332" i="5" s="1"/>
  <c r="S37" i="31"/>
  <c r="E1333" i="5" s="1"/>
  <c r="S38" i="31"/>
  <c r="E1334" i="5" s="1"/>
  <c r="S39" i="31"/>
  <c r="E1335" i="5" s="1"/>
  <c r="S40" i="31"/>
  <c r="E1336" i="5" s="1"/>
  <c r="S11" i="31"/>
  <c r="E1305" i="5" s="1"/>
  <c r="N12" i="31"/>
  <c r="E1276" i="5" s="1"/>
  <c r="N13" i="31"/>
  <c r="E1277" i="5" s="1"/>
  <c r="N14" i="31"/>
  <c r="E1278" i="5" s="1"/>
  <c r="N15" i="31"/>
  <c r="E1279" i="5" s="1"/>
  <c r="N16" i="31"/>
  <c r="E1280" i="5" s="1"/>
  <c r="N17" i="31"/>
  <c r="E1281" i="5" s="1"/>
  <c r="N18" i="31"/>
  <c r="E1282" i="5" s="1"/>
  <c r="N19" i="31"/>
  <c r="E1283" i="5" s="1"/>
  <c r="N20" i="31"/>
  <c r="E1284" i="5" s="1"/>
  <c r="N21" i="31"/>
  <c r="E1285" i="5" s="1"/>
  <c r="N22" i="31"/>
  <c r="E1286" i="5" s="1"/>
  <c r="N23" i="31"/>
  <c r="E1287" i="5" s="1"/>
  <c r="N24" i="31"/>
  <c r="E1288" i="5" s="1"/>
  <c r="N25" i="31"/>
  <c r="E1289" i="5" s="1"/>
  <c r="N26" i="31"/>
  <c r="E1290" i="5" s="1"/>
  <c r="N27" i="31"/>
  <c r="E1291" i="5" s="1"/>
  <c r="N28" i="31"/>
  <c r="E1292" i="5" s="1"/>
  <c r="N29" i="31"/>
  <c r="E1293" i="5" s="1"/>
  <c r="N30" i="31"/>
  <c r="E1294" i="5" s="1"/>
  <c r="N31" i="31"/>
  <c r="E1295" i="5" s="1"/>
  <c r="N32" i="31"/>
  <c r="E1296" i="5" s="1"/>
  <c r="N33" i="31"/>
  <c r="E1297" i="5" s="1"/>
  <c r="N34" i="31"/>
  <c r="E1298" i="5" s="1"/>
  <c r="N35" i="31"/>
  <c r="E1299" i="5" s="1"/>
  <c r="N36" i="31"/>
  <c r="E1300" i="5" s="1"/>
  <c r="N37" i="31"/>
  <c r="E1301" i="5" s="1"/>
  <c r="N38" i="31"/>
  <c r="E1302" i="5" s="1"/>
  <c r="N39" i="31"/>
  <c r="E1303" i="5" s="1"/>
  <c r="N40" i="31"/>
  <c r="E1304" i="5" s="1"/>
  <c r="N11" i="31"/>
  <c r="E1275" i="5" s="1"/>
  <c r="I12" i="31"/>
  <c r="E1232" i="5" s="1"/>
  <c r="I13" i="31"/>
  <c r="E1234" i="5" s="1"/>
  <c r="I14" i="31"/>
  <c r="E1236" i="5" s="1"/>
  <c r="I15" i="31"/>
  <c r="E1238" i="5" s="1"/>
  <c r="I16" i="31"/>
  <c r="E1239" i="5" s="1"/>
  <c r="I17" i="31"/>
  <c r="E1240" i="5" s="1"/>
  <c r="I18" i="31"/>
  <c r="E1242" i="5" s="1"/>
  <c r="I19" i="31"/>
  <c r="E1244" i="5" s="1"/>
  <c r="I20" i="31"/>
  <c r="E1247" i="5" s="1"/>
  <c r="I21" i="31"/>
  <c r="E1248" i="5" s="1"/>
  <c r="I22" i="31"/>
  <c r="E1249" i="5" s="1"/>
  <c r="I23" i="31"/>
  <c r="E1251" i="5" s="1"/>
  <c r="I24" i="31"/>
  <c r="E1252" i="5" s="1"/>
  <c r="I25" i="31"/>
  <c r="E1255" i="5" s="1"/>
  <c r="I26" i="31"/>
  <c r="E1257" i="5" s="1"/>
  <c r="I27" i="31"/>
  <c r="E1258" i="5" s="1"/>
  <c r="I28" i="31"/>
  <c r="E1259" i="5" s="1"/>
  <c r="I29" i="31"/>
  <c r="E1261" i="5" s="1"/>
  <c r="I30" i="31"/>
  <c r="E1263" i="5" s="1"/>
  <c r="I31" i="31"/>
  <c r="E1264" i="5" s="1"/>
  <c r="I32" i="31"/>
  <c r="E1265" i="5" s="1"/>
  <c r="I33" i="31"/>
  <c r="E1266" i="5" s="1"/>
  <c r="I34" i="31"/>
  <c r="E1267" i="5" s="1"/>
  <c r="I35" i="31"/>
  <c r="E1268" i="5" s="1"/>
  <c r="I36" i="31"/>
  <c r="E1269" i="5" s="1"/>
  <c r="I37" i="31"/>
  <c r="E1270" i="5" s="1"/>
  <c r="I38" i="31"/>
  <c r="E1272" i="5" s="1"/>
  <c r="I39" i="31"/>
  <c r="E1273" i="5" s="1"/>
  <c r="I40" i="31"/>
  <c r="E1274" i="5" s="1"/>
  <c r="I11" i="31"/>
  <c r="E1231" i="5" s="1"/>
  <c r="D12" i="31"/>
  <c r="E1093" i="5" s="1"/>
  <c r="D13" i="31"/>
  <c r="E1097" i="5" s="1"/>
  <c r="D14" i="31"/>
  <c r="E1101" i="5" s="1"/>
  <c r="D15" i="31"/>
  <c r="E1105" i="5" s="1"/>
  <c r="D16" i="31"/>
  <c r="E1109" i="5" s="1"/>
  <c r="D17" i="31"/>
  <c r="E1115" i="5" s="1"/>
  <c r="D18" i="31"/>
  <c r="E1121" i="5" s="1"/>
  <c r="D19" i="31"/>
  <c r="E1125" i="5" s="1"/>
  <c r="D20" i="31"/>
  <c r="E1131" i="5" s="1"/>
  <c r="D21" i="31"/>
  <c r="E1137" i="5" s="1"/>
  <c r="D22" i="31"/>
  <c r="E1142" i="5" s="1"/>
  <c r="D23" i="31"/>
  <c r="E1149" i="5" s="1"/>
  <c r="D24" i="31"/>
  <c r="E1154" i="5" s="1"/>
  <c r="D25" i="31"/>
  <c r="E1158" i="5" s="1"/>
  <c r="D26" i="31"/>
  <c r="E1162" i="5" s="1"/>
  <c r="D27" i="31"/>
  <c r="E1166" i="5" s="1"/>
  <c r="D28" i="31"/>
  <c r="E1172" i="5" s="1"/>
  <c r="D29" i="31"/>
  <c r="E1177" i="5" s="1"/>
  <c r="D30" i="31"/>
  <c r="E1182" i="5" s="1"/>
  <c r="D31" i="31"/>
  <c r="E1187" i="5" s="1"/>
  <c r="D32" i="31"/>
  <c r="E1191" i="5" s="1"/>
  <c r="D33" i="31"/>
  <c r="E1196" i="5" s="1"/>
  <c r="D34" i="31"/>
  <c r="E1201" i="5" s="1"/>
  <c r="D35" i="31"/>
  <c r="E1205" i="5" s="1"/>
  <c r="D36" i="31"/>
  <c r="E1210" i="5" s="1"/>
  <c r="D37" i="31"/>
  <c r="E1214" i="5" s="1"/>
  <c r="D38" i="31"/>
  <c r="E1217" i="5" s="1"/>
  <c r="D39" i="31"/>
  <c r="E1222" i="5" s="1"/>
  <c r="D40" i="31"/>
  <c r="E1227" i="5" s="1"/>
  <c r="D11" i="31"/>
  <c r="E1089" i="5" s="1"/>
  <c r="AA265" i="31" l="1"/>
  <c r="H2168" i="5" s="1"/>
  <c r="J2168" i="5" s="1"/>
  <c r="V265" i="31"/>
  <c r="H2140" i="5" s="1"/>
  <c r="Q265" i="31"/>
  <c r="H2110" i="5" s="1"/>
  <c r="K2110" i="5" s="1"/>
  <c r="L265" i="31"/>
  <c r="H2080" i="5" s="1"/>
  <c r="G265" i="31"/>
  <c r="H1230" i="5" s="1"/>
  <c r="R1230" i="5" s="1"/>
  <c r="AA264" i="31"/>
  <c r="H2167" i="5" s="1"/>
  <c r="V264" i="31"/>
  <c r="H2139" i="5" s="1"/>
  <c r="Q264" i="31"/>
  <c r="H2109" i="5" s="1"/>
  <c r="L264" i="31"/>
  <c r="H2079" i="5" s="1"/>
  <c r="G264" i="31"/>
  <c r="H1226" i="5" s="1"/>
  <c r="R1226" i="5" s="1"/>
  <c r="AA263" i="31"/>
  <c r="H2166" i="5" s="1"/>
  <c r="V263" i="31"/>
  <c r="H2138" i="5" s="1"/>
  <c r="Q263" i="31"/>
  <c r="H2108" i="5" s="1"/>
  <c r="L263" i="31"/>
  <c r="H2078" i="5" s="1"/>
  <c r="G263" i="31"/>
  <c r="H1221" i="5" s="1"/>
  <c r="R1221" i="5" s="1"/>
  <c r="AA262" i="31"/>
  <c r="H2165" i="5" s="1"/>
  <c r="V262" i="31"/>
  <c r="H2137" i="5" s="1"/>
  <c r="Q262" i="31"/>
  <c r="H2107" i="5" s="1"/>
  <c r="L262" i="31"/>
  <c r="H1271" i="5" s="1"/>
  <c r="G262" i="31"/>
  <c r="H1216" i="5" s="1"/>
  <c r="R1216" i="5" s="1"/>
  <c r="AA261" i="31"/>
  <c r="H2164" i="5" s="1"/>
  <c r="V261" i="31"/>
  <c r="H2136" i="5" s="1"/>
  <c r="K2136" i="5" s="1"/>
  <c r="Q261" i="31"/>
  <c r="H2106" i="5" s="1"/>
  <c r="L261" i="31"/>
  <c r="H2077" i="5" s="1"/>
  <c r="G261" i="31"/>
  <c r="H1213" i="5" s="1"/>
  <c r="R1213" i="5" s="1"/>
  <c r="AA260" i="31"/>
  <c r="H2163" i="5" s="1"/>
  <c r="V260" i="31"/>
  <c r="H2135" i="5" s="1"/>
  <c r="Q260" i="31"/>
  <c r="H2105" i="5" s="1"/>
  <c r="L260" i="31"/>
  <c r="H2076" i="5" s="1"/>
  <c r="G260" i="31"/>
  <c r="H1209" i="5" s="1"/>
  <c r="R1209" i="5" s="1"/>
  <c r="AA259" i="31"/>
  <c r="H2162" i="5" s="1"/>
  <c r="V259" i="31"/>
  <c r="H2134" i="5" s="1"/>
  <c r="Q259" i="31"/>
  <c r="H2104" i="5" s="1"/>
  <c r="L259" i="31"/>
  <c r="H2075" i="5" s="1"/>
  <c r="G259" i="31"/>
  <c r="H1204" i="5" s="1"/>
  <c r="R1204" i="5" s="1"/>
  <c r="Q1204" i="5" s="1"/>
  <c r="AA258" i="31"/>
  <c r="H2161" i="5" s="1"/>
  <c r="V258" i="31"/>
  <c r="H2133" i="5" s="1"/>
  <c r="Q258" i="31"/>
  <c r="H2103" i="5" s="1"/>
  <c r="L258" i="31"/>
  <c r="H2074" i="5" s="1"/>
  <c r="G258" i="31"/>
  <c r="H1200" i="5" s="1"/>
  <c r="R1200" i="5" s="1"/>
  <c r="AA257" i="31"/>
  <c r="H2160" i="5" s="1"/>
  <c r="V257" i="31"/>
  <c r="H2132" i="5" s="1"/>
  <c r="Q257" i="31"/>
  <c r="H2102" i="5" s="1"/>
  <c r="J2102" i="5" s="1"/>
  <c r="L257" i="31"/>
  <c r="H2073" i="5" s="1"/>
  <c r="G257" i="31"/>
  <c r="H1195" i="5" s="1"/>
  <c r="R1195" i="5" s="1"/>
  <c r="AA256" i="31"/>
  <c r="H2159" i="5" s="1"/>
  <c r="V256" i="31"/>
  <c r="H2131" i="5" s="1"/>
  <c r="Q256" i="31"/>
  <c r="H2101" i="5" s="1"/>
  <c r="L256" i="31"/>
  <c r="H2072" i="5" s="1"/>
  <c r="G256" i="31"/>
  <c r="H1190" i="5" s="1"/>
  <c r="R1190" i="5" s="1"/>
  <c r="AA255" i="31"/>
  <c r="H2158" i="5" s="1"/>
  <c r="V255" i="31"/>
  <c r="H2130" i="5" s="1"/>
  <c r="Q255" i="31"/>
  <c r="H2100" i="5" s="1"/>
  <c r="L255" i="31"/>
  <c r="H2071" i="5" s="1"/>
  <c r="G255" i="31"/>
  <c r="H1186" i="5" s="1"/>
  <c r="R1186" i="5" s="1"/>
  <c r="AA254" i="31"/>
  <c r="H2157" i="5" s="1"/>
  <c r="V254" i="31"/>
  <c r="H2129" i="5" s="1"/>
  <c r="Q254" i="31"/>
  <c r="H2099" i="5" s="1"/>
  <c r="L254" i="31"/>
  <c r="H2070" i="5" s="1"/>
  <c r="G254" i="31"/>
  <c r="H1181" i="5" s="1"/>
  <c r="R1181" i="5" s="1"/>
  <c r="AA253" i="31"/>
  <c r="H2156" i="5" s="1"/>
  <c r="V253" i="31"/>
  <c r="H2128" i="5" s="1"/>
  <c r="Q253" i="31"/>
  <c r="H2098" i="5" s="1"/>
  <c r="L253" i="31"/>
  <c r="H1260" i="5" s="1"/>
  <c r="R1260" i="5" s="1"/>
  <c r="G253" i="31"/>
  <c r="H1176" i="5" s="1"/>
  <c r="R1176" i="5" s="1"/>
  <c r="AA252" i="31"/>
  <c r="H2155" i="5" s="1"/>
  <c r="V252" i="31"/>
  <c r="H2127" i="5" s="1"/>
  <c r="Q252" i="31"/>
  <c r="H2097" i="5" s="1"/>
  <c r="L252" i="31"/>
  <c r="H2069" i="5" s="1"/>
  <c r="G252" i="31"/>
  <c r="H1171" i="5" s="1"/>
  <c r="R1171" i="5" s="1"/>
  <c r="AA251" i="31"/>
  <c r="H2154" i="5" s="1"/>
  <c r="V251" i="31"/>
  <c r="H2126" i="5" s="1"/>
  <c r="Q251" i="31"/>
  <c r="H2096" i="5" s="1"/>
  <c r="L251" i="31"/>
  <c r="H2068" i="5" s="1"/>
  <c r="G251" i="31"/>
  <c r="H1165" i="5" s="1"/>
  <c r="R1165" i="5" s="1"/>
  <c r="P1165" i="5" s="1"/>
  <c r="AA250" i="31"/>
  <c r="H2153" i="5" s="1"/>
  <c r="V250" i="31"/>
  <c r="H2125" i="5" s="1"/>
  <c r="Q250" i="31"/>
  <c r="H2095" i="5" s="1"/>
  <c r="L250" i="31"/>
  <c r="H2067" i="5" s="1"/>
  <c r="G250" i="31"/>
  <c r="H1161" i="5" s="1"/>
  <c r="R1161" i="5" s="1"/>
  <c r="AA249" i="31"/>
  <c r="H2152" i="5" s="1"/>
  <c r="V249" i="31"/>
  <c r="H2124" i="5" s="1"/>
  <c r="Q249" i="31"/>
  <c r="H2094" i="5" s="1"/>
  <c r="K2094" i="5" s="1"/>
  <c r="L249" i="31"/>
  <c r="H1254" i="5" s="1"/>
  <c r="R1254" i="5" s="1"/>
  <c r="G249" i="31"/>
  <c r="H1157" i="5" s="1"/>
  <c r="R1157" i="5" s="1"/>
  <c r="AA248" i="31"/>
  <c r="H2151" i="5" s="1"/>
  <c r="V248" i="31"/>
  <c r="H2123" i="5" s="1"/>
  <c r="Q248" i="31"/>
  <c r="H2093" i="5" s="1"/>
  <c r="L248" i="31"/>
  <c r="H2066" i="5" s="1"/>
  <c r="G248" i="31"/>
  <c r="H1153" i="5" s="1"/>
  <c r="R1153" i="5" s="1"/>
  <c r="AA247" i="31"/>
  <c r="H2150" i="5" s="1"/>
  <c r="V247" i="31"/>
  <c r="H2122" i="5" s="1"/>
  <c r="Q247" i="31"/>
  <c r="H2092" i="5" s="1"/>
  <c r="L247" i="31"/>
  <c r="H2065" i="5" s="1"/>
  <c r="G247" i="31"/>
  <c r="H1148" i="5" s="1"/>
  <c r="R1148" i="5" s="1"/>
  <c r="AA246" i="31"/>
  <c r="H2149" i="5" s="1"/>
  <c r="V246" i="31"/>
  <c r="H2121" i="5" s="1"/>
  <c r="Q246" i="31"/>
  <c r="H2091" i="5" s="1"/>
  <c r="L246" i="31"/>
  <c r="H2064" i="5" s="1"/>
  <c r="G246" i="31"/>
  <c r="H1141" i="5" s="1"/>
  <c r="R1141" i="5" s="1"/>
  <c r="AA245" i="31"/>
  <c r="H2148" i="5" s="1"/>
  <c r="V245" i="31"/>
  <c r="H2120" i="5" s="1"/>
  <c r="Q245" i="31"/>
  <c r="H2090" i="5" s="1"/>
  <c r="L245" i="31"/>
  <c r="H2063" i="5" s="1"/>
  <c r="G245" i="31"/>
  <c r="H1136" i="5" s="1"/>
  <c r="R1136" i="5" s="1"/>
  <c r="AA244" i="31"/>
  <c r="H1347" i="5" s="1"/>
  <c r="V244" i="31"/>
  <c r="H2119" i="5" s="1"/>
  <c r="Q244" i="31"/>
  <c r="H2089" i="5" s="1"/>
  <c r="L244" i="31"/>
  <c r="H1246" i="5" s="1"/>
  <c r="R1246" i="5" s="1"/>
  <c r="G244" i="31"/>
  <c r="H1130" i="5" s="1"/>
  <c r="R1130" i="5" s="1"/>
  <c r="AA243" i="31"/>
  <c r="H1345" i="5" s="1"/>
  <c r="V243" i="31"/>
  <c r="H2118" i="5" s="1"/>
  <c r="Q243" i="31"/>
  <c r="H2088" i="5" s="1"/>
  <c r="L243" i="31"/>
  <c r="H2062" i="5" s="1"/>
  <c r="G243" i="31"/>
  <c r="H1124" i="5" s="1"/>
  <c r="R1124" i="5" s="1"/>
  <c r="Q1124" i="5" s="1"/>
  <c r="AA242" i="31"/>
  <c r="H2147" i="5" s="1"/>
  <c r="V242" i="31"/>
  <c r="H2117" i="5" s="1"/>
  <c r="Q242" i="31"/>
  <c r="H2087" i="5" s="1"/>
  <c r="L242" i="31"/>
  <c r="H2061" i="5" s="1"/>
  <c r="G242" i="31"/>
  <c r="H1120" i="5" s="1"/>
  <c r="R1120" i="5" s="1"/>
  <c r="AA241" i="31"/>
  <c r="H2146" i="5" s="1"/>
  <c r="V241" i="31"/>
  <c r="H2116" i="5" s="1"/>
  <c r="Q241" i="31"/>
  <c r="H2086" i="5" s="1"/>
  <c r="K2086" i="5" s="1"/>
  <c r="L241" i="31"/>
  <c r="H2060" i="5" s="1"/>
  <c r="G241" i="31"/>
  <c r="H1114" i="5" s="1"/>
  <c r="R1114" i="5" s="1"/>
  <c r="AA240" i="31"/>
  <c r="H2145" i="5" s="1"/>
  <c r="V240" i="31"/>
  <c r="H2115" i="5" s="1"/>
  <c r="Q240" i="31"/>
  <c r="H2085" i="5" s="1"/>
  <c r="L240" i="31"/>
  <c r="H2059" i="5" s="1"/>
  <c r="G240" i="31"/>
  <c r="H1108" i="5" s="1"/>
  <c r="R1108" i="5" s="1"/>
  <c r="AA239" i="31"/>
  <c r="H2144" i="5" s="1"/>
  <c r="V239" i="31"/>
  <c r="H2114" i="5" s="1"/>
  <c r="Q239" i="31"/>
  <c r="H2084" i="5" s="1"/>
  <c r="L239" i="31"/>
  <c r="H2058" i="5" s="1"/>
  <c r="G239" i="31"/>
  <c r="H1104" i="5" s="1"/>
  <c r="R1104" i="5" s="1"/>
  <c r="AA238" i="31"/>
  <c r="H2143" i="5" s="1"/>
  <c r="V238" i="31"/>
  <c r="H2113" i="5" s="1"/>
  <c r="Q238" i="31"/>
  <c r="H2083" i="5" s="1"/>
  <c r="L238" i="31"/>
  <c r="H1235" i="5" s="1"/>
  <c r="R1235" i="5" s="1"/>
  <c r="G238" i="31"/>
  <c r="H1100" i="5" s="1"/>
  <c r="R1100" i="5" s="1"/>
  <c r="AA237" i="31"/>
  <c r="H2142" i="5" s="1"/>
  <c r="V237" i="31"/>
  <c r="H2112" i="5" s="1"/>
  <c r="K2112" i="5" s="1"/>
  <c r="Q237" i="31"/>
  <c r="H2082" i="5" s="1"/>
  <c r="L237" i="31"/>
  <c r="H1233" i="5" s="1"/>
  <c r="R1233" i="5" s="1"/>
  <c r="G237" i="31"/>
  <c r="H1096" i="5" s="1"/>
  <c r="R1096" i="5" s="1"/>
  <c r="AA236" i="31"/>
  <c r="H2141" i="5" s="1"/>
  <c r="V236" i="31"/>
  <c r="H2111" i="5" s="1"/>
  <c r="Q236" i="31"/>
  <c r="H2081" i="5" s="1"/>
  <c r="L236" i="31"/>
  <c r="H2057" i="5" s="1"/>
  <c r="G236" i="31"/>
  <c r="H1092" i="5" s="1"/>
  <c r="R1092" i="5" s="1"/>
  <c r="AA233" i="31"/>
  <c r="H2056" i="5" s="1"/>
  <c r="V233" i="31"/>
  <c r="H2027" i="5" s="1"/>
  <c r="Q233" i="31"/>
  <c r="H1998" i="5" s="1"/>
  <c r="L233" i="31"/>
  <c r="H1968" i="5" s="1"/>
  <c r="G233" i="31"/>
  <c r="H1229" i="5" s="1"/>
  <c r="R1229" i="5" s="1"/>
  <c r="AA232" i="31"/>
  <c r="H2055" i="5" s="1"/>
  <c r="V232" i="31"/>
  <c r="H2026" i="5" s="1"/>
  <c r="Q232" i="31"/>
  <c r="H1997" i="5" s="1"/>
  <c r="L232" i="31"/>
  <c r="H1967" i="5" s="1"/>
  <c r="G232" i="31"/>
  <c r="H1225" i="5" s="1"/>
  <c r="R1225" i="5" s="1"/>
  <c r="AA231" i="31"/>
  <c r="H2054" i="5" s="1"/>
  <c r="V231" i="31"/>
  <c r="H2025" i="5" s="1"/>
  <c r="Q231" i="31"/>
  <c r="H1996" i="5" s="1"/>
  <c r="L231" i="31"/>
  <c r="H1966" i="5" s="1"/>
  <c r="G231" i="31"/>
  <c r="H1220" i="5" s="1"/>
  <c r="R1220" i="5" s="1"/>
  <c r="AA230" i="31"/>
  <c r="H2053" i="5" s="1"/>
  <c r="V230" i="31"/>
  <c r="H2024" i="5" s="1"/>
  <c r="Q230" i="31"/>
  <c r="H1995" i="5" s="1"/>
  <c r="L230" i="31"/>
  <c r="H1965" i="5" s="1"/>
  <c r="G230" i="31"/>
  <c r="H1215" i="5" s="1"/>
  <c r="R1215" i="5" s="1"/>
  <c r="AA229" i="31"/>
  <c r="H2052" i="5" s="1"/>
  <c r="K2052" i="5" s="1"/>
  <c r="V229" i="31"/>
  <c r="H2023" i="5" s="1"/>
  <c r="Q229" i="31"/>
  <c r="H1994" i="5" s="1"/>
  <c r="L229" i="31"/>
  <c r="H1964" i="5" s="1"/>
  <c r="G229" i="31"/>
  <c r="H1212" i="5" s="1"/>
  <c r="R1212" i="5" s="1"/>
  <c r="AA228" i="31"/>
  <c r="H2051" i="5" s="1"/>
  <c r="V228" i="31"/>
  <c r="H2022" i="5" s="1"/>
  <c r="Q228" i="31"/>
  <c r="H1993" i="5" s="1"/>
  <c r="L228" i="31"/>
  <c r="H1963" i="5" s="1"/>
  <c r="G228" i="31"/>
  <c r="H1208" i="5" s="1"/>
  <c r="R1208" i="5" s="1"/>
  <c r="AA227" i="31"/>
  <c r="H2050" i="5" s="1"/>
  <c r="V227" i="31"/>
  <c r="H2021" i="5" s="1"/>
  <c r="Q227" i="31"/>
  <c r="H1992" i="5" s="1"/>
  <c r="L227" i="31"/>
  <c r="H1962" i="5" s="1"/>
  <c r="G227" i="31"/>
  <c r="H1203" i="5" s="1"/>
  <c r="R1203" i="5" s="1"/>
  <c r="Q1203" i="5" s="1"/>
  <c r="AA226" i="31"/>
  <c r="H2049" i="5" s="1"/>
  <c r="V226" i="31"/>
  <c r="H2020" i="5" s="1"/>
  <c r="Q226" i="31"/>
  <c r="H1991" i="5" s="1"/>
  <c r="L226" i="31"/>
  <c r="H1961" i="5" s="1"/>
  <c r="G226" i="31"/>
  <c r="H1199" i="5" s="1"/>
  <c r="R1199" i="5" s="1"/>
  <c r="AA225" i="31"/>
  <c r="H2048" i="5" s="1"/>
  <c r="V225" i="31"/>
  <c r="H2019" i="5" s="1"/>
  <c r="Q225" i="31"/>
  <c r="H1990" i="5" s="1"/>
  <c r="L225" i="31"/>
  <c r="H1960" i="5" s="1"/>
  <c r="G225" i="31"/>
  <c r="H1194" i="5" s="1"/>
  <c r="R1194" i="5" s="1"/>
  <c r="AA224" i="31"/>
  <c r="H2047" i="5" s="1"/>
  <c r="V224" i="31"/>
  <c r="H2018" i="5" s="1"/>
  <c r="Q224" i="31"/>
  <c r="H1989" i="5" s="1"/>
  <c r="L224" i="31"/>
  <c r="H1959" i="5" s="1"/>
  <c r="G224" i="31"/>
  <c r="H1189" i="5" s="1"/>
  <c r="R1189" i="5" s="1"/>
  <c r="AA223" i="31"/>
  <c r="H2046" i="5" s="1"/>
  <c r="V223" i="31"/>
  <c r="H2017" i="5" s="1"/>
  <c r="Q223" i="31"/>
  <c r="H1988" i="5" s="1"/>
  <c r="L223" i="31"/>
  <c r="H1958" i="5" s="1"/>
  <c r="G223" i="31"/>
  <c r="H1185" i="5" s="1"/>
  <c r="R1185" i="5" s="1"/>
  <c r="AA222" i="31"/>
  <c r="H2045" i="5" s="1"/>
  <c r="V222" i="31"/>
  <c r="H2016" i="5" s="1"/>
  <c r="Q222" i="31"/>
  <c r="H1987" i="5" s="1"/>
  <c r="L222" i="31"/>
  <c r="H1957" i="5" s="1"/>
  <c r="G222" i="31"/>
  <c r="H1180" i="5" s="1"/>
  <c r="R1180" i="5" s="1"/>
  <c r="AA221" i="31"/>
  <c r="H2044" i="5" s="1"/>
  <c r="J2044" i="5" s="1"/>
  <c r="V221" i="31"/>
  <c r="H2015" i="5" s="1"/>
  <c r="Q221" i="31"/>
  <c r="H1986" i="5" s="1"/>
  <c r="L221" i="31"/>
  <c r="H1956" i="5" s="1"/>
  <c r="G221" i="31"/>
  <c r="H1175" i="5" s="1"/>
  <c r="R1175" i="5" s="1"/>
  <c r="AA220" i="31"/>
  <c r="H2043" i="5" s="1"/>
  <c r="V220" i="31"/>
  <c r="H2014" i="5" s="1"/>
  <c r="Q220" i="31"/>
  <c r="H1985" i="5" s="1"/>
  <c r="L220" i="31"/>
  <c r="H1955" i="5" s="1"/>
  <c r="G220" i="31"/>
  <c r="H1170" i="5" s="1"/>
  <c r="R1170" i="5" s="1"/>
  <c r="AA219" i="31"/>
  <c r="H2042" i="5" s="1"/>
  <c r="V219" i="31"/>
  <c r="H2013" i="5" s="1"/>
  <c r="Q219" i="31"/>
  <c r="H1984" i="5" s="1"/>
  <c r="L219" i="31"/>
  <c r="H1954" i="5" s="1"/>
  <c r="G219" i="31"/>
  <c r="H1164" i="5" s="1"/>
  <c r="R1164" i="5" s="1"/>
  <c r="Q1164" i="5" s="1"/>
  <c r="AA218" i="31"/>
  <c r="H2041" i="5" s="1"/>
  <c r="V218" i="31"/>
  <c r="H2012" i="5" s="1"/>
  <c r="Q218" i="31"/>
  <c r="H1983" i="5" s="1"/>
  <c r="L218" i="31"/>
  <c r="H1256" i="5" s="1"/>
  <c r="R1256" i="5" s="1"/>
  <c r="G218" i="31"/>
  <c r="H1160" i="5" s="1"/>
  <c r="R1160" i="5" s="1"/>
  <c r="AA217" i="31"/>
  <c r="H2040" i="5" s="1"/>
  <c r="V217" i="31"/>
  <c r="H2011" i="5" s="1"/>
  <c r="Q217" i="31"/>
  <c r="H1982" i="5" s="1"/>
  <c r="L217" i="31"/>
  <c r="H1253" i="5" s="1"/>
  <c r="R1253" i="5" s="1"/>
  <c r="G217" i="31"/>
  <c r="H1156" i="5" s="1"/>
  <c r="R1156" i="5" s="1"/>
  <c r="AA216" i="31"/>
  <c r="H2039" i="5" s="1"/>
  <c r="V216" i="31"/>
  <c r="H2010" i="5" s="1"/>
  <c r="Q216" i="31"/>
  <c r="H1981" i="5" s="1"/>
  <c r="L216" i="31"/>
  <c r="H1953" i="5" s="1"/>
  <c r="G216" i="31"/>
  <c r="H1152" i="5" s="1"/>
  <c r="R1152" i="5" s="1"/>
  <c r="AA215" i="31"/>
  <c r="H2038" i="5" s="1"/>
  <c r="V215" i="31"/>
  <c r="H2009" i="5" s="1"/>
  <c r="Q215" i="31"/>
  <c r="H1980" i="5" s="1"/>
  <c r="L215" i="31"/>
  <c r="H1952" i="5" s="1"/>
  <c r="G215" i="31"/>
  <c r="H1147" i="5" s="1"/>
  <c r="R1147" i="5" s="1"/>
  <c r="AA214" i="31"/>
  <c r="H1350" i="5" s="1"/>
  <c r="V214" i="31"/>
  <c r="H1316" i="5" s="1"/>
  <c r="Q214" i="31"/>
  <c r="H1979" i="5" s="1"/>
  <c r="L214" i="31"/>
  <c r="H1951" i="5" s="1"/>
  <c r="G214" i="31"/>
  <c r="H1140" i="5" s="1"/>
  <c r="R1140" i="5" s="1"/>
  <c r="AA213" i="31"/>
  <c r="H2037" i="5" s="1"/>
  <c r="V213" i="31"/>
  <c r="H2008" i="5" s="1"/>
  <c r="Q213" i="31"/>
  <c r="H1978" i="5" s="1"/>
  <c r="L213" i="31"/>
  <c r="H1950" i="5" s="1"/>
  <c r="G213" i="31"/>
  <c r="H1135" i="5" s="1"/>
  <c r="R1135" i="5" s="1"/>
  <c r="AA212" i="31"/>
  <c r="H2036" i="5" s="1"/>
  <c r="V212" i="31"/>
  <c r="H2007" i="5" s="1"/>
  <c r="Q212" i="31"/>
  <c r="H1977" i="5" s="1"/>
  <c r="L212" i="31"/>
  <c r="H1949" i="5" s="1"/>
  <c r="G212" i="31"/>
  <c r="H1129" i="5" s="1"/>
  <c r="R1129" i="5" s="1"/>
  <c r="AA211" i="31"/>
  <c r="H2035" i="5" s="1"/>
  <c r="V211" i="31"/>
  <c r="H2006" i="5" s="1"/>
  <c r="Q211" i="31"/>
  <c r="H1976" i="5" s="1"/>
  <c r="J1976" i="5" s="1"/>
  <c r="L211" i="31"/>
  <c r="H1948" i="5" s="1"/>
  <c r="G211" i="31"/>
  <c r="H1123" i="5" s="1"/>
  <c r="R1123" i="5" s="1"/>
  <c r="Q1123" i="5" s="1"/>
  <c r="AA210" i="31"/>
  <c r="H2034" i="5" s="1"/>
  <c r="V210" i="31"/>
  <c r="H2005" i="5" s="1"/>
  <c r="Q210" i="31"/>
  <c r="H1975" i="5" s="1"/>
  <c r="L210" i="31"/>
  <c r="H1947" i="5" s="1"/>
  <c r="G210" i="31"/>
  <c r="H1119" i="5" s="1"/>
  <c r="R1119" i="5" s="1"/>
  <c r="AA209" i="31"/>
  <c r="H2033" i="5" s="1"/>
  <c r="V209" i="31"/>
  <c r="H2004" i="5" s="1"/>
  <c r="Q209" i="31"/>
  <c r="H1974" i="5" s="1"/>
  <c r="L209" i="31"/>
  <c r="H1946" i="5" s="1"/>
  <c r="G209" i="31"/>
  <c r="H1113" i="5" s="1"/>
  <c r="R1113" i="5" s="1"/>
  <c r="AA208" i="31"/>
  <c r="H2032" i="5" s="1"/>
  <c r="V208" i="31"/>
  <c r="H2003" i="5" s="1"/>
  <c r="Q208" i="31"/>
  <c r="H1973" i="5" s="1"/>
  <c r="L208" i="31"/>
  <c r="H1945" i="5" s="1"/>
  <c r="G208" i="31"/>
  <c r="H1107" i="5" s="1"/>
  <c r="R1107" i="5" s="1"/>
  <c r="AA207" i="31"/>
  <c r="H2031" i="5" s="1"/>
  <c r="V207" i="31"/>
  <c r="H2002" i="5" s="1"/>
  <c r="Q207" i="31"/>
  <c r="H1972" i="5" s="1"/>
  <c r="L207" i="31"/>
  <c r="H1944" i="5" s="1"/>
  <c r="G207" i="31"/>
  <c r="H1103" i="5" s="1"/>
  <c r="R1103" i="5" s="1"/>
  <c r="AA206" i="31"/>
  <c r="H2030" i="5" s="1"/>
  <c r="V206" i="31"/>
  <c r="H2001" i="5" s="1"/>
  <c r="Q206" i="31"/>
  <c r="H1971" i="5" s="1"/>
  <c r="L206" i="31"/>
  <c r="H1943" i="5" s="1"/>
  <c r="J1943" i="5" s="1"/>
  <c r="G206" i="31"/>
  <c r="H1099" i="5" s="1"/>
  <c r="R1099" i="5" s="1"/>
  <c r="AA205" i="31"/>
  <c r="H2029" i="5" s="1"/>
  <c r="V205" i="31"/>
  <c r="H2000" i="5" s="1"/>
  <c r="Q205" i="31"/>
  <c r="H1970" i="5" s="1"/>
  <c r="L205" i="31"/>
  <c r="H1942" i="5" s="1"/>
  <c r="G205" i="31"/>
  <c r="H1095" i="5" s="1"/>
  <c r="R1095" i="5" s="1"/>
  <c r="AA204" i="31"/>
  <c r="H2028" i="5" s="1"/>
  <c r="V204" i="31"/>
  <c r="H1999" i="5" s="1"/>
  <c r="Q204" i="31"/>
  <c r="H1969" i="5" s="1"/>
  <c r="L204" i="31"/>
  <c r="H1941" i="5" s="1"/>
  <c r="G204" i="31"/>
  <c r="H1091" i="5" s="1"/>
  <c r="R1091" i="5" s="1"/>
  <c r="G201" i="31"/>
  <c r="H1940" i="5" s="1"/>
  <c r="G200" i="31"/>
  <c r="H1939" i="5" s="1"/>
  <c r="G199" i="31"/>
  <c r="H1938" i="5" s="1"/>
  <c r="G198" i="31"/>
  <c r="H1937" i="5" s="1"/>
  <c r="G197" i="31"/>
  <c r="H1936" i="5" s="1"/>
  <c r="G196" i="31"/>
  <c r="H1935" i="5" s="1"/>
  <c r="G195" i="31"/>
  <c r="H1934" i="5" s="1"/>
  <c r="G194" i="31"/>
  <c r="H1933" i="5" s="1"/>
  <c r="G193" i="31"/>
  <c r="H1932" i="5" s="1"/>
  <c r="G192" i="31"/>
  <c r="H1931" i="5" s="1"/>
  <c r="G191" i="31"/>
  <c r="H1930" i="5" s="1"/>
  <c r="G190" i="31"/>
  <c r="H1929" i="5" s="1"/>
  <c r="G189" i="31"/>
  <c r="H1928" i="5" s="1"/>
  <c r="G188" i="31"/>
  <c r="H1927" i="5" s="1"/>
  <c r="G187" i="31"/>
  <c r="H1926" i="5" s="1"/>
  <c r="G186" i="31"/>
  <c r="H1925" i="5" s="1"/>
  <c r="G185" i="31"/>
  <c r="H1924" i="5" s="1"/>
  <c r="G184" i="31"/>
  <c r="H1923" i="5" s="1"/>
  <c r="G183" i="31"/>
  <c r="H1922" i="5" s="1"/>
  <c r="G182" i="31"/>
  <c r="H1921" i="5" s="1"/>
  <c r="G181" i="31"/>
  <c r="H1920" i="5" s="1"/>
  <c r="G180" i="31"/>
  <c r="H1919" i="5" s="1"/>
  <c r="G179" i="31"/>
  <c r="H1918" i="5" s="1"/>
  <c r="G178" i="31"/>
  <c r="H1917" i="5" s="1"/>
  <c r="G177" i="31"/>
  <c r="H1916" i="5" s="1"/>
  <c r="G176" i="31"/>
  <c r="H1915" i="5" s="1"/>
  <c r="G175" i="31"/>
  <c r="H1914" i="5" s="1"/>
  <c r="G174" i="31"/>
  <c r="H1913" i="5" s="1"/>
  <c r="K1913" i="5" s="1"/>
  <c r="G173" i="31"/>
  <c r="H1912" i="5" s="1"/>
  <c r="G172" i="31"/>
  <c r="H1911" i="5" s="1"/>
  <c r="AA168" i="31"/>
  <c r="H1371" i="5" s="1"/>
  <c r="V168" i="31"/>
  <c r="H1882" i="5" s="1"/>
  <c r="Q168" i="31"/>
  <c r="H1852" i="5" s="1"/>
  <c r="L168" i="31"/>
  <c r="H1822" i="5" s="1"/>
  <c r="G168" i="31"/>
  <c r="H1793" i="5" s="1"/>
  <c r="AA167" i="31"/>
  <c r="H1910" i="5" s="1"/>
  <c r="V167" i="31"/>
  <c r="H1881" i="5" s="1"/>
  <c r="Q167" i="31"/>
  <c r="H1851" i="5" s="1"/>
  <c r="L167" i="31"/>
  <c r="H1821" i="5" s="1"/>
  <c r="G167" i="31"/>
  <c r="H1224" i="5" s="1"/>
  <c r="R1224" i="5" s="1"/>
  <c r="AA166" i="31"/>
  <c r="H1909" i="5" s="1"/>
  <c r="V166" i="31"/>
  <c r="H1880" i="5" s="1"/>
  <c r="Q166" i="31"/>
  <c r="H1850" i="5" s="1"/>
  <c r="L166" i="31"/>
  <c r="H1820" i="5" s="1"/>
  <c r="G166" i="31"/>
  <c r="H1219" i="5" s="1"/>
  <c r="R1219" i="5" s="1"/>
  <c r="AA165" i="31"/>
  <c r="H1908" i="5" s="1"/>
  <c r="V165" i="31"/>
  <c r="H1879" i="5" s="1"/>
  <c r="J1879" i="5" s="1"/>
  <c r="Q165" i="31"/>
  <c r="H1849" i="5" s="1"/>
  <c r="L165" i="31"/>
  <c r="H1819" i="5" s="1"/>
  <c r="G165" i="31"/>
  <c r="H1792" i="5" s="1"/>
  <c r="AA164" i="31"/>
  <c r="H1907" i="5" s="1"/>
  <c r="V164" i="31"/>
  <c r="H1878" i="5" s="1"/>
  <c r="Q164" i="31"/>
  <c r="H1848" i="5" s="1"/>
  <c r="L164" i="31"/>
  <c r="H1818" i="5" s="1"/>
  <c r="G164" i="31"/>
  <c r="H1791" i="5" s="1"/>
  <c r="AA163" i="31"/>
  <c r="H1365" i="5" s="1"/>
  <c r="V163" i="31"/>
  <c r="H1877" i="5" s="1"/>
  <c r="Q163" i="31"/>
  <c r="H1847" i="5" s="1"/>
  <c r="L163" i="31"/>
  <c r="H1817" i="5" s="1"/>
  <c r="G163" i="31"/>
  <c r="H1207" i="5" s="1"/>
  <c r="R1207" i="5" s="1"/>
  <c r="AA162" i="31"/>
  <c r="H1906" i="5" s="1"/>
  <c r="V162" i="31"/>
  <c r="H1876" i="5" s="1"/>
  <c r="Q162" i="31"/>
  <c r="H1846" i="5" s="1"/>
  <c r="L162" i="31"/>
  <c r="H1816" i="5" s="1"/>
  <c r="G162" i="31"/>
  <c r="H1790" i="5" s="1"/>
  <c r="AA161" i="31"/>
  <c r="H1905" i="5" s="1"/>
  <c r="V161" i="31"/>
  <c r="H1875" i="5" s="1"/>
  <c r="Q161" i="31"/>
  <c r="H1845" i="5" s="1"/>
  <c r="L161" i="31"/>
  <c r="H1815" i="5" s="1"/>
  <c r="G161" i="31"/>
  <c r="H1198" i="5" s="1"/>
  <c r="R1198" i="5" s="1"/>
  <c r="AA160" i="31"/>
  <c r="H1904" i="5" s="1"/>
  <c r="V160" i="31"/>
  <c r="H1874" i="5" s="1"/>
  <c r="Q160" i="31"/>
  <c r="H1844" i="5" s="1"/>
  <c r="L160" i="31"/>
  <c r="H1814" i="5" s="1"/>
  <c r="G160" i="31"/>
  <c r="H1789" i="5" s="1"/>
  <c r="AA159" i="31"/>
  <c r="H1903" i="5" s="1"/>
  <c r="V159" i="31"/>
  <c r="H1873" i="5" s="1"/>
  <c r="Q159" i="31"/>
  <c r="H1843" i="5" s="1"/>
  <c r="L159" i="31"/>
  <c r="H1813" i="5" s="1"/>
  <c r="G159" i="31"/>
  <c r="H1788" i="5" s="1"/>
  <c r="AA158" i="31"/>
  <c r="H1902" i="5" s="1"/>
  <c r="V158" i="31"/>
  <c r="H1872" i="5" s="1"/>
  <c r="Q158" i="31"/>
  <c r="H1842" i="5" s="1"/>
  <c r="L158" i="31"/>
  <c r="H1812" i="5" s="1"/>
  <c r="G158" i="31"/>
  <c r="H1184" i="5" s="1"/>
  <c r="R1184" i="5" s="1"/>
  <c r="AA157" i="31"/>
  <c r="H1901" i="5" s="1"/>
  <c r="V157" i="31"/>
  <c r="H1871" i="5" s="1"/>
  <c r="K1871" i="5" s="1"/>
  <c r="Q157" i="31"/>
  <c r="H1841" i="5" s="1"/>
  <c r="L157" i="31"/>
  <c r="H1811" i="5" s="1"/>
  <c r="J1811" i="5" s="1"/>
  <c r="G157" i="31"/>
  <c r="H1787" i="5" s="1"/>
  <c r="AA156" i="31"/>
  <c r="H1900" i="5" s="1"/>
  <c r="V156" i="31"/>
  <c r="H1870" i="5" s="1"/>
  <c r="Q156" i="31"/>
  <c r="H1840" i="5" s="1"/>
  <c r="L156" i="31"/>
  <c r="H1810" i="5" s="1"/>
  <c r="G156" i="31"/>
  <c r="H1786" i="5" s="1"/>
  <c r="AA155" i="31"/>
  <c r="H1899" i="5" s="1"/>
  <c r="V155" i="31"/>
  <c r="H1869" i="5" s="1"/>
  <c r="Q155" i="31"/>
  <c r="H1839" i="5" s="1"/>
  <c r="L155" i="31"/>
  <c r="H1809" i="5" s="1"/>
  <c r="G155" i="31"/>
  <c r="H1169" i="5" s="1"/>
  <c r="R1169" i="5" s="1"/>
  <c r="AA154" i="31"/>
  <c r="H1898" i="5" s="1"/>
  <c r="V154" i="31"/>
  <c r="H1868" i="5" s="1"/>
  <c r="Q154" i="31"/>
  <c r="H1838" i="5" s="1"/>
  <c r="L154" i="31"/>
  <c r="H1808" i="5" s="1"/>
  <c r="G154" i="31"/>
  <c r="H1785" i="5" s="1"/>
  <c r="AA153" i="31"/>
  <c r="H1897" i="5" s="1"/>
  <c r="K1897" i="5" s="1"/>
  <c r="V153" i="31"/>
  <c r="H1867" i="5" s="1"/>
  <c r="Q153" i="31"/>
  <c r="H1837" i="5" s="1"/>
  <c r="L153" i="31"/>
  <c r="H1807" i="5" s="1"/>
  <c r="G153" i="31"/>
  <c r="H1784" i="5" s="1"/>
  <c r="AA152" i="31"/>
  <c r="H1896" i="5" s="1"/>
  <c r="V152" i="31"/>
  <c r="H1866" i="5" s="1"/>
  <c r="Q152" i="31"/>
  <c r="H1836" i="5" s="1"/>
  <c r="L152" i="31"/>
  <c r="H1806" i="5" s="1"/>
  <c r="G152" i="31"/>
  <c r="H1783" i="5" s="1"/>
  <c r="AA151" i="31"/>
  <c r="H1895" i="5" s="1"/>
  <c r="V151" i="31"/>
  <c r="H1865" i="5" s="1"/>
  <c r="Q151" i="31"/>
  <c r="H1835" i="5" s="1"/>
  <c r="L151" i="31"/>
  <c r="H1805" i="5" s="1"/>
  <c r="G151" i="31"/>
  <c r="H1782" i="5" s="1"/>
  <c r="AA150" i="31"/>
  <c r="H1894" i="5" s="1"/>
  <c r="V150" i="31"/>
  <c r="H1864" i="5" s="1"/>
  <c r="Q150" i="31"/>
  <c r="H1834" i="5" s="1"/>
  <c r="L150" i="31"/>
  <c r="H1804" i="5" s="1"/>
  <c r="G150" i="31"/>
  <c r="H1146" i="5" s="1"/>
  <c r="R1146" i="5" s="1"/>
  <c r="AA149" i="31"/>
  <c r="H1893" i="5" s="1"/>
  <c r="V149" i="31"/>
  <c r="H1863" i="5" s="1"/>
  <c r="K1863" i="5" s="1"/>
  <c r="Q149" i="31"/>
  <c r="H1833" i="5" s="1"/>
  <c r="L149" i="31"/>
  <c r="H1803" i="5" s="1"/>
  <c r="K1803" i="5" s="1"/>
  <c r="G149" i="31"/>
  <c r="H1781" i="5" s="1"/>
  <c r="AA148" i="31"/>
  <c r="H1892" i="5" s="1"/>
  <c r="V148" i="31"/>
  <c r="H1862" i="5" s="1"/>
  <c r="Q148" i="31"/>
  <c r="H1832" i="5" s="1"/>
  <c r="L148" i="31"/>
  <c r="H1802" i="5" s="1"/>
  <c r="G148" i="31"/>
  <c r="H1780" i="5" s="1"/>
  <c r="AA147" i="31"/>
  <c r="H1891" i="5" s="1"/>
  <c r="V147" i="31"/>
  <c r="H1861" i="5" s="1"/>
  <c r="Q147" i="31"/>
  <c r="H1831" i="5" s="1"/>
  <c r="L147" i="31"/>
  <c r="H1245" i="5" s="1"/>
  <c r="R1245" i="5" s="1"/>
  <c r="G147" i="31"/>
  <c r="H1779" i="5" s="1"/>
  <c r="AA146" i="31"/>
  <c r="H1890" i="5" s="1"/>
  <c r="V146" i="31"/>
  <c r="H1860" i="5" s="1"/>
  <c r="Q146" i="31"/>
  <c r="H1830" i="5" s="1"/>
  <c r="L146" i="31"/>
  <c r="H1801" i="5" s="1"/>
  <c r="G146" i="31"/>
  <c r="H1778" i="5" s="1"/>
  <c r="AA145" i="31"/>
  <c r="H1889" i="5" s="1"/>
  <c r="K1889" i="5" s="1"/>
  <c r="V145" i="31"/>
  <c r="H1859" i="5" s="1"/>
  <c r="Q145" i="31"/>
  <c r="H1829" i="5" s="1"/>
  <c r="K1829" i="5" s="1"/>
  <c r="L145" i="31"/>
  <c r="H1800" i="5" s="1"/>
  <c r="G145" i="31"/>
  <c r="H1118" i="5" s="1"/>
  <c r="R1118" i="5" s="1"/>
  <c r="AA144" i="31"/>
  <c r="H1888" i="5" s="1"/>
  <c r="V144" i="31"/>
  <c r="H1858" i="5" s="1"/>
  <c r="Q144" i="31"/>
  <c r="H1828" i="5" s="1"/>
  <c r="L144" i="31"/>
  <c r="H1799" i="5" s="1"/>
  <c r="G144" i="31"/>
  <c r="H1112" i="5" s="1"/>
  <c r="R1112" i="5" s="1"/>
  <c r="AA143" i="31"/>
  <c r="H1887" i="5" s="1"/>
  <c r="V143" i="31"/>
  <c r="H1857" i="5" s="1"/>
  <c r="Q143" i="31"/>
  <c r="H1827" i="5" s="1"/>
  <c r="L143" i="31"/>
  <c r="H1798" i="5" s="1"/>
  <c r="G143" i="31"/>
  <c r="H1777" i="5" s="1"/>
  <c r="AA142" i="31"/>
  <c r="H1886" i="5" s="1"/>
  <c r="V142" i="31"/>
  <c r="H1856" i="5" s="1"/>
  <c r="Q142" i="31"/>
  <c r="H1826" i="5" s="1"/>
  <c r="L142" i="31"/>
  <c r="H1797" i="5" s="1"/>
  <c r="G142" i="31"/>
  <c r="H1776" i="5" s="1"/>
  <c r="AA141" i="31"/>
  <c r="H1885" i="5" s="1"/>
  <c r="V141" i="31"/>
  <c r="H1855" i="5" s="1"/>
  <c r="K1855" i="5" s="1"/>
  <c r="Q141" i="31"/>
  <c r="H1825" i="5" s="1"/>
  <c r="L141" i="31"/>
  <c r="H1796" i="5" s="1"/>
  <c r="K1796" i="5" s="1"/>
  <c r="G141" i="31"/>
  <c r="H1775" i="5" s="1"/>
  <c r="AA140" i="31"/>
  <c r="H1884" i="5" s="1"/>
  <c r="V140" i="31"/>
  <c r="H1854" i="5" s="1"/>
  <c r="Q140" i="31"/>
  <c r="H1824" i="5" s="1"/>
  <c r="L140" i="31"/>
  <c r="H1795" i="5" s="1"/>
  <c r="G140" i="31"/>
  <c r="H1774" i="5" s="1"/>
  <c r="AA139" i="31"/>
  <c r="H1883" i="5" s="1"/>
  <c r="V139" i="31"/>
  <c r="H1853" i="5" s="1"/>
  <c r="Q139" i="31"/>
  <c r="H1823" i="5" s="1"/>
  <c r="L139" i="31"/>
  <c r="H1794" i="5" s="1"/>
  <c r="G139" i="31"/>
  <c r="H1773" i="5" s="1"/>
  <c r="AA136" i="31"/>
  <c r="H1772" i="5" s="1"/>
  <c r="V136" i="31"/>
  <c r="H1742" i="5" s="1"/>
  <c r="Q136" i="31"/>
  <c r="H1712" i="5" s="1"/>
  <c r="L136" i="31"/>
  <c r="H1682" i="5" s="1"/>
  <c r="G136" i="31"/>
  <c r="H1652" i="5" s="1"/>
  <c r="AA135" i="31"/>
  <c r="H1771" i="5" s="1"/>
  <c r="V135" i="31"/>
  <c r="H1741" i="5" s="1"/>
  <c r="Q135" i="31"/>
  <c r="H1711" i="5" s="1"/>
  <c r="L135" i="31"/>
  <c r="H1681" i="5" s="1"/>
  <c r="G135" i="31"/>
  <c r="H1651" i="5" s="1"/>
  <c r="AA134" i="31"/>
  <c r="H1770" i="5" s="1"/>
  <c r="V134" i="31"/>
  <c r="H1740" i="5" s="1"/>
  <c r="Q134" i="31"/>
  <c r="H1710" i="5" s="1"/>
  <c r="L134" i="31"/>
  <c r="H1680" i="5" s="1"/>
  <c r="G134" i="31"/>
  <c r="H1650" i="5" s="1"/>
  <c r="AA133" i="31"/>
  <c r="H1769" i="5" s="1"/>
  <c r="V133" i="31"/>
  <c r="H1739" i="5" s="1"/>
  <c r="Q133" i="31"/>
  <c r="H1709" i="5" s="1"/>
  <c r="L133" i="31"/>
  <c r="H1679" i="5" s="1"/>
  <c r="G133" i="31"/>
  <c r="H1649" i="5" s="1"/>
  <c r="K1649" i="5" s="1"/>
  <c r="AA132" i="31"/>
  <c r="H1768" i="5" s="1"/>
  <c r="V132" i="31"/>
  <c r="H1738" i="5" s="1"/>
  <c r="Q132" i="31"/>
  <c r="H1708" i="5" s="1"/>
  <c r="L132" i="31"/>
  <c r="H1678" i="5" s="1"/>
  <c r="G132" i="31"/>
  <c r="H1648" i="5" s="1"/>
  <c r="AA131" i="31"/>
  <c r="H1767" i="5" s="1"/>
  <c r="V131" i="31"/>
  <c r="H1737" i="5" s="1"/>
  <c r="Q131" i="31"/>
  <c r="H1707" i="5" s="1"/>
  <c r="L131" i="31"/>
  <c r="H1677" i="5" s="1"/>
  <c r="G131" i="31"/>
  <c r="H1647" i="5" s="1"/>
  <c r="AA130" i="31"/>
  <c r="H1766" i="5" s="1"/>
  <c r="V130" i="31"/>
  <c r="H1736" i="5" s="1"/>
  <c r="Q130" i="31"/>
  <c r="H1706" i="5" s="1"/>
  <c r="L130" i="31"/>
  <c r="H1676" i="5" s="1"/>
  <c r="G130" i="31"/>
  <c r="H1646" i="5" s="1"/>
  <c r="AA129" i="31"/>
  <c r="H1765" i="5" s="1"/>
  <c r="V129" i="31"/>
  <c r="H1735" i="5" s="1"/>
  <c r="J1735" i="5" s="1"/>
  <c r="Q129" i="31"/>
  <c r="H1705" i="5" s="1"/>
  <c r="L129" i="31"/>
  <c r="H1675" i="5" s="1"/>
  <c r="G129" i="31"/>
  <c r="H1645" i="5" s="1"/>
  <c r="AA128" i="31"/>
  <c r="H1764" i="5" s="1"/>
  <c r="V128" i="31"/>
  <c r="H1734" i="5" s="1"/>
  <c r="Q128" i="31"/>
  <c r="H1704" i="5" s="1"/>
  <c r="L128" i="31"/>
  <c r="H1674" i="5" s="1"/>
  <c r="G128" i="31"/>
  <c r="H1644" i="5" s="1"/>
  <c r="AA127" i="31"/>
  <c r="H1763" i="5" s="1"/>
  <c r="V127" i="31"/>
  <c r="H1733" i="5" s="1"/>
  <c r="Q127" i="31"/>
  <c r="H1703" i="5" s="1"/>
  <c r="L127" i="31"/>
  <c r="H1673" i="5" s="1"/>
  <c r="G127" i="31"/>
  <c r="H1643" i="5" s="1"/>
  <c r="AA126" i="31"/>
  <c r="H1762" i="5" s="1"/>
  <c r="V126" i="31"/>
  <c r="H1732" i="5" s="1"/>
  <c r="Q126" i="31"/>
  <c r="H1702" i="5" s="1"/>
  <c r="L126" i="31"/>
  <c r="H1672" i="5" s="1"/>
  <c r="G126" i="31"/>
  <c r="H1642" i="5" s="1"/>
  <c r="AA125" i="31"/>
  <c r="H1761" i="5" s="1"/>
  <c r="K1761" i="5" s="1"/>
  <c r="V125" i="31"/>
  <c r="H1731" i="5" s="1"/>
  <c r="Q125" i="31"/>
  <c r="H1701" i="5" s="1"/>
  <c r="L125" i="31"/>
  <c r="H1671" i="5" s="1"/>
  <c r="G125" i="31"/>
  <c r="H1179" i="5" s="1"/>
  <c r="R1179" i="5" s="1"/>
  <c r="AA124" i="31"/>
  <c r="H1760" i="5" s="1"/>
  <c r="V124" i="31"/>
  <c r="H1730" i="5" s="1"/>
  <c r="Q124" i="31"/>
  <c r="H1700" i="5" s="1"/>
  <c r="L124" i="31"/>
  <c r="H1670" i="5" s="1"/>
  <c r="G124" i="31"/>
  <c r="H1174" i="5" s="1"/>
  <c r="R1174" i="5" s="1"/>
  <c r="AA123" i="31"/>
  <c r="H1759" i="5" s="1"/>
  <c r="V123" i="31"/>
  <c r="H1729" i="5" s="1"/>
  <c r="Q123" i="31"/>
  <c r="H1699" i="5" s="1"/>
  <c r="L123" i="31"/>
  <c r="H1669" i="5" s="1"/>
  <c r="G123" i="31"/>
  <c r="H1168" i="5" s="1"/>
  <c r="R1168" i="5" s="1"/>
  <c r="AA122" i="31"/>
  <c r="H1758" i="5" s="1"/>
  <c r="V122" i="31"/>
  <c r="H1728" i="5" s="1"/>
  <c r="Q122" i="31"/>
  <c r="H1698" i="5" s="1"/>
  <c r="L122" i="31"/>
  <c r="H1668" i="5" s="1"/>
  <c r="G122" i="31"/>
  <c r="H1641" i="5" s="1"/>
  <c r="AA121" i="31"/>
  <c r="H1757" i="5" s="1"/>
  <c r="V121" i="31"/>
  <c r="H1727" i="5" s="1"/>
  <c r="Q121" i="31"/>
  <c r="H1697" i="5" s="1"/>
  <c r="L121" i="31"/>
  <c r="H1667" i="5" s="1"/>
  <c r="G121" i="31"/>
  <c r="H1640" i="5" s="1"/>
  <c r="AA120" i="31"/>
  <c r="H1756" i="5" s="1"/>
  <c r="V120" i="31"/>
  <c r="H1726" i="5" s="1"/>
  <c r="Q120" i="31"/>
  <c r="H1696" i="5" s="1"/>
  <c r="L120" i="31"/>
  <c r="H1666" i="5" s="1"/>
  <c r="G120" i="31"/>
  <c r="H1639" i="5" s="1"/>
  <c r="AA119" i="31"/>
  <c r="H1755" i="5" s="1"/>
  <c r="V119" i="31"/>
  <c r="H1725" i="5" s="1"/>
  <c r="Q119" i="31"/>
  <c r="H1695" i="5" s="1"/>
  <c r="L119" i="31"/>
  <c r="H1665" i="5" s="1"/>
  <c r="G119" i="31"/>
  <c r="H1638" i="5" s="1"/>
  <c r="AA118" i="31"/>
  <c r="H1754" i="5" s="1"/>
  <c r="V118" i="31"/>
  <c r="H1724" i="5" s="1"/>
  <c r="Q118" i="31"/>
  <c r="H1694" i="5" s="1"/>
  <c r="L118" i="31"/>
  <c r="H1664" i="5" s="1"/>
  <c r="G118" i="31"/>
  <c r="H1145" i="5" s="1"/>
  <c r="R1145" i="5" s="1"/>
  <c r="P1145" i="5" s="1"/>
  <c r="AA117" i="31"/>
  <c r="H1753" i="5" s="1"/>
  <c r="V117" i="31"/>
  <c r="H1723" i="5" s="1"/>
  <c r="Q117" i="31"/>
  <c r="H1693" i="5" s="1"/>
  <c r="L117" i="31"/>
  <c r="H1663" i="5" s="1"/>
  <c r="G117" i="31"/>
  <c r="H1139" i="5" s="1"/>
  <c r="R1139" i="5" s="1"/>
  <c r="AA116" i="31"/>
  <c r="H1752" i="5" s="1"/>
  <c r="V116" i="31"/>
  <c r="H1722" i="5" s="1"/>
  <c r="Q116" i="31"/>
  <c r="H1692" i="5" s="1"/>
  <c r="L116" i="31"/>
  <c r="H1662" i="5" s="1"/>
  <c r="G116" i="31"/>
  <c r="H1134" i="5" s="1"/>
  <c r="R1134" i="5" s="1"/>
  <c r="AA115" i="31"/>
  <c r="H1751" i="5" s="1"/>
  <c r="V115" i="31"/>
  <c r="H1721" i="5" s="1"/>
  <c r="Q115" i="31"/>
  <c r="H1691" i="5" s="1"/>
  <c r="L115" i="31"/>
  <c r="H1661" i="5" s="1"/>
  <c r="G115" i="31"/>
  <c r="H1128" i="5" s="1"/>
  <c r="R1128" i="5" s="1"/>
  <c r="AA114" i="31"/>
  <c r="H1750" i="5" s="1"/>
  <c r="V114" i="31"/>
  <c r="H1720" i="5" s="1"/>
  <c r="Q114" i="31"/>
  <c r="H1690" i="5" s="1"/>
  <c r="L114" i="31"/>
  <c r="H1660" i="5" s="1"/>
  <c r="G114" i="31"/>
  <c r="H1637" i="5" s="1"/>
  <c r="AA113" i="31"/>
  <c r="H1749" i="5" s="1"/>
  <c r="V113" i="31"/>
  <c r="H1719" i="5" s="1"/>
  <c r="J1719" i="5" s="1"/>
  <c r="Q113" i="31"/>
  <c r="H1689" i="5" s="1"/>
  <c r="L113" i="31"/>
  <c r="H1659" i="5" s="1"/>
  <c r="J1659" i="5" s="1"/>
  <c r="G113" i="31"/>
  <c r="H1117" i="5" s="1"/>
  <c r="R1117" i="5" s="1"/>
  <c r="AA112" i="31"/>
  <c r="H1748" i="5" s="1"/>
  <c r="V112" i="31"/>
  <c r="H1718" i="5" s="1"/>
  <c r="Q112" i="31"/>
  <c r="H1688" i="5" s="1"/>
  <c r="L112" i="31"/>
  <c r="H1658" i="5" s="1"/>
  <c r="G112" i="31"/>
  <c r="H1111" i="5" s="1"/>
  <c r="R1111" i="5" s="1"/>
  <c r="AA111" i="31"/>
  <c r="H1747" i="5" s="1"/>
  <c r="V111" i="31"/>
  <c r="H1717" i="5" s="1"/>
  <c r="Q111" i="31"/>
  <c r="H1687" i="5" s="1"/>
  <c r="L111" i="31"/>
  <c r="H1657" i="5" s="1"/>
  <c r="G111" i="31"/>
  <c r="H1636" i="5" s="1"/>
  <c r="AA110" i="31"/>
  <c r="H1746" i="5" s="1"/>
  <c r="V110" i="31"/>
  <c r="H1716" i="5" s="1"/>
  <c r="Q110" i="31"/>
  <c r="H1686" i="5" s="1"/>
  <c r="L110" i="31"/>
  <c r="H1656" i="5" s="1"/>
  <c r="G110" i="31"/>
  <c r="H1635" i="5" s="1"/>
  <c r="AA109" i="31"/>
  <c r="H1745" i="5" s="1"/>
  <c r="V109" i="31"/>
  <c r="H1715" i="5" s="1"/>
  <c r="Q109" i="31"/>
  <c r="H1685" i="5" s="1"/>
  <c r="L109" i="31"/>
  <c r="H1655" i="5" s="1"/>
  <c r="G109" i="31"/>
  <c r="H1634" i="5" s="1"/>
  <c r="K1634" i="5" s="1"/>
  <c r="AA108" i="31"/>
  <c r="H1744" i="5" s="1"/>
  <c r="V108" i="31"/>
  <c r="H1714" i="5" s="1"/>
  <c r="Q108" i="31"/>
  <c r="H1684" i="5" s="1"/>
  <c r="L108" i="31"/>
  <c r="H1654" i="5" s="1"/>
  <c r="G108" i="31"/>
  <c r="H1633" i="5" s="1"/>
  <c r="AA107" i="31"/>
  <c r="H1743" i="5" s="1"/>
  <c r="V107" i="31"/>
  <c r="H1713" i="5" s="1"/>
  <c r="K1713" i="5" s="1"/>
  <c r="Q107" i="31"/>
  <c r="H1683" i="5" s="1"/>
  <c r="L107" i="31"/>
  <c r="H1653" i="5" s="1"/>
  <c r="K1653" i="5" s="1"/>
  <c r="G107" i="31"/>
  <c r="H1632" i="5" s="1"/>
  <c r="AA104" i="31"/>
  <c r="H1631" i="5" s="1"/>
  <c r="V104" i="31"/>
  <c r="H1601" i="5" s="1"/>
  <c r="Q104" i="31"/>
  <c r="H1571" i="5" s="1"/>
  <c r="L104" i="31"/>
  <c r="H1541" i="5" s="1"/>
  <c r="G104" i="31"/>
  <c r="H1511" i="5" s="1"/>
  <c r="AA103" i="31"/>
  <c r="H1630" i="5" s="1"/>
  <c r="V103" i="31"/>
  <c r="H1600" i="5" s="1"/>
  <c r="Q103" i="31"/>
  <c r="H1570" i="5" s="1"/>
  <c r="L103" i="31"/>
  <c r="H1540" i="5" s="1"/>
  <c r="G103" i="31"/>
  <c r="H1510" i="5" s="1"/>
  <c r="AA102" i="31"/>
  <c r="H1629" i="5" s="1"/>
  <c r="V102" i="31"/>
  <c r="H1599" i="5" s="1"/>
  <c r="Q102" i="31"/>
  <c r="H1569" i="5" s="1"/>
  <c r="L102" i="31"/>
  <c r="H1539" i="5" s="1"/>
  <c r="G102" i="31"/>
  <c r="H1509" i="5" s="1"/>
  <c r="AA101" i="31"/>
  <c r="H1628" i="5" s="1"/>
  <c r="V101" i="31"/>
  <c r="H1598" i="5" s="1"/>
  <c r="K1598" i="5" s="1"/>
  <c r="Q101" i="31"/>
  <c r="H1568" i="5" s="1"/>
  <c r="L101" i="31"/>
  <c r="H1538" i="5" s="1"/>
  <c r="G101" i="31"/>
  <c r="H1508" i="5" s="1"/>
  <c r="AA100" i="31"/>
  <c r="H1627" i="5" s="1"/>
  <c r="V100" i="31"/>
  <c r="H1597" i="5" s="1"/>
  <c r="Q100" i="31"/>
  <c r="H1567" i="5" s="1"/>
  <c r="L100" i="31"/>
  <c r="H1537" i="5" s="1"/>
  <c r="G100" i="31"/>
  <c r="H1507" i="5" s="1"/>
  <c r="AA99" i="31"/>
  <c r="H1626" i="5" s="1"/>
  <c r="V99" i="31"/>
  <c r="H1596" i="5" s="1"/>
  <c r="Q99" i="31"/>
  <c r="H1566" i="5" s="1"/>
  <c r="L99" i="31"/>
  <c r="H1536" i="5" s="1"/>
  <c r="G99" i="31"/>
  <c r="H1506" i="5" s="1"/>
  <c r="AA98" i="31"/>
  <c r="H1625" i="5" s="1"/>
  <c r="V98" i="31"/>
  <c r="H1595" i="5" s="1"/>
  <c r="Q98" i="31"/>
  <c r="H1565" i="5" s="1"/>
  <c r="L98" i="31"/>
  <c r="H1535" i="5" s="1"/>
  <c r="G98" i="31"/>
  <c r="H1505" i="5" s="1"/>
  <c r="AA97" i="31"/>
  <c r="H1624" i="5" s="1"/>
  <c r="V97" i="31"/>
  <c r="H1594" i="5" s="1"/>
  <c r="Q97" i="31"/>
  <c r="H1564" i="5" s="1"/>
  <c r="K1564" i="5" s="1"/>
  <c r="L97" i="31"/>
  <c r="H1534" i="5" s="1"/>
  <c r="G97" i="31"/>
  <c r="H1504" i="5" s="1"/>
  <c r="AA96" i="31"/>
  <c r="H1623" i="5" s="1"/>
  <c r="V96" i="31"/>
  <c r="H1593" i="5" s="1"/>
  <c r="Q96" i="31"/>
  <c r="H1563" i="5" s="1"/>
  <c r="L96" i="31"/>
  <c r="H1533" i="5" s="1"/>
  <c r="G96" i="31"/>
  <c r="H1193" i="5" s="1"/>
  <c r="R1193" i="5" s="1"/>
  <c r="AA95" i="31"/>
  <c r="H1622" i="5" s="1"/>
  <c r="V95" i="31"/>
  <c r="H1592" i="5" s="1"/>
  <c r="Q95" i="31"/>
  <c r="H1562" i="5" s="1"/>
  <c r="L95" i="31"/>
  <c r="H1532" i="5" s="1"/>
  <c r="G95" i="31"/>
  <c r="H1503" i="5" s="1"/>
  <c r="AA94" i="31"/>
  <c r="H1621" i="5" s="1"/>
  <c r="V94" i="31"/>
  <c r="H1591" i="5" s="1"/>
  <c r="Q94" i="31"/>
  <c r="H1561" i="5" s="1"/>
  <c r="L94" i="31"/>
  <c r="H1531" i="5" s="1"/>
  <c r="G94" i="31"/>
  <c r="H1502" i="5" s="1"/>
  <c r="AA93" i="31"/>
  <c r="H1620" i="5" s="1"/>
  <c r="V93" i="31"/>
  <c r="H1590" i="5" s="1"/>
  <c r="K1590" i="5" s="1"/>
  <c r="Q93" i="31"/>
  <c r="H1560" i="5" s="1"/>
  <c r="L93" i="31"/>
  <c r="H1530" i="5" s="1"/>
  <c r="G93" i="31"/>
  <c r="H1501" i="5" s="1"/>
  <c r="AA92" i="31"/>
  <c r="H1619" i="5" s="1"/>
  <c r="V92" i="31"/>
  <c r="H1589" i="5" s="1"/>
  <c r="Q92" i="31"/>
  <c r="H1559" i="5" s="1"/>
  <c r="L92" i="31"/>
  <c r="H1529" i="5" s="1"/>
  <c r="G92" i="31"/>
  <c r="H1500" i="5" s="1"/>
  <c r="AA91" i="31"/>
  <c r="H1618" i="5" s="1"/>
  <c r="V91" i="31"/>
  <c r="H1588" i="5" s="1"/>
  <c r="Q91" i="31"/>
  <c r="H1558" i="5" s="1"/>
  <c r="L91" i="31"/>
  <c r="H1528" i="5" s="1"/>
  <c r="G91" i="31"/>
  <c r="H1499" i="5" s="1"/>
  <c r="AA90" i="31"/>
  <c r="H1617" i="5" s="1"/>
  <c r="V90" i="31"/>
  <c r="H1587" i="5" s="1"/>
  <c r="Q90" i="31"/>
  <c r="H1557" i="5" s="1"/>
  <c r="L90" i="31"/>
  <c r="H1527" i="5" s="1"/>
  <c r="G90" i="31"/>
  <c r="H1498" i="5" s="1"/>
  <c r="AA89" i="31"/>
  <c r="H1616" i="5" s="1"/>
  <c r="V89" i="31"/>
  <c r="H1586" i="5" s="1"/>
  <c r="Q89" i="31"/>
  <c r="H1556" i="5" s="1"/>
  <c r="K1556" i="5" s="1"/>
  <c r="L89" i="31"/>
  <c r="H1526" i="5" s="1"/>
  <c r="G89" i="31"/>
  <c r="H1497" i="5" s="1"/>
  <c r="AA88" i="31"/>
  <c r="H1615" i="5" s="1"/>
  <c r="V88" i="31"/>
  <c r="H1585" i="5" s="1"/>
  <c r="Q88" i="31"/>
  <c r="H1555" i="5" s="1"/>
  <c r="L88" i="31"/>
  <c r="H1525" i="5" s="1"/>
  <c r="G88" i="31"/>
  <c r="H1496" i="5" s="1"/>
  <c r="AA87" i="31"/>
  <c r="H1614" i="5" s="1"/>
  <c r="V87" i="31"/>
  <c r="H1584" i="5" s="1"/>
  <c r="Q87" i="31"/>
  <c r="H1554" i="5" s="1"/>
  <c r="L87" i="31"/>
  <c r="H1524" i="5" s="1"/>
  <c r="G87" i="31"/>
  <c r="H1151" i="5" s="1"/>
  <c r="R1151" i="5" s="1"/>
  <c r="AA86" i="31"/>
  <c r="H1613" i="5" s="1"/>
  <c r="V86" i="31"/>
  <c r="H1583" i="5" s="1"/>
  <c r="Q86" i="31"/>
  <c r="H1553" i="5" s="1"/>
  <c r="L86" i="31"/>
  <c r="H1523" i="5" s="1"/>
  <c r="G86" i="31"/>
  <c r="H1144" i="5" s="1"/>
  <c r="R1144" i="5" s="1"/>
  <c r="AA85" i="31"/>
  <c r="H1612" i="5" s="1"/>
  <c r="V85" i="31"/>
  <c r="H1582" i="5" s="1"/>
  <c r="Q85" i="31"/>
  <c r="H1552" i="5" s="1"/>
  <c r="L85" i="31"/>
  <c r="H1522" i="5" s="1"/>
  <c r="J1522" i="5" s="1"/>
  <c r="G85" i="31"/>
  <c r="H1495" i="5" s="1"/>
  <c r="AA84" i="31"/>
  <c r="H1611" i="5" s="1"/>
  <c r="V84" i="31"/>
  <c r="H1581" i="5" s="1"/>
  <c r="Q84" i="31"/>
  <c r="H1551" i="5" s="1"/>
  <c r="L84" i="31"/>
  <c r="H1521" i="5" s="1"/>
  <c r="G84" i="31"/>
  <c r="H1133" i="5" s="1"/>
  <c r="R1133" i="5" s="1"/>
  <c r="AA83" i="31"/>
  <c r="H1610" i="5" s="1"/>
  <c r="V83" i="31"/>
  <c r="H1580" i="5" s="1"/>
  <c r="Q83" i="31"/>
  <c r="H1550" i="5" s="1"/>
  <c r="L83" i="31"/>
  <c r="H1520" i="5" s="1"/>
  <c r="G83" i="31"/>
  <c r="H1127" i="5" s="1"/>
  <c r="R1127" i="5" s="1"/>
  <c r="AA82" i="31"/>
  <c r="H1609" i="5" s="1"/>
  <c r="V82" i="31"/>
  <c r="H1579" i="5" s="1"/>
  <c r="Q82" i="31"/>
  <c r="H1549" i="5" s="1"/>
  <c r="L82" i="31"/>
  <c r="H1519" i="5" s="1"/>
  <c r="G82" i="31"/>
  <c r="H1494" i="5" s="1"/>
  <c r="AA81" i="31"/>
  <c r="H1608" i="5" s="1"/>
  <c r="V81" i="31"/>
  <c r="H1578" i="5" s="1"/>
  <c r="Q81" i="31"/>
  <c r="H1548" i="5" s="1"/>
  <c r="L81" i="31"/>
  <c r="H1518" i="5" s="1"/>
  <c r="G81" i="31"/>
  <c r="H1493" i="5" s="1"/>
  <c r="AA80" i="31"/>
  <c r="H1607" i="5" s="1"/>
  <c r="V80" i="31"/>
  <c r="H1577" i="5" s="1"/>
  <c r="Q80" i="31"/>
  <c r="H1547" i="5" s="1"/>
  <c r="L80" i="31"/>
  <c r="H1517" i="5" s="1"/>
  <c r="G80" i="31"/>
  <c r="H1492" i="5" s="1"/>
  <c r="AA79" i="31"/>
  <c r="H1606" i="5" s="1"/>
  <c r="V79" i="31"/>
  <c r="H1576" i="5" s="1"/>
  <c r="Q79" i="31"/>
  <c r="H1546" i="5" s="1"/>
  <c r="L79" i="31"/>
  <c r="H1516" i="5" s="1"/>
  <c r="G79" i="31"/>
  <c r="H1491" i="5" s="1"/>
  <c r="AA78" i="31"/>
  <c r="H1605" i="5" s="1"/>
  <c r="V78" i="31"/>
  <c r="H1575" i="5" s="1"/>
  <c r="Q78" i="31"/>
  <c r="H1545" i="5" s="1"/>
  <c r="L78" i="31"/>
  <c r="H1515" i="5" s="1"/>
  <c r="G78" i="31"/>
  <c r="H1490" i="5" s="1"/>
  <c r="AA77" i="31"/>
  <c r="H1604" i="5" s="1"/>
  <c r="V77" i="31"/>
  <c r="H1574" i="5" s="1"/>
  <c r="Q77" i="31"/>
  <c r="H1544" i="5" s="1"/>
  <c r="L77" i="31"/>
  <c r="H1514" i="5" s="1"/>
  <c r="G77" i="31"/>
  <c r="H1489" i="5" s="1"/>
  <c r="AA76" i="31"/>
  <c r="H1603" i="5" s="1"/>
  <c r="V76" i="31"/>
  <c r="H1573" i="5" s="1"/>
  <c r="Q76" i="31"/>
  <c r="H1543" i="5" s="1"/>
  <c r="L76" i="31"/>
  <c r="H1513" i="5" s="1"/>
  <c r="G76" i="31"/>
  <c r="H1488" i="5" s="1"/>
  <c r="AA75" i="31"/>
  <c r="H1602" i="5" s="1"/>
  <c r="V75" i="31"/>
  <c r="H1572" i="5" s="1"/>
  <c r="Q75" i="31"/>
  <c r="H1542" i="5" s="1"/>
  <c r="L75" i="31"/>
  <c r="H1512" i="5" s="1"/>
  <c r="G75" i="31"/>
  <c r="H1487" i="5" s="1"/>
  <c r="K1487" i="5" s="1"/>
  <c r="AA72" i="31"/>
  <c r="H1486" i="5" s="1"/>
  <c r="V72" i="31"/>
  <c r="H1456" i="5" s="1"/>
  <c r="Q72" i="31"/>
  <c r="H1427" i="5" s="1"/>
  <c r="L72" i="31"/>
  <c r="H1397" i="5" s="1"/>
  <c r="G72" i="31"/>
  <c r="H1228" i="5" s="1"/>
  <c r="R1228" i="5" s="1"/>
  <c r="AA71" i="31"/>
  <c r="H1485" i="5" s="1"/>
  <c r="V71" i="31"/>
  <c r="H1455" i="5" s="1"/>
  <c r="Q71" i="31"/>
  <c r="H1426" i="5" s="1"/>
  <c r="L71" i="31"/>
  <c r="H1396" i="5" s="1"/>
  <c r="G71" i="31"/>
  <c r="H1223" i="5" s="1"/>
  <c r="R1223" i="5" s="1"/>
  <c r="AA70" i="31"/>
  <c r="H1484" i="5" s="1"/>
  <c r="V70" i="31"/>
  <c r="H1454" i="5" s="1"/>
  <c r="Q70" i="31"/>
  <c r="H1425" i="5" s="1"/>
  <c r="L70" i="31"/>
  <c r="H1395" i="5" s="1"/>
  <c r="G70" i="31"/>
  <c r="H1218" i="5" s="1"/>
  <c r="R1218" i="5" s="1"/>
  <c r="AA69" i="31"/>
  <c r="H1483" i="5" s="1"/>
  <c r="J1483" i="5" s="1"/>
  <c r="V69" i="31"/>
  <c r="H1453" i="5" s="1"/>
  <c r="Q69" i="31"/>
  <c r="H1424" i="5" s="1"/>
  <c r="K1424" i="5" s="1"/>
  <c r="L69" i="31"/>
  <c r="H1394" i="5" s="1"/>
  <c r="G69" i="31"/>
  <c r="H1372" i="5" s="1"/>
  <c r="AA68" i="31"/>
  <c r="H1482" i="5" s="1"/>
  <c r="V68" i="31"/>
  <c r="H1452" i="5" s="1"/>
  <c r="Q68" i="31"/>
  <c r="H1423" i="5" s="1"/>
  <c r="L68" i="31"/>
  <c r="H1393" i="5" s="1"/>
  <c r="G68" i="31"/>
  <c r="H1211" i="5" s="1"/>
  <c r="R1211" i="5" s="1"/>
  <c r="AA67" i="31"/>
  <c r="H1481" i="5" s="1"/>
  <c r="V67" i="31"/>
  <c r="H1451" i="5" s="1"/>
  <c r="Q67" i="31"/>
  <c r="H1422" i="5" s="1"/>
  <c r="L67" i="31"/>
  <c r="H1392" i="5" s="1"/>
  <c r="G67" i="31"/>
  <c r="H1206" i="5" s="1"/>
  <c r="R1206" i="5" s="1"/>
  <c r="AA66" i="31"/>
  <c r="H1480" i="5" s="1"/>
  <c r="V66" i="31"/>
  <c r="H1450" i="5" s="1"/>
  <c r="Q66" i="31"/>
  <c r="H1421" i="5" s="1"/>
  <c r="L66" i="31"/>
  <c r="H1391" i="5" s="1"/>
  <c r="G66" i="31"/>
  <c r="H1202" i="5" s="1"/>
  <c r="R1202" i="5" s="1"/>
  <c r="AA65" i="31"/>
  <c r="H1479" i="5" s="1"/>
  <c r="V65" i="31"/>
  <c r="H1449" i="5" s="1"/>
  <c r="Q65" i="31"/>
  <c r="H1420" i="5" s="1"/>
  <c r="L65" i="31"/>
  <c r="H1390" i="5" s="1"/>
  <c r="G65" i="31"/>
  <c r="H1197" i="5" s="1"/>
  <c r="R1197" i="5" s="1"/>
  <c r="AA64" i="31"/>
  <c r="H1478" i="5" s="1"/>
  <c r="V64" i="31"/>
  <c r="H1448" i="5" s="1"/>
  <c r="Q64" i="31"/>
  <c r="H1419" i="5" s="1"/>
  <c r="L64" i="31"/>
  <c r="H1389" i="5" s="1"/>
  <c r="G64" i="31"/>
  <c r="H1192" i="5" s="1"/>
  <c r="R1192" i="5" s="1"/>
  <c r="AA63" i="31"/>
  <c r="H1477" i="5" s="1"/>
  <c r="V63" i="31"/>
  <c r="H1447" i="5" s="1"/>
  <c r="Q63" i="31"/>
  <c r="H1418" i="5" s="1"/>
  <c r="L63" i="31"/>
  <c r="H1388" i="5" s="1"/>
  <c r="G63" i="31"/>
  <c r="H1188" i="5" s="1"/>
  <c r="R1188" i="5" s="1"/>
  <c r="AA62" i="31"/>
  <c r="H1476" i="5" s="1"/>
  <c r="V62" i="31"/>
  <c r="H1446" i="5" s="1"/>
  <c r="Q62" i="31"/>
  <c r="H1417" i="5" s="1"/>
  <c r="L62" i="31"/>
  <c r="H1387" i="5" s="1"/>
  <c r="G62" i="31"/>
  <c r="H1183" i="5" s="1"/>
  <c r="R1183" i="5" s="1"/>
  <c r="AA61" i="31"/>
  <c r="H1475" i="5" s="1"/>
  <c r="K1475" i="5" s="1"/>
  <c r="V61" i="31"/>
  <c r="H1445" i="5" s="1"/>
  <c r="Q61" i="31"/>
  <c r="H1416" i="5" s="1"/>
  <c r="L61" i="31"/>
  <c r="H1262" i="5" s="1"/>
  <c r="G61" i="31"/>
  <c r="H1178" i="5" s="1"/>
  <c r="R1178" i="5" s="1"/>
  <c r="AA60" i="31"/>
  <c r="H1474" i="5" s="1"/>
  <c r="V60" i="31"/>
  <c r="H1444" i="5" s="1"/>
  <c r="Q60" i="31"/>
  <c r="H1415" i="5" s="1"/>
  <c r="L60" i="31"/>
  <c r="H1386" i="5" s="1"/>
  <c r="G60" i="31"/>
  <c r="H1173" i="5" s="1"/>
  <c r="R1173" i="5" s="1"/>
  <c r="AA59" i="31"/>
  <c r="H1473" i="5" s="1"/>
  <c r="V59" i="31"/>
  <c r="H1443" i="5" s="1"/>
  <c r="Q59" i="31"/>
  <c r="H1414" i="5" s="1"/>
  <c r="L59" i="31"/>
  <c r="H1385" i="5" s="1"/>
  <c r="G59" i="31"/>
  <c r="H1167" i="5" s="1"/>
  <c r="R1167" i="5" s="1"/>
  <c r="AA58" i="31"/>
  <c r="H1472" i="5" s="1"/>
  <c r="V58" i="31"/>
  <c r="H1442" i="5" s="1"/>
  <c r="Q58" i="31"/>
  <c r="H1413" i="5" s="1"/>
  <c r="L58" i="31"/>
  <c r="H1384" i="5" s="1"/>
  <c r="G58" i="31"/>
  <c r="H1163" i="5" s="1"/>
  <c r="R1163" i="5" s="1"/>
  <c r="AA57" i="31"/>
  <c r="H1471" i="5" s="1"/>
  <c r="V57" i="31"/>
  <c r="H1441" i="5" s="1"/>
  <c r="K1441" i="5" s="1"/>
  <c r="Q57" i="31"/>
  <c r="H1412" i="5" s="1"/>
  <c r="L57" i="31"/>
  <c r="H1383" i="5" s="1"/>
  <c r="G57" i="31"/>
  <c r="H1159" i="5" s="1"/>
  <c r="R1159" i="5" s="1"/>
  <c r="AA56" i="31"/>
  <c r="H1470" i="5" s="1"/>
  <c r="V56" i="31"/>
  <c r="H1440" i="5" s="1"/>
  <c r="Q56" i="31"/>
  <c r="H1411" i="5" s="1"/>
  <c r="L56" i="31"/>
  <c r="H1382" i="5" s="1"/>
  <c r="G56" i="31"/>
  <c r="H1155" i="5" s="1"/>
  <c r="R1155" i="5" s="1"/>
  <c r="AA55" i="31"/>
  <c r="H1469" i="5" s="1"/>
  <c r="V55" i="31"/>
  <c r="H1319" i="5" s="1"/>
  <c r="Q55" i="31"/>
  <c r="H1410" i="5" s="1"/>
  <c r="L55" i="31"/>
  <c r="H1381" i="5" s="1"/>
  <c r="G55" i="31"/>
  <c r="H1150" i="5" s="1"/>
  <c r="R1150" i="5" s="1"/>
  <c r="AA54" i="31"/>
  <c r="H1468" i="5" s="1"/>
  <c r="V54" i="31"/>
  <c r="H1439" i="5" s="1"/>
  <c r="Q54" i="31"/>
  <c r="H1409" i="5" s="1"/>
  <c r="L54" i="31"/>
  <c r="H1250" i="5" s="1"/>
  <c r="G54" i="31"/>
  <c r="H1143" i="5" s="1"/>
  <c r="R1143" i="5" s="1"/>
  <c r="Q1143" i="5" s="1"/>
  <c r="AA53" i="31"/>
  <c r="H1467" i="5" s="1"/>
  <c r="K1467" i="5" s="1"/>
  <c r="V53" i="31"/>
  <c r="H1438" i="5" s="1"/>
  <c r="Q53" i="31"/>
  <c r="H1408" i="5" s="1"/>
  <c r="L53" i="31"/>
  <c r="H1380" i="5" s="1"/>
  <c r="G53" i="31"/>
  <c r="H1138" i="5" s="1"/>
  <c r="R1138" i="5" s="1"/>
  <c r="AA52" i="31"/>
  <c r="H1466" i="5" s="1"/>
  <c r="V52" i="31"/>
  <c r="H1437" i="5" s="1"/>
  <c r="Q52" i="31"/>
  <c r="H1407" i="5" s="1"/>
  <c r="L52" i="31"/>
  <c r="H1379" i="5" s="1"/>
  <c r="G52" i="31"/>
  <c r="H1132" i="5" s="1"/>
  <c r="R1132" i="5" s="1"/>
  <c r="AA51" i="31"/>
  <c r="H1465" i="5" s="1"/>
  <c r="V51" i="31"/>
  <c r="H1436" i="5" s="1"/>
  <c r="Q51" i="31"/>
  <c r="H1406" i="5" s="1"/>
  <c r="L51" i="31"/>
  <c r="H1378" i="5" s="1"/>
  <c r="G51" i="31"/>
  <c r="H1126" i="5" s="1"/>
  <c r="R1126" i="5" s="1"/>
  <c r="AA50" i="31"/>
  <c r="H1464" i="5" s="1"/>
  <c r="V50" i="31"/>
  <c r="H1435" i="5" s="1"/>
  <c r="Q50" i="31"/>
  <c r="H1405" i="5" s="1"/>
  <c r="L50" i="31"/>
  <c r="H1243" i="5" s="1"/>
  <c r="G50" i="31"/>
  <c r="H1122" i="5" s="1"/>
  <c r="R1122" i="5" s="1"/>
  <c r="AA49" i="31"/>
  <c r="H1463" i="5" s="1"/>
  <c r="V49" i="31"/>
  <c r="H1434" i="5" s="1"/>
  <c r="Q49" i="31"/>
  <c r="H1404" i="5" s="1"/>
  <c r="L49" i="31"/>
  <c r="H1241" i="5" s="1"/>
  <c r="G49" i="31"/>
  <c r="H1116" i="5" s="1"/>
  <c r="R1116" i="5" s="1"/>
  <c r="AA48" i="31"/>
  <c r="H1462" i="5" s="1"/>
  <c r="V48" i="31"/>
  <c r="H1433" i="5" s="1"/>
  <c r="Q48" i="31"/>
  <c r="H1403" i="5" s="1"/>
  <c r="L48" i="31"/>
  <c r="H1377" i="5" s="1"/>
  <c r="G48" i="31"/>
  <c r="H1110" i="5" s="1"/>
  <c r="R1110" i="5" s="1"/>
  <c r="AA47" i="31"/>
  <c r="H1461" i="5" s="1"/>
  <c r="V47" i="31"/>
  <c r="H1432" i="5" s="1"/>
  <c r="Q47" i="31"/>
  <c r="H1402" i="5" s="1"/>
  <c r="L47" i="31"/>
  <c r="H1376" i="5" s="1"/>
  <c r="G47" i="31"/>
  <c r="H1106" i="5" s="1"/>
  <c r="R1106" i="5" s="1"/>
  <c r="AA46" i="31"/>
  <c r="H1460" i="5" s="1"/>
  <c r="V46" i="31"/>
  <c r="H1431" i="5" s="1"/>
  <c r="Q46" i="31"/>
  <c r="H1401" i="5" s="1"/>
  <c r="L46" i="31"/>
  <c r="H1237" i="5" s="1"/>
  <c r="G46" i="31"/>
  <c r="H1102" i="5" s="1"/>
  <c r="R1102" i="5" s="1"/>
  <c r="P1102" i="5" s="1"/>
  <c r="AA45" i="31"/>
  <c r="H1459" i="5" s="1"/>
  <c r="V45" i="31"/>
  <c r="H1430" i="5" s="1"/>
  <c r="Q45" i="31"/>
  <c r="H1400" i="5" s="1"/>
  <c r="L45" i="31"/>
  <c r="H1375" i="5" s="1"/>
  <c r="G45" i="31"/>
  <c r="H1098" i="5" s="1"/>
  <c r="R1098" i="5" s="1"/>
  <c r="AA44" i="31"/>
  <c r="H1458" i="5" s="1"/>
  <c r="V44" i="31"/>
  <c r="H1429" i="5" s="1"/>
  <c r="Q44" i="31"/>
  <c r="H1399" i="5" s="1"/>
  <c r="L44" i="31"/>
  <c r="H1374" i="5" s="1"/>
  <c r="G44" i="31"/>
  <c r="H1094" i="5" s="1"/>
  <c r="R1094" i="5" s="1"/>
  <c r="AA43" i="31"/>
  <c r="H1457" i="5" s="1"/>
  <c r="V43" i="31"/>
  <c r="H1428" i="5" s="1"/>
  <c r="J1428" i="5" s="1"/>
  <c r="Q43" i="31"/>
  <c r="H1398" i="5" s="1"/>
  <c r="L43" i="31"/>
  <c r="H1373" i="5" s="1"/>
  <c r="G43" i="31"/>
  <c r="H1090" i="5" s="1"/>
  <c r="R1090" i="5" s="1"/>
  <c r="AA40" i="31"/>
  <c r="H1370" i="5" s="1"/>
  <c r="V40" i="31"/>
  <c r="H1336" i="5" s="1"/>
  <c r="Q40" i="31"/>
  <c r="H1304" i="5" s="1"/>
  <c r="L40" i="31"/>
  <c r="H1274" i="5" s="1"/>
  <c r="G40" i="31"/>
  <c r="H1227" i="5" s="1"/>
  <c r="R1227" i="5" s="1"/>
  <c r="AA39" i="31"/>
  <c r="H1369" i="5" s="1"/>
  <c r="V39" i="31"/>
  <c r="H1335" i="5" s="1"/>
  <c r="Q39" i="31"/>
  <c r="H1303" i="5" s="1"/>
  <c r="L39" i="31"/>
  <c r="H1273" i="5" s="1"/>
  <c r="G39" i="31"/>
  <c r="H1222" i="5" s="1"/>
  <c r="R1222" i="5" s="1"/>
  <c r="AA38" i="31"/>
  <c r="H1368" i="5" s="1"/>
  <c r="V38" i="31"/>
  <c r="H1334" i="5" s="1"/>
  <c r="Q38" i="31"/>
  <c r="H1302" i="5" s="1"/>
  <c r="L38" i="31"/>
  <c r="H1272" i="5" s="1"/>
  <c r="G38" i="31"/>
  <c r="H1217" i="5" s="1"/>
  <c r="R1217" i="5" s="1"/>
  <c r="AA37" i="31"/>
  <c r="H1367" i="5" s="1"/>
  <c r="V37" i="31"/>
  <c r="H1333" i="5" s="1"/>
  <c r="Q37" i="31"/>
  <c r="H1301" i="5" s="1"/>
  <c r="L37" i="31"/>
  <c r="H1270" i="5" s="1"/>
  <c r="G37" i="31"/>
  <c r="H1214" i="5" s="1"/>
  <c r="R1214" i="5" s="1"/>
  <c r="AA36" i="31"/>
  <c r="H1366" i="5" s="1"/>
  <c r="V36" i="31"/>
  <c r="H1332" i="5" s="1"/>
  <c r="Q36" i="31"/>
  <c r="H1300" i="5" s="1"/>
  <c r="L36" i="31"/>
  <c r="H1269" i="5" s="1"/>
  <c r="G36" i="31"/>
  <c r="H1210" i="5" s="1"/>
  <c r="R1210" i="5" s="1"/>
  <c r="P1210" i="5" s="1"/>
  <c r="AA35" i="31"/>
  <c r="H1364" i="5" s="1"/>
  <c r="V35" i="31"/>
  <c r="H1331" i="5" s="1"/>
  <c r="Q35" i="31"/>
  <c r="H1299" i="5" s="1"/>
  <c r="L35" i="31"/>
  <c r="H1268" i="5" s="1"/>
  <c r="G35" i="31"/>
  <c r="H1205" i="5" s="1"/>
  <c r="R1205" i="5" s="1"/>
  <c r="AA34" i="31"/>
  <c r="H1363" i="5" s="1"/>
  <c r="V34" i="31"/>
  <c r="H1330" i="5" s="1"/>
  <c r="Q34" i="31"/>
  <c r="H1298" i="5" s="1"/>
  <c r="L34" i="31"/>
  <c r="H1267" i="5" s="1"/>
  <c r="G34" i="31"/>
  <c r="H1201" i="5" s="1"/>
  <c r="R1201" i="5" s="1"/>
  <c r="AA33" i="31"/>
  <c r="H1362" i="5" s="1"/>
  <c r="V33" i="31"/>
  <c r="H1329" i="5" s="1"/>
  <c r="Q33" i="31"/>
  <c r="H1297" i="5" s="1"/>
  <c r="L33" i="31"/>
  <c r="H1266" i="5" s="1"/>
  <c r="G33" i="31"/>
  <c r="H1196" i="5" s="1"/>
  <c r="R1196" i="5" s="1"/>
  <c r="AA32" i="31"/>
  <c r="H1361" i="5" s="1"/>
  <c r="V32" i="31"/>
  <c r="H1328" i="5" s="1"/>
  <c r="Q32" i="31"/>
  <c r="H1296" i="5" s="1"/>
  <c r="L32" i="31"/>
  <c r="H1265" i="5" s="1"/>
  <c r="G32" i="31"/>
  <c r="H1191" i="5" s="1"/>
  <c r="R1191" i="5" s="1"/>
  <c r="AA31" i="31"/>
  <c r="H1360" i="5" s="1"/>
  <c r="V31" i="31"/>
  <c r="H1327" i="5" s="1"/>
  <c r="Q31" i="31"/>
  <c r="H1295" i="5" s="1"/>
  <c r="L31" i="31"/>
  <c r="H1264" i="5" s="1"/>
  <c r="G31" i="31"/>
  <c r="H1187" i="5" s="1"/>
  <c r="R1187" i="5" s="1"/>
  <c r="AA30" i="31"/>
  <c r="H1359" i="5" s="1"/>
  <c r="V30" i="31"/>
  <c r="H1326" i="5" s="1"/>
  <c r="Q30" i="31"/>
  <c r="H1294" i="5" s="1"/>
  <c r="L30" i="31"/>
  <c r="H1263" i="5" s="1"/>
  <c r="G30" i="31"/>
  <c r="H1182" i="5" s="1"/>
  <c r="R1182" i="5" s="1"/>
  <c r="AA29" i="31"/>
  <c r="H1358" i="5" s="1"/>
  <c r="V29" i="31"/>
  <c r="H1325" i="5" s="1"/>
  <c r="Q29" i="31"/>
  <c r="H1293" i="5" s="1"/>
  <c r="L29" i="31"/>
  <c r="H1261" i="5" s="1"/>
  <c r="R1261" i="5" s="1"/>
  <c r="G29" i="31"/>
  <c r="H1177" i="5" s="1"/>
  <c r="R1177" i="5" s="1"/>
  <c r="AA28" i="31"/>
  <c r="H1357" i="5" s="1"/>
  <c r="V28" i="31"/>
  <c r="H1324" i="5" s="1"/>
  <c r="Q28" i="31"/>
  <c r="H1292" i="5" s="1"/>
  <c r="L28" i="31"/>
  <c r="H1259" i="5" s="1"/>
  <c r="R1259" i="5" s="1"/>
  <c r="G28" i="31"/>
  <c r="H1172" i="5" s="1"/>
  <c r="R1172" i="5" s="1"/>
  <c r="AA27" i="31"/>
  <c r="H1356" i="5" s="1"/>
  <c r="V27" i="31"/>
  <c r="H1323" i="5" s="1"/>
  <c r="Q27" i="31"/>
  <c r="H1291" i="5" s="1"/>
  <c r="L27" i="31"/>
  <c r="H1258" i="5" s="1"/>
  <c r="G27" i="31"/>
  <c r="H1166" i="5" s="1"/>
  <c r="R1166" i="5" s="1"/>
  <c r="AA26" i="31"/>
  <c r="H1355" i="5" s="1"/>
  <c r="V26" i="31"/>
  <c r="H1322" i="5" s="1"/>
  <c r="Q26" i="31"/>
  <c r="H1290" i="5" s="1"/>
  <c r="L26" i="31"/>
  <c r="H1257" i="5" s="1"/>
  <c r="G26" i="31"/>
  <c r="H1162" i="5" s="1"/>
  <c r="R1162" i="5" s="1"/>
  <c r="AA25" i="31"/>
  <c r="H1354" i="5" s="1"/>
  <c r="V25" i="31"/>
  <c r="H1321" i="5" s="1"/>
  <c r="Q25" i="31"/>
  <c r="H1289" i="5" s="1"/>
  <c r="L25" i="31"/>
  <c r="H1255" i="5" s="1"/>
  <c r="R1255" i="5" s="1"/>
  <c r="G25" i="31"/>
  <c r="H1158" i="5" s="1"/>
  <c r="R1158" i="5" s="1"/>
  <c r="AA24" i="31"/>
  <c r="H1353" i="5" s="1"/>
  <c r="V24" i="31"/>
  <c r="H1320" i="5" s="1"/>
  <c r="Q24" i="31"/>
  <c r="H1288" i="5" s="1"/>
  <c r="L24" i="31"/>
  <c r="H1252" i="5" s="1"/>
  <c r="R1252" i="5" s="1"/>
  <c r="P1252" i="5" s="1"/>
  <c r="G24" i="31"/>
  <c r="H1154" i="5" s="1"/>
  <c r="R1154" i="5" s="1"/>
  <c r="AA23" i="31"/>
  <c r="H1352" i="5" s="1"/>
  <c r="J1352" i="5" s="1"/>
  <c r="V23" i="31"/>
  <c r="H1318" i="5" s="1"/>
  <c r="Q23" i="31"/>
  <c r="H1287" i="5" s="1"/>
  <c r="L23" i="31"/>
  <c r="H1251" i="5" s="1"/>
  <c r="G23" i="31"/>
  <c r="H1149" i="5" s="1"/>
  <c r="AA22" i="31"/>
  <c r="H1351" i="5" s="1"/>
  <c r="V22" i="31"/>
  <c r="H1317" i="5" s="1"/>
  <c r="Q22" i="31"/>
  <c r="H1286" i="5" s="1"/>
  <c r="L22" i="31"/>
  <c r="H1249" i="5" s="1"/>
  <c r="R1249" i="5" s="1"/>
  <c r="G22" i="31"/>
  <c r="H1142" i="5" s="1"/>
  <c r="R1142" i="5" s="1"/>
  <c r="AA21" i="31"/>
  <c r="H1349" i="5" s="1"/>
  <c r="V21" i="31"/>
  <c r="H1315" i="5" s="1"/>
  <c r="Q21" i="31"/>
  <c r="H1285" i="5" s="1"/>
  <c r="L21" i="31"/>
  <c r="H1248" i="5" s="1"/>
  <c r="G21" i="31"/>
  <c r="H1137" i="5" s="1"/>
  <c r="R1137" i="5" s="1"/>
  <c r="AA20" i="31"/>
  <c r="H1348" i="5" s="1"/>
  <c r="V20" i="31"/>
  <c r="H1314" i="5" s="1"/>
  <c r="Q20" i="31"/>
  <c r="H1284" i="5" s="1"/>
  <c r="L20" i="31"/>
  <c r="H1247" i="5" s="1"/>
  <c r="G20" i="31"/>
  <c r="H1131" i="5" s="1"/>
  <c r="R1131" i="5" s="1"/>
  <c r="Q1131" i="5" s="1"/>
  <c r="AA19" i="31"/>
  <c r="H1346" i="5" s="1"/>
  <c r="V19" i="31"/>
  <c r="H1313" i="5" s="1"/>
  <c r="Q19" i="31"/>
  <c r="H1283" i="5" s="1"/>
  <c r="L19" i="31"/>
  <c r="H1244" i="5" s="1"/>
  <c r="R1244" i="5" s="1"/>
  <c r="G19" i="31"/>
  <c r="H1125" i="5" s="1"/>
  <c r="R1125" i="5" s="1"/>
  <c r="AA18" i="31"/>
  <c r="H1344" i="5" s="1"/>
  <c r="V18" i="31"/>
  <c r="H1312" i="5" s="1"/>
  <c r="Q18" i="31"/>
  <c r="H1282" i="5" s="1"/>
  <c r="L18" i="31"/>
  <c r="H1242" i="5" s="1"/>
  <c r="R1242" i="5" s="1"/>
  <c r="G18" i="31"/>
  <c r="H1121" i="5" s="1"/>
  <c r="R1121" i="5" s="1"/>
  <c r="AA17" i="31"/>
  <c r="H1343" i="5" s="1"/>
  <c r="V17" i="31"/>
  <c r="H1311" i="5" s="1"/>
  <c r="Q17" i="31"/>
  <c r="H1281" i="5" s="1"/>
  <c r="L17" i="31"/>
  <c r="H1240" i="5" s="1"/>
  <c r="R1240" i="5" s="1"/>
  <c r="G17" i="31"/>
  <c r="H1115" i="5" s="1"/>
  <c r="R1115" i="5" s="1"/>
  <c r="AA16" i="31"/>
  <c r="H1342" i="5" s="1"/>
  <c r="V16" i="31"/>
  <c r="H1310" i="5" s="1"/>
  <c r="Q16" i="31"/>
  <c r="H1280" i="5" s="1"/>
  <c r="L16" i="31"/>
  <c r="H1239" i="5" s="1"/>
  <c r="G16" i="31"/>
  <c r="H1109" i="5" s="1"/>
  <c r="R1109" i="5" s="1"/>
  <c r="AA15" i="31"/>
  <c r="H1341" i="5" s="1"/>
  <c r="V15" i="31"/>
  <c r="H1309" i="5" s="1"/>
  <c r="Q15" i="31"/>
  <c r="H1279" i="5" s="1"/>
  <c r="L15" i="31"/>
  <c r="H1238" i="5" s="1"/>
  <c r="G15" i="31"/>
  <c r="H1105" i="5" s="1"/>
  <c r="R1105" i="5" s="1"/>
  <c r="AA14" i="31"/>
  <c r="H1340" i="5" s="1"/>
  <c r="V14" i="31"/>
  <c r="H1308" i="5" s="1"/>
  <c r="Q14" i="31"/>
  <c r="H1278" i="5" s="1"/>
  <c r="L14" i="31"/>
  <c r="H1236" i="5" s="1"/>
  <c r="R1236" i="5" s="1"/>
  <c r="G14" i="31"/>
  <c r="H1101" i="5" s="1"/>
  <c r="R1101" i="5" s="1"/>
  <c r="AA13" i="31"/>
  <c r="H1339" i="5" s="1"/>
  <c r="V13" i="31"/>
  <c r="H1307" i="5" s="1"/>
  <c r="Q13" i="31"/>
  <c r="H1277" i="5" s="1"/>
  <c r="L13" i="31"/>
  <c r="H1234" i="5" s="1"/>
  <c r="R1234" i="5" s="1"/>
  <c r="G13" i="31"/>
  <c r="H1097" i="5" s="1"/>
  <c r="R1097" i="5" s="1"/>
  <c r="AA12" i="31"/>
  <c r="H1338" i="5" s="1"/>
  <c r="V12" i="31"/>
  <c r="H1306" i="5" s="1"/>
  <c r="Q12" i="31"/>
  <c r="H1276" i="5" s="1"/>
  <c r="L12" i="31"/>
  <c r="H1232" i="5" s="1"/>
  <c r="R1232" i="5" s="1"/>
  <c r="G12" i="31"/>
  <c r="H1093" i="5" s="1"/>
  <c r="R1093" i="5" s="1"/>
  <c r="P1093" i="5" s="1"/>
  <c r="AA11" i="31"/>
  <c r="H1337" i="5" s="1"/>
  <c r="V11" i="31"/>
  <c r="H1305" i="5" s="1"/>
  <c r="Q11" i="31"/>
  <c r="H1275" i="5" s="1"/>
  <c r="L11" i="31"/>
  <c r="H1231" i="5" s="1"/>
  <c r="G11" i="31"/>
  <c r="H1089" i="5" s="1"/>
  <c r="V237" i="30"/>
  <c r="V238" i="30"/>
  <c r="V239" i="30"/>
  <c r="V240" i="30"/>
  <c r="V241" i="30"/>
  <c r="H1034" i="5" s="1"/>
  <c r="V242" i="30"/>
  <c r="H1035" i="5" s="1"/>
  <c r="V243" i="30"/>
  <c r="V244" i="30"/>
  <c r="H1037" i="5" s="1"/>
  <c r="V245" i="30"/>
  <c r="V246" i="30"/>
  <c r="V247" i="30"/>
  <c r="V248" i="30"/>
  <c r="V249" i="30"/>
  <c r="V250" i="30"/>
  <c r="H1043" i="5" s="1"/>
  <c r="V251" i="30"/>
  <c r="V252" i="30"/>
  <c r="V253" i="30"/>
  <c r="V254" i="30"/>
  <c r="V255" i="30"/>
  <c r="V256" i="30"/>
  <c r="V257" i="30"/>
  <c r="V258" i="30"/>
  <c r="H1051" i="5" s="1"/>
  <c r="V259" i="30"/>
  <c r="V260" i="30"/>
  <c r="H1053" i="5" s="1"/>
  <c r="V261" i="30"/>
  <c r="V262" i="30"/>
  <c r="V263" i="30"/>
  <c r="V264" i="30"/>
  <c r="V265" i="30"/>
  <c r="V236" i="30"/>
  <c r="AA237" i="30"/>
  <c r="AA238" i="30"/>
  <c r="H1061" i="5" s="1"/>
  <c r="AA239" i="30"/>
  <c r="AA240" i="30"/>
  <c r="AA241" i="30"/>
  <c r="AA242" i="30"/>
  <c r="AA243" i="30"/>
  <c r="AA244" i="30"/>
  <c r="AA245" i="30"/>
  <c r="AA246" i="30"/>
  <c r="H1069" i="5" s="1"/>
  <c r="AA247" i="30"/>
  <c r="AA248" i="30"/>
  <c r="AA249" i="30"/>
  <c r="AA250" i="30"/>
  <c r="AA251" i="30"/>
  <c r="AA252" i="30"/>
  <c r="AA253" i="30"/>
  <c r="AA254" i="30"/>
  <c r="H1077" i="5" s="1"/>
  <c r="AA255" i="30"/>
  <c r="AA256" i="30"/>
  <c r="AA257" i="30"/>
  <c r="AA258" i="30"/>
  <c r="AA259" i="30"/>
  <c r="AA260" i="30"/>
  <c r="AA261" i="30"/>
  <c r="AA262" i="30"/>
  <c r="H1085" i="5" s="1"/>
  <c r="AA263" i="30"/>
  <c r="AA264" i="30"/>
  <c r="AA265" i="30"/>
  <c r="AA236" i="30"/>
  <c r="Q237" i="30"/>
  <c r="Q238" i="30"/>
  <c r="Q239" i="30"/>
  <c r="Q240" i="30"/>
  <c r="H1003" i="5" s="1"/>
  <c r="Q241" i="30"/>
  <c r="Q242" i="30"/>
  <c r="Q243" i="30"/>
  <c r="Q244" i="30"/>
  <c r="H1007" i="5" s="1"/>
  <c r="Q245" i="30"/>
  <c r="Q246" i="30"/>
  <c r="Q247" i="30"/>
  <c r="Q248" i="30"/>
  <c r="Q249" i="30"/>
  <c r="Q250" i="30"/>
  <c r="Q251" i="30"/>
  <c r="Q252" i="30"/>
  <c r="H1015" i="5" s="1"/>
  <c r="Q253" i="30"/>
  <c r="Q254" i="30"/>
  <c r="Q255" i="30"/>
  <c r="Q256" i="30"/>
  <c r="H1019" i="5" s="1"/>
  <c r="Q257" i="30"/>
  <c r="Q258" i="30"/>
  <c r="Q259" i="30"/>
  <c r="Q260" i="30"/>
  <c r="H1023" i="5" s="1"/>
  <c r="Q261" i="30"/>
  <c r="Q262" i="30"/>
  <c r="Q263" i="30"/>
  <c r="Q264" i="30"/>
  <c r="H1027" i="5" s="1"/>
  <c r="Q265" i="30"/>
  <c r="Q236" i="30"/>
  <c r="L237" i="30"/>
  <c r="L238" i="30"/>
  <c r="L239" i="30"/>
  <c r="L240" i="30"/>
  <c r="L241" i="30"/>
  <c r="L242" i="30"/>
  <c r="H976" i="5" s="1"/>
  <c r="L243" i="30"/>
  <c r="L244" i="30"/>
  <c r="H164" i="5" s="1"/>
  <c r="L245" i="30"/>
  <c r="L246" i="30"/>
  <c r="L247" i="30"/>
  <c r="L248" i="30"/>
  <c r="L249" i="30"/>
  <c r="L250" i="30"/>
  <c r="H983" i="5" s="1"/>
  <c r="L251" i="30"/>
  <c r="L252" i="30"/>
  <c r="H985" i="5" s="1"/>
  <c r="L253" i="30"/>
  <c r="L254" i="30"/>
  <c r="L255" i="30"/>
  <c r="L256" i="30"/>
  <c r="L257" i="30"/>
  <c r="L258" i="30"/>
  <c r="H991" i="5" s="1"/>
  <c r="L259" i="30"/>
  <c r="L260" i="30"/>
  <c r="H993" i="5" s="1"/>
  <c r="L261" i="30"/>
  <c r="L262" i="30"/>
  <c r="L263" i="30"/>
  <c r="L264" i="30"/>
  <c r="L265" i="30"/>
  <c r="L236" i="30"/>
  <c r="H972" i="5" s="1"/>
  <c r="AA205" i="30"/>
  <c r="AA206" i="30"/>
  <c r="AA207" i="30"/>
  <c r="AA208" i="30"/>
  <c r="AA209" i="30"/>
  <c r="AA210" i="30"/>
  <c r="AA211" i="30"/>
  <c r="AA212" i="30"/>
  <c r="H950" i="5" s="1"/>
  <c r="AA213" i="30"/>
  <c r="AA214" i="30"/>
  <c r="AA215" i="30"/>
  <c r="AA216" i="30"/>
  <c r="AA217" i="30"/>
  <c r="AA218" i="30"/>
  <c r="AA219" i="30"/>
  <c r="AA220" i="30"/>
  <c r="H958" i="5" s="1"/>
  <c r="AA221" i="30"/>
  <c r="AA222" i="30"/>
  <c r="AA223" i="30"/>
  <c r="AA224" i="30"/>
  <c r="AA225" i="30"/>
  <c r="AA226" i="30"/>
  <c r="AA227" i="30"/>
  <c r="AA228" i="30"/>
  <c r="H966" i="5" s="1"/>
  <c r="AA229" i="30"/>
  <c r="AA230" i="30"/>
  <c r="AA231" i="30"/>
  <c r="AA232" i="30"/>
  <c r="AA233" i="30"/>
  <c r="AA204" i="30"/>
  <c r="H942" i="5" s="1"/>
  <c r="V205" i="30"/>
  <c r="V206" i="30"/>
  <c r="H914" i="5" s="1"/>
  <c r="V207" i="30"/>
  <c r="V208" i="30"/>
  <c r="V209" i="30"/>
  <c r="V210" i="30"/>
  <c r="V211" i="30"/>
  <c r="V212" i="30"/>
  <c r="H920" i="5" s="1"/>
  <c r="V213" i="30"/>
  <c r="V214" i="30"/>
  <c r="H922" i="5" s="1"/>
  <c r="V215" i="30"/>
  <c r="V216" i="30"/>
  <c r="V217" i="30"/>
  <c r="V218" i="30"/>
  <c r="V219" i="30"/>
  <c r="V220" i="30"/>
  <c r="H928" i="5" s="1"/>
  <c r="V221" i="30"/>
  <c r="V222" i="30"/>
  <c r="V223" i="30"/>
  <c r="V224" i="30"/>
  <c r="V225" i="30"/>
  <c r="V226" i="30"/>
  <c r="V227" i="30"/>
  <c r="V228" i="30"/>
  <c r="H936" i="5" s="1"/>
  <c r="V229" i="30"/>
  <c r="V230" i="30"/>
  <c r="H938" i="5" s="1"/>
  <c r="V231" i="30"/>
  <c r="V232" i="30"/>
  <c r="V233" i="30"/>
  <c r="V204" i="30"/>
  <c r="H912" i="5" s="1"/>
  <c r="Q205" i="30"/>
  <c r="Q206" i="30"/>
  <c r="Q207" i="30"/>
  <c r="Q208" i="30"/>
  <c r="H886" i="5" s="1"/>
  <c r="Q209" i="30"/>
  <c r="Q210" i="30"/>
  <c r="Q211" i="30"/>
  <c r="Q212" i="30"/>
  <c r="H890" i="5" s="1"/>
  <c r="Q213" i="30"/>
  <c r="Q214" i="30"/>
  <c r="Q215" i="30"/>
  <c r="Q216" i="30"/>
  <c r="H894" i="5" s="1"/>
  <c r="Q217" i="30"/>
  <c r="Q218" i="30"/>
  <c r="Q219" i="30"/>
  <c r="Q220" i="30"/>
  <c r="H898" i="5" s="1"/>
  <c r="Q221" i="30"/>
  <c r="Q222" i="30"/>
  <c r="Q223" i="30"/>
  <c r="Q224" i="30"/>
  <c r="H902" i="5" s="1"/>
  <c r="Q225" i="30"/>
  <c r="Q226" i="30"/>
  <c r="Q227" i="30"/>
  <c r="Q228" i="30"/>
  <c r="H906" i="5" s="1"/>
  <c r="Q229" i="30"/>
  <c r="Q230" i="30"/>
  <c r="Q231" i="30"/>
  <c r="Q232" i="30"/>
  <c r="H910" i="5" s="1"/>
  <c r="Q233" i="30"/>
  <c r="Q204" i="30"/>
  <c r="H882" i="5" s="1"/>
  <c r="L205" i="30"/>
  <c r="L206" i="30"/>
  <c r="L207" i="30"/>
  <c r="L208" i="30"/>
  <c r="L209" i="30"/>
  <c r="L210" i="30"/>
  <c r="H859" i="5" s="1"/>
  <c r="L211" i="30"/>
  <c r="L212" i="30"/>
  <c r="H861" i="5" s="1"/>
  <c r="L213" i="30"/>
  <c r="L214" i="30"/>
  <c r="L215" i="30"/>
  <c r="L216" i="30"/>
  <c r="L217" i="30"/>
  <c r="L218" i="30"/>
  <c r="H867" i="5" s="1"/>
  <c r="L219" i="30"/>
  <c r="L220" i="30"/>
  <c r="H869" i="5" s="1"/>
  <c r="L221" i="30"/>
  <c r="L222" i="30"/>
  <c r="L223" i="30"/>
  <c r="L224" i="30"/>
  <c r="L225" i="30"/>
  <c r="L226" i="30"/>
  <c r="L227" i="30"/>
  <c r="L228" i="30"/>
  <c r="H877" i="5" s="1"/>
  <c r="L229" i="30"/>
  <c r="L230" i="30"/>
  <c r="L231" i="30"/>
  <c r="L232" i="30"/>
  <c r="L233" i="30"/>
  <c r="L204" i="30"/>
  <c r="H853" i="5" s="1"/>
  <c r="AA140" i="30"/>
  <c r="AA141" i="30"/>
  <c r="AA142" i="30"/>
  <c r="AA143" i="30"/>
  <c r="AA144" i="30"/>
  <c r="AA145" i="30"/>
  <c r="AA146" i="30"/>
  <c r="AA147" i="30"/>
  <c r="H807" i="5" s="1"/>
  <c r="AA148" i="30"/>
  <c r="AA149" i="30"/>
  <c r="AA150" i="30"/>
  <c r="AA151" i="30"/>
  <c r="AA152" i="30"/>
  <c r="AA153" i="30"/>
  <c r="AA154" i="30"/>
  <c r="AA155" i="30"/>
  <c r="H810" i="5" s="1"/>
  <c r="AA156" i="30"/>
  <c r="AA157" i="30"/>
  <c r="AA158" i="30"/>
  <c r="AA159" i="30"/>
  <c r="AA160" i="30"/>
  <c r="AA161" i="30"/>
  <c r="AA162" i="30"/>
  <c r="AA163" i="30"/>
  <c r="H286" i="5" s="1"/>
  <c r="AA164" i="30"/>
  <c r="AA165" i="30"/>
  <c r="AA166" i="30"/>
  <c r="AA167" i="30"/>
  <c r="AA168" i="30"/>
  <c r="AA139" i="30"/>
  <c r="V140" i="30"/>
  <c r="V141" i="30"/>
  <c r="H771" i="5" s="1"/>
  <c r="V142" i="30"/>
  <c r="V143" i="30"/>
  <c r="V144" i="30"/>
  <c r="V145" i="30"/>
  <c r="V146" i="30"/>
  <c r="V147" i="30"/>
  <c r="H777" i="5" s="1"/>
  <c r="V148" i="30"/>
  <c r="V149" i="30"/>
  <c r="H779" i="5" s="1"/>
  <c r="V150" i="30"/>
  <c r="V151" i="30"/>
  <c r="V152" i="30"/>
  <c r="V153" i="30"/>
  <c r="V154" i="30"/>
  <c r="V155" i="30"/>
  <c r="H785" i="5" s="1"/>
  <c r="V156" i="30"/>
  <c r="V157" i="30"/>
  <c r="V158" i="30"/>
  <c r="V159" i="30"/>
  <c r="V160" i="30"/>
  <c r="V161" i="30"/>
  <c r="V162" i="30"/>
  <c r="V163" i="30"/>
  <c r="H793" i="5" s="1"/>
  <c r="V164" i="30"/>
  <c r="V165" i="30"/>
  <c r="H795" i="5" s="1"/>
  <c r="V166" i="30"/>
  <c r="V167" i="30"/>
  <c r="V168" i="30"/>
  <c r="V139" i="30"/>
  <c r="Q140" i="30"/>
  <c r="Q141" i="30"/>
  <c r="Q142" i="30"/>
  <c r="Q143" i="30"/>
  <c r="H749" i="5" s="1"/>
  <c r="Q144" i="30"/>
  <c r="Q145" i="30"/>
  <c r="Q146" i="30"/>
  <c r="Q147" i="30"/>
  <c r="H753" i="5" s="1"/>
  <c r="Q148" i="30"/>
  <c r="Q149" i="30"/>
  <c r="Q150" i="30"/>
  <c r="Q151" i="30"/>
  <c r="H757" i="5" s="1"/>
  <c r="Q152" i="30"/>
  <c r="Q153" i="30"/>
  <c r="Q154" i="30"/>
  <c r="Q155" i="30"/>
  <c r="H761" i="5" s="1"/>
  <c r="Q156" i="30"/>
  <c r="Q157" i="30"/>
  <c r="Q158" i="30"/>
  <c r="Q159" i="30"/>
  <c r="H765" i="5" s="1"/>
  <c r="Q160" i="30"/>
  <c r="Q161" i="30"/>
  <c r="Q162" i="30"/>
  <c r="Q163" i="30"/>
  <c r="Q164" i="30"/>
  <c r="Q165" i="30"/>
  <c r="Q166" i="30"/>
  <c r="Q167" i="30"/>
  <c r="Q168" i="30"/>
  <c r="Q139" i="30"/>
  <c r="L140" i="30"/>
  <c r="L141" i="30"/>
  <c r="L142" i="30"/>
  <c r="L143" i="30"/>
  <c r="L144" i="30"/>
  <c r="L145" i="30"/>
  <c r="L146" i="30"/>
  <c r="L147" i="30"/>
  <c r="L148" i="30"/>
  <c r="L149" i="30"/>
  <c r="L150" i="30"/>
  <c r="L151" i="30"/>
  <c r="L152" i="30"/>
  <c r="L153" i="30"/>
  <c r="L154" i="30"/>
  <c r="L155" i="30"/>
  <c r="L156" i="30"/>
  <c r="L157" i="30"/>
  <c r="L158" i="30"/>
  <c r="L159" i="30"/>
  <c r="L160" i="30"/>
  <c r="L161" i="30"/>
  <c r="L162" i="30"/>
  <c r="L163" i="30"/>
  <c r="L164" i="30"/>
  <c r="L165" i="30"/>
  <c r="L166" i="30"/>
  <c r="L167" i="30"/>
  <c r="L168" i="30"/>
  <c r="L139" i="30"/>
  <c r="AA108" i="30"/>
  <c r="AA109" i="30"/>
  <c r="AA110" i="30"/>
  <c r="AA111" i="30"/>
  <c r="AA112" i="30"/>
  <c r="AA113" i="30"/>
  <c r="AA114" i="30"/>
  <c r="AA115" i="30"/>
  <c r="AA116" i="30"/>
  <c r="AA117" i="30"/>
  <c r="AA118" i="30"/>
  <c r="AA119" i="30"/>
  <c r="AA120" i="30"/>
  <c r="AA121" i="30"/>
  <c r="AA122" i="30"/>
  <c r="AA123" i="30"/>
  <c r="AA124" i="30"/>
  <c r="AA125" i="30"/>
  <c r="AA126" i="30"/>
  <c r="AA127" i="30"/>
  <c r="AA128" i="30"/>
  <c r="AA129" i="30"/>
  <c r="AA130" i="30"/>
  <c r="AA131" i="30"/>
  <c r="AA132" i="30"/>
  <c r="AA133" i="30"/>
  <c r="AA134" i="30"/>
  <c r="AA135" i="30"/>
  <c r="AA136" i="30"/>
  <c r="AA107" i="30"/>
  <c r="V108" i="30"/>
  <c r="V109" i="30"/>
  <c r="V110" i="30"/>
  <c r="V111" i="30"/>
  <c r="V112" i="30"/>
  <c r="V113" i="30"/>
  <c r="V114" i="30"/>
  <c r="V115" i="30"/>
  <c r="V116" i="30"/>
  <c r="V117" i="30"/>
  <c r="V118" i="30"/>
  <c r="V119" i="30"/>
  <c r="V120" i="30"/>
  <c r="V121" i="30"/>
  <c r="V122" i="30"/>
  <c r="V123" i="30"/>
  <c r="V124" i="30"/>
  <c r="V125" i="30"/>
  <c r="V126" i="30"/>
  <c r="V127" i="30"/>
  <c r="V128" i="30"/>
  <c r="V129" i="30"/>
  <c r="V130" i="30"/>
  <c r="V131" i="30"/>
  <c r="V132" i="30"/>
  <c r="V133" i="30"/>
  <c r="V134" i="30"/>
  <c r="V135" i="30"/>
  <c r="V136" i="30"/>
  <c r="V107" i="30"/>
  <c r="Q108" i="30"/>
  <c r="Q109" i="30"/>
  <c r="Q110" i="30"/>
  <c r="Q111" i="30"/>
  <c r="Q112" i="30"/>
  <c r="Q113" i="30"/>
  <c r="Q114" i="30"/>
  <c r="Q115" i="30"/>
  <c r="Q116" i="30"/>
  <c r="Q117" i="30"/>
  <c r="Q118" i="30"/>
  <c r="Q119" i="30"/>
  <c r="Q120" i="30"/>
  <c r="Q121" i="30"/>
  <c r="Q122" i="30"/>
  <c r="Q123" i="30"/>
  <c r="Q124" i="30"/>
  <c r="Q125" i="30"/>
  <c r="Q126" i="30"/>
  <c r="Q127" i="30"/>
  <c r="Q128" i="30"/>
  <c r="Q129" i="30"/>
  <c r="Q130" i="30"/>
  <c r="Q131" i="30"/>
  <c r="Q132" i="30"/>
  <c r="Q133" i="30"/>
  <c r="Q134" i="30"/>
  <c r="Q135" i="30"/>
  <c r="Q136" i="30"/>
  <c r="Q107" i="30"/>
  <c r="L108" i="30"/>
  <c r="L109" i="30"/>
  <c r="L110" i="30"/>
  <c r="L111" i="30"/>
  <c r="L112" i="30"/>
  <c r="L113" i="30"/>
  <c r="L114" i="30"/>
  <c r="L115" i="30"/>
  <c r="L116" i="30"/>
  <c r="L117" i="30"/>
  <c r="L118" i="30"/>
  <c r="L119" i="30"/>
  <c r="L120" i="30"/>
  <c r="L121" i="30"/>
  <c r="L122" i="30"/>
  <c r="L123" i="30"/>
  <c r="L124" i="30"/>
  <c r="L125" i="30"/>
  <c r="L126" i="30"/>
  <c r="L127" i="30"/>
  <c r="L128" i="30"/>
  <c r="L129" i="30"/>
  <c r="L130" i="30"/>
  <c r="L131" i="30"/>
  <c r="L132" i="30"/>
  <c r="L133" i="30"/>
  <c r="L134" i="30"/>
  <c r="L135" i="30"/>
  <c r="L136" i="30"/>
  <c r="L107" i="30"/>
  <c r="V76" i="30"/>
  <c r="V77" i="30"/>
  <c r="V78" i="30"/>
  <c r="V79" i="30"/>
  <c r="V80" i="30"/>
  <c r="V81" i="30"/>
  <c r="V82" i="30"/>
  <c r="V83" i="30"/>
  <c r="V84" i="30"/>
  <c r="V85" i="30"/>
  <c r="V86" i="30"/>
  <c r="V87" i="30"/>
  <c r="V88" i="30"/>
  <c r="V89" i="30"/>
  <c r="V90" i="30"/>
  <c r="V91" i="30"/>
  <c r="V92" i="30"/>
  <c r="V93" i="30"/>
  <c r="V94" i="30"/>
  <c r="V95" i="30"/>
  <c r="V96" i="30"/>
  <c r="V97" i="30"/>
  <c r="V98" i="30"/>
  <c r="V99" i="30"/>
  <c r="V100" i="30"/>
  <c r="V101" i="30"/>
  <c r="V102" i="30"/>
  <c r="V103" i="30"/>
  <c r="V104" i="30"/>
  <c r="V75" i="30"/>
  <c r="Q76" i="30"/>
  <c r="Q77" i="30"/>
  <c r="Q78" i="30"/>
  <c r="Q79" i="30"/>
  <c r="Q80" i="30"/>
  <c r="Q81" i="30"/>
  <c r="Q82" i="30"/>
  <c r="Q83" i="30"/>
  <c r="Q84" i="30"/>
  <c r="Q85" i="30"/>
  <c r="Q86" i="30"/>
  <c r="Q87" i="30"/>
  <c r="Q88" i="30"/>
  <c r="Q89" i="30"/>
  <c r="Q90" i="30"/>
  <c r="Q91" i="30"/>
  <c r="Q92" i="30"/>
  <c r="Q93" i="30"/>
  <c r="Q94" i="30"/>
  <c r="Q95" i="30"/>
  <c r="Q96" i="30"/>
  <c r="Q97" i="30"/>
  <c r="Q98" i="30"/>
  <c r="Q99" i="30"/>
  <c r="Q100" i="30"/>
  <c r="Q101" i="30"/>
  <c r="Q102" i="30"/>
  <c r="Q103" i="30"/>
  <c r="Q104" i="30"/>
  <c r="Q75" i="30"/>
  <c r="L76" i="30"/>
  <c r="L77" i="30"/>
  <c r="L78" i="30"/>
  <c r="L79" i="30"/>
  <c r="L80" i="30"/>
  <c r="L81" i="30"/>
  <c r="L82" i="30"/>
  <c r="L83" i="30"/>
  <c r="L84" i="30"/>
  <c r="L85" i="30"/>
  <c r="L86" i="30"/>
  <c r="L87" i="30"/>
  <c r="L88" i="30"/>
  <c r="L89" i="30"/>
  <c r="L90" i="30"/>
  <c r="L91" i="30"/>
  <c r="L92" i="30"/>
  <c r="L93" i="30"/>
  <c r="L94" i="30"/>
  <c r="L95" i="30"/>
  <c r="L96" i="30"/>
  <c r="L97" i="30"/>
  <c r="L98" i="30"/>
  <c r="L99" i="30"/>
  <c r="L100" i="30"/>
  <c r="L101" i="30"/>
  <c r="L102" i="30"/>
  <c r="L103" i="30"/>
  <c r="L104" i="30"/>
  <c r="L75" i="30"/>
  <c r="AA44" i="30"/>
  <c r="AA45" i="30"/>
  <c r="AA46" i="30"/>
  <c r="AA47" i="30"/>
  <c r="AA48" i="30"/>
  <c r="AA49" i="30"/>
  <c r="AA50" i="30"/>
  <c r="AA51" i="30"/>
  <c r="AA52" i="30"/>
  <c r="AA53" i="30"/>
  <c r="H385" i="5" s="1"/>
  <c r="AA54" i="30"/>
  <c r="AA55" i="30"/>
  <c r="AA56" i="30"/>
  <c r="AA57" i="30"/>
  <c r="AA58" i="30"/>
  <c r="H389" i="5" s="1"/>
  <c r="AA59" i="30"/>
  <c r="AA60" i="30"/>
  <c r="AA61" i="30"/>
  <c r="AA62" i="30"/>
  <c r="AA63" i="30"/>
  <c r="AA64" i="30"/>
  <c r="AA65" i="30"/>
  <c r="AA66" i="30"/>
  <c r="AA67" i="30"/>
  <c r="AA68" i="30"/>
  <c r="AA69" i="30"/>
  <c r="AA70" i="30"/>
  <c r="AA71" i="30"/>
  <c r="AA72" i="30"/>
  <c r="AA43" i="30"/>
  <c r="V44" i="30"/>
  <c r="V45" i="30"/>
  <c r="V46" i="30"/>
  <c r="V47" i="30"/>
  <c r="V48" i="30"/>
  <c r="V49" i="30"/>
  <c r="V50" i="30"/>
  <c r="V51" i="30"/>
  <c r="V52" i="30"/>
  <c r="V53" i="30"/>
  <c r="V54" i="30"/>
  <c r="V55" i="30"/>
  <c r="V56" i="30"/>
  <c r="V57" i="30"/>
  <c r="V58" i="30"/>
  <c r="V59" i="30"/>
  <c r="V60" i="30"/>
  <c r="V61" i="30"/>
  <c r="V62" i="30"/>
  <c r="V63" i="30"/>
  <c r="V64" i="30"/>
  <c r="V65" i="30"/>
  <c r="V66" i="30"/>
  <c r="V67" i="30"/>
  <c r="V68" i="30"/>
  <c r="V69" i="30"/>
  <c r="V70" i="30"/>
  <c r="V71" i="30"/>
  <c r="V72" i="30"/>
  <c r="V43" i="30"/>
  <c r="L72" i="30"/>
  <c r="L71" i="30"/>
  <c r="L70" i="30"/>
  <c r="L69" i="30"/>
  <c r="L68" i="30"/>
  <c r="L67" i="30"/>
  <c r="L66" i="30"/>
  <c r="L65" i="30"/>
  <c r="L64" i="30"/>
  <c r="L63" i="30"/>
  <c r="L62" i="30"/>
  <c r="L61" i="30"/>
  <c r="L60" i="30"/>
  <c r="L59" i="30"/>
  <c r="L58" i="30"/>
  <c r="L57" i="30"/>
  <c r="L56" i="30"/>
  <c r="L55" i="30"/>
  <c r="L54" i="30"/>
  <c r="L53" i="30"/>
  <c r="L52" i="30"/>
  <c r="L51" i="30"/>
  <c r="L50" i="30"/>
  <c r="L49" i="30"/>
  <c r="L48" i="30"/>
  <c r="L47" i="30"/>
  <c r="L46" i="30"/>
  <c r="L45" i="30"/>
  <c r="L44" i="30"/>
  <c r="L43" i="30"/>
  <c r="G237" i="30"/>
  <c r="G238" i="30"/>
  <c r="G239" i="30"/>
  <c r="G240" i="30"/>
  <c r="H35" i="5" s="1"/>
  <c r="G241" i="30"/>
  <c r="G242" i="30"/>
  <c r="G243" i="30"/>
  <c r="G244" i="30"/>
  <c r="H56" i="5" s="1"/>
  <c r="G245" i="30"/>
  <c r="G246" i="30"/>
  <c r="G247" i="30"/>
  <c r="G248" i="30"/>
  <c r="H74" i="5" s="1"/>
  <c r="G249" i="30"/>
  <c r="G250" i="30"/>
  <c r="G251" i="30"/>
  <c r="G252" i="30"/>
  <c r="H92" i="5" s="1"/>
  <c r="G253" i="30"/>
  <c r="G254" i="30"/>
  <c r="G255" i="30"/>
  <c r="G256" i="30"/>
  <c r="H110" i="5" s="1"/>
  <c r="G257" i="30"/>
  <c r="G258" i="30"/>
  <c r="G259" i="30"/>
  <c r="G260" i="30"/>
  <c r="H127" i="5" s="1"/>
  <c r="G261" i="30"/>
  <c r="G262" i="30"/>
  <c r="G263" i="30"/>
  <c r="G264" i="30"/>
  <c r="H144" i="5" s="1"/>
  <c r="G265" i="30"/>
  <c r="G236" i="30"/>
  <c r="G205" i="30"/>
  <c r="G206" i="30"/>
  <c r="G207" i="30"/>
  <c r="G208" i="30"/>
  <c r="G209" i="30"/>
  <c r="G210" i="30"/>
  <c r="H44" i="5" s="1"/>
  <c r="G211" i="30"/>
  <c r="G212" i="30"/>
  <c r="H55" i="5" s="1"/>
  <c r="G213" i="30"/>
  <c r="G214" i="30"/>
  <c r="G215" i="30"/>
  <c r="G216" i="30"/>
  <c r="G217" i="30"/>
  <c r="G218" i="30"/>
  <c r="H83" i="5" s="1"/>
  <c r="G219" i="30"/>
  <c r="G220" i="30"/>
  <c r="H91" i="5" s="1"/>
  <c r="G221" i="30"/>
  <c r="G222" i="30"/>
  <c r="G223" i="30"/>
  <c r="G224" i="30"/>
  <c r="H109" i="5" s="1"/>
  <c r="G225" i="30"/>
  <c r="G226" i="30"/>
  <c r="H118" i="5" s="1"/>
  <c r="G227" i="30"/>
  <c r="G228" i="30"/>
  <c r="H126" i="5" s="1"/>
  <c r="G229" i="30"/>
  <c r="G230" i="30"/>
  <c r="G231" i="30"/>
  <c r="G232" i="30"/>
  <c r="G233" i="30"/>
  <c r="G204" i="30"/>
  <c r="H17" i="5" s="1"/>
  <c r="G173" i="30"/>
  <c r="G174" i="30"/>
  <c r="G175" i="30"/>
  <c r="G176" i="30"/>
  <c r="G177" i="30"/>
  <c r="H828" i="5" s="1"/>
  <c r="G178" i="30"/>
  <c r="H829" i="5" s="1"/>
  <c r="G179" i="30"/>
  <c r="G180" i="30"/>
  <c r="H831" i="5" s="1"/>
  <c r="G181" i="30"/>
  <c r="H832" i="5" s="1"/>
  <c r="G182" i="30"/>
  <c r="H833" i="5" s="1"/>
  <c r="G183" i="30"/>
  <c r="H834" i="5" s="1"/>
  <c r="G184" i="30"/>
  <c r="H835" i="5" s="1"/>
  <c r="G185" i="30"/>
  <c r="H836" i="5" s="1"/>
  <c r="G186" i="30"/>
  <c r="H837" i="5" s="1"/>
  <c r="G187" i="30"/>
  <c r="G188" i="30"/>
  <c r="H839" i="5" s="1"/>
  <c r="G189" i="30"/>
  <c r="G190" i="30"/>
  <c r="G191" i="30"/>
  <c r="G192" i="30"/>
  <c r="G193" i="30"/>
  <c r="G194" i="30"/>
  <c r="H845" i="5" s="1"/>
  <c r="G195" i="30"/>
  <c r="G196" i="30"/>
  <c r="H847" i="5" s="1"/>
  <c r="G197" i="30"/>
  <c r="G198" i="30"/>
  <c r="G199" i="30"/>
  <c r="G200" i="30"/>
  <c r="G201" i="30"/>
  <c r="G172" i="30"/>
  <c r="H823" i="5" s="1"/>
  <c r="G140" i="30"/>
  <c r="G141" i="30"/>
  <c r="G142" i="30"/>
  <c r="G143" i="30"/>
  <c r="G144" i="30"/>
  <c r="G145" i="30"/>
  <c r="G146" i="30"/>
  <c r="G147" i="30"/>
  <c r="G148" i="30"/>
  <c r="G149" i="30"/>
  <c r="G150" i="30"/>
  <c r="G151" i="30"/>
  <c r="G152" i="30"/>
  <c r="G153" i="30"/>
  <c r="G154" i="30"/>
  <c r="G155" i="30"/>
  <c r="G156" i="30"/>
  <c r="G157" i="30"/>
  <c r="G158" i="30"/>
  <c r="H709" i="5" s="1"/>
  <c r="G159" i="30"/>
  <c r="G160" i="30"/>
  <c r="G161" i="30"/>
  <c r="G162" i="30"/>
  <c r="G163" i="30"/>
  <c r="H712" i="5" s="1"/>
  <c r="G164" i="30"/>
  <c r="G165" i="30"/>
  <c r="G166" i="30"/>
  <c r="G167" i="30"/>
  <c r="G168" i="30"/>
  <c r="G139" i="30"/>
  <c r="G108" i="30"/>
  <c r="G109" i="30"/>
  <c r="G110" i="30"/>
  <c r="G111" i="30"/>
  <c r="G112" i="30"/>
  <c r="G113" i="30"/>
  <c r="G114" i="30"/>
  <c r="G115" i="30"/>
  <c r="G116" i="30"/>
  <c r="G117" i="30"/>
  <c r="G118" i="30"/>
  <c r="G119" i="30"/>
  <c r="G120" i="30"/>
  <c r="G121" i="30"/>
  <c r="G122" i="30"/>
  <c r="G123" i="30"/>
  <c r="G124" i="30"/>
  <c r="G125" i="30"/>
  <c r="G126" i="30"/>
  <c r="G127" i="30"/>
  <c r="G128" i="30"/>
  <c r="G129" i="30"/>
  <c r="G130" i="30"/>
  <c r="G131" i="30"/>
  <c r="G132" i="30"/>
  <c r="G133" i="30"/>
  <c r="G134" i="30"/>
  <c r="G135" i="30"/>
  <c r="G136" i="30"/>
  <c r="G107"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75"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43" i="30"/>
  <c r="Q44" i="30"/>
  <c r="Q45" i="30"/>
  <c r="Q46" i="30"/>
  <c r="Q47" i="30"/>
  <c r="Q48" i="30"/>
  <c r="Q49" i="30"/>
  <c r="Q50" i="30"/>
  <c r="Q51" i="30"/>
  <c r="Q52" i="30"/>
  <c r="Q53" i="30"/>
  <c r="Q54" i="30"/>
  <c r="Q55" i="30"/>
  <c r="Q56" i="30"/>
  <c r="Q57" i="30"/>
  <c r="Q58" i="30"/>
  <c r="Q59" i="30"/>
  <c r="Q60" i="30"/>
  <c r="Q61" i="30"/>
  <c r="Q62" i="30"/>
  <c r="Q63" i="30"/>
  <c r="Q64" i="30"/>
  <c r="Q65" i="30"/>
  <c r="Q66" i="30"/>
  <c r="Q67" i="30"/>
  <c r="Q68" i="30"/>
  <c r="Q69" i="30"/>
  <c r="Q70" i="30"/>
  <c r="Q71" i="30"/>
  <c r="Q72" i="30"/>
  <c r="Q43" i="30"/>
  <c r="AA76" i="30"/>
  <c r="AA77" i="30"/>
  <c r="AA78" i="30"/>
  <c r="AA79" i="30"/>
  <c r="AA80" i="30"/>
  <c r="AA81" i="30"/>
  <c r="AA82" i="30"/>
  <c r="AA83" i="30"/>
  <c r="AA84" i="30"/>
  <c r="AA85" i="30"/>
  <c r="AA86" i="30"/>
  <c r="AA87" i="30"/>
  <c r="AA88" i="30"/>
  <c r="AA89" i="30"/>
  <c r="AA90" i="30"/>
  <c r="AA91" i="30"/>
  <c r="AA92" i="30"/>
  <c r="AA93" i="30"/>
  <c r="AA94" i="30"/>
  <c r="AA95" i="30"/>
  <c r="AA96" i="30"/>
  <c r="AA97" i="30"/>
  <c r="AA98" i="30"/>
  <c r="AA99" i="30"/>
  <c r="AA100" i="30"/>
  <c r="AA101" i="30"/>
  <c r="AA102" i="30"/>
  <c r="AA103" i="30"/>
  <c r="AA104" i="30"/>
  <c r="AA75" i="30"/>
  <c r="AA12" i="30"/>
  <c r="AA13" i="30"/>
  <c r="AA14" i="30"/>
  <c r="AA15" i="30"/>
  <c r="AA16" i="30"/>
  <c r="AA17" i="30"/>
  <c r="AA18" i="30"/>
  <c r="AA19" i="30"/>
  <c r="AA20" i="30"/>
  <c r="AA21" i="30"/>
  <c r="AA22" i="30"/>
  <c r="AA23" i="30"/>
  <c r="AA24" i="30"/>
  <c r="AA25" i="30"/>
  <c r="AA26" i="30"/>
  <c r="AA27" i="30"/>
  <c r="AA28" i="30"/>
  <c r="AA29" i="30"/>
  <c r="AA30" i="30"/>
  <c r="AA31" i="30"/>
  <c r="AA32" i="30"/>
  <c r="AA33" i="30"/>
  <c r="AA34" i="30"/>
  <c r="AA35" i="30"/>
  <c r="AA36" i="30"/>
  <c r="AA37" i="30"/>
  <c r="AA38" i="30"/>
  <c r="AA39" i="30"/>
  <c r="AA40" i="30"/>
  <c r="AA11" i="30"/>
  <c r="V12" i="30"/>
  <c r="V13" i="30"/>
  <c r="V14" i="30"/>
  <c r="V15" i="30"/>
  <c r="V16" i="30"/>
  <c r="V17" i="30"/>
  <c r="V18" i="30"/>
  <c r="V19" i="30"/>
  <c r="V20" i="30"/>
  <c r="V21" i="30"/>
  <c r="V22" i="30"/>
  <c r="V23" i="30"/>
  <c r="V24" i="30"/>
  <c r="V25" i="30"/>
  <c r="V26" i="30"/>
  <c r="V27" i="30"/>
  <c r="V28" i="30"/>
  <c r="V29" i="30"/>
  <c r="V30" i="30"/>
  <c r="V31" i="30"/>
  <c r="V32" i="30"/>
  <c r="V33" i="30"/>
  <c r="V34" i="30"/>
  <c r="V35" i="30"/>
  <c r="V36" i="30"/>
  <c r="V37" i="30"/>
  <c r="V38" i="30"/>
  <c r="V39" i="30"/>
  <c r="V40" i="30"/>
  <c r="V11" i="30"/>
  <c r="Q12" i="30"/>
  <c r="Q13" i="30"/>
  <c r="Q14" i="30"/>
  <c r="Q15" i="30"/>
  <c r="Q16" i="30"/>
  <c r="Q17" i="30"/>
  <c r="Q18" i="30"/>
  <c r="Q19" i="30"/>
  <c r="Q20" i="30"/>
  <c r="Q21" i="30"/>
  <c r="Q22" i="30"/>
  <c r="Q23" i="30"/>
  <c r="Q24" i="30"/>
  <c r="Q25" i="30"/>
  <c r="Q26" i="30"/>
  <c r="Q27" i="30"/>
  <c r="Q28" i="30"/>
  <c r="Q29" i="30"/>
  <c r="Q30" i="30"/>
  <c r="Q31" i="30"/>
  <c r="Q32" i="30"/>
  <c r="Q33" i="30"/>
  <c r="Q34" i="30"/>
  <c r="Q35" i="30"/>
  <c r="Q36" i="30"/>
  <c r="Q37" i="30"/>
  <c r="Q38" i="30"/>
  <c r="Q39" i="30"/>
  <c r="Q40" i="30"/>
  <c r="Q11" i="30"/>
  <c r="D172" i="30"/>
  <c r="D173" i="30"/>
  <c r="D174" i="30"/>
  <c r="D175" i="30"/>
  <c r="D176" i="30"/>
  <c r="D177" i="30"/>
  <c r="E828" i="5" s="1"/>
  <c r="D178" i="30"/>
  <c r="E829" i="5" s="1"/>
  <c r="D179" i="30"/>
  <c r="D180" i="30"/>
  <c r="E831" i="5" s="1"/>
  <c r="D181" i="30"/>
  <c r="E832" i="5" s="1"/>
  <c r="D182" i="30"/>
  <c r="E833" i="5" s="1"/>
  <c r="D183" i="30"/>
  <c r="E834" i="5" s="1"/>
  <c r="D184" i="30"/>
  <c r="E835" i="5" s="1"/>
  <c r="D185" i="30"/>
  <c r="E836" i="5" s="1"/>
  <c r="D186" i="30"/>
  <c r="E837" i="5" s="1"/>
  <c r="D187" i="30"/>
  <c r="D188" i="30"/>
  <c r="D189" i="30"/>
  <c r="D190" i="30"/>
  <c r="D191" i="30"/>
  <c r="D192" i="30"/>
  <c r="D193" i="30"/>
  <c r="D194" i="30"/>
  <c r="D195" i="30"/>
  <c r="D196" i="30"/>
  <c r="D197" i="30"/>
  <c r="D198" i="30"/>
  <c r="D199" i="30"/>
  <c r="D200" i="30"/>
  <c r="D201" i="30"/>
  <c r="L12" i="30"/>
  <c r="L13" i="30"/>
  <c r="L14" i="30"/>
  <c r="L15" i="30"/>
  <c r="L16" i="30"/>
  <c r="L17" i="30"/>
  <c r="L18" i="30"/>
  <c r="L19" i="30"/>
  <c r="L20" i="30"/>
  <c r="L21" i="30"/>
  <c r="L22" i="30"/>
  <c r="L23" i="30"/>
  <c r="L24" i="30"/>
  <c r="L25" i="30"/>
  <c r="L26" i="30"/>
  <c r="L27" i="30"/>
  <c r="L28" i="30"/>
  <c r="L29" i="30"/>
  <c r="L30" i="30"/>
  <c r="L31" i="30"/>
  <c r="L32" i="30"/>
  <c r="L33" i="30"/>
  <c r="L34" i="30"/>
  <c r="L35" i="30"/>
  <c r="L36" i="30"/>
  <c r="L37" i="30"/>
  <c r="L38" i="30"/>
  <c r="L39" i="30"/>
  <c r="L40" i="30"/>
  <c r="L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11" i="30"/>
  <c r="H1088" i="5"/>
  <c r="H1087" i="5"/>
  <c r="H1086" i="5"/>
  <c r="H1084" i="5"/>
  <c r="H1083" i="5"/>
  <c r="H1082" i="5"/>
  <c r="H1081" i="5"/>
  <c r="H1080" i="5"/>
  <c r="H1079" i="5"/>
  <c r="H1078" i="5"/>
  <c r="H1076" i="5"/>
  <c r="H1075" i="5"/>
  <c r="H1074" i="5"/>
  <c r="H1073" i="5"/>
  <c r="H1072" i="5"/>
  <c r="H1071" i="5"/>
  <c r="H1070" i="5"/>
  <c r="H1068" i="5"/>
  <c r="H1067" i="5"/>
  <c r="H1066" i="5"/>
  <c r="H1065" i="5"/>
  <c r="H1064" i="5"/>
  <c r="H1063" i="5"/>
  <c r="H1062" i="5"/>
  <c r="H1060" i="5"/>
  <c r="H1030" i="5"/>
  <c r="H1031" i="5"/>
  <c r="H1032" i="5"/>
  <c r="H1033" i="5"/>
  <c r="H1036" i="5"/>
  <c r="H1038" i="5"/>
  <c r="H1039" i="5"/>
  <c r="H1040" i="5"/>
  <c r="H1041" i="5"/>
  <c r="H1042" i="5"/>
  <c r="H1044" i="5"/>
  <c r="H1045" i="5"/>
  <c r="H1046" i="5"/>
  <c r="H1047" i="5"/>
  <c r="H1048" i="5"/>
  <c r="H1049" i="5"/>
  <c r="H1050" i="5"/>
  <c r="H1052" i="5"/>
  <c r="H1054" i="5"/>
  <c r="H1055" i="5"/>
  <c r="H1056" i="5"/>
  <c r="H1057" i="5"/>
  <c r="H1058" i="5"/>
  <c r="H1029" i="5"/>
  <c r="H1000" i="5"/>
  <c r="H1001" i="5"/>
  <c r="H1002" i="5"/>
  <c r="H1004" i="5"/>
  <c r="H1005" i="5"/>
  <c r="H1006" i="5"/>
  <c r="H1008" i="5"/>
  <c r="H1009" i="5"/>
  <c r="H1010" i="5"/>
  <c r="H1011" i="5"/>
  <c r="H1012" i="5"/>
  <c r="H1013" i="5"/>
  <c r="H1014" i="5"/>
  <c r="H1016" i="5"/>
  <c r="H1017" i="5"/>
  <c r="H1018" i="5"/>
  <c r="H1020" i="5"/>
  <c r="H1021" i="5"/>
  <c r="H1022" i="5"/>
  <c r="H1024" i="5"/>
  <c r="H1025" i="5"/>
  <c r="H1026" i="5"/>
  <c r="H1028" i="5"/>
  <c r="H999" i="5"/>
  <c r="H973" i="5"/>
  <c r="H153" i="5"/>
  <c r="H155" i="5"/>
  <c r="H974" i="5"/>
  <c r="H975" i="5"/>
  <c r="H977" i="5"/>
  <c r="H978" i="5"/>
  <c r="H979" i="5"/>
  <c r="H980" i="5"/>
  <c r="H981" i="5"/>
  <c r="H982" i="5"/>
  <c r="H984" i="5"/>
  <c r="H986" i="5"/>
  <c r="H987" i="5"/>
  <c r="H988" i="5"/>
  <c r="H989" i="5"/>
  <c r="H990" i="5"/>
  <c r="H992" i="5"/>
  <c r="H994" i="5"/>
  <c r="H995" i="5"/>
  <c r="H996" i="5"/>
  <c r="H997" i="5"/>
  <c r="H998" i="5"/>
  <c r="H22" i="5"/>
  <c r="H26" i="5"/>
  <c r="H30" i="5"/>
  <c r="H40" i="5"/>
  <c r="H45" i="5"/>
  <c r="H51" i="5"/>
  <c r="H61" i="5"/>
  <c r="H66" i="5"/>
  <c r="H70" i="5"/>
  <c r="H79" i="5"/>
  <c r="H84" i="5"/>
  <c r="H88" i="5"/>
  <c r="H96" i="5"/>
  <c r="H101" i="5"/>
  <c r="H105" i="5"/>
  <c r="H114" i="5"/>
  <c r="H119" i="5"/>
  <c r="H123" i="5"/>
  <c r="H132" i="5"/>
  <c r="H136" i="5"/>
  <c r="H140" i="5"/>
  <c r="H148" i="5"/>
  <c r="H18" i="5"/>
  <c r="H943" i="5"/>
  <c r="H944" i="5"/>
  <c r="H945" i="5"/>
  <c r="H946" i="5"/>
  <c r="H947" i="5"/>
  <c r="H948" i="5"/>
  <c r="H949" i="5"/>
  <c r="H951" i="5"/>
  <c r="H952" i="5"/>
  <c r="H953" i="5"/>
  <c r="H954" i="5"/>
  <c r="H955" i="5"/>
  <c r="H956" i="5"/>
  <c r="H957" i="5"/>
  <c r="H959" i="5"/>
  <c r="H960" i="5"/>
  <c r="H961" i="5"/>
  <c r="H962" i="5"/>
  <c r="H963" i="5"/>
  <c r="H964" i="5"/>
  <c r="H965" i="5"/>
  <c r="H967" i="5"/>
  <c r="H968" i="5"/>
  <c r="H969" i="5"/>
  <c r="H970" i="5"/>
  <c r="H971" i="5"/>
  <c r="H913" i="5"/>
  <c r="H915" i="5"/>
  <c r="H916" i="5"/>
  <c r="H917" i="5"/>
  <c r="H918" i="5"/>
  <c r="H919" i="5"/>
  <c r="H921" i="5"/>
  <c r="H923" i="5"/>
  <c r="H924" i="5"/>
  <c r="H925" i="5"/>
  <c r="H926" i="5"/>
  <c r="H927" i="5"/>
  <c r="H929" i="5"/>
  <c r="H930" i="5"/>
  <c r="H931" i="5"/>
  <c r="H932" i="5"/>
  <c r="H933" i="5"/>
  <c r="H934" i="5"/>
  <c r="H935" i="5"/>
  <c r="H937" i="5"/>
  <c r="H939" i="5"/>
  <c r="H940" i="5"/>
  <c r="H941" i="5"/>
  <c r="H883" i="5"/>
  <c r="H884" i="5"/>
  <c r="H885" i="5"/>
  <c r="H887" i="5"/>
  <c r="H888" i="5"/>
  <c r="H889" i="5"/>
  <c r="H891" i="5"/>
  <c r="H892" i="5"/>
  <c r="H893" i="5"/>
  <c r="H895" i="5"/>
  <c r="H896" i="5"/>
  <c r="H897" i="5"/>
  <c r="H899" i="5"/>
  <c r="H900" i="5"/>
  <c r="H901" i="5"/>
  <c r="H903" i="5"/>
  <c r="H904" i="5"/>
  <c r="H905" i="5"/>
  <c r="H907" i="5"/>
  <c r="H908" i="5"/>
  <c r="H909" i="5"/>
  <c r="H911" i="5"/>
  <c r="H854" i="5"/>
  <c r="H855" i="5"/>
  <c r="H856" i="5"/>
  <c r="H857" i="5"/>
  <c r="H858" i="5"/>
  <c r="H860" i="5"/>
  <c r="H862" i="5"/>
  <c r="H863" i="5"/>
  <c r="H864" i="5"/>
  <c r="H865" i="5"/>
  <c r="H866" i="5"/>
  <c r="H868" i="5"/>
  <c r="H870" i="5"/>
  <c r="H871" i="5"/>
  <c r="H872" i="5"/>
  <c r="H873" i="5"/>
  <c r="H874" i="5"/>
  <c r="H875" i="5"/>
  <c r="H876" i="5"/>
  <c r="H878" i="5"/>
  <c r="H879" i="5"/>
  <c r="H189" i="5"/>
  <c r="H880" i="5"/>
  <c r="H881" i="5"/>
  <c r="H21" i="5"/>
  <c r="H25" i="5"/>
  <c r="H29" i="5"/>
  <c r="H34" i="5"/>
  <c r="H39" i="5"/>
  <c r="H50" i="5"/>
  <c r="H60" i="5"/>
  <c r="H65" i="5"/>
  <c r="H69" i="5"/>
  <c r="H73" i="5"/>
  <c r="H78" i="5"/>
  <c r="H87" i="5"/>
  <c r="H95" i="5"/>
  <c r="H100" i="5"/>
  <c r="H104" i="5"/>
  <c r="H113" i="5"/>
  <c r="H122" i="5"/>
  <c r="H131" i="5"/>
  <c r="H135" i="5"/>
  <c r="H139" i="5"/>
  <c r="H143" i="5"/>
  <c r="H147" i="5"/>
  <c r="H824" i="5"/>
  <c r="H825" i="5"/>
  <c r="H826" i="5"/>
  <c r="H827" i="5"/>
  <c r="H830" i="5"/>
  <c r="H840" i="5"/>
  <c r="H841" i="5"/>
  <c r="H843" i="5"/>
  <c r="H850" i="5"/>
  <c r="H852" i="5"/>
  <c r="H800" i="5"/>
  <c r="H801" i="5"/>
  <c r="H802" i="5"/>
  <c r="H803" i="5"/>
  <c r="H804" i="5"/>
  <c r="H805" i="5"/>
  <c r="H806" i="5"/>
  <c r="H263" i="5"/>
  <c r="H265" i="5"/>
  <c r="H268" i="5"/>
  <c r="H270" i="5"/>
  <c r="H808" i="5"/>
  <c r="H273" i="5"/>
  <c r="H809" i="5"/>
  <c r="H811" i="5"/>
  <c r="H812" i="5"/>
  <c r="H813" i="5"/>
  <c r="H814" i="5"/>
  <c r="H815" i="5"/>
  <c r="H816" i="5"/>
  <c r="H817" i="5"/>
  <c r="H818" i="5"/>
  <c r="H819" i="5"/>
  <c r="H820" i="5"/>
  <c r="H821" i="5"/>
  <c r="H822" i="5"/>
  <c r="H799" i="5"/>
  <c r="H770" i="5"/>
  <c r="H772" i="5"/>
  <c r="H773" i="5"/>
  <c r="H774" i="5"/>
  <c r="H775" i="5"/>
  <c r="H776" i="5"/>
  <c r="H778" i="5"/>
  <c r="H780" i="5"/>
  <c r="H781" i="5"/>
  <c r="H782" i="5"/>
  <c r="H783" i="5"/>
  <c r="H784" i="5"/>
  <c r="H786" i="5"/>
  <c r="H787" i="5"/>
  <c r="H788" i="5"/>
  <c r="H789" i="5"/>
  <c r="H790" i="5"/>
  <c r="H791" i="5"/>
  <c r="H792" i="5"/>
  <c r="H794" i="5"/>
  <c r="H796" i="5"/>
  <c r="H797" i="5"/>
  <c r="H798" i="5"/>
  <c r="H769" i="5"/>
  <c r="H746" i="5"/>
  <c r="H747" i="5"/>
  <c r="H748" i="5"/>
  <c r="H750" i="5"/>
  <c r="H751" i="5"/>
  <c r="H752" i="5"/>
  <c r="H754" i="5"/>
  <c r="H755" i="5"/>
  <c r="H756" i="5"/>
  <c r="H758" i="5"/>
  <c r="H759" i="5"/>
  <c r="H760" i="5"/>
  <c r="H762" i="5"/>
  <c r="H763" i="5"/>
  <c r="H764" i="5"/>
  <c r="H766" i="5"/>
  <c r="H767" i="5"/>
  <c r="H768" i="5"/>
  <c r="H745" i="5"/>
  <c r="F1339" i="5" l="1"/>
  <c r="R1339" i="5"/>
  <c r="K1339" i="5"/>
  <c r="J1339" i="5"/>
  <c r="F1279" i="5"/>
  <c r="R1279" i="5"/>
  <c r="K1279" i="5"/>
  <c r="J1279" i="5"/>
  <c r="F1312" i="5"/>
  <c r="R1312" i="5"/>
  <c r="F1247" i="5"/>
  <c r="R1247" i="5"/>
  <c r="F1349" i="5"/>
  <c r="R1349" i="5"/>
  <c r="K1349" i="5"/>
  <c r="J1349" i="5"/>
  <c r="F1287" i="5"/>
  <c r="R1287" i="5"/>
  <c r="F1322" i="5"/>
  <c r="R1322" i="5"/>
  <c r="K1322" i="5"/>
  <c r="J1322" i="5"/>
  <c r="F1358" i="5"/>
  <c r="R1358" i="5"/>
  <c r="F1295" i="5"/>
  <c r="K1295" i="5"/>
  <c r="J1295" i="5"/>
  <c r="R1295" i="5"/>
  <c r="F1330" i="5"/>
  <c r="R1330" i="5"/>
  <c r="K1330" i="5"/>
  <c r="J1330" i="5"/>
  <c r="F1269" i="5"/>
  <c r="R1269" i="5"/>
  <c r="F1367" i="5"/>
  <c r="R1367" i="5"/>
  <c r="F1303" i="5"/>
  <c r="R1303" i="5"/>
  <c r="K1303" i="5"/>
  <c r="J1303" i="5"/>
  <c r="F1429" i="5"/>
  <c r="R1429" i="5"/>
  <c r="K1429" i="5"/>
  <c r="J1429" i="5"/>
  <c r="R1237" i="5"/>
  <c r="Q1237" i="5" s="1"/>
  <c r="K1237" i="5"/>
  <c r="P1237" i="5"/>
  <c r="N1237" i="5" s="1"/>
  <c r="J1237" i="5"/>
  <c r="R1461" i="5"/>
  <c r="F1461" i="5"/>
  <c r="K1461" i="5"/>
  <c r="J1461" i="5"/>
  <c r="F1404" i="5"/>
  <c r="R1404" i="5"/>
  <c r="K1404" i="5"/>
  <c r="J1404" i="5"/>
  <c r="F1437" i="5"/>
  <c r="R1437" i="5"/>
  <c r="K1437" i="5"/>
  <c r="J1437" i="5"/>
  <c r="R1250" i="5"/>
  <c r="Q1250" i="5" s="1"/>
  <c r="K1250" i="5"/>
  <c r="P1250" i="5"/>
  <c r="N1250" i="5" s="1"/>
  <c r="J1250" i="5"/>
  <c r="R1469" i="5"/>
  <c r="F1469" i="5"/>
  <c r="K1469" i="5"/>
  <c r="J1469" i="5"/>
  <c r="F1412" i="5"/>
  <c r="R1412" i="5"/>
  <c r="K1412" i="5"/>
  <c r="J1412" i="5"/>
  <c r="F1444" i="5"/>
  <c r="R1444" i="5"/>
  <c r="K1444" i="5"/>
  <c r="J1444" i="5"/>
  <c r="K1387" i="5"/>
  <c r="J1387" i="5"/>
  <c r="R1387" i="5"/>
  <c r="Q1387" i="5" s="1"/>
  <c r="F1387" i="5"/>
  <c r="R1477" i="5"/>
  <c r="F1477" i="5"/>
  <c r="K1477" i="5"/>
  <c r="J1477" i="5"/>
  <c r="F1420" i="5"/>
  <c r="R1420" i="5"/>
  <c r="K1420" i="5"/>
  <c r="J1420" i="5"/>
  <c r="F1452" i="5"/>
  <c r="R1452" i="5"/>
  <c r="J1452" i="5"/>
  <c r="K1452" i="5"/>
  <c r="J1395" i="5"/>
  <c r="K1395" i="5"/>
  <c r="R1395" i="5"/>
  <c r="Q1395" i="5" s="1"/>
  <c r="F1395" i="5"/>
  <c r="F1485" i="5"/>
  <c r="R1485" i="5"/>
  <c r="K1485" i="5"/>
  <c r="J1485" i="5"/>
  <c r="F1542" i="5"/>
  <c r="R1542" i="5"/>
  <c r="F1489" i="5"/>
  <c r="R1489" i="5"/>
  <c r="K1489" i="5"/>
  <c r="J1489" i="5"/>
  <c r="F1575" i="5"/>
  <c r="R1575" i="5"/>
  <c r="Q1575" i="5" s="1"/>
  <c r="K1575" i="5"/>
  <c r="J1575" i="5"/>
  <c r="F1517" i="5"/>
  <c r="R1517" i="5"/>
  <c r="K1517" i="5"/>
  <c r="J1517" i="5"/>
  <c r="F1608" i="5"/>
  <c r="R1608" i="5"/>
  <c r="K1608" i="5"/>
  <c r="F1550" i="5"/>
  <c r="R1550" i="5"/>
  <c r="K1550" i="5"/>
  <c r="J1550" i="5"/>
  <c r="F1495" i="5"/>
  <c r="R1495" i="5"/>
  <c r="K1495" i="5"/>
  <c r="J1495" i="5"/>
  <c r="F1583" i="5"/>
  <c r="R1583" i="5"/>
  <c r="Q1583" i="5" s="1"/>
  <c r="K1583" i="5"/>
  <c r="J1583" i="5"/>
  <c r="F1525" i="5"/>
  <c r="R1525" i="5"/>
  <c r="K1525" i="5"/>
  <c r="J1525" i="5"/>
  <c r="F1616" i="5"/>
  <c r="R1616" i="5"/>
  <c r="F1558" i="5"/>
  <c r="R1558" i="5"/>
  <c r="K1558" i="5"/>
  <c r="J1558" i="5"/>
  <c r="F1501" i="5"/>
  <c r="R1501" i="5"/>
  <c r="K1501" i="5"/>
  <c r="J1501" i="5"/>
  <c r="F1591" i="5"/>
  <c r="R1591" i="5"/>
  <c r="Q1591" i="5" s="1"/>
  <c r="K1591" i="5"/>
  <c r="J1591" i="5"/>
  <c r="F1533" i="5"/>
  <c r="R1533" i="5"/>
  <c r="J1533" i="5"/>
  <c r="K1533" i="5"/>
  <c r="F1624" i="5"/>
  <c r="R1624" i="5"/>
  <c r="F1566" i="5"/>
  <c r="R1566" i="5"/>
  <c r="K1566" i="5"/>
  <c r="J1566" i="5"/>
  <c r="F1508" i="5"/>
  <c r="R1508" i="5"/>
  <c r="K1508" i="5"/>
  <c r="J1508" i="5"/>
  <c r="R1599" i="5"/>
  <c r="Q1599" i="5" s="1"/>
  <c r="F1599" i="5"/>
  <c r="K1599" i="5"/>
  <c r="J1599" i="5"/>
  <c r="F1541" i="5"/>
  <c r="R1541" i="5"/>
  <c r="K1541" i="5"/>
  <c r="J1541" i="5"/>
  <c r="F1743" i="5"/>
  <c r="R1743" i="5"/>
  <c r="K1743" i="5"/>
  <c r="J1743" i="5"/>
  <c r="F1685" i="5"/>
  <c r="R1685" i="5"/>
  <c r="F1636" i="5"/>
  <c r="R1636" i="5"/>
  <c r="K1636" i="5"/>
  <c r="J1636" i="5"/>
  <c r="F1718" i="5"/>
  <c r="R1718" i="5"/>
  <c r="K1718" i="5"/>
  <c r="J1718" i="5"/>
  <c r="R1660" i="5"/>
  <c r="Q1660" i="5" s="1"/>
  <c r="F1660" i="5"/>
  <c r="K1660" i="5"/>
  <c r="J1660" i="5"/>
  <c r="F1751" i="5"/>
  <c r="R1751" i="5"/>
  <c r="K1751" i="5"/>
  <c r="J1751" i="5"/>
  <c r="F1693" i="5"/>
  <c r="R1693" i="5"/>
  <c r="F1638" i="5"/>
  <c r="R1638" i="5"/>
  <c r="K1638" i="5"/>
  <c r="J1638" i="5"/>
  <c r="F1726" i="5"/>
  <c r="R1726" i="5"/>
  <c r="K1726" i="5"/>
  <c r="J1726" i="5"/>
  <c r="R1668" i="5"/>
  <c r="Q1668" i="5" s="1"/>
  <c r="F1668" i="5"/>
  <c r="K1668" i="5"/>
  <c r="J1668" i="5"/>
  <c r="F1759" i="5"/>
  <c r="R1759" i="5"/>
  <c r="K1759" i="5"/>
  <c r="J1759" i="5"/>
  <c r="F1701" i="5"/>
  <c r="R1701" i="5"/>
  <c r="K1701" i="5"/>
  <c r="F1643" i="5"/>
  <c r="R1643" i="5"/>
  <c r="K1643" i="5"/>
  <c r="J1643" i="5"/>
  <c r="F1734" i="5"/>
  <c r="K1734" i="5"/>
  <c r="J1734" i="5"/>
  <c r="R1734" i="5"/>
  <c r="F1676" i="5"/>
  <c r="R1676" i="5"/>
  <c r="Q1676" i="5" s="1"/>
  <c r="K1676" i="5"/>
  <c r="J1676" i="5"/>
  <c r="F1767" i="5"/>
  <c r="R1767" i="5"/>
  <c r="K1767" i="5"/>
  <c r="J1767" i="5"/>
  <c r="F1709" i="5"/>
  <c r="R1709" i="5"/>
  <c r="F1651" i="5"/>
  <c r="R1651" i="5"/>
  <c r="K1651" i="5"/>
  <c r="J1651" i="5"/>
  <c r="F1742" i="5"/>
  <c r="R1742" i="5"/>
  <c r="K1742" i="5"/>
  <c r="J1742" i="5"/>
  <c r="F1795" i="5"/>
  <c r="R1795" i="5"/>
  <c r="K1795" i="5"/>
  <c r="J1795" i="5"/>
  <c r="F1885" i="5"/>
  <c r="R1885" i="5"/>
  <c r="K1885" i="5"/>
  <c r="J1885" i="5"/>
  <c r="F1827" i="5"/>
  <c r="R1827" i="5"/>
  <c r="K1827" i="5"/>
  <c r="J1827" i="5"/>
  <c r="F1860" i="5"/>
  <c r="R1860" i="5"/>
  <c r="K1860" i="5"/>
  <c r="J1860" i="5"/>
  <c r="F1802" i="5"/>
  <c r="R1802" i="5"/>
  <c r="K1802" i="5"/>
  <c r="J1802" i="5"/>
  <c r="F1893" i="5"/>
  <c r="R1893" i="5"/>
  <c r="K1893" i="5"/>
  <c r="J1893" i="5"/>
  <c r="F1835" i="5"/>
  <c r="R1835" i="5"/>
  <c r="K1835" i="5"/>
  <c r="J1835" i="5"/>
  <c r="F1784" i="5"/>
  <c r="R1784" i="5"/>
  <c r="F1868" i="5"/>
  <c r="R1868" i="5"/>
  <c r="K1868" i="5"/>
  <c r="J1868" i="5"/>
  <c r="F1810" i="5"/>
  <c r="R1810" i="5"/>
  <c r="K1810" i="5"/>
  <c r="J1810" i="5"/>
  <c r="F1901" i="5"/>
  <c r="R1901" i="5"/>
  <c r="K1901" i="5"/>
  <c r="J1901" i="5"/>
  <c r="F1843" i="5"/>
  <c r="R1843" i="5"/>
  <c r="K1843" i="5"/>
  <c r="J1843" i="5"/>
  <c r="F1876" i="5"/>
  <c r="R1876" i="5"/>
  <c r="K1876" i="5"/>
  <c r="J1876" i="5"/>
  <c r="F1818" i="5"/>
  <c r="R1818" i="5"/>
  <c r="K1818" i="5"/>
  <c r="J1818" i="5"/>
  <c r="F1908" i="5"/>
  <c r="R1908" i="5"/>
  <c r="J1908" i="5"/>
  <c r="K1908" i="5"/>
  <c r="F1851" i="5"/>
  <c r="R1851" i="5"/>
  <c r="K1851" i="5"/>
  <c r="J1851" i="5"/>
  <c r="F1911" i="5"/>
  <c r="L12" i="12" s="1"/>
  <c r="R1911" i="5"/>
  <c r="J1911" i="5"/>
  <c r="K1911" i="5"/>
  <c r="F1919" i="5"/>
  <c r="R1919" i="5"/>
  <c r="K1919" i="5"/>
  <c r="J1919" i="5"/>
  <c r="F1927" i="5"/>
  <c r="R1927" i="5"/>
  <c r="K1927" i="5"/>
  <c r="J1927" i="5"/>
  <c r="F1935" i="5"/>
  <c r="R1935" i="5"/>
  <c r="K1935" i="5"/>
  <c r="J1935" i="5"/>
  <c r="F1969" i="5"/>
  <c r="R1969" i="5"/>
  <c r="K1969" i="5"/>
  <c r="J1969" i="5"/>
  <c r="P2002" i="5"/>
  <c r="R2002" i="5"/>
  <c r="K2002" i="5"/>
  <c r="J2002" i="5"/>
  <c r="F2002" i="5"/>
  <c r="Q2002" i="5"/>
  <c r="F1946" i="5"/>
  <c r="R1946" i="5"/>
  <c r="K1946" i="5"/>
  <c r="J1946" i="5"/>
  <c r="K2034" i="5"/>
  <c r="F2034" i="5"/>
  <c r="J2034" i="5"/>
  <c r="R2034" i="5"/>
  <c r="Q2034" i="5" s="1"/>
  <c r="F1977" i="5"/>
  <c r="R1977" i="5"/>
  <c r="P1977" i="5" s="1"/>
  <c r="K1977" i="5"/>
  <c r="J1977" i="5"/>
  <c r="F2009" i="5"/>
  <c r="R2009" i="5"/>
  <c r="Q2009" i="5" s="1"/>
  <c r="K2009" i="5"/>
  <c r="J2009" i="5"/>
  <c r="F2041" i="5"/>
  <c r="R2041" i="5"/>
  <c r="K2041" i="5"/>
  <c r="J2041" i="5"/>
  <c r="F1985" i="5"/>
  <c r="R1985" i="5"/>
  <c r="Q1985" i="5" s="1"/>
  <c r="K1985" i="5"/>
  <c r="J1985" i="5"/>
  <c r="K2017" i="5"/>
  <c r="J2017" i="5"/>
  <c r="F2017" i="5"/>
  <c r="R2017" i="5"/>
  <c r="Q2017" i="5" s="1"/>
  <c r="P2017" i="5"/>
  <c r="F1960" i="5"/>
  <c r="R1960" i="5"/>
  <c r="K1960" i="5"/>
  <c r="J1960" i="5"/>
  <c r="F2049" i="5"/>
  <c r="R2049" i="5"/>
  <c r="K2049" i="5"/>
  <c r="J2049" i="5"/>
  <c r="F1993" i="5"/>
  <c r="R1993" i="5"/>
  <c r="Q1993" i="5" s="1"/>
  <c r="K1993" i="5"/>
  <c r="J1993" i="5"/>
  <c r="K2025" i="5"/>
  <c r="J2025" i="5"/>
  <c r="F2025" i="5"/>
  <c r="R2025" i="5"/>
  <c r="Q2025" i="5" s="1"/>
  <c r="F1968" i="5"/>
  <c r="R1968" i="5"/>
  <c r="K1968" i="5"/>
  <c r="J1968" i="5"/>
  <c r="F2141" i="5"/>
  <c r="R2141" i="5"/>
  <c r="K2141" i="5"/>
  <c r="J2141" i="5"/>
  <c r="F2083" i="5"/>
  <c r="R2083" i="5"/>
  <c r="K2083" i="5"/>
  <c r="J2083" i="5"/>
  <c r="F2116" i="5"/>
  <c r="R2116" i="5"/>
  <c r="J2116" i="5"/>
  <c r="K2116" i="5"/>
  <c r="F2062" i="5"/>
  <c r="R2062" i="5"/>
  <c r="K2062" i="5"/>
  <c r="J2062" i="5"/>
  <c r="F1347" i="5"/>
  <c r="R1347" i="5"/>
  <c r="J1347" i="5" s="1"/>
  <c r="F2091" i="5"/>
  <c r="R2091" i="5"/>
  <c r="K2091" i="5"/>
  <c r="J2091" i="5"/>
  <c r="F2124" i="5"/>
  <c r="R2124" i="5"/>
  <c r="K2124" i="5"/>
  <c r="J2124" i="5"/>
  <c r="F2068" i="5"/>
  <c r="R2068" i="5"/>
  <c r="K2068" i="5"/>
  <c r="J2068" i="5"/>
  <c r="R2155" i="5"/>
  <c r="Q2155" i="5" s="1"/>
  <c r="F2155" i="5"/>
  <c r="K2155" i="5"/>
  <c r="J2155" i="5"/>
  <c r="F2099" i="5"/>
  <c r="R2099" i="5"/>
  <c r="K2099" i="5"/>
  <c r="J2099" i="5"/>
  <c r="F2132" i="5"/>
  <c r="R2132" i="5"/>
  <c r="K2132" i="5"/>
  <c r="J2132" i="5"/>
  <c r="F2075" i="5"/>
  <c r="R2075" i="5"/>
  <c r="K2075" i="5"/>
  <c r="J2075" i="5"/>
  <c r="R2163" i="5"/>
  <c r="Q2163" i="5" s="1"/>
  <c r="F2163" i="5"/>
  <c r="K2163" i="5"/>
  <c r="J2163" i="5"/>
  <c r="F2107" i="5"/>
  <c r="R2107" i="5"/>
  <c r="K2107" i="5"/>
  <c r="J2107" i="5"/>
  <c r="F2140" i="5"/>
  <c r="R2140" i="5"/>
  <c r="K2140" i="5"/>
  <c r="J2140" i="5"/>
  <c r="J2136" i="5"/>
  <c r="J2110" i="5"/>
  <c r="J2052" i="5"/>
  <c r="J1913" i="5"/>
  <c r="J1889" i="5"/>
  <c r="J1855" i="5"/>
  <c r="J1829" i="5"/>
  <c r="J1796" i="5"/>
  <c r="J1784" i="5"/>
  <c r="J1761" i="5"/>
  <c r="J1709" i="5"/>
  <c r="J1624" i="5"/>
  <c r="J1487" i="5"/>
  <c r="F1276" i="5"/>
  <c r="R1276" i="5"/>
  <c r="Q1276" i="5" s="1"/>
  <c r="K1276" i="5"/>
  <c r="J1276" i="5"/>
  <c r="F1309" i="5"/>
  <c r="R1309" i="5"/>
  <c r="K1309" i="5"/>
  <c r="J1309" i="5"/>
  <c r="F1344" i="5"/>
  <c r="R1344" i="5"/>
  <c r="K1344" i="5"/>
  <c r="J1344" i="5"/>
  <c r="F1284" i="5"/>
  <c r="R1284" i="5"/>
  <c r="Q1284" i="5" s="1"/>
  <c r="F1318" i="5"/>
  <c r="R1318" i="5"/>
  <c r="K1318" i="5"/>
  <c r="J1318" i="5"/>
  <c r="F1355" i="5"/>
  <c r="R1355" i="5"/>
  <c r="K1355" i="5"/>
  <c r="J1355" i="5"/>
  <c r="F1292" i="5"/>
  <c r="R1292" i="5"/>
  <c r="Q1292" i="5" s="1"/>
  <c r="K1292" i="5"/>
  <c r="J1292" i="5"/>
  <c r="F1327" i="5"/>
  <c r="R1327" i="5"/>
  <c r="K1327" i="5"/>
  <c r="J1327" i="5"/>
  <c r="F1266" i="5"/>
  <c r="R1266" i="5"/>
  <c r="F1363" i="5"/>
  <c r="R1363" i="5"/>
  <c r="K1363" i="5"/>
  <c r="J1363" i="5"/>
  <c r="F1300" i="5"/>
  <c r="R1300" i="5"/>
  <c r="Q1300" i="5" s="1"/>
  <c r="K1300" i="5"/>
  <c r="J1300" i="5"/>
  <c r="F1335" i="5"/>
  <c r="R1335" i="5"/>
  <c r="K1335" i="5"/>
  <c r="J1335" i="5"/>
  <c r="R1373" i="5"/>
  <c r="Q1373" i="5" s="1"/>
  <c r="K1373" i="5"/>
  <c r="J1373" i="5"/>
  <c r="F1373" i="5"/>
  <c r="F1458" i="5"/>
  <c r="K1458" i="5"/>
  <c r="R1458" i="5"/>
  <c r="J1458" i="5"/>
  <c r="R1401" i="5"/>
  <c r="P1401" i="5" s="1"/>
  <c r="F1401" i="5"/>
  <c r="K1401" i="5"/>
  <c r="J1401" i="5"/>
  <c r="F1434" i="5"/>
  <c r="R1434" i="5"/>
  <c r="K1434" i="5"/>
  <c r="J1434" i="5"/>
  <c r="J1378" i="5"/>
  <c r="K1378" i="5"/>
  <c r="F1378" i="5"/>
  <c r="R1378" i="5"/>
  <c r="P1378" i="5" s="1"/>
  <c r="Q1378" i="5"/>
  <c r="F1466" i="5"/>
  <c r="K1466" i="5"/>
  <c r="J1466" i="5"/>
  <c r="R1466" i="5"/>
  <c r="R1409" i="5"/>
  <c r="P1409" i="5" s="1"/>
  <c r="F1409" i="5"/>
  <c r="K1409" i="5"/>
  <c r="J1409" i="5"/>
  <c r="F1441" i="5"/>
  <c r="R1441" i="5"/>
  <c r="J1385" i="5"/>
  <c r="K1385" i="5"/>
  <c r="F1385" i="5"/>
  <c r="Q1385" i="5"/>
  <c r="R1385" i="5"/>
  <c r="P1385" i="5" s="1"/>
  <c r="F1474" i="5"/>
  <c r="K1474" i="5"/>
  <c r="J1474" i="5"/>
  <c r="R1474" i="5"/>
  <c r="R1417" i="5"/>
  <c r="Q1417" i="5" s="1"/>
  <c r="F1417" i="5"/>
  <c r="J1417" i="5"/>
  <c r="K1417" i="5"/>
  <c r="F1449" i="5"/>
  <c r="R1449" i="5"/>
  <c r="J1449" i="5"/>
  <c r="K1392" i="5"/>
  <c r="J1392" i="5"/>
  <c r="F1392" i="5"/>
  <c r="R1392" i="5"/>
  <c r="Q1392" i="5" s="1"/>
  <c r="F1482" i="5"/>
  <c r="R1482" i="5"/>
  <c r="K1482" i="5"/>
  <c r="J1482" i="5"/>
  <c r="F1425" i="5"/>
  <c r="R1425" i="5"/>
  <c r="Q1425" i="5" s="1"/>
  <c r="J1425" i="5"/>
  <c r="F1572" i="5"/>
  <c r="R1572" i="5"/>
  <c r="K1572" i="5"/>
  <c r="J1572" i="5"/>
  <c r="F1514" i="5"/>
  <c r="R1514" i="5"/>
  <c r="K1514" i="5"/>
  <c r="J1514" i="5"/>
  <c r="F1605" i="5"/>
  <c r="R1605" i="5"/>
  <c r="K1605" i="5"/>
  <c r="J1605" i="5"/>
  <c r="F1547" i="5"/>
  <c r="R1547" i="5"/>
  <c r="K1547" i="5"/>
  <c r="J1547" i="5"/>
  <c r="R1494" i="5"/>
  <c r="Q1494" i="5" s="1"/>
  <c r="F1494" i="5"/>
  <c r="K1494" i="5"/>
  <c r="J1494" i="5"/>
  <c r="F1580" i="5"/>
  <c r="R1580" i="5"/>
  <c r="K1580" i="5"/>
  <c r="J1580" i="5"/>
  <c r="F1522" i="5"/>
  <c r="R1522" i="5"/>
  <c r="F1613" i="5"/>
  <c r="R1613" i="5"/>
  <c r="K1613" i="5"/>
  <c r="J1613" i="5"/>
  <c r="F1555" i="5"/>
  <c r="R1555" i="5"/>
  <c r="K1555" i="5"/>
  <c r="J1555" i="5"/>
  <c r="R1498" i="5"/>
  <c r="Q1498" i="5" s="1"/>
  <c r="F1498" i="5"/>
  <c r="K1498" i="5"/>
  <c r="J1498" i="5"/>
  <c r="F1588" i="5"/>
  <c r="R1588" i="5"/>
  <c r="K1588" i="5"/>
  <c r="J1588" i="5"/>
  <c r="F1530" i="5"/>
  <c r="R1530" i="5"/>
  <c r="J1530" i="5"/>
  <c r="F1621" i="5"/>
  <c r="R1621" i="5"/>
  <c r="K1621" i="5"/>
  <c r="J1621" i="5"/>
  <c r="F1563" i="5"/>
  <c r="K1563" i="5"/>
  <c r="R1563" i="5"/>
  <c r="J1563" i="5"/>
  <c r="R1505" i="5"/>
  <c r="P1505" i="5" s="1"/>
  <c r="F1505" i="5"/>
  <c r="K1505" i="5"/>
  <c r="J1505" i="5"/>
  <c r="F1596" i="5"/>
  <c r="R1596" i="5"/>
  <c r="K1596" i="5"/>
  <c r="J1596" i="5"/>
  <c r="F1538" i="5"/>
  <c r="R1538" i="5"/>
  <c r="F1629" i="5"/>
  <c r="R1629" i="5"/>
  <c r="K1629" i="5"/>
  <c r="J1629" i="5"/>
  <c r="F1571" i="5"/>
  <c r="K1571" i="5"/>
  <c r="J1571" i="5"/>
  <c r="R1571" i="5"/>
  <c r="F1633" i="5"/>
  <c r="R1633" i="5"/>
  <c r="K1633" i="5"/>
  <c r="J1633" i="5"/>
  <c r="F1715" i="5"/>
  <c r="R1715" i="5"/>
  <c r="K1715" i="5"/>
  <c r="J1715" i="5"/>
  <c r="F1657" i="5"/>
  <c r="R1657" i="5"/>
  <c r="K1657" i="5"/>
  <c r="J1657" i="5"/>
  <c r="F1748" i="5"/>
  <c r="R1748" i="5"/>
  <c r="K1748" i="5"/>
  <c r="J1748" i="5"/>
  <c r="F1690" i="5"/>
  <c r="R1690" i="5"/>
  <c r="K1690" i="5"/>
  <c r="J1690" i="5"/>
  <c r="F1723" i="5"/>
  <c r="R1723" i="5"/>
  <c r="K1723" i="5"/>
  <c r="J1723" i="5"/>
  <c r="F1665" i="5"/>
  <c r="R1665" i="5"/>
  <c r="K1665" i="5"/>
  <c r="J1665" i="5"/>
  <c r="F1756" i="5"/>
  <c r="R1756" i="5"/>
  <c r="J1756" i="5"/>
  <c r="K1756" i="5"/>
  <c r="F1698" i="5"/>
  <c r="R1698" i="5"/>
  <c r="K1698" i="5"/>
  <c r="J1698" i="5"/>
  <c r="F1731" i="5"/>
  <c r="R1731" i="5"/>
  <c r="K1731" i="5"/>
  <c r="J1731" i="5"/>
  <c r="F1673" i="5"/>
  <c r="R1673" i="5"/>
  <c r="K1673" i="5"/>
  <c r="J1673" i="5"/>
  <c r="F1764" i="5"/>
  <c r="R1764" i="5"/>
  <c r="K1764" i="5"/>
  <c r="J1764" i="5"/>
  <c r="F1706" i="5"/>
  <c r="R1706" i="5"/>
  <c r="K1706" i="5"/>
  <c r="J1706" i="5"/>
  <c r="F1648" i="5"/>
  <c r="R1648" i="5"/>
  <c r="K1648" i="5"/>
  <c r="J1648" i="5"/>
  <c r="F1739" i="5"/>
  <c r="R1739" i="5"/>
  <c r="K1739" i="5"/>
  <c r="J1739" i="5"/>
  <c r="F1681" i="5"/>
  <c r="R1681" i="5"/>
  <c r="K1681" i="5"/>
  <c r="J1681" i="5"/>
  <c r="F1772" i="5"/>
  <c r="R1772" i="5"/>
  <c r="K1772" i="5"/>
  <c r="J1772" i="5"/>
  <c r="F1824" i="5"/>
  <c r="R1824" i="5"/>
  <c r="K1824" i="5"/>
  <c r="J1824" i="5"/>
  <c r="F1776" i="5"/>
  <c r="R1776" i="5"/>
  <c r="K1776" i="5"/>
  <c r="J1776" i="5"/>
  <c r="F1857" i="5"/>
  <c r="R1857" i="5"/>
  <c r="K1857" i="5"/>
  <c r="J1857" i="5"/>
  <c r="F1800" i="5"/>
  <c r="R1800" i="5"/>
  <c r="K1800" i="5"/>
  <c r="J1800" i="5"/>
  <c r="R1890" i="5"/>
  <c r="P1890" i="5" s="1"/>
  <c r="F1890" i="5"/>
  <c r="K1890" i="5"/>
  <c r="J1890" i="5"/>
  <c r="F1832" i="5"/>
  <c r="R1832" i="5"/>
  <c r="J1832" i="5"/>
  <c r="K1832" i="5"/>
  <c r="R1865" i="5"/>
  <c r="F1865" i="5"/>
  <c r="K1865" i="5"/>
  <c r="J1865" i="5"/>
  <c r="F1807" i="5"/>
  <c r="R1807" i="5"/>
  <c r="K1807" i="5"/>
  <c r="J1807" i="5"/>
  <c r="R1898" i="5"/>
  <c r="P1898" i="5" s="1"/>
  <c r="F1898" i="5"/>
  <c r="K1898" i="5"/>
  <c r="J1898" i="5"/>
  <c r="F1840" i="5"/>
  <c r="R1840" i="5"/>
  <c r="K1840" i="5"/>
  <c r="J1840" i="5"/>
  <c r="R1873" i="5"/>
  <c r="F1873" i="5"/>
  <c r="K1873" i="5"/>
  <c r="J1873" i="5"/>
  <c r="F1815" i="5"/>
  <c r="R1815" i="5"/>
  <c r="K1815" i="5"/>
  <c r="J1815" i="5"/>
  <c r="R1906" i="5"/>
  <c r="P1906" i="5" s="1"/>
  <c r="F1906" i="5"/>
  <c r="K1906" i="5"/>
  <c r="J1906" i="5"/>
  <c r="F1848" i="5"/>
  <c r="R1848" i="5"/>
  <c r="K1848" i="5"/>
  <c r="J1848" i="5"/>
  <c r="R1881" i="5"/>
  <c r="F1881" i="5"/>
  <c r="K1881" i="5"/>
  <c r="J1881" i="5"/>
  <c r="F1912" i="5"/>
  <c r="R1912" i="5"/>
  <c r="K1912" i="5"/>
  <c r="J1912" i="5"/>
  <c r="F1920" i="5"/>
  <c r="R1920" i="5"/>
  <c r="F1928" i="5"/>
  <c r="R1928" i="5"/>
  <c r="F1936" i="5"/>
  <c r="R1936" i="5"/>
  <c r="F1999" i="5"/>
  <c r="R1999" i="5"/>
  <c r="Q1999" i="5" s="1"/>
  <c r="K1999" i="5"/>
  <c r="J1999" i="5"/>
  <c r="F1943" i="5"/>
  <c r="R1943" i="5"/>
  <c r="F2031" i="5"/>
  <c r="J2031" i="5"/>
  <c r="K2031" i="5"/>
  <c r="R2031" i="5"/>
  <c r="Q2031" i="5" s="1"/>
  <c r="P2031" i="5"/>
  <c r="F1974" i="5"/>
  <c r="R1974" i="5"/>
  <c r="K1974" i="5"/>
  <c r="J1974" i="5"/>
  <c r="K2007" i="5"/>
  <c r="R2007" i="5"/>
  <c r="J2007" i="5"/>
  <c r="F2007" i="5"/>
  <c r="Q2007" i="5"/>
  <c r="P2007" i="5"/>
  <c r="F1951" i="5"/>
  <c r="R1951" i="5"/>
  <c r="F2038" i="5"/>
  <c r="R2038" i="5"/>
  <c r="K2038" i="5"/>
  <c r="J2038" i="5"/>
  <c r="F1982" i="5"/>
  <c r="R1982" i="5"/>
  <c r="K1982" i="5"/>
  <c r="J1982" i="5"/>
  <c r="J2014" i="5"/>
  <c r="F2014" i="5"/>
  <c r="K2014" i="5"/>
  <c r="R2014" i="5"/>
  <c r="Q2014" i="5" s="1"/>
  <c r="F1957" i="5"/>
  <c r="R1957" i="5"/>
  <c r="F2046" i="5"/>
  <c r="R2046" i="5"/>
  <c r="K2046" i="5"/>
  <c r="J2046" i="5"/>
  <c r="F1990" i="5"/>
  <c r="R1990" i="5"/>
  <c r="K1990" i="5"/>
  <c r="J1990" i="5"/>
  <c r="K2022" i="5"/>
  <c r="F2022" i="5"/>
  <c r="R2022" i="5"/>
  <c r="Q2022" i="5" s="1"/>
  <c r="J2022" i="5"/>
  <c r="P2022" i="5"/>
  <c r="F1965" i="5"/>
  <c r="R1965" i="5"/>
  <c r="F2054" i="5"/>
  <c r="R2054" i="5"/>
  <c r="K2054" i="5"/>
  <c r="J2054" i="5"/>
  <c r="F1998" i="5"/>
  <c r="R1998" i="5"/>
  <c r="K1998" i="5"/>
  <c r="J1998" i="5"/>
  <c r="F2113" i="5"/>
  <c r="R2113" i="5"/>
  <c r="J2113" i="5"/>
  <c r="K2113" i="5"/>
  <c r="R2059" i="5"/>
  <c r="Q2059" i="5" s="1"/>
  <c r="F2059" i="5"/>
  <c r="K2059" i="5"/>
  <c r="J2059" i="5"/>
  <c r="F2146" i="5"/>
  <c r="R2146" i="5"/>
  <c r="R2088" i="5"/>
  <c r="Q2088" i="5" s="1"/>
  <c r="F2088" i="5"/>
  <c r="K2088" i="5"/>
  <c r="J2088" i="5"/>
  <c r="F2121" i="5"/>
  <c r="R2121" i="5"/>
  <c r="K2121" i="5"/>
  <c r="J2121" i="5"/>
  <c r="R2066" i="5"/>
  <c r="Q2066" i="5" s="1"/>
  <c r="F2066" i="5"/>
  <c r="K2066" i="5"/>
  <c r="J2066" i="5"/>
  <c r="F2152" i="5"/>
  <c r="R2152" i="5"/>
  <c r="R2096" i="5"/>
  <c r="Q2096" i="5" s="1"/>
  <c r="F2096" i="5"/>
  <c r="K2096" i="5"/>
  <c r="J2096" i="5"/>
  <c r="F2129" i="5"/>
  <c r="R2129" i="5"/>
  <c r="J2129" i="5"/>
  <c r="F2072" i="5"/>
  <c r="R2072" i="5"/>
  <c r="Q2072" i="5" s="1"/>
  <c r="J2072" i="5"/>
  <c r="K2072" i="5"/>
  <c r="F2160" i="5"/>
  <c r="R2160" i="5"/>
  <c r="R2104" i="5"/>
  <c r="Q2104" i="5" s="1"/>
  <c r="F2104" i="5"/>
  <c r="K2104" i="5"/>
  <c r="J2104" i="5"/>
  <c r="F2137" i="5"/>
  <c r="R2137" i="5"/>
  <c r="K2137" i="5"/>
  <c r="J2137" i="5"/>
  <c r="F2079" i="5"/>
  <c r="R2079" i="5"/>
  <c r="P2079" i="5" s="1"/>
  <c r="K2079" i="5"/>
  <c r="J2079" i="5"/>
  <c r="F2168" i="5"/>
  <c r="R2168" i="5"/>
  <c r="K2168" i="5"/>
  <c r="K1943" i="5"/>
  <c r="K1784" i="5"/>
  <c r="J1713" i="5"/>
  <c r="K1709" i="5"/>
  <c r="J1634" i="5"/>
  <c r="K1624" i="5"/>
  <c r="J1598" i="5"/>
  <c r="K1522" i="5"/>
  <c r="K1449" i="5"/>
  <c r="R1089" i="5"/>
  <c r="K1089" i="5" s="1"/>
  <c r="F1306" i="5"/>
  <c r="R1306" i="5"/>
  <c r="K1306" i="5"/>
  <c r="J1306" i="5"/>
  <c r="F1341" i="5"/>
  <c r="R1341" i="5"/>
  <c r="K1341" i="5"/>
  <c r="J1341" i="5"/>
  <c r="F1281" i="5"/>
  <c r="R1281" i="5"/>
  <c r="K1281" i="5"/>
  <c r="J1281" i="5"/>
  <c r="F1314" i="5"/>
  <c r="R1314" i="5"/>
  <c r="F1352" i="5"/>
  <c r="R1352" i="5"/>
  <c r="F1289" i="5"/>
  <c r="R1289" i="5"/>
  <c r="K1289" i="5"/>
  <c r="J1289" i="5"/>
  <c r="F1324" i="5"/>
  <c r="R1324" i="5"/>
  <c r="F1263" i="5"/>
  <c r="R1263" i="5"/>
  <c r="F1360" i="5"/>
  <c r="R1360" i="5"/>
  <c r="J1360" i="5"/>
  <c r="F1297" i="5"/>
  <c r="R1297" i="5"/>
  <c r="F1332" i="5"/>
  <c r="R1332" i="5"/>
  <c r="K1332" i="5"/>
  <c r="J1332" i="5"/>
  <c r="F1272" i="5"/>
  <c r="R1272" i="5"/>
  <c r="K1272" i="5"/>
  <c r="J1272" i="5"/>
  <c r="F1369" i="5"/>
  <c r="R1369" i="5"/>
  <c r="K1369" i="5"/>
  <c r="F1398" i="5"/>
  <c r="R1398" i="5"/>
  <c r="K1398" i="5"/>
  <c r="J1398" i="5"/>
  <c r="F1431" i="5"/>
  <c r="R1431" i="5"/>
  <c r="K1431" i="5"/>
  <c r="J1431" i="5"/>
  <c r="K1377" i="5"/>
  <c r="R1377" i="5"/>
  <c r="Q1377" i="5" s="1"/>
  <c r="J1377" i="5"/>
  <c r="F1377" i="5"/>
  <c r="P1377" i="5"/>
  <c r="F1463" i="5"/>
  <c r="R1463" i="5"/>
  <c r="K1463" i="5"/>
  <c r="J1463" i="5"/>
  <c r="F1406" i="5"/>
  <c r="R1406" i="5"/>
  <c r="K1406" i="5"/>
  <c r="J1406" i="5"/>
  <c r="F1439" i="5"/>
  <c r="R1439" i="5"/>
  <c r="K1439" i="5"/>
  <c r="J1439" i="5"/>
  <c r="J1382" i="5"/>
  <c r="K1382" i="5"/>
  <c r="F1382" i="5"/>
  <c r="R1382" i="5"/>
  <c r="Q1382" i="5" s="1"/>
  <c r="P1382" i="5"/>
  <c r="F1471" i="5"/>
  <c r="R1471" i="5"/>
  <c r="K1471" i="5"/>
  <c r="J1471" i="5"/>
  <c r="F1414" i="5"/>
  <c r="R1414" i="5"/>
  <c r="K1414" i="5"/>
  <c r="J1414" i="5"/>
  <c r="F1446" i="5"/>
  <c r="R1446" i="5"/>
  <c r="K1446" i="5"/>
  <c r="J1446" i="5"/>
  <c r="J1389" i="5"/>
  <c r="F1389" i="5"/>
  <c r="K1389" i="5"/>
  <c r="R1389" i="5"/>
  <c r="Q1389" i="5" s="1"/>
  <c r="P1389" i="5"/>
  <c r="F1479" i="5"/>
  <c r="R1479" i="5"/>
  <c r="K1479" i="5"/>
  <c r="J1479" i="5"/>
  <c r="F1422" i="5"/>
  <c r="R1422" i="5"/>
  <c r="K1422" i="5"/>
  <c r="J1422" i="5"/>
  <c r="R1372" i="5"/>
  <c r="Q1372" i="5" s="1"/>
  <c r="J1372" i="5"/>
  <c r="F1372" i="5"/>
  <c r="K1372" i="5"/>
  <c r="F1454" i="5"/>
  <c r="R1454" i="5"/>
  <c r="K1454" i="5"/>
  <c r="J1454" i="5"/>
  <c r="J1397" i="5"/>
  <c r="R1397" i="5"/>
  <c r="Q1397" i="5" s="1"/>
  <c r="K1397" i="5"/>
  <c r="F1397" i="5"/>
  <c r="P1397" i="5"/>
  <c r="F1602" i="5"/>
  <c r="R1602" i="5"/>
  <c r="F1544" i="5"/>
  <c r="R1544" i="5"/>
  <c r="K1544" i="5"/>
  <c r="J1544" i="5"/>
  <c r="F1491" i="5"/>
  <c r="R1491" i="5"/>
  <c r="K1491" i="5"/>
  <c r="J1491" i="5"/>
  <c r="F1577" i="5"/>
  <c r="R1577" i="5"/>
  <c r="K1577" i="5"/>
  <c r="J1577" i="5"/>
  <c r="F1519" i="5"/>
  <c r="R1519" i="5"/>
  <c r="K1519" i="5"/>
  <c r="J1519" i="5"/>
  <c r="F1610" i="5"/>
  <c r="R1610" i="5"/>
  <c r="K1610" i="5"/>
  <c r="J1610" i="5"/>
  <c r="F1552" i="5"/>
  <c r="R1552" i="5"/>
  <c r="K1552" i="5"/>
  <c r="J1552" i="5"/>
  <c r="F1585" i="5"/>
  <c r="R1585" i="5"/>
  <c r="K1585" i="5"/>
  <c r="J1585" i="5"/>
  <c r="F1527" i="5"/>
  <c r="R1527" i="5"/>
  <c r="K1527" i="5"/>
  <c r="J1527" i="5"/>
  <c r="F1618" i="5"/>
  <c r="R1618" i="5"/>
  <c r="K1618" i="5"/>
  <c r="J1618" i="5"/>
  <c r="F1560" i="5"/>
  <c r="R1560" i="5"/>
  <c r="K1560" i="5"/>
  <c r="J1560" i="5"/>
  <c r="F1503" i="5"/>
  <c r="R1503" i="5"/>
  <c r="K1503" i="5"/>
  <c r="J1503" i="5"/>
  <c r="F1593" i="5"/>
  <c r="R1593" i="5"/>
  <c r="J1593" i="5"/>
  <c r="K1593" i="5"/>
  <c r="F1535" i="5"/>
  <c r="R1535" i="5"/>
  <c r="K1535" i="5"/>
  <c r="J1535" i="5"/>
  <c r="F1626" i="5"/>
  <c r="R1626" i="5"/>
  <c r="K1626" i="5"/>
  <c r="J1626" i="5"/>
  <c r="F1568" i="5"/>
  <c r="R1568" i="5"/>
  <c r="K1568" i="5"/>
  <c r="J1568" i="5"/>
  <c r="F1510" i="5"/>
  <c r="R1510" i="5"/>
  <c r="K1510" i="5"/>
  <c r="J1510" i="5"/>
  <c r="F1601" i="5"/>
  <c r="R1601" i="5"/>
  <c r="K1601" i="5"/>
  <c r="J1601" i="5"/>
  <c r="F1654" i="5"/>
  <c r="R1654" i="5"/>
  <c r="K1654" i="5"/>
  <c r="J1654" i="5"/>
  <c r="F1745" i="5"/>
  <c r="R1745" i="5"/>
  <c r="F1687" i="5"/>
  <c r="R1687" i="5"/>
  <c r="K1687" i="5"/>
  <c r="J1687" i="5"/>
  <c r="R1720" i="5"/>
  <c r="Q1720" i="5" s="1"/>
  <c r="F1720" i="5"/>
  <c r="K1720" i="5"/>
  <c r="J1720" i="5"/>
  <c r="F1662" i="5"/>
  <c r="R1662" i="5"/>
  <c r="J1662" i="5"/>
  <c r="K1662" i="5"/>
  <c r="F1753" i="5"/>
  <c r="R1753" i="5"/>
  <c r="F1695" i="5"/>
  <c r="R1695" i="5"/>
  <c r="K1695" i="5"/>
  <c r="J1695" i="5"/>
  <c r="F1640" i="5"/>
  <c r="R1640" i="5"/>
  <c r="K1640" i="5"/>
  <c r="J1640" i="5"/>
  <c r="F1728" i="5"/>
  <c r="R1728" i="5"/>
  <c r="Q1728" i="5" s="1"/>
  <c r="K1728" i="5"/>
  <c r="J1728" i="5"/>
  <c r="F1670" i="5"/>
  <c r="R1670" i="5"/>
  <c r="K1670" i="5"/>
  <c r="J1670" i="5"/>
  <c r="F1761" i="5"/>
  <c r="R1761" i="5"/>
  <c r="F1703" i="5"/>
  <c r="R1703" i="5"/>
  <c r="K1703" i="5"/>
  <c r="J1703" i="5"/>
  <c r="F1645" i="5"/>
  <c r="R1645" i="5"/>
  <c r="K1645" i="5"/>
  <c r="J1645" i="5"/>
  <c r="F1736" i="5"/>
  <c r="R1736" i="5"/>
  <c r="Q1736" i="5" s="1"/>
  <c r="K1736" i="5"/>
  <c r="J1736" i="5"/>
  <c r="F1678" i="5"/>
  <c r="R1678" i="5"/>
  <c r="K1678" i="5"/>
  <c r="J1678" i="5"/>
  <c r="F1769" i="5"/>
  <c r="R1769" i="5"/>
  <c r="F1711" i="5"/>
  <c r="R1711" i="5"/>
  <c r="K1711" i="5"/>
  <c r="J1711" i="5"/>
  <c r="F1773" i="5"/>
  <c r="R1773" i="5"/>
  <c r="F1854" i="5"/>
  <c r="R1854" i="5"/>
  <c r="K1854" i="5"/>
  <c r="J1854" i="5"/>
  <c r="R1797" i="5"/>
  <c r="Q1797" i="5" s="1"/>
  <c r="F1797" i="5"/>
  <c r="K1797" i="5"/>
  <c r="J1797" i="5"/>
  <c r="F1887" i="5"/>
  <c r="R1887" i="5"/>
  <c r="J1887" i="5"/>
  <c r="K1887" i="5"/>
  <c r="F1829" i="5"/>
  <c r="R1829" i="5"/>
  <c r="R1779" i="5"/>
  <c r="F1779" i="5"/>
  <c r="K1779" i="5"/>
  <c r="J1779" i="5"/>
  <c r="F1862" i="5"/>
  <c r="R1862" i="5"/>
  <c r="K1862" i="5"/>
  <c r="J1862" i="5"/>
  <c r="R1804" i="5"/>
  <c r="Q1804" i="5" s="1"/>
  <c r="F1804" i="5"/>
  <c r="K1804" i="5"/>
  <c r="J1804" i="5"/>
  <c r="F1895" i="5"/>
  <c r="R1895" i="5"/>
  <c r="K1895" i="5"/>
  <c r="J1895" i="5"/>
  <c r="F1837" i="5"/>
  <c r="R1837" i="5"/>
  <c r="F1870" i="5"/>
  <c r="R1870" i="5"/>
  <c r="K1870" i="5"/>
  <c r="J1870" i="5"/>
  <c r="R1812" i="5"/>
  <c r="Q1812" i="5" s="1"/>
  <c r="F1812" i="5"/>
  <c r="K1812" i="5"/>
  <c r="J1812" i="5"/>
  <c r="F1903" i="5"/>
  <c r="R1903" i="5"/>
  <c r="K1903" i="5"/>
  <c r="J1903" i="5"/>
  <c r="F1845" i="5"/>
  <c r="R1845" i="5"/>
  <c r="F1878" i="5"/>
  <c r="R1878" i="5"/>
  <c r="K1878" i="5"/>
  <c r="J1878" i="5"/>
  <c r="R1820" i="5"/>
  <c r="Q1820" i="5" s="1"/>
  <c r="F1820" i="5"/>
  <c r="K1820" i="5"/>
  <c r="J1820" i="5"/>
  <c r="F1910" i="5"/>
  <c r="R1910" i="5"/>
  <c r="K1910" i="5"/>
  <c r="J1910" i="5"/>
  <c r="F1913" i="5"/>
  <c r="R1913" i="5"/>
  <c r="F1921" i="5"/>
  <c r="R1921" i="5"/>
  <c r="F1929" i="5"/>
  <c r="R1929" i="5"/>
  <c r="F1937" i="5"/>
  <c r="R1937" i="5"/>
  <c r="F2028" i="5"/>
  <c r="K2028" i="5"/>
  <c r="R2028" i="5"/>
  <c r="P2028" i="5" s="1"/>
  <c r="J2028" i="5"/>
  <c r="F1971" i="5"/>
  <c r="R1971" i="5"/>
  <c r="K1971" i="5"/>
  <c r="J1971" i="5"/>
  <c r="K2004" i="5"/>
  <c r="J2004" i="5"/>
  <c r="R2004" i="5"/>
  <c r="Q2004" i="5" s="1"/>
  <c r="F2004" i="5"/>
  <c r="F1948" i="5"/>
  <c r="R1948" i="5"/>
  <c r="K1948" i="5"/>
  <c r="J1948" i="5"/>
  <c r="R2036" i="5"/>
  <c r="Q2036" i="5" s="1"/>
  <c r="K2036" i="5"/>
  <c r="F2036" i="5"/>
  <c r="J2036" i="5"/>
  <c r="F1979" i="5"/>
  <c r="R1979" i="5"/>
  <c r="K1979" i="5"/>
  <c r="J1979" i="5"/>
  <c r="J2011" i="5"/>
  <c r="K2011" i="5"/>
  <c r="F2011" i="5"/>
  <c r="R2011" i="5"/>
  <c r="Q2011" i="5" s="1"/>
  <c r="P2011" i="5"/>
  <c r="F1954" i="5"/>
  <c r="R1954" i="5"/>
  <c r="K1954" i="5"/>
  <c r="J1954" i="5"/>
  <c r="F2043" i="5"/>
  <c r="R2043" i="5"/>
  <c r="K2043" i="5"/>
  <c r="J2043" i="5"/>
  <c r="R1987" i="5"/>
  <c r="F1987" i="5"/>
  <c r="K1987" i="5"/>
  <c r="J1987" i="5"/>
  <c r="K2019" i="5"/>
  <c r="J2019" i="5"/>
  <c r="R2019" i="5"/>
  <c r="P2019" i="5" s="1"/>
  <c r="F2019" i="5"/>
  <c r="Q2019" i="5"/>
  <c r="F1962" i="5"/>
  <c r="R1962" i="5"/>
  <c r="K1962" i="5"/>
  <c r="J1962" i="5"/>
  <c r="F2051" i="5"/>
  <c r="R2051" i="5"/>
  <c r="K2051" i="5"/>
  <c r="J2051" i="5"/>
  <c r="R1995" i="5"/>
  <c r="F1995" i="5"/>
  <c r="J1995" i="5"/>
  <c r="K1995" i="5"/>
  <c r="R2027" i="5"/>
  <c r="Q2027" i="5" s="1"/>
  <c r="K2027" i="5"/>
  <c r="J2027" i="5"/>
  <c r="F2027" i="5"/>
  <c r="F2143" i="5"/>
  <c r="R2143" i="5"/>
  <c r="K2143" i="5"/>
  <c r="J2143" i="5"/>
  <c r="F2085" i="5"/>
  <c r="R2085" i="5"/>
  <c r="K2085" i="5"/>
  <c r="J2085" i="5"/>
  <c r="F2118" i="5"/>
  <c r="R2118" i="5"/>
  <c r="K2118" i="5"/>
  <c r="J2118" i="5"/>
  <c r="F2063" i="5"/>
  <c r="R2063" i="5"/>
  <c r="F2149" i="5"/>
  <c r="R2149" i="5"/>
  <c r="K2149" i="5"/>
  <c r="J2149" i="5"/>
  <c r="F2093" i="5"/>
  <c r="R2093" i="5"/>
  <c r="K2093" i="5"/>
  <c r="J2093" i="5"/>
  <c r="F2126" i="5"/>
  <c r="R2126" i="5"/>
  <c r="K2126" i="5"/>
  <c r="J2126" i="5"/>
  <c r="F2157" i="5"/>
  <c r="R2157" i="5"/>
  <c r="K2157" i="5"/>
  <c r="J2157" i="5"/>
  <c r="F2101" i="5"/>
  <c r="R2101" i="5"/>
  <c r="K2101" i="5"/>
  <c r="J2101" i="5"/>
  <c r="F2134" i="5"/>
  <c r="R2134" i="5"/>
  <c r="K2134" i="5"/>
  <c r="J2134" i="5"/>
  <c r="F2077" i="5"/>
  <c r="R2077" i="5"/>
  <c r="F2165" i="5"/>
  <c r="R2165" i="5"/>
  <c r="K2165" i="5"/>
  <c r="J2165" i="5"/>
  <c r="F2109" i="5"/>
  <c r="R2109" i="5"/>
  <c r="K2109" i="5"/>
  <c r="J2109" i="5"/>
  <c r="J2146" i="5"/>
  <c r="J2112" i="5"/>
  <c r="J2086" i="5"/>
  <c r="J2063" i="5"/>
  <c r="J1951" i="5"/>
  <c r="J1921" i="5"/>
  <c r="J1897" i="5"/>
  <c r="J1863" i="5"/>
  <c r="J1837" i="5"/>
  <c r="J1803" i="5"/>
  <c r="J1773" i="5"/>
  <c r="J1769" i="5"/>
  <c r="J1602" i="5"/>
  <c r="K1530" i="5"/>
  <c r="J1467" i="5"/>
  <c r="K1352" i="5"/>
  <c r="F1231" i="5"/>
  <c r="R1231" i="5"/>
  <c r="K1231" i="5"/>
  <c r="J1231" i="5"/>
  <c r="F1338" i="5"/>
  <c r="R1338" i="5"/>
  <c r="Q1338" i="5" s="1"/>
  <c r="K1338" i="5"/>
  <c r="J1338" i="5"/>
  <c r="F1278" i="5"/>
  <c r="K1278" i="5"/>
  <c r="J1278" i="5"/>
  <c r="R1278" i="5"/>
  <c r="F1311" i="5"/>
  <c r="R1311" i="5"/>
  <c r="F1348" i="5"/>
  <c r="R1348" i="5"/>
  <c r="Q1348" i="5" s="1"/>
  <c r="K1348" i="5"/>
  <c r="J1348" i="5"/>
  <c r="F1286" i="5"/>
  <c r="R1286" i="5"/>
  <c r="K1286" i="5"/>
  <c r="J1286" i="5"/>
  <c r="R1321" i="5"/>
  <c r="F1321" i="5"/>
  <c r="K1321" i="5"/>
  <c r="J1321" i="5"/>
  <c r="F1258" i="5"/>
  <c r="R1258" i="5"/>
  <c r="F1357" i="5"/>
  <c r="R1357" i="5"/>
  <c r="Q1357" i="5" s="1"/>
  <c r="K1357" i="5"/>
  <c r="J1357" i="5"/>
  <c r="F1294" i="5"/>
  <c r="K1294" i="5"/>
  <c r="R1294" i="5"/>
  <c r="J1294" i="5"/>
  <c r="F1329" i="5"/>
  <c r="R1329" i="5"/>
  <c r="K1329" i="5"/>
  <c r="J1329" i="5"/>
  <c r="F1268" i="5"/>
  <c r="R1268" i="5"/>
  <c r="F1366" i="5"/>
  <c r="R1366" i="5"/>
  <c r="Q1366" i="5" s="1"/>
  <c r="K1366" i="5"/>
  <c r="J1366" i="5"/>
  <c r="F1302" i="5"/>
  <c r="K1302" i="5"/>
  <c r="J1302" i="5"/>
  <c r="R1302" i="5"/>
  <c r="F1428" i="5"/>
  <c r="R1428" i="5"/>
  <c r="J1375" i="5"/>
  <c r="F1375" i="5"/>
  <c r="R1375" i="5"/>
  <c r="Q1375" i="5" s="1"/>
  <c r="K1375" i="5"/>
  <c r="P1375" i="5"/>
  <c r="R1460" i="5"/>
  <c r="P1460" i="5" s="1"/>
  <c r="F1460" i="5"/>
  <c r="K1460" i="5"/>
  <c r="J1460" i="5"/>
  <c r="F1403" i="5"/>
  <c r="R1403" i="5"/>
  <c r="K1403" i="5"/>
  <c r="J1403" i="5"/>
  <c r="F1436" i="5"/>
  <c r="R1436" i="5"/>
  <c r="K1436" i="5"/>
  <c r="J1436" i="5"/>
  <c r="J1380" i="5"/>
  <c r="K1380" i="5"/>
  <c r="F1380" i="5"/>
  <c r="R1380" i="5"/>
  <c r="Q1380" i="5" s="1"/>
  <c r="P1380" i="5"/>
  <c r="R1468" i="5"/>
  <c r="Q1468" i="5" s="1"/>
  <c r="F1468" i="5"/>
  <c r="K1468" i="5"/>
  <c r="J1468" i="5"/>
  <c r="F1411" i="5"/>
  <c r="R1411" i="5"/>
  <c r="K1411" i="5"/>
  <c r="J1411" i="5"/>
  <c r="R1443" i="5"/>
  <c r="F1443" i="5"/>
  <c r="K1443" i="5"/>
  <c r="J1443" i="5"/>
  <c r="R1262" i="5"/>
  <c r="Q1262" i="5" s="1"/>
  <c r="K1262" i="5"/>
  <c r="P1262" i="5"/>
  <c r="N1262" i="5" s="1"/>
  <c r="F1476" i="5"/>
  <c r="R1476" i="5"/>
  <c r="Q1476" i="5" s="1"/>
  <c r="K1476" i="5"/>
  <c r="J1476" i="5"/>
  <c r="F1419" i="5"/>
  <c r="R1419" i="5"/>
  <c r="K1419" i="5"/>
  <c r="J1419" i="5"/>
  <c r="F1451" i="5"/>
  <c r="R1451" i="5"/>
  <c r="K1451" i="5"/>
  <c r="J1451" i="5"/>
  <c r="R1394" i="5"/>
  <c r="Q1394" i="5" s="1"/>
  <c r="K1394" i="5"/>
  <c r="F1394" i="5"/>
  <c r="J1394" i="5"/>
  <c r="P1394" i="5"/>
  <c r="F1484" i="5"/>
  <c r="R1484" i="5"/>
  <c r="Q1484" i="5" s="1"/>
  <c r="K1484" i="5"/>
  <c r="J1484" i="5"/>
  <c r="F1427" i="5"/>
  <c r="R1427" i="5"/>
  <c r="J1427" i="5"/>
  <c r="K1427" i="5"/>
  <c r="F1488" i="5"/>
  <c r="R1488" i="5"/>
  <c r="K1488" i="5"/>
  <c r="J1488" i="5"/>
  <c r="F1574" i="5"/>
  <c r="R1574" i="5"/>
  <c r="K1574" i="5"/>
  <c r="F1516" i="5"/>
  <c r="R1516" i="5"/>
  <c r="K1516" i="5"/>
  <c r="J1516" i="5"/>
  <c r="F1607" i="5"/>
  <c r="R1607" i="5"/>
  <c r="K1607" i="5"/>
  <c r="J1607" i="5"/>
  <c r="R1549" i="5"/>
  <c r="Q1549" i="5" s="1"/>
  <c r="F1549" i="5"/>
  <c r="K1549" i="5"/>
  <c r="J1549" i="5"/>
  <c r="F1582" i="5"/>
  <c r="R1582" i="5"/>
  <c r="F1524" i="5"/>
  <c r="R1524" i="5"/>
  <c r="K1524" i="5"/>
  <c r="J1524" i="5"/>
  <c r="F1615" i="5"/>
  <c r="R1615" i="5"/>
  <c r="K1615" i="5"/>
  <c r="J1615" i="5"/>
  <c r="R1557" i="5"/>
  <c r="P1557" i="5" s="1"/>
  <c r="F1557" i="5"/>
  <c r="K1557" i="5"/>
  <c r="J1557" i="5"/>
  <c r="F1500" i="5"/>
  <c r="R1500" i="5"/>
  <c r="K1500" i="5"/>
  <c r="J1500" i="5"/>
  <c r="F1590" i="5"/>
  <c r="R1590" i="5"/>
  <c r="F1532" i="5"/>
  <c r="R1532" i="5"/>
  <c r="K1532" i="5"/>
  <c r="J1532" i="5"/>
  <c r="F1623" i="5"/>
  <c r="K1623" i="5"/>
  <c r="R1623" i="5"/>
  <c r="J1623" i="5"/>
  <c r="R1565" i="5"/>
  <c r="P1565" i="5" s="1"/>
  <c r="F1565" i="5"/>
  <c r="K1565" i="5"/>
  <c r="J1565" i="5"/>
  <c r="F1507" i="5"/>
  <c r="R1507" i="5"/>
  <c r="J1507" i="5"/>
  <c r="K1507" i="5"/>
  <c r="F1598" i="5"/>
  <c r="R1598" i="5"/>
  <c r="F1540" i="5"/>
  <c r="R1540" i="5"/>
  <c r="K1540" i="5"/>
  <c r="J1540" i="5"/>
  <c r="F1631" i="5"/>
  <c r="J1631" i="5"/>
  <c r="R1631" i="5"/>
  <c r="K1631" i="5"/>
  <c r="F1684" i="5"/>
  <c r="R1684" i="5"/>
  <c r="K1684" i="5"/>
  <c r="J1684" i="5"/>
  <c r="F1635" i="5"/>
  <c r="R1635" i="5"/>
  <c r="Q1635" i="5" s="1"/>
  <c r="K1635" i="5"/>
  <c r="J1635" i="5"/>
  <c r="F1717" i="5"/>
  <c r="R1717" i="5"/>
  <c r="K1717" i="5"/>
  <c r="J1717" i="5"/>
  <c r="F1659" i="5"/>
  <c r="R1659" i="5"/>
  <c r="F1750" i="5"/>
  <c r="R1750" i="5"/>
  <c r="K1750" i="5"/>
  <c r="J1750" i="5"/>
  <c r="F1692" i="5"/>
  <c r="R1692" i="5"/>
  <c r="K1692" i="5"/>
  <c r="J1692" i="5"/>
  <c r="F1725" i="5"/>
  <c r="R1725" i="5"/>
  <c r="K1725" i="5"/>
  <c r="J1725" i="5"/>
  <c r="F1667" i="5"/>
  <c r="R1667" i="5"/>
  <c r="F1758" i="5"/>
  <c r="R1758" i="5"/>
  <c r="K1758" i="5"/>
  <c r="J1758" i="5"/>
  <c r="F1700" i="5"/>
  <c r="K1700" i="5"/>
  <c r="R1700" i="5"/>
  <c r="J1700" i="5"/>
  <c r="R1642" i="5"/>
  <c r="Q1642" i="5" s="1"/>
  <c r="F1642" i="5"/>
  <c r="K1642" i="5"/>
  <c r="J1642" i="5"/>
  <c r="F1733" i="5"/>
  <c r="R1733" i="5"/>
  <c r="K1733" i="5"/>
  <c r="J1733" i="5"/>
  <c r="F1675" i="5"/>
  <c r="R1675" i="5"/>
  <c r="K1675" i="5"/>
  <c r="F1766" i="5"/>
  <c r="R1766" i="5"/>
  <c r="K1766" i="5"/>
  <c r="J1766" i="5"/>
  <c r="F1708" i="5"/>
  <c r="R1708" i="5"/>
  <c r="K1708" i="5"/>
  <c r="J1708" i="5"/>
  <c r="R1650" i="5"/>
  <c r="Q1650" i="5" s="1"/>
  <c r="F1650" i="5"/>
  <c r="K1650" i="5"/>
  <c r="J1650" i="5"/>
  <c r="F1741" i="5"/>
  <c r="R1741" i="5"/>
  <c r="K1741" i="5"/>
  <c r="J1741" i="5"/>
  <c r="F1794" i="5"/>
  <c r="R1794" i="5"/>
  <c r="K1794" i="5"/>
  <c r="J1794" i="5"/>
  <c r="F1884" i="5"/>
  <c r="R1884" i="5"/>
  <c r="K1884" i="5"/>
  <c r="J1884" i="5"/>
  <c r="F1826" i="5"/>
  <c r="R1826" i="5"/>
  <c r="K1826" i="5"/>
  <c r="J1826" i="5"/>
  <c r="F1859" i="5"/>
  <c r="R1859" i="5"/>
  <c r="K1859" i="5"/>
  <c r="J1859" i="5"/>
  <c r="F1892" i="5"/>
  <c r="R1892" i="5"/>
  <c r="J1892" i="5"/>
  <c r="K1892" i="5"/>
  <c r="F1834" i="5"/>
  <c r="R1834" i="5"/>
  <c r="K1834" i="5"/>
  <c r="J1834" i="5"/>
  <c r="F1783" i="5"/>
  <c r="R1783" i="5"/>
  <c r="K1783" i="5"/>
  <c r="J1783" i="5"/>
  <c r="F1867" i="5"/>
  <c r="R1867" i="5"/>
  <c r="K1867" i="5"/>
  <c r="J1867" i="5"/>
  <c r="F1809" i="5"/>
  <c r="R1809" i="5"/>
  <c r="K1809" i="5"/>
  <c r="J1809" i="5"/>
  <c r="F1900" i="5"/>
  <c r="R1900" i="5"/>
  <c r="K1900" i="5"/>
  <c r="J1900" i="5"/>
  <c r="F1842" i="5"/>
  <c r="R1842" i="5"/>
  <c r="K1842" i="5"/>
  <c r="J1842" i="5"/>
  <c r="F1789" i="5"/>
  <c r="R1789" i="5"/>
  <c r="K1789" i="5"/>
  <c r="J1789" i="5"/>
  <c r="F1875" i="5"/>
  <c r="R1875" i="5"/>
  <c r="K1875" i="5"/>
  <c r="J1875" i="5"/>
  <c r="F1817" i="5"/>
  <c r="R1817" i="5"/>
  <c r="K1817" i="5"/>
  <c r="J1817" i="5"/>
  <c r="F1907" i="5"/>
  <c r="R1907" i="5"/>
  <c r="K1907" i="5"/>
  <c r="J1907" i="5"/>
  <c r="F1850" i="5"/>
  <c r="R1850" i="5"/>
  <c r="K1850" i="5"/>
  <c r="J1850" i="5"/>
  <c r="F1793" i="5"/>
  <c r="R1793" i="5"/>
  <c r="K1793" i="5"/>
  <c r="J1793" i="5"/>
  <c r="R1914" i="5"/>
  <c r="Q1914" i="5" s="1"/>
  <c r="F1914" i="5"/>
  <c r="K1914" i="5"/>
  <c r="J1914" i="5"/>
  <c r="R1922" i="5"/>
  <c r="Q1922" i="5" s="1"/>
  <c r="F1922" i="5"/>
  <c r="K1922" i="5"/>
  <c r="J1922" i="5"/>
  <c r="F1930" i="5"/>
  <c r="R1930" i="5"/>
  <c r="Q1930" i="5" s="1"/>
  <c r="K1930" i="5"/>
  <c r="J1930" i="5"/>
  <c r="F1938" i="5"/>
  <c r="R1938" i="5"/>
  <c r="Q1938" i="5" s="1"/>
  <c r="K1938" i="5"/>
  <c r="J1938" i="5"/>
  <c r="J2001" i="5"/>
  <c r="F2001" i="5"/>
  <c r="R2001" i="5"/>
  <c r="Q2001" i="5" s="1"/>
  <c r="K2001" i="5"/>
  <c r="R1945" i="5"/>
  <c r="F1945" i="5"/>
  <c r="K1945" i="5"/>
  <c r="J1945" i="5"/>
  <c r="R2033" i="5"/>
  <c r="Q2033" i="5" s="1"/>
  <c r="J2033" i="5"/>
  <c r="K2033" i="5"/>
  <c r="F2033" i="5"/>
  <c r="F1976" i="5"/>
  <c r="R1976" i="5"/>
  <c r="F1316" i="5"/>
  <c r="R1316" i="5"/>
  <c r="K1316" i="5" s="1"/>
  <c r="Q1316" i="5"/>
  <c r="R1953" i="5"/>
  <c r="F1953" i="5"/>
  <c r="K1953" i="5"/>
  <c r="J1953" i="5"/>
  <c r="F2040" i="5"/>
  <c r="R2040" i="5"/>
  <c r="K2040" i="5"/>
  <c r="J2040" i="5"/>
  <c r="F1984" i="5"/>
  <c r="R1984" i="5"/>
  <c r="J2016" i="5"/>
  <c r="F2016" i="5"/>
  <c r="R2016" i="5"/>
  <c r="Q2016" i="5" s="1"/>
  <c r="K2016" i="5"/>
  <c r="F1959" i="5"/>
  <c r="R1959" i="5"/>
  <c r="K1959" i="5"/>
  <c r="J1959" i="5"/>
  <c r="F2048" i="5"/>
  <c r="R2048" i="5"/>
  <c r="J2048" i="5"/>
  <c r="K2048" i="5"/>
  <c r="F1992" i="5"/>
  <c r="R1992" i="5"/>
  <c r="K2024" i="5"/>
  <c r="J2024" i="5"/>
  <c r="F2024" i="5"/>
  <c r="R2024" i="5"/>
  <c r="Q2024" i="5" s="1"/>
  <c r="P2024" i="5"/>
  <c r="F1967" i="5"/>
  <c r="R1967" i="5"/>
  <c r="K1967" i="5"/>
  <c r="J1967" i="5"/>
  <c r="F2056" i="5"/>
  <c r="R2056" i="5"/>
  <c r="K2056" i="5"/>
  <c r="J2056" i="5"/>
  <c r="F2082" i="5"/>
  <c r="R2082" i="5"/>
  <c r="J2082" i="5"/>
  <c r="K2082" i="5"/>
  <c r="R2115" i="5"/>
  <c r="Q2115" i="5" s="1"/>
  <c r="F2115" i="5"/>
  <c r="K2115" i="5"/>
  <c r="J2115" i="5"/>
  <c r="F2061" i="5"/>
  <c r="R2061" i="5"/>
  <c r="K2061" i="5"/>
  <c r="J2061" i="5"/>
  <c r="R1345" i="5"/>
  <c r="Q1345" i="5" s="1"/>
  <c r="F1345" i="5"/>
  <c r="F2090" i="5"/>
  <c r="R2090" i="5"/>
  <c r="K2090" i="5"/>
  <c r="J2090" i="5"/>
  <c r="F2123" i="5"/>
  <c r="R2123" i="5"/>
  <c r="Q2123" i="5" s="1"/>
  <c r="J2123" i="5"/>
  <c r="K2123" i="5"/>
  <c r="F2067" i="5"/>
  <c r="R2067" i="5"/>
  <c r="K2067" i="5"/>
  <c r="J2067" i="5"/>
  <c r="R2154" i="5"/>
  <c r="Q2154" i="5" s="1"/>
  <c r="F2154" i="5"/>
  <c r="J2154" i="5"/>
  <c r="K2154" i="5"/>
  <c r="F2098" i="5"/>
  <c r="R2098" i="5"/>
  <c r="K2098" i="5"/>
  <c r="J2098" i="5"/>
  <c r="F2131" i="5"/>
  <c r="R2131" i="5"/>
  <c r="P2131" i="5" s="1"/>
  <c r="K2131" i="5"/>
  <c r="J2131" i="5"/>
  <c r="F2074" i="5"/>
  <c r="R2074" i="5"/>
  <c r="K2074" i="5"/>
  <c r="J2074" i="5"/>
  <c r="F2162" i="5"/>
  <c r="R2162" i="5"/>
  <c r="Q2162" i="5" s="1"/>
  <c r="K2162" i="5"/>
  <c r="J2162" i="5"/>
  <c r="F2106" i="5"/>
  <c r="R2106" i="5"/>
  <c r="K2106" i="5"/>
  <c r="J2106" i="5"/>
  <c r="F2139" i="5"/>
  <c r="R2139" i="5"/>
  <c r="P2139" i="5" s="1"/>
  <c r="K2139" i="5"/>
  <c r="J2139" i="5"/>
  <c r="K2146" i="5"/>
  <c r="K2063" i="5"/>
  <c r="K1976" i="5"/>
  <c r="K1951" i="5"/>
  <c r="K1921" i="5"/>
  <c r="K1837" i="5"/>
  <c r="K1773" i="5"/>
  <c r="K1769" i="5"/>
  <c r="J1685" i="5"/>
  <c r="K1659" i="5"/>
  <c r="J1649" i="5"/>
  <c r="K1602" i="5"/>
  <c r="J1556" i="5"/>
  <c r="J1538" i="5"/>
  <c r="K1428" i="5"/>
  <c r="K1360" i="5"/>
  <c r="F1275" i="5"/>
  <c r="R1275" i="5"/>
  <c r="K1275" i="5"/>
  <c r="J1275" i="5"/>
  <c r="F1308" i="5"/>
  <c r="R1308" i="5"/>
  <c r="J1308" i="5"/>
  <c r="K1308" i="5"/>
  <c r="F1239" i="5"/>
  <c r="R1239" i="5"/>
  <c r="Q1239" i="5" s="1"/>
  <c r="F1343" i="5"/>
  <c r="R1343" i="5"/>
  <c r="K1343" i="5"/>
  <c r="J1343" i="5"/>
  <c r="F1283" i="5"/>
  <c r="R1283" i="5"/>
  <c r="K1283" i="5"/>
  <c r="J1283" i="5"/>
  <c r="F1317" i="5"/>
  <c r="R1317" i="5"/>
  <c r="F1354" i="5"/>
  <c r="R1354" i="5"/>
  <c r="K1354" i="5"/>
  <c r="J1354" i="5"/>
  <c r="F1291" i="5"/>
  <c r="R1291" i="5"/>
  <c r="K1291" i="5"/>
  <c r="J1291" i="5"/>
  <c r="F1326" i="5"/>
  <c r="R1326" i="5"/>
  <c r="F1265" i="5"/>
  <c r="R1265" i="5"/>
  <c r="Q1265" i="5" s="1"/>
  <c r="F1362" i="5"/>
  <c r="R1362" i="5"/>
  <c r="K1362" i="5"/>
  <c r="J1362" i="5"/>
  <c r="F1299" i="5"/>
  <c r="R1299" i="5"/>
  <c r="K1299" i="5"/>
  <c r="J1299" i="5"/>
  <c r="F1334" i="5"/>
  <c r="R1334" i="5"/>
  <c r="K1334" i="5"/>
  <c r="J1334" i="5"/>
  <c r="F1274" i="5"/>
  <c r="R1274" i="5"/>
  <c r="Q1274" i="5" s="1"/>
  <c r="F1457" i="5"/>
  <c r="R1457" i="5"/>
  <c r="K1457" i="5"/>
  <c r="J1457" i="5"/>
  <c r="F1400" i="5"/>
  <c r="R1400" i="5"/>
  <c r="K1400" i="5"/>
  <c r="J1400" i="5"/>
  <c r="F1433" i="5"/>
  <c r="R1433" i="5"/>
  <c r="K1433" i="5"/>
  <c r="J1433" i="5"/>
  <c r="R1243" i="5"/>
  <c r="Q1243" i="5" s="1"/>
  <c r="F1465" i="5"/>
  <c r="R1465" i="5"/>
  <c r="K1465" i="5"/>
  <c r="J1465" i="5"/>
  <c r="F1408" i="5"/>
  <c r="R1408" i="5"/>
  <c r="F1440" i="5"/>
  <c r="R1440" i="5"/>
  <c r="K1440" i="5"/>
  <c r="J1440" i="5"/>
  <c r="F1384" i="5"/>
  <c r="R1384" i="5"/>
  <c r="Q1384" i="5" s="1"/>
  <c r="J1384" i="5"/>
  <c r="K1384" i="5"/>
  <c r="F1473" i="5"/>
  <c r="R1473" i="5"/>
  <c r="K1473" i="5"/>
  <c r="J1473" i="5"/>
  <c r="F1416" i="5"/>
  <c r="R1416" i="5"/>
  <c r="J1416" i="5"/>
  <c r="F1448" i="5"/>
  <c r="K1448" i="5"/>
  <c r="J1448" i="5"/>
  <c r="R1448" i="5"/>
  <c r="K1391" i="5"/>
  <c r="J1391" i="5"/>
  <c r="F1391" i="5"/>
  <c r="P1391" i="5"/>
  <c r="R1391" i="5"/>
  <c r="Q1391" i="5" s="1"/>
  <c r="F1481" i="5"/>
  <c r="R1481" i="5"/>
  <c r="K1481" i="5"/>
  <c r="J1481" i="5"/>
  <c r="F1424" i="5"/>
  <c r="R1424" i="5"/>
  <c r="F1456" i="5"/>
  <c r="R1456" i="5"/>
  <c r="K1456" i="5"/>
  <c r="J1456" i="5"/>
  <c r="F1513" i="5"/>
  <c r="K1513" i="5"/>
  <c r="J1513" i="5"/>
  <c r="R1513" i="5"/>
  <c r="F1604" i="5"/>
  <c r="R1604" i="5"/>
  <c r="K1604" i="5"/>
  <c r="J1604" i="5"/>
  <c r="F1546" i="5"/>
  <c r="R1546" i="5"/>
  <c r="K1546" i="5"/>
  <c r="J1546" i="5"/>
  <c r="F1493" i="5"/>
  <c r="R1493" i="5"/>
  <c r="K1493" i="5"/>
  <c r="J1493" i="5"/>
  <c r="F1579" i="5"/>
  <c r="R1579" i="5"/>
  <c r="K1579" i="5"/>
  <c r="J1579" i="5"/>
  <c r="F1521" i="5"/>
  <c r="K1521" i="5"/>
  <c r="J1521" i="5"/>
  <c r="R1521" i="5"/>
  <c r="F1612" i="5"/>
  <c r="R1612" i="5"/>
  <c r="K1612" i="5"/>
  <c r="J1612" i="5"/>
  <c r="F1554" i="5"/>
  <c r="R1554" i="5"/>
  <c r="K1554" i="5"/>
  <c r="J1554" i="5"/>
  <c r="F1497" i="5"/>
  <c r="R1497" i="5"/>
  <c r="F1587" i="5"/>
  <c r="R1587" i="5"/>
  <c r="K1587" i="5"/>
  <c r="J1587" i="5"/>
  <c r="F1529" i="5"/>
  <c r="R1529" i="5"/>
  <c r="K1529" i="5"/>
  <c r="J1529" i="5"/>
  <c r="F1620" i="5"/>
  <c r="R1620" i="5"/>
  <c r="K1620" i="5"/>
  <c r="J1620" i="5"/>
  <c r="F1562" i="5"/>
  <c r="R1562" i="5"/>
  <c r="J1562" i="5"/>
  <c r="K1562" i="5"/>
  <c r="F1504" i="5"/>
  <c r="R1504" i="5"/>
  <c r="J1504" i="5"/>
  <c r="F1595" i="5"/>
  <c r="R1595" i="5"/>
  <c r="K1595" i="5"/>
  <c r="J1595" i="5"/>
  <c r="F1537" i="5"/>
  <c r="R1537" i="5"/>
  <c r="K1537" i="5"/>
  <c r="J1537" i="5"/>
  <c r="F1628" i="5"/>
  <c r="R1628" i="5"/>
  <c r="K1628" i="5"/>
  <c r="J1628" i="5"/>
  <c r="F1570" i="5"/>
  <c r="R1570" i="5"/>
  <c r="K1570" i="5"/>
  <c r="J1570" i="5"/>
  <c r="F1632" i="5"/>
  <c r="R1632" i="5"/>
  <c r="K1632" i="5"/>
  <c r="J1632" i="5"/>
  <c r="F1714" i="5"/>
  <c r="R1714" i="5"/>
  <c r="K1714" i="5"/>
  <c r="J1714" i="5"/>
  <c r="F1656" i="5"/>
  <c r="R1656" i="5"/>
  <c r="K1656" i="5"/>
  <c r="J1656" i="5"/>
  <c r="F1747" i="5"/>
  <c r="R1747" i="5"/>
  <c r="K1747" i="5"/>
  <c r="J1747" i="5"/>
  <c r="F1689" i="5"/>
  <c r="R1689" i="5"/>
  <c r="K1689" i="5"/>
  <c r="J1689" i="5"/>
  <c r="F1722" i="5"/>
  <c r="R1722" i="5"/>
  <c r="J1722" i="5"/>
  <c r="K1722" i="5"/>
  <c r="F1664" i="5"/>
  <c r="R1664" i="5"/>
  <c r="K1664" i="5"/>
  <c r="J1664" i="5"/>
  <c r="F1755" i="5"/>
  <c r="R1755" i="5"/>
  <c r="K1755" i="5"/>
  <c r="J1755" i="5"/>
  <c r="F1697" i="5"/>
  <c r="R1697" i="5"/>
  <c r="K1697" i="5"/>
  <c r="J1697" i="5"/>
  <c r="F1730" i="5"/>
  <c r="R1730" i="5"/>
  <c r="K1730" i="5"/>
  <c r="J1730" i="5"/>
  <c r="F1672" i="5"/>
  <c r="R1672" i="5"/>
  <c r="K1672" i="5"/>
  <c r="J1672" i="5"/>
  <c r="F1763" i="5"/>
  <c r="R1763" i="5"/>
  <c r="K1763" i="5"/>
  <c r="J1763" i="5"/>
  <c r="F1705" i="5"/>
  <c r="R1705" i="5"/>
  <c r="K1705" i="5"/>
  <c r="J1705" i="5"/>
  <c r="F1647" i="5"/>
  <c r="R1647" i="5"/>
  <c r="K1647" i="5"/>
  <c r="J1647" i="5"/>
  <c r="F1738" i="5"/>
  <c r="R1738" i="5"/>
  <c r="K1738" i="5"/>
  <c r="J1738" i="5"/>
  <c r="F1680" i="5"/>
  <c r="R1680" i="5"/>
  <c r="K1680" i="5"/>
  <c r="J1680" i="5"/>
  <c r="F1771" i="5"/>
  <c r="R1771" i="5"/>
  <c r="K1771" i="5"/>
  <c r="J1771" i="5"/>
  <c r="F1823" i="5"/>
  <c r="R1823" i="5"/>
  <c r="F1775" i="5"/>
  <c r="R1775" i="5"/>
  <c r="K1775" i="5"/>
  <c r="J1775" i="5"/>
  <c r="R1856" i="5"/>
  <c r="Q1856" i="5" s="1"/>
  <c r="F1856" i="5"/>
  <c r="K1856" i="5"/>
  <c r="J1856" i="5"/>
  <c r="F1799" i="5"/>
  <c r="R1799" i="5"/>
  <c r="K1799" i="5"/>
  <c r="J1799" i="5"/>
  <c r="F1889" i="5"/>
  <c r="R1889" i="5"/>
  <c r="F1831" i="5"/>
  <c r="R1831" i="5"/>
  <c r="K1831" i="5"/>
  <c r="J1831" i="5"/>
  <c r="F1781" i="5"/>
  <c r="R1781" i="5"/>
  <c r="K1781" i="5"/>
  <c r="J1781" i="5"/>
  <c r="R1864" i="5"/>
  <c r="Q1864" i="5" s="1"/>
  <c r="F1864" i="5"/>
  <c r="K1864" i="5"/>
  <c r="J1864" i="5"/>
  <c r="F1806" i="5"/>
  <c r="R1806" i="5"/>
  <c r="J1806" i="5"/>
  <c r="K1806" i="5"/>
  <c r="F1897" i="5"/>
  <c r="R1897" i="5"/>
  <c r="F1839" i="5"/>
  <c r="R1839" i="5"/>
  <c r="K1839" i="5"/>
  <c r="J1839" i="5"/>
  <c r="F1787" i="5"/>
  <c r="R1787" i="5"/>
  <c r="K1787" i="5"/>
  <c r="J1787" i="5"/>
  <c r="R1872" i="5"/>
  <c r="Q1872" i="5" s="1"/>
  <c r="F1872" i="5"/>
  <c r="K1872" i="5"/>
  <c r="J1872" i="5"/>
  <c r="F1814" i="5"/>
  <c r="R1814" i="5"/>
  <c r="K1814" i="5"/>
  <c r="J1814" i="5"/>
  <c r="F1905" i="5"/>
  <c r="R1905" i="5"/>
  <c r="F1847" i="5"/>
  <c r="R1847" i="5"/>
  <c r="K1847" i="5"/>
  <c r="J1847" i="5"/>
  <c r="F1792" i="5"/>
  <c r="R1792" i="5"/>
  <c r="K1792" i="5"/>
  <c r="J1792" i="5"/>
  <c r="F1880" i="5"/>
  <c r="R1880" i="5"/>
  <c r="Q1880" i="5" s="1"/>
  <c r="K1880" i="5"/>
  <c r="J1880" i="5"/>
  <c r="F1822" i="5"/>
  <c r="R1822" i="5"/>
  <c r="K1822" i="5"/>
  <c r="J1822" i="5"/>
  <c r="R1915" i="5"/>
  <c r="F1915" i="5"/>
  <c r="K1915" i="5"/>
  <c r="J1915" i="5"/>
  <c r="R1923" i="5"/>
  <c r="F1923" i="5"/>
  <c r="R1931" i="5"/>
  <c r="F1931" i="5"/>
  <c r="F1939" i="5"/>
  <c r="R1939" i="5"/>
  <c r="F1942" i="5"/>
  <c r="R1942" i="5"/>
  <c r="K1942" i="5"/>
  <c r="J1942" i="5"/>
  <c r="F2030" i="5"/>
  <c r="R2030" i="5"/>
  <c r="Q2030" i="5" s="1"/>
  <c r="K2030" i="5"/>
  <c r="J2030" i="5"/>
  <c r="F1973" i="5"/>
  <c r="R1973" i="5"/>
  <c r="K1973" i="5"/>
  <c r="J1973" i="5"/>
  <c r="F2006" i="5"/>
  <c r="P2006" i="5"/>
  <c r="R2006" i="5"/>
  <c r="Q2006" i="5" s="1"/>
  <c r="K2006" i="5"/>
  <c r="J2006" i="5"/>
  <c r="F1950" i="5"/>
  <c r="R1950" i="5"/>
  <c r="K1950" i="5"/>
  <c r="J1950" i="5"/>
  <c r="F1350" i="5"/>
  <c r="R1350" i="5"/>
  <c r="F1981" i="5"/>
  <c r="R1981" i="5"/>
  <c r="K1981" i="5"/>
  <c r="J1981" i="5"/>
  <c r="R2013" i="5"/>
  <c r="Q2013" i="5" s="1"/>
  <c r="K2013" i="5"/>
  <c r="J2013" i="5"/>
  <c r="F2013" i="5"/>
  <c r="F1956" i="5"/>
  <c r="R1956" i="5"/>
  <c r="K1956" i="5"/>
  <c r="J1956" i="5"/>
  <c r="F2045" i="5"/>
  <c r="R2045" i="5"/>
  <c r="K2045" i="5"/>
  <c r="J2045" i="5"/>
  <c r="F1989" i="5"/>
  <c r="R1989" i="5"/>
  <c r="K1989" i="5"/>
  <c r="J1989" i="5"/>
  <c r="J2021" i="5"/>
  <c r="F2021" i="5"/>
  <c r="R2021" i="5"/>
  <c r="Q2021" i="5" s="1"/>
  <c r="K2021" i="5"/>
  <c r="P2021" i="5"/>
  <c r="F1964" i="5"/>
  <c r="R1964" i="5"/>
  <c r="K1964" i="5"/>
  <c r="J1964" i="5"/>
  <c r="F2053" i="5"/>
  <c r="R2053" i="5"/>
  <c r="K2053" i="5"/>
  <c r="J2053" i="5"/>
  <c r="F1997" i="5"/>
  <c r="R1997" i="5"/>
  <c r="K1997" i="5"/>
  <c r="J1997" i="5"/>
  <c r="F2112" i="5"/>
  <c r="R2112" i="5"/>
  <c r="F2058" i="5"/>
  <c r="R2058" i="5"/>
  <c r="Q2058" i="5" s="1"/>
  <c r="K2058" i="5"/>
  <c r="J2058" i="5"/>
  <c r="F2145" i="5"/>
  <c r="R2145" i="5"/>
  <c r="K2145" i="5"/>
  <c r="J2145" i="5"/>
  <c r="F2087" i="5"/>
  <c r="R2087" i="5"/>
  <c r="K2087" i="5"/>
  <c r="J2087" i="5"/>
  <c r="F2120" i="5"/>
  <c r="R2120" i="5"/>
  <c r="F2065" i="5"/>
  <c r="R2065" i="5"/>
  <c r="Q2065" i="5" s="1"/>
  <c r="K2065" i="5"/>
  <c r="J2065" i="5"/>
  <c r="F2151" i="5"/>
  <c r="R2151" i="5"/>
  <c r="K2151" i="5"/>
  <c r="J2151" i="5"/>
  <c r="F2095" i="5"/>
  <c r="R2095" i="5"/>
  <c r="K2095" i="5"/>
  <c r="J2095" i="5"/>
  <c r="F2128" i="5"/>
  <c r="R2128" i="5"/>
  <c r="F2071" i="5"/>
  <c r="R2071" i="5"/>
  <c r="P2071" i="5" s="1"/>
  <c r="K2071" i="5"/>
  <c r="J2071" i="5"/>
  <c r="F2159" i="5"/>
  <c r="R2159" i="5"/>
  <c r="K2159" i="5"/>
  <c r="J2159" i="5"/>
  <c r="F2103" i="5"/>
  <c r="R2103" i="5"/>
  <c r="K2103" i="5"/>
  <c r="J2103" i="5"/>
  <c r="F2136" i="5"/>
  <c r="R2136" i="5"/>
  <c r="R2078" i="5"/>
  <c r="Q2078" i="5" s="1"/>
  <c r="F2078" i="5"/>
  <c r="K2078" i="5"/>
  <c r="J2078" i="5"/>
  <c r="F2167" i="5"/>
  <c r="R2167" i="5"/>
  <c r="K2167" i="5"/>
  <c r="J2167" i="5"/>
  <c r="J2152" i="5"/>
  <c r="J2120" i="5"/>
  <c r="J2094" i="5"/>
  <c r="J2077" i="5"/>
  <c r="J1984" i="5"/>
  <c r="J1957" i="5"/>
  <c r="J1929" i="5"/>
  <c r="J1905" i="5"/>
  <c r="J1871" i="5"/>
  <c r="J1845" i="5"/>
  <c r="J1745" i="5"/>
  <c r="K1685" i="5"/>
  <c r="J1667" i="5"/>
  <c r="J1574" i="5"/>
  <c r="K1538" i="5"/>
  <c r="J1408" i="5"/>
  <c r="J1369" i="5"/>
  <c r="F1305" i="5"/>
  <c r="R1305" i="5"/>
  <c r="K1305" i="5"/>
  <c r="J1305" i="5"/>
  <c r="F1340" i="5"/>
  <c r="K1340" i="5"/>
  <c r="J1340" i="5"/>
  <c r="R1340" i="5"/>
  <c r="F1280" i="5"/>
  <c r="R1280" i="5"/>
  <c r="K1280" i="5"/>
  <c r="J1280" i="5"/>
  <c r="F1313" i="5"/>
  <c r="K1313" i="5"/>
  <c r="J1313" i="5"/>
  <c r="R1313" i="5"/>
  <c r="F1248" i="5"/>
  <c r="R1248" i="5"/>
  <c r="F1351" i="5"/>
  <c r="K1351" i="5"/>
  <c r="J1351" i="5"/>
  <c r="R1351" i="5"/>
  <c r="F1288" i="5"/>
  <c r="R1288" i="5"/>
  <c r="F1323" i="5"/>
  <c r="R1323" i="5"/>
  <c r="K1323" i="5"/>
  <c r="J1323" i="5"/>
  <c r="F1359" i="5"/>
  <c r="K1359" i="5"/>
  <c r="J1359" i="5"/>
  <c r="R1359" i="5"/>
  <c r="F1296" i="5"/>
  <c r="R1296" i="5"/>
  <c r="K1296" i="5"/>
  <c r="J1296" i="5"/>
  <c r="F1331" i="5"/>
  <c r="R1331" i="5"/>
  <c r="K1331" i="5"/>
  <c r="J1331" i="5"/>
  <c r="F1270" i="5"/>
  <c r="R1270" i="5"/>
  <c r="K1270" i="5"/>
  <c r="J1270" i="5"/>
  <c r="F1368" i="5"/>
  <c r="R1368" i="5"/>
  <c r="K1368" i="5"/>
  <c r="J1368" i="5"/>
  <c r="F1304" i="5"/>
  <c r="R1304" i="5"/>
  <c r="K1304" i="5"/>
  <c r="J1304" i="5"/>
  <c r="F1430" i="5"/>
  <c r="R1430" i="5"/>
  <c r="K1430" i="5"/>
  <c r="J1430" i="5"/>
  <c r="R1376" i="5"/>
  <c r="Q1376" i="5" s="1"/>
  <c r="F1376" i="5"/>
  <c r="J1376" i="5"/>
  <c r="K1376" i="5"/>
  <c r="F1462" i="5"/>
  <c r="R1462" i="5"/>
  <c r="K1462" i="5"/>
  <c r="J1462" i="5"/>
  <c r="F1405" i="5"/>
  <c r="R1405" i="5"/>
  <c r="K1405" i="5"/>
  <c r="J1405" i="5"/>
  <c r="F1438" i="5"/>
  <c r="R1438" i="5"/>
  <c r="K1438" i="5"/>
  <c r="J1438" i="5"/>
  <c r="R1381" i="5"/>
  <c r="Q1381" i="5" s="1"/>
  <c r="K1381" i="5"/>
  <c r="F1381" i="5"/>
  <c r="J1381" i="5"/>
  <c r="F1470" i="5"/>
  <c r="R1470" i="5"/>
  <c r="K1470" i="5"/>
  <c r="J1470" i="5"/>
  <c r="F1413" i="5"/>
  <c r="R1413" i="5"/>
  <c r="K1413" i="5"/>
  <c r="J1413" i="5"/>
  <c r="F1445" i="5"/>
  <c r="R1445" i="5"/>
  <c r="K1445" i="5"/>
  <c r="J1445" i="5"/>
  <c r="R1388" i="5"/>
  <c r="Q1388" i="5" s="1"/>
  <c r="K1388" i="5"/>
  <c r="J1388" i="5"/>
  <c r="F1388" i="5"/>
  <c r="P1388" i="5"/>
  <c r="F1478" i="5"/>
  <c r="R1478" i="5"/>
  <c r="K1478" i="5"/>
  <c r="J1478" i="5"/>
  <c r="F1421" i="5"/>
  <c r="R1421" i="5"/>
  <c r="K1421" i="5"/>
  <c r="J1421" i="5"/>
  <c r="F1453" i="5"/>
  <c r="R1453" i="5"/>
  <c r="K1453" i="5"/>
  <c r="J1453" i="5"/>
  <c r="R1396" i="5"/>
  <c r="Q1396" i="5" s="1"/>
  <c r="J1396" i="5"/>
  <c r="F1396" i="5"/>
  <c r="K1396" i="5"/>
  <c r="P1396" i="5"/>
  <c r="F1486" i="5"/>
  <c r="R1486" i="5"/>
  <c r="J1486" i="5"/>
  <c r="K1486" i="5"/>
  <c r="F1543" i="5"/>
  <c r="R1543" i="5"/>
  <c r="K1543" i="5"/>
  <c r="J1543" i="5"/>
  <c r="F1490" i="5"/>
  <c r="R1490" i="5"/>
  <c r="K1490" i="5"/>
  <c r="J1490" i="5"/>
  <c r="R1576" i="5"/>
  <c r="F1576" i="5"/>
  <c r="K1576" i="5"/>
  <c r="J1576" i="5"/>
  <c r="F1518" i="5"/>
  <c r="R1518" i="5"/>
  <c r="K1518" i="5"/>
  <c r="J1518" i="5"/>
  <c r="R1609" i="5"/>
  <c r="P1609" i="5" s="1"/>
  <c r="F1609" i="5"/>
  <c r="K1609" i="5"/>
  <c r="J1609" i="5"/>
  <c r="F1551" i="5"/>
  <c r="R1551" i="5"/>
  <c r="K1551" i="5"/>
  <c r="J1551" i="5"/>
  <c r="F1584" i="5"/>
  <c r="R1584" i="5"/>
  <c r="K1584" i="5"/>
  <c r="J1584" i="5"/>
  <c r="F1526" i="5"/>
  <c r="R1526" i="5"/>
  <c r="K1526" i="5"/>
  <c r="J1526" i="5"/>
  <c r="R1617" i="5"/>
  <c r="P1617" i="5" s="1"/>
  <c r="F1617" i="5"/>
  <c r="K1617" i="5"/>
  <c r="J1617" i="5"/>
  <c r="F1559" i="5"/>
  <c r="R1559" i="5"/>
  <c r="J1559" i="5"/>
  <c r="K1559" i="5"/>
  <c r="F1502" i="5"/>
  <c r="R1502" i="5"/>
  <c r="K1502" i="5"/>
  <c r="J1502" i="5"/>
  <c r="F1592" i="5"/>
  <c r="R1592" i="5"/>
  <c r="K1592" i="5"/>
  <c r="J1592" i="5"/>
  <c r="F1534" i="5"/>
  <c r="R1534" i="5"/>
  <c r="K1534" i="5"/>
  <c r="J1534" i="5"/>
  <c r="R1625" i="5"/>
  <c r="Q1625" i="5" s="1"/>
  <c r="F1625" i="5"/>
  <c r="K1625" i="5"/>
  <c r="J1625" i="5"/>
  <c r="F1567" i="5"/>
  <c r="R1567" i="5"/>
  <c r="K1567" i="5"/>
  <c r="J1567" i="5"/>
  <c r="F1509" i="5"/>
  <c r="R1509" i="5"/>
  <c r="K1509" i="5"/>
  <c r="J1509" i="5"/>
  <c r="F1600" i="5"/>
  <c r="R1600" i="5"/>
  <c r="K1600" i="5"/>
  <c r="J1600" i="5"/>
  <c r="F1653" i="5"/>
  <c r="R1653" i="5"/>
  <c r="F1744" i="5"/>
  <c r="R1744" i="5"/>
  <c r="K1744" i="5"/>
  <c r="J1744" i="5"/>
  <c r="R1686" i="5"/>
  <c r="P1686" i="5" s="1"/>
  <c r="F1686" i="5"/>
  <c r="K1686" i="5"/>
  <c r="J1686" i="5"/>
  <c r="F1719" i="5"/>
  <c r="R1719" i="5"/>
  <c r="F1661" i="5"/>
  <c r="R1661" i="5"/>
  <c r="K1661" i="5"/>
  <c r="J1661" i="5"/>
  <c r="F1752" i="5"/>
  <c r="R1752" i="5"/>
  <c r="K1752" i="5"/>
  <c r="J1752" i="5"/>
  <c r="R1694" i="5"/>
  <c r="P1694" i="5" s="1"/>
  <c r="F1694" i="5"/>
  <c r="K1694" i="5"/>
  <c r="J1694" i="5"/>
  <c r="F1639" i="5"/>
  <c r="R1639" i="5"/>
  <c r="K1639" i="5"/>
  <c r="J1639" i="5"/>
  <c r="F1727" i="5"/>
  <c r="R1727" i="5"/>
  <c r="F1669" i="5"/>
  <c r="R1669" i="5"/>
  <c r="K1669" i="5"/>
  <c r="J1669" i="5"/>
  <c r="F1760" i="5"/>
  <c r="R1760" i="5"/>
  <c r="K1760" i="5"/>
  <c r="J1760" i="5"/>
  <c r="R1702" i="5"/>
  <c r="Q1702" i="5" s="1"/>
  <c r="F1702" i="5"/>
  <c r="K1702" i="5"/>
  <c r="J1702" i="5"/>
  <c r="F1644" i="5"/>
  <c r="R1644" i="5"/>
  <c r="J1644" i="5"/>
  <c r="K1644" i="5"/>
  <c r="F1735" i="5"/>
  <c r="R1735" i="5"/>
  <c r="K1735" i="5"/>
  <c r="R1677" i="5"/>
  <c r="F1677" i="5"/>
  <c r="K1677" i="5"/>
  <c r="J1677" i="5"/>
  <c r="F1768" i="5"/>
  <c r="R1768" i="5"/>
  <c r="K1768" i="5"/>
  <c r="J1768" i="5"/>
  <c r="R1710" i="5"/>
  <c r="Q1710" i="5" s="1"/>
  <c r="F1710" i="5"/>
  <c r="K1710" i="5"/>
  <c r="J1710" i="5"/>
  <c r="F1652" i="5"/>
  <c r="R1652" i="5"/>
  <c r="K1652" i="5"/>
  <c r="J1652" i="5"/>
  <c r="F1853" i="5"/>
  <c r="R1853" i="5"/>
  <c r="K1853" i="5"/>
  <c r="J1853" i="5"/>
  <c r="F1796" i="5"/>
  <c r="R1796" i="5"/>
  <c r="F1886" i="5"/>
  <c r="R1886" i="5"/>
  <c r="K1886" i="5"/>
  <c r="J1886" i="5"/>
  <c r="F1828" i="5"/>
  <c r="R1828" i="5"/>
  <c r="K1828" i="5"/>
  <c r="J1828" i="5"/>
  <c r="F1778" i="5"/>
  <c r="R1778" i="5"/>
  <c r="Q1778" i="5" s="1"/>
  <c r="K1778" i="5"/>
  <c r="J1778" i="5"/>
  <c r="F1861" i="5"/>
  <c r="R1861" i="5"/>
  <c r="K1861" i="5"/>
  <c r="J1861" i="5"/>
  <c r="F1803" i="5"/>
  <c r="R1803" i="5"/>
  <c r="F1894" i="5"/>
  <c r="R1894" i="5"/>
  <c r="K1894" i="5"/>
  <c r="J1894" i="5"/>
  <c r="F1836" i="5"/>
  <c r="R1836" i="5"/>
  <c r="K1836" i="5"/>
  <c r="J1836" i="5"/>
  <c r="F1785" i="5"/>
  <c r="R1785" i="5"/>
  <c r="Q1785" i="5" s="1"/>
  <c r="K1785" i="5"/>
  <c r="J1785" i="5"/>
  <c r="F1869" i="5"/>
  <c r="R1869" i="5"/>
  <c r="K1869" i="5"/>
  <c r="J1869" i="5"/>
  <c r="F1811" i="5"/>
  <c r="R1811" i="5"/>
  <c r="F1902" i="5"/>
  <c r="R1902" i="5"/>
  <c r="K1902" i="5"/>
  <c r="J1902" i="5"/>
  <c r="F1844" i="5"/>
  <c r="R1844" i="5"/>
  <c r="K1844" i="5"/>
  <c r="J1844" i="5"/>
  <c r="R1790" i="5"/>
  <c r="P1790" i="5" s="1"/>
  <c r="F1790" i="5"/>
  <c r="K1790" i="5"/>
  <c r="J1790" i="5"/>
  <c r="F1877" i="5"/>
  <c r="R1877" i="5"/>
  <c r="K1877" i="5"/>
  <c r="J1877" i="5"/>
  <c r="F1819" i="5"/>
  <c r="R1819" i="5"/>
  <c r="F1909" i="5"/>
  <c r="R1909" i="5"/>
  <c r="K1909" i="5"/>
  <c r="J1909" i="5"/>
  <c r="F1852" i="5"/>
  <c r="R1852" i="5"/>
  <c r="K1852" i="5"/>
  <c r="J1852" i="5"/>
  <c r="F1916" i="5"/>
  <c r="R1916" i="5"/>
  <c r="J1916" i="5"/>
  <c r="K1916" i="5"/>
  <c r="F1924" i="5"/>
  <c r="R1924" i="5"/>
  <c r="K1924" i="5"/>
  <c r="J1924" i="5"/>
  <c r="F1932" i="5"/>
  <c r="R1932" i="5"/>
  <c r="K1932" i="5"/>
  <c r="J1932" i="5"/>
  <c r="F1940" i="5"/>
  <c r="R1940" i="5"/>
  <c r="R1970" i="5"/>
  <c r="F1970" i="5"/>
  <c r="K1970" i="5"/>
  <c r="J1970" i="5"/>
  <c r="R2003" i="5"/>
  <c r="P2003" i="5" s="1"/>
  <c r="J2003" i="5"/>
  <c r="F2003" i="5"/>
  <c r="K2003" i="5"/>
  <c r="F1947" i="5"/>
  <c r="R1947" i="5"/>
  <c r="K1947" i="5"/>
  <c r="J1947" i="5"/>
  <c r="J2035" i="5"/>
  <c r="F2035" i="5"/>
  <c r="K2035" i="5"/>
  <c r="R2035" i="5"/>
  <c r="Q2035" i="5" s="1"/>
  <c r="R1978" i="5"/>
  <c r="F1978" i="5"/>
  <c r="K1978" i="5"/>
  <c r="J1978" i="5"/>
  <c r="K2010" i="5"/>
  <c r="F2010" i="5"/>
  <c r="R2010" i="5"/>
  <c r="Q2010" i="5" s="1"/>
  <c r="J2010" i="5"/>
  <c r="F2042" i="5"/>
  <c r="R2042" i="5"/>
  <c r="K2042" i="5"/>
  <c r="J2042" i="5"/>
  <c r="R1986" i="5"/>
  <c r="F1986" i="5"/>
  <c r="K1986" i="5"/>
  <c r="J1986" i="5"/>
  <c r="J2018" i="5"/>
  <c r="R2018" i="5"/>
  <c r="P2018" i="5" s="1"/>
  <c r="K2018" i="5"/>
  <c r="F2018" i="5"/>
  <c r="F1961" i="5"/>
  <c r="R1961" i="5"/>
  <c r="J1961" i="5"/>
  <c r="K1961" i="5"/>
  <c r="F2050" i="5"/>
  <c r="R2050" i="5"/>
  <c r="K2050" i="5"/>
  <c r="J2050" i="5"/>
  <c r="R1994" i="5"/>
  <c r="F1994" i="5"/>
  <c r="K1994" i="5"/>
  <c r="J1994" i="5"/>
  <c r="K2026" i="5"/>
  <c r="F2026" i="5"/>
  <c r="J2026" i="5"/>
  <c r="R2026" i="5"/>
  <c r="Q2026" i="5" s="1"/>
  <c r="P2026" i="5"/>
  <c r="F2057" i="5"/>
  <c r="R2057" i="5"/>
  <c r="K2057" i="5"/>
  <c r="J2057" i="5"/>
  <c r="F2142" i="5"/>
  <c r="R2142" i="5"/>
  <c r="J2142" i="5"/>
  <c r="K2142" i="5"/>
  <c r="F2084" i="5"/>
  <c r="R2084" i="5"/>
  <c r="K2084" i="5"/>
  <c r="J2084" i="5"/>
  <c r="F2117" i="5"/>
  <c r="R2117" i="5"/>
  <c r="K2117" i="5"/>
  <c r="J2117" i="5"/>
  <c r="F2148" i="5"/>
  <c r="R2148" i="5"/>
  <c r="K2148" i="5"/>
  <c r="J2148" i="5"/>
  <c r="F2092" i="5"/>
  <c r="R2092" i="5"/>
  <c r="K2092" i="5"/>
  <c r="J2092" i="5"/>
  <c r="F2125" i="5"/>
  <c r="R2125" i="5"/>
  <c r="K2125" i="5"/>
  <c r="J2125" i="5"/>
  <c r="F2069" i="5"/>
  <c r="R2069" i="5"/>
  <c r="K2069" i="5"/>
  <c r="J2069" i="5"/>
  <c r="F2156" i="5"/>
  <c r="R2156" i="5"/>
  <c r="K2156" i="5"/>
  <c r="J2156" i="5"/>
  <c r="F2100" i="5"/>
  <c r="R2100" i="5"/>
  <c r="K2100" i="5"/>
  <c r="J2100" i="5"/>
  <c r="F2133" i="5"/>
  <c r="R2133" i="5"/>
  <c r="K2133" i="5"/>
  <c r="J2133" i="5"/>
  <c r="F2076" i="5"/>
  <c r="R2076" i="5"/>
  <c r="K2076" i="5"/>
  <c r="J2076" i="5"/>
  <c r="F2164" i="5"/>
  <c r="R2164" i="5"/>
  <c r="K2164" i="5"/>
  <c r="J2164" i="5"/>
  <c r="F2108" i="5"/>
  <c r="R2108" i="5"/>
  <c r="K2108" i="5"/>
  <c r="J2108" i="5"/>
  <c r="K2152" i="5"/>
  <c r="K2120" i="5"/>
  <c r="K2077" i="5"/>
  <c r="K1984" i="5"/>
  <c r="K1957" i="5"/>
  <c r="K1929" i="5"/>
  <c r="K1905" i="5"/>
  <c r="K1845" i="5"/>
  <c r="K1811" i="5"/>
  <c r="K1745" i="5"/>
  <c r="K1719" i="5"/>
  <c r="J1693" i="5"/>
  <c r="K1667" i="5"/>
  <c r="J1608" i="5"/>
  <c r="J1582" i="5"/>
  <c r="J1497" i="5"/>
  <c r="K1408" i="5"/>
  <c r="K1425" i="5"/>
  <c r="F1337" i="5"/>
  <c r="R1337" i="5"/>
  <c r="K1337" i="5"/>
  <c r="J1337" i="5"/>
  <c r="F1277" i="5"/>
  <c r="R1277" i="5"/>
  <c r="P1277" i="5" s="1"/>
  <c r="K1277" i="5"/>
  <c r="J1277" i="5"/>
  <c r="F1310" i="5"/>
  <c r="R1310" i="5"/>
  <c r="P1310" i="5" s="1"/>
  <c r="K1310" i="5"/>
  <c r="J1310" i="5"/>
  <c r="F1346" i="5"/>
  <c r="R1346" i="5"/>
  <c r="K1346" i="5"/>
  <c r="J1346" i="5"/>
  <c r="F1285" i="5"/>
  <c r="R1285" i="5"/>
  <c r="R1149" i="5"/>
  <c r="J1149" i="5"/>
  <c r="F1320" i="5"/>
  <c r="R1320" i="5"/>
  <c r="P1320" i="5" s="1"/>
  <c r="K1320" i="5"/>
  <c r="J1320" i="5"/>
  <c r="F1257" i="5"/>
  <c r="R1257" i="5"/>
  <c r="F1356" i="5"/>
  <c r="R1356" i="5"/>
  <c r="K1356" i="5"/>
  <c r="J1356" i="5"/>
  <c r="F1293" i="5"/>
  <c r="R1293" i="5"/>
  <c r="Q1293" i="5" s="1"/>
  <c r="K1293" i="5"/>
  <c r="J1293" i="5"/>
  <c r="F1328" i="5"/>
  <c r="R1328" i="5"/>
  <c r="Q1328" i="5" s="1"/>
  <c r="K1328" i="5"/>
  <c r="J1328" i="5"/>
  <c r="F1267" i="5"/>
  <c r="R1267" i="5"/>
  <c r="F1364" i="5"/>
  <c r="R1364" i="5"/>
  <c r="K1364" i="5"/>
  <c r="J1364" i="5"/>
  <c r="F1301" i="5"/>
  <c r="R1301" i="5"/>
  <c r="K1301" i="5"/>
  <c r="J1301" i="5"/>
  <c r="F1336" i="5"/>
  <c r="R1336" i="5"/>
  <c r="Q1336" i="5" s="1"/>
  <c r="K1336" i="5"/>
  <c r="J1336" i="5"/>
  <c r="R1374" i="5"/>
  <c r="P1374" i="5" s="1"/>
  <c r="K1374" i="5"/>
  <c r="F1374" i="5"/>
  <c r="J1374" i="5"/>
  <c r="Q1374" i="5"/>
  <c r="F1459" i="5"/>
  <c r="R1459" i="5"/>
  <c r="K1459" i="5"/>
  <c r="J1459" i="5"/>
  <c r="R1402" i="5"/>
  <c r="F1402" i="5"/>
  <c r="K1402" i="5"/>
  <c r="J1402" i="5"/>
  <c r="F1435" i="5"/>
  <c r="R1435" i="5"/>
  <c r="Q1435" i="5" s="1"/>
  <c r="K1435" i="5"/>
  <c r="J1435" i="5"/>
  <c r="K1379" i="5"/>
  <c r="J1379" i="5"/>
  <c r="R1379" i="5"/>
  <c r="Q1379" i="5" s="1"/>
  <c r="F1379" i="5"/>
  <c r="P1379" i="5"/>
  <c r="F1467" i="5"/>
  <c r="R1467" i="5"/>
  <c r="F1410" i="5"/>
  <c r="R1410" i="5"/>
  <c r="K1410" i="5"/>
  <c r="J1410" i="5"/>
  <c r="R1442" i="5"/>
  <c r="Q1442" i="5" s="1"/>
  <c r="F1442" i="5"/>
  <c r="K1442" i="5"/>
  <c r="J1442" i="5"/>
  <c r="F1386" i="5"/>
  <c r="K1386" i="5"/>
  <c r="R1386" i="5"/>
  <c r="Q1386" i="5" s="1"/>
  <c r="J1386" i="5"/>
  <c r="P1386" i="5"/>
  <c r="F1475" i="5"/>
  <c r="R1475" i="5"/>
  <c r="J1475" i="5"/>
  <c r="R1418" i="5"/>
  <c r="F1418" i="5"/>
  <c r="K1418" i="5"/>
  <c r="J1418" i="5"/>
  <c r="R1450" i="5"/>
  <c r="Q1450" i="5" s="1"/>
  <c r="F1450" i="5"/>
  <c r="K1450" i="5"/>
  <c r="J1450" i="5"/>
  <c r="J1393" i="5"/>
  <c r="R1393" i="5"/>
  <c r="P1393" i="5" s="1"/>
  <c r="F1393" i="5"/>
  <c r="K1393" i="5"/>
  <c r="F1483" i="5"/>
  <c r="R1483" i="5"/>
  <c r="F1426" i="5"/>
  <c r="R1426" i="5"/>
  <c r="K1426" i="5"/>
  <c r="J1426" i="5"/>
  <c r="F1487" i="5"/>
  <c r="R1487" i="5"/>
  <c r="F1573" i="5"/>
  <c r="K1573" i="5"/>
  <c r="J1573" i="5"/>
  <c r="R1573" i="5"/>
  <c r="R1515" i="5"/>
  <c r="Q1515" i="5" s="1"/>
  <c r="F1515" i="5"/>
  <c r="K1515" i="5"/>
  <c r="J1515" i="5"/>
  <c r="F1606" i="5"/>
  <c r="R1606" i="5"/>
  <c r="K1606" i="5"/>
  <c r="J1606" i="5"/>
  <c r="F1548" i="5"/>
  <c r="R1548" i="5"/>
  <c r="K1548" i="5"/>
  <c r="J1548" i="5"/>
  <c r="F1581" i="5"/>
  <c r="K1581" i="5"/>
  <c r="J1581" i="5"/>
  <c r="R1581" i="5"/>
  <c r="F1523" i="5"/>
  <c r="R1523" i="5"/>
  <c r="Q1523" i="5" s="1"/>
  <c r="K1523" i="5"/>
  <c r="J1523" i="5"/>
  <c r="F1614" i="5"/>
  <c r="R1614" i="5"/>
  <c r="K1614" i="5"/>
  <c r="J1614" i="5"/>
  <c r="F1556" i="5"/>
  <c r="R1556" i="5"/>
  <c r="F1499" i="5"/>
  <c r="R1499" i="5"/>
  <c r="K1499" i="5"/>
  <c r="J1499" i="5"/>
  <c r="F1589" i="5"/>
  <c r="R1589" i="5"/>
  <c r="K1589" i="5"/>
  <c r="J1589" i="5"/>
  <c r="F1531" i="5"/>
  <c r="R1531" i="5"/>
  <c r="P1531" i="5" s="1"/>
  <c r="K1531" i="5"/>
  <c r="J1531" i="5"/>
  <c r="F1622" i="5"/>
  <c r="R1622" i="5"/>
  <c r="K1622" i="5"/>
  <c r="J1622" i="5"/>
  <c r="F1564" i="5"/>
  <c r="R1564" i="5"/>
  <c r="J1564" i="5"/>
  <c r="R1506" i="5"/>
  <c r="F1506" i="5"/>
  <c r="K1506" i="5"/>
  <c r="J1506" i="5"/>
  <c r="F1597" i="5"/>
  <c r="R1597" i="5"/>
  <c r="K1597" i="5"/>
  <c r="J1597" i="5"/>
  <c r="F1539" i="5"/>
  <c r="R1539" i="5"/>
  <c r="Q1539" i="5" s="1"/>
  <c r="K1539" i="5"/>
  <c r="J1539" i="5"/>
  <c r="F1630" i="5"/>
  <c r="R1630" i="5"/>
  <c r="K1630" i="5"/>
  <c r="J1630" i="5"/>
  <c r="F1683" i="5"/>
  <c r="R1683" i="5"/>
  <c r="K1683" i="5"/>
  <c r="J1683" i="5"/>
  <c r="F1634" i="5"/>
  <c r="R1634" i="5"/>
  <c r="F1716" i="5"/>
  <c r="R1716" i="5"/>
  <c r="K1716" i="5"/>
  <c r="J1716" i="5"/>
  <c r="F1658" i="5"/>
  <c r="R1658" i="5"/>
  <c r="K1658" i="5"/>
  <c r="J1658" i="5"/>
  <c r="F1749" i="5"/>
  <c r="R1749" i="5"/>
  <c r="K1749" i="5"/>
  <c r="J1749" i="5"/>
  <c r="F1691" i="5"/>
  <c r="R1691" i="5"/>
  <c r="K1691" i="5"/>
  <c r="J1691" i="5"/>
  <c r="F1724" i="5"/>
  <c r="R1724" i="5"/>
  <c r="K1724" i="5"/>
  <c r="J1724" i="5"/>
  <c r="F1666" i="5"/>
  <c r="R1666" i="5"/>
  <c r="K1666" i="5"/>
  <c r="J1666" i="5"/>
  <c r="F1757" i="5"/>
  <c r="R1757" i="5"/>
  <c r="K1757" i="5"/>
  <c r="J1757" i="5"/>
  <c r="F1699" i="5"/>
  <c r="R1699" i="5"/>
  <c r="K1699" i="5"/>
  <c r="J1699" i="5"/>
  <c r="F1732" i="5"/>
  <c r="R1732" i="5"/>
  <c r="K1732" i="5"/>
  <c r="J1732" i="5"/>
  <c r="F1674" i="5"/>
  <c r="K1674" i="5"/>
  <c r="J1674" i="5"/>
  <c r="R1674" i="5"/>
  <c r="F1765" i="5"/>
  <c r="R1765" i="5"/>
  <c r="K1765" i="5"/>
  <c r="J1765" i="5"/>
  <c r="F1707" i="5"/>
  <c r="R1707" i="5"/>
  <c r="K1707" i="5"/>
  <c r="J1707" i="5"/>
  <c r="F1649" i="5"/>
  <c r="R1649" i="5"/>
  <c r="F1740" i="5"/>
  <c r="R1740" i="5"/>
  <c r="K1740" i="5"/>
  <c r="J1740" i="5"/>
  <c r="F1682" i="5"/>
  <c r="R1682" i="5"/>
  <c r="K1682" i="5"/>
  <c r="J1682" i="5"/>
  <c r="F1883" i="5"/>
  <c r="R1883" i="5"/>
  <c r="F1825" i="5"/>
  <c r="R1825" i="5"/>
  <c r="K1825" i="5"/>
  <c r="J1825" i="5"/>
  <c r="F1777" i="5"/>
  <c r="R1777" i="5"/>
  <c r="K1777" i="5"/>
  <c r="J1777" i="5"/>
  <c r="F1858" i="5"/>
  <c r="R1858" i="5"/>
  <c r="K1858" i="5"/>
  <c r="J1858" i="5"/>
  <c r="F1801" i="5"/>
  <c r="R1801" i="5"/>
  <c r="K1801" i="5"/>
  <c r="J1801" i="5"/>
  <c r="F1891" i="5"/>
  <c r="R1891" i="5"/>
  <c r="K1891" i="5"/>
  <c r="J1891" i="5"/>
  <c r="F1833" i="5"/>
  <c r="R1833" i="5"/>
  <c r="K1833" i="5"/>
  <c r="J1833" i="5"/>
  <c r="F1782" i="5"/>
  <c r="R1782" i="5"/>
  <c r="K1782" i="5"/>
  <c r="J1782" i="5"/>
  <c r="F1866" i="5"/>
  <c r="R1866" i="5"/>
  <c r="J1866" i="5"/>
  <c r="K1866" i="5"/>
  <c r="F1808" i="5"/>
  <c r="R1808" i="5"/>
  <c r="K1808" i="5"/>
  <c r="J1808" i="5"/>
  <c r="F1899" i="5"/>
  <c r="R1899" i="5"/>
  <c r="K1899" i="5"/>
  <c r="J1899" i="5"/>
  <c r="F1841" i="5"/>
  <c r="R1841" i="5"/>
  <c r="K1841" i="5"/>
  <c r="J1841" i="5"/>
  <c r="F1788" i="5"/>
  <c r="R1788" i="5"/>
  <c r="Q1788" i="5" s="1"/>
  <c r="K1788" i="5"/>
  <c r="J1788" i="5"/>
  <c r="F1874" i="5"/>
  <c r="R1874" i="5"/>
  <c r="K1874" i="5"/>
  <c r="J1874" i="5"/>
  <c r="F1816" i="5"/>
  <c r="R1816" i="5"/>
  <c r="K1816" i="5"/>
  <c r="J1816" i="5"/>
  <c r="F1365" i="5"/>
  <c r="R1365" i="5"/>
  <c r="F1849" i="5"/>
  <c r="R1849" i="5"/>
  <c r="K1849" i="5"/>
  <c r="J1849" i="5"/>
  <c r="F1882" i="5"/>
  <c r="R1882" i="5"/>
  <c r="K1882" i="5"/>
  <c r="J1882" i="5"/>
  <c r="F1917" i="5"/>
  <c r="R1917" i="5"/>
  <c r="F1925" i="5"/>
  <c r="R1925" i="5"/>
  <c r="K1925" i="5"/>
  <c r="J1925" i="5"/>
  <c r="F1933" i="5"/>
  <c r="R1933" i="5"/>
  <c r="K1933" i="5"/>
  <c r="J1933" i="5"/>
  <c r="J2000" i="5"/>
  <c r="R2000" i="5"/>
  <c r="Q2000" i="5" s="1"/>
  <c r="F2000" i="5"/>
  <c r="K2000" i="5"/>
  <c r="R1944" i="5"/>
  <c r="Q1944" i="5" s="1"/>
  <c r="F1944" i="5"/>
  <c r="K1944" i="5"/>
  <c r="J1944" i="5"/>
  <c r="J2032" i="5"/>
  <c r="R2032" i="5"/>
  <c r="Q2032" i="5" s="1"/>
  <c r="K2032" i="5"/>
  <c r="F2032" i="5"/>
  <c r="F1975" i="5"/>
  <c r="R1975" i="5"/>
  <c r="K1975" i="5"/>
  <c r="J1975" i="5"/>
  <c r="R2008" i="5"/>
  <c r="P2008" i="5" s="1"/>
  <c r="F2008" i="5"/>
  <c r="J2008" i="5"/>
  <c r="K2008" i="5"/>
  <c r="F1952" i="5"/>
  <c r="R1952" i="5"/>
  <c r="Q1952" i="5" s="1"/>
  <c r="K1952" i="5"/>
  <c r="J1952" i="5"/>
  <c r="R2039" i="5"/>
  <c r="Q2039" i="5" s="1"/>
  <c r="F2039" i="5"/>
  <c r="K2039" i="5"/>
  <c r="J2039" i="5"/>
  <c r="F1983" i="5"/>
  <c r="R1983" i="5"/>
  <c r="K1983" i="5"/>
  <c r="J1983" i="5"/>
  <c r="F2015" i="5"/>
  <c r="K2015" i="5"/>
  <c r="R2015" i="5"/>
  <c r="Q2015" i="5" s="1"/>
  <c r="J2015" i="5"/>
  <c r="F1958" i="5"/>
  <c r="R1958" i="5"/>
  <c r="Q1958" i="5" s="1"/>
  <c r="K1958" i="5"/>
  <c r="J1958" i="5"/>
  <c r="R2047" i="5"/>
  <c r="Q2047" i="5" s="1"/>
  <c r="F2047" i="5"/>
  <c r="K2047" i="5"/>
  <c r="J2047" i="5"/>
  <c r="F1991" i="5"/>
  <c r="R1991" i="5"/>
  <c r="K1991" i="5"/>
  <c r="J1991" i="5"/>
  <c r="K2023" i="5"/>
  <c r="R2023" i="5"/>
  <c r="Q2023" i="5" s="1"/>
  <c r="J2023" i="5"/>
  <c r="F2023" i="5"/>
  <c r="P2023" i="5"/>
  <c r="F1966" i="5"/>
  <c r="R1966" i="5"/>
  <c r="Q1966" i="5" s="1"/>
  <c r="K1966" i="5"/>
  <c r="J1966" i="5"/>
  <c r="R2055" i="5"/>
  <c r="Q2055" i="5" s="1"/>
  <c r="F2055" i="5"/>
  <c r="J2055" i="5"/>
  <c r="K2055" i="5"/>
  <c r="F2081" i="5"/>
  <c r="R2081" i="5"/>
  <c r="K2081" i="5"/>
  <c r="J2081" i="5"/>
  <c r="F2114" i="5"/>
  <c r="R2114" i="5"/>
  <c r="Q2114" i="5" s="1"/>
  <c r="K2114" i="5"/>
  <c r="J2114" i="5"/>
  <c r="F2060" i="5"/>
  <c r="R2060" i="5"/>
  <c r="J2060" i="5"/>
  <c r="K2060" i="5"/>
  <c r="F2147" i="5"/>
  <c r="R2147" i="5"/>
  <c r="K2147" i="5"/>
  <c r="J2147" i="5"/>
  <c r="F2089" i="5"/>
  <c r="R2089" i="5"/>
  <c r="P2089" i="5" s="1"/>
  <c r="K2089" i="5"/>
  <c r="J2089" i="5"/>
  <c r="F2122" i="5"/>
  <c r="R2122" i="5"/>
  <c r="P2122" i="5" s="1"/>
  <c r="K2122" i="5"/>
  <c r="J2122" i="5"/>
  <c r="F2153" i="5"/>
  <c r="R2153" i="5"/>
  <c r="K2153" i="5"/>
  <c r="J2153" i="5"/>
  <c r="F2097" i="5"/>
  <c r="R2097" i="5"/>
  <c r="Q2097" i="5" s="1"/>
  <c r="J2097" i="5"/>
  <c r="K2097" i="5"/>
  <c r="R2130" i="5"/>
  <c r="Q2130" i="5" s="1"/>
  <c r="F2130" i="5"/>
  <c r="K2130" i="5"/>
  <c r="J2130" i="5"/>
  <c r="F2073" i="5"/>
  <c r="R2073" i="5"/>
  <c r="K2073" i="5"/>
  <c r="J2073" i="5"/>
  <c r="F2161" i="5"/>
  <c r="R2161" i="5"/>
  <c r="J2161" i="5"/>
  <c r="R2105" i="5"/>
  <c r="Q2105" i="5" s="1"/>
  <c r="F2105" i="5"/>
  <c r="K2105" i="5"/>
  <c r="J2105" i="5"/>
  <c r="R2138" i="5"/>
  <c r="Q2138" i="5" s="1"/>
  <c r="F2138" i="5"/>
  <c r="K2138" i="5"/>
  <c r="J2138" i="5"/>
  <c r="F2080" i="5"/>
  <c r="R2080" i="5"/>
  <c r="K2080" i="5"/>
  <c r="J2080" i="5"/>
  <c r="J2160" i="5"/>
  <c r="J2128" i="5"/>
  <c r="J1992" i="5"/>
  <c r="J1965" i="5"/>
  <c r="J1937" i="5"/>
  <c r="J1883" i="5"/>
  <c r="J1823" i="5"/>
  <c r="J1819" i="5"/>
  <c r="J1753" i="5"/>
  <c r="J1727" i="5"/>
  <c r="K1693" i="5"/>
  <c r="J1675" i="5"/>
  <c r="J1616" i="5"/>
  <c r="K1582" i="5"/>
  <c r="J1542" i="5"/>
  <c r="K1497" i="5"/>
  <c r="K1483" i="5"/>
  <c r="K1416" i="5"/>
  <c r="K2161" i="5"/>
  <c r="F1307" i="5"/>
  <c r="R1307" i="5"/>
  <c r="K1307" i="5"/>
  <c r="J1307" i="5"/>
  <c r="F1238" i="5"/>
  <c r="R1238" i="5"/>
  <c r="F1342" i="5"/>
  <c r="R1342" i="5"/>
  <c r="K1342" i="5"/>
  <c r="J1342" i="5"/>
  <c r="F1282" i="5"/>
  <c r="R1282" i="5"/>
  <c r="K1282" i="5"/>
  <c r="J1282" i="5"/>
  <c r="F1315" i="5"/>
  <c r="R1315" i="5"/>
  <c r="K1315" i="5"/>
  <c r="J1315" i="5"/>
  <c r="F1251" i="5"/>
  <c r="R1251" i="5"/>
  <c r="F1353" i="5"/>
  <c r="R1353" i="5"/>
  <c r="F1290" i="5"/>
  <c r="R1290" i="5"/>
  <c r="K1290" i="5"/>
  <c r="J1290" i="5"/>
  <c r="F1325" i="5"/>
  <c r="R1325" i="5"/>
  <c r="F1264" i="5"/>
  <c r="R1264" i="5"/>
  <c r="F1361" i="5"/>
  <c r="R1361" i="5"/>
  <c r="F1298" i="5"/>
  <c r="R1298" i="5"/>
  <c r="J1298" i="5"/>
  <c r="K1298" i="5"/>
  <c r="F1333" i="5"/>
  <c r="R1333" i="5"/>
  <c r="K1333" i="5"/>
  <c r="J1333" i="5"/>
  <c r="F1273" i="5"/>
  <c r="R1273" i="5"/>
  <c r="F1370" i="5"/>
  <c r="R1370" i="5"/>
  <c r="K1370" i="5"/>
  <c r="J1370" i="5"/>
  <c r="F1399" i="5"/>
  <c r="K1399" i="5"/>
  <c r="R1399" i="5"/>
  <c r="J1399" i="5"/>
  <c r="F1432" i="5"/>
  <c r="R1432" i="5"/>
  <c r="K1432" i="5"/>
  <c r="J1432" i="5"/>
  <c r="R1241" i="5"/>
  <c r="Q1241" i="5" s="1"/>
  <c r="F1464" i="5"/>
  <c r="R1464" i="5"/>
  <c r="K1464" i="5"/>
  <c r="J1464" i="5"/>
  <c r="F1407" i="5"/>
  <c r="K1407" i="5"/>
  <c r="J1407" i="5"/>
  <c r="R1407" i="5"/>
  <c r="F1319" i="5"/>
  <c r="R1319" i="5"/>
  <c r="F1383" i="5"/>
  <c r="J1383" i="5"/>
  <c r="K1383" i="5"/>
  <c r="R1383" i="5"/>
  <c r="Q1383" i="5" s="1"/>
  <c r="P1383" i="5"/>
  <c r="F1472" i="5"/>
  <c r="R1472" i="5"/>
  <c r="K1472" i="5"/>
  <c r="J1472" i="5"/>
  <c r="F1415" i="5"/>
  <c r="K1415" i="5"/>
  <c r="J1415" i="5"/>
  <c r="R1415" i="5"/>
  <c r="F1447" i="5"/>
  <c r="R1447" i="5"/>
  <c r="K1447" i="5"/>
  <c r="J1447" i="5"/>
  <c r="F1390" i="5"/>
  <c r="K1390" i="5"/>
  <c r="J1390" i="5"/>
  <c r="R1390" i="5"/>
  <c r="Q1390" i="5" s="1"/>
  <c r="F1480" i="5"/>
  <c r="R1480" i="5"/>
  <c r="K1480" i="5"/>
  <c r="J1480" i="5"/>
  <c r="F1423" i="5"/>
  <c r="R1423" i="5"/>
  <c r="K1423" i="5"/>
  <c r="J1423" i="5"/>
  <c r="F1455" i="5"/>
  <c r="R1455" i="5"/>
  <c r="K1455" i="5"/>
  <c r="J1455" i="5"/>
  <c r="F1512" i="5"/>
  <c r="R1512" i="5"/>
  <c r="K1512" i="5"/>
  <c r="J1512" i="5"/>
  <c r="F1603" i="5"/>
  <c r="R1603" i="5"/>
  <c r="K1603" i="5"/>
  <c r="J1603" i="5"/>
  <c r="F1545" i="5"/>
  <c r="R1545" i="5"/>
  <c r="K1545" i="5"/>
  <c r="J1545" i="5"/>
  <c r="F1492" i="5"/>
  <c r="R1492" i="5"/>
  <c r="K1492" i="5"/>
  <c r="J1492" i="5"/>
  <c r="F1578" i="5"/>
  <c r="R1578" i="5"/>
  <c r="K1578" i="5"/>
  <c r="J1578" i="5"/>
  <c r="F1520" i="5"/>
  <c r="R1520" i="5"/>
  <c r="K1520" i="5"/>
  <c r="J1520" i="5"/>
  <c r="F1611" i="5"/>
  <c r="R1611" i="5"/>
  <c r="K1611" i="5"/>
  <c r="J1611" i="5"/>
  <c r="F1553" i="5"/>
  <c r="R1553" i="5"/>
  <c r="K1553" i="5"/>
  <c r="J1553" i="5"/>
  <c r="F1496" i="5"/>
  <c r="R1496" i="5"/>
  <c r="K1496" i="5"/>
  <c r="J1496" i="5"/>
  <c r="F1586" i="5"/>
  <c r="R1586" i="5"/>
  <c r="K1586" i="5"/>
  <c r="J1586" i="5"/>
  <c r="F1528" i="5"/>
  <c r="R1528" i="5"/>
  <c r="K1528" i="5"/>
  <c r="J1528" i="5"/>
  <c r="F1619" i="5"/>
  <c r="R1619" i="5"/>
  <c r="J1619" i="5"/>
  <c r="K1619" i="5"/>
  <c r="F1561" i="5"/>
  <c r="R1561" i="5"/>
  <c r="K1561" i="5"/>
  <c r="J1561" i="5"/>
  <c r="F1594" i="5"/>
  <c r="R1594" i="5"/>
  <c r="K1594" i="5"/>
  <c r="J1594" i="5"/>
  <c r="F1536" i="5"/>
  <c r="R1536" i="5"/>
  <c r="K1536" i="5"/>
  <c r="J1536" i="5"/>
  <c r="F1627" i="5"/>
  <c r="R1627" i="5"/>
  <c r="K1627" i="5"/>
  <c r="J1627" i="5"/>
  <c r="F1569" i="5"/>
  <c r="R1569" i="5"/>
  <c r="K1569" i="5"/>
  <c r="J1569" i="5"/>
  <c r="F1511" i="5"/>
  <c r="R1511" i="5"/>
  <c r="K1511" i="5"/>
  <c r="J1511" i="5"/>
  <c r="F1713" i="5"/>
  <c r="R1713" i="5"/>
  <c r="F1655" i="5"/>
  <c r="R1655" i="5"/>
  <c r="K1655" i="5"/>
  <c r="J1655" i="5"/>
  <c r="R1746" i="5"/>
  <c r="P1746" i="5" s="1"/>
  <c r="F1746" i="5"/>
  <c r="K1746" i="5"/>
  <c r="J1746" i="5"/>
  <c r="F1688" i="5"/>
  <c r="R1688" i="5"/>
  <c r="K1688" i="5"/>
  <c r="J1688" i="5"/>
  <c r="F1637" i="5"/>
  <c r="R1637" i="5"/>
  <c r="K1637" i="5"/>
  <c r="J1637" i="5"/>
  <c r="F1721" i="5"/>
  <c r="R1721" i="5"/>
  <c r="K1721" i="5"/>
  <c r="J1721" i="5"/>
  <c r="F1663" i="5"/>
  <c r="R1663" i="5"/>
  <c r="K1663" i="5"/>
  <c r="J1663" i="5"/>
  <c r="R1754" i="5"/>
  <c r="P1754" i="5" s="1"/>
  <c r="F1754" i="5"/>
  <c r="K1754" i="5"/>
  <c r="J1754" i="5"/>
  <c r="F1696" i="5"/>
  <c r="R1696" i="5"/>
  <c r="J1696" i="5"/>
  <c r="K1696" i="5"/>
  <c r="F1641" i="5"/>
  <c r="R1641" i="5"/>
  <c r="K1641" i="5"/>
  <c r="J1641" i="5"/>
  <c r="R1729" i="5"/>
  <c r="F1729" i="5"/>
  <c r="K1729" i="5"/>
  <c r="J1729" i="5"/>
  <c r="F1671" i="5"/>
  <c r="R1671" i="5"/>
  <c r="K1671" i="5"/>
  <c r="J1671" i="5"/>
  <c r="R1762" i="5"/>
  <c r="Q1762" i="5" s="1"/>
  <c r="F1762" i="5"/>
  <c r="K1762" i="5"/>
  <c r="J1762" i="5"/>
  <c r="F1704" i="5"/>
  <c r="R1704" i="5"/>
  <c r="K1704" i="5"/>
  <c r="J1704" i="5"/>
  <c r="F1646" i="5"/>
  <c r="R1646" i="5"/>
  <c r="K1646" i="5"/>
  <c r="J1646" i="5"/>
  <c r="F1737" i="5"/>
  <c r="R1737" i="5"/>
  <c r="K1737" i="5"/>
  <c r="J1737" i="5"/>
  <c r="F1679" i="5"/>
  <c r="R1679" i="5"/>
  <c r="K1679" i="5"/>
  <c r="J1679" i="5"/>
  <c r="R1770" i="5"/>
  <c r="Q1770" i="5" s="1"/>
  <c r="F1770" i="5"/>
  <c r="K1770" i="5"/>
  <c r="J1770" i="5"/>
  <c r="F1712" i="5"/>
  <c r="R1712" i="5"/>
  <c r="K1712" i="5"/>
  <c r="J1712" i="5"/>
  <c r="F1774" i="5"/>
  <c r="R1774" i="5"/>
  <c r="K1774" i="5"/>
  <c r="J1774" i="5"/>
  <c r="F1855" i="5"/>
  <c r="R1855" i="5"/>
  <c r="F1798" i="5"/>
  <c r="R1798" i="5"/>
  <c r="K1798" i="5"/>
  <c r="J1798" i="5"/>
  <c r="F1888" i="5"/>
  <c r="R1888" i="5"/>
  <c r="K1888" i="5"/>
  <c r="J1888" i="5"/>
  <c r="F1830" i="5"/>
  <c r="R1830" i="5"/>
  <c r="Q1830" i="5" s="1"/>
  <c r="K1830" i="5"/>
  <c r="J1830" i="5"/>
  <c r="F1780" i="5"/>
  <c r="R1780" i="5"/>
  <c r="J1780" i="5"/>
  <c r="K1780" i="5"/>
  <c r="F1863" i="5"/>
  <c r="R1863" i="5"/>
  <c r="F1805" i="5"/>
  <c r="R1805" i="5"/>
  <c r="K1805" i="5"/>
  <c r="J1805" i="5"/>
  <c r="F1896" i="5"/>
  <c r="R1896" i="5"/>
  <c r="K1896" i="5"/>
  <c r="J1896" i="5"/>
  <c r="R1838" i="5"/>
  <c r="P1838" i="5" s="1"/>
  <c r="F1838" i="5"/>
  <c r="K1838" i="5"/>
  <c r="J1838" i="5"/>
  <c r="F1786" i="5"/>
  <c r="R1786" i="5"/>
  <c r="K1786" i="5"/>
  <c r="J1786" i="5"/>
  <c r="F1871" i="5"/>
  <c r="R1871" i="5"/>
  <c r="R1813" i="5"/>
  <c r="F1813" i="5"/>
  <c r="K1813" i="5"/>
  <c r="J1813" i="5"/>
  <c r="F1904" i="5"/>
  <c r="R1904" i="5"/>
  <c r="K1904" i="5"/>
  <c r="J1904" i="5"/>
  <c r="R1846" i="5"/>
  <c r="P1846" i="5" s="1"/>
  <c r="F1846" i="5"/>
  <c r="K1846" i="5"/>
  <c r="J1846" i="5"/>
  <c r="F1791" i="5"/>
  <c r="R1791" i="5"/>
  <c r="K1791" i="5"/>
  <c r="J1791" i="5"/>
  <c r="F1879" i="5"/>
  <c r="R1879" i="5"/>
  <c r="R1821" i="5"/>
  <c r="F1821" i="5"/>
  <c r="K1821" i="5"/>
  <c r="J1821" i="5"/>
  <c r="F1371" i="5"/>
  <c r="R1371" i="5"/>
  <c r="F1918" i="5"/>
  <c r="R1918" i="5"/>
  <c r="F1926" i="5"/>
  <c r="R1926" i="5"/>
  <c r="K1926" i="5"/>
  <c r="J1926" i="5"/>
  <c r="F1934" i="5"/>
  <c r="R1934" i="5"/>
  <c r="F1941" i="5"/>
  <c r="R1941" i="5"/>
  <c r="K1941" i="5"/>
  <c r="J1941" i="5"/>
  <c r="R2029" i="5"/>
  <c r="Q2029" i="5" s="1"/>
  <c r="J2029" i="5"/>
  <c r="K2029" i="5"/>
  <c r="F2029" i="5"/>
  <c r="F1972" i="5"/>
  <c r="R1972" i="5"/>
  <c r="K1972" i="5"/>
  <c r="J1972" i="5"/>
  <c r="K2005" i="5"/>
  <c r="J2005" i="5"/>
  <c r="R2005" i="5"/>
  <c r="Q2005" i="5" s="1"/>
  <c r="F2005" i="5"/>
  <c r="P2005" i="5"/>
  <c r="F1949" i="5"/>
  <c r="R1949" i="5"/>
  <c r="K1949" i="5"/>
  <c r="J1949" i="5"/>
  <c r="R2037" i="5"/>
  <c r="Q2037" i="5" s="1"/>
  <c r="F2037" i="5"/>
  <c r="J2037" i="5"/>
  <c r="K2037" i="5"/>
  <c r="F1980" i="5"/>
  <c r="R1980" i="5"/>
  <c r="Q1980" i="5" s="1"/>
  <c r="K1980" i="5"/>
  <c r="J1980" i="5"/>
  <c r="J2012" i="5"/>
  <c r="K2012" i="5"/>
  <c r="F2012" i="5"/>
  <c r="R2012" i="5"/>
  <c r="Q2012" i="5" s="1"/>
  <c r="P2012" i="5"/>
  <c r="F1955" i="5"/>
  <c r="R1955" i="5"/>
  <c r="K1955" i="5"/>
  <c r="J1955" i="5"/>
  <c r="F2044" i="5"/>
  <c r="R2044" i="5"/>
  <c r="F1988" i="5"/>
  <c r="R1988" i="5"/>
  <c r="J1988" i="5"/>
  <c r="K1988" i="5"/>
  <c r="K2020" i="5"/>
  <c r="J2020" i="5"/>
  <c r="R2020" i="5"/>
  <c r="Q2020" i="5" s="1"/>
  <c r="F2020" i="5"/>
  <c r="F1963" i="5"/>
  <c r="R1963" i="5"/>
  <c r="K1963" i="5"/>
  <c r="J1963" i="5"/>
  <c r="F2052" i="5"/>
  <c r="R2052" i="5"/>
  <c r="F1996" i="5"/>
  <c r="R1996" i="5"/>
  <c r="K1996" i="5"/>
  <c r="J1996" i="5"/>
  <c r="F2111" i="5"/>
  <c r="R2111" i="5"/>
  <c r="K2111" i="5"/>
  <c r="J2111" i="5"/>
  <c r="F2144" i="5"/>
  <c r="R2144" i="5"/>
  <c r="K2144" i="5"/>
  <c r="J2144" i="5"/>
  <c r="F2086" i="5"/>
  <c r="R2086" i="5"/>
  <c r="F2119" i="5"/>
  <c r="R2119" i="5"/>
  <c r="K2119" i="5"/>
  <c r="J2119" i="5"/>
  <c r="F2064" i="5"/>
  <c r="R2064" i="5"/>
  <c r="K2064" i="5"/>
  <c r="J2064" i="5"/>
  <c r="F2150" i="5"/>
  <c r="R2150" i="5"/>
  <c r="K2150" i="5"/>
  <c r="J2150" i="5"/>
  <c r="F2094" i="5"/>
  <c r="R2094" i="5"/>
  <c r="F2127" i="5"/>
  <c r="R2127" i="5"/>
  <c r="K2127" i="5"/>
  <c r="J2127" i="5"/>
  <c r="F2070" i="5"/>
  <c r="R2070" i="5"/>
  <c r="K2070" i="5"/>
  <c r="J2070" i="5"/>
  <c r="F2158" i="5"/>
  <c r="R2158" i="5"/>
  <c r="K2158" i="5"/>
  <c r="J2158" i="5"/>
  <c r="F2102" i="5"/>
  <c r="R2102" i="5"/>
  <c r="F2135" i="5"/>
  <c r="R2135" i="5"/>
  <c r="K2135" i="5"/>
  <c r="J2135" i="5"/>
  <c r="F1271" i="5"/>
  <c r="R1271" i="5"/>
  <c r="F2166" i="5"/>
  <c r="R2166" i="5"/>
  <c r="K2166" i="5"/>
  <c r="J2166" i="5"/>
  <c r="F2110" i="5"/>
  <c r="R2110" i="5"/>
  <c r="Q2110" i="5" s="1"/>
  <c r="K2160" i="5"/>
  <c r="K2128" i="5"/>
  <c r="K2102" i="5"/>
  <c r="K2044" i="5"/>
  <c r="K1992" i="5"/>
  <c r="K1965" i="5"/>
  <c r="K1937" i="5"/>
  <c r="K1883" i="5"/>
  <c r="K1879" i="5"/>
  <c r="K1823" i="5"/>
  <c r="K1819" i="5"/>
  <c r="K1753" i="5"/>
  <c r="K1727" i="5"/>
  <c r="J1701" i="5"/>
  <c r="J1653" i="5"/>
  <c r="K1616" i="5"/>
  <c r="J1590" i="5"/>
  <c r="K1542" i="5"/>
  <c r="K1504" i="5"/>
  <c r="J1441" i="5"/>
  <c r="J1424" i="5"/>
  <c r="K2129" i="5"/>
  <c r="R837" i="5"/>
  <c r="K837" i="5" s="1"/>
  <c r="F837" i="5"/>
  <c r="R833" i="5"/>
  <c r="K833" i="5" s="1"/>
  <c r="F833" i="5"/>
  <c r="J833" i="5"/>
  <c r="R709" i="5"/>
  <c r="Q709" i="5" s="1"/>
  <c r="K709" i="5"/>
  <c r="J709" i="5"/>
  <c r="F709" i="5"/>
  <c r="F832" i="5"/>
  <c r="R832" i="5"/>
  <c r="K832" i="5" s="1"/>
  <c r="Q832" i="5"/>
  <c r="F389" i="5"/>
  <c r="K389" i="5"/>
  <c r="R389" i="5"/>
  <c r="Q389" i="5" s="1"/>
  <c r="J389" i="5"/>
  <c r="F831" i="5"/>
  <c r="R831" i="5"/>
  <c r="Q831" i="5" s="1"/>
  <c r="F836" i="5"/>
  <c r="R836" i="5"/>
  <c r="Q836" i="5" s="1"/>
  <c r="R828" i="5"/>
  <c r="Q828" i="5" s="1"/>
  <c r="F828" i="5"/>
  <c r="J712" i="5"/>
  <c r="R712" i="5"/>
  <c r="Q712" i="5" s="1"/>
  <c r="F712" i="5"/>
  <c r="K712" i="5"/>
  <c r="F829" i="5"/>
  <c r="R829" i="5"/>
  <c r="Q829" i="5" s="1"/>
  <c r="J829" i="5"/>
  <c r="K829" i="5"/>
  <c r="R835" i="5"/>
  <c r="Q835" i="5" s="1"/>
  <c r="F835" i="5"/>
  <c r="K385" i="5"/>
  <c r="F385" i="5"/>
  <c r="J385" i="5"/>
  <c r="R385" i="5"/>
  <c r="Q385" i="5" s="1"/>
  <c r="F834" i="5"/>
  <c r="R834" i="5"/>
  <c r="J834" i="5" s="1"/>
  <c r="F797" i="5"/>
  <c r="F748" i="5"/>
  <c r="F794" i="5"/>
  <c r="F784" i="5"/>
  <c r="F775" i="5"/>
  <c r="F821" i="5"/>
  <c r="F813" i="5"/>
  <c r="F800" i="5"/>
  <c r="F830" i="5"/>
  <c r="F881" i="5"/>
  <c r="F873" i="5"/>
  <c r="F864" i="5"/>
  <c r="F855" i="5"/>
  <c r="F904" i="5"/>
  <c r="F895" i="5"/>
  <c r="F886" i="5"/>
  <c r="F937" i="5"/>
  <c r="F927" i="5"/>
  <c r="F918" i="5"/>
  <c r="F969" i="5"/>
  <c r="F960" i="5"/>
  <c r="F951" i="5"/>
  <c r="F994" i="5"/>
  <c r="F984" i="5"/>
  <c r="F976" i="5"/>
  <c r="F1027" i="5"/>
  <c r="F1018" i="5"/>
  <c r="F1009" i="5"/>
  <c r="F1000" i="5"/>
  <c r="F1052" i="5"/>
  <c r="F1042" i="5"/>
  <c r="F1032" i="5"/>
  <c r="F1065" i="5"/>
  <c r="F1073" i="5"/>
  <c r="F1081" i="5"/>
  <c r="F793" i="5"/>
  <c r="F785" i="5"/>
  <c r="F777" i="5"/>
  <c r="F936" i="5"/>
  <c r="F928" i="5"/>
  <c r="F920" i="5"/>
  <c r="F942" i="5"/>
  <c r="F1051" i="5"/>
  <c r="F1043" i="5"/>
  <c r="F1035" i="5"/>
  <c r="Q2142" i="5"/>
  <c r="P2142" i="5"/>
  <c r="Q2082" i="5"/>
  <c r="P2082" i="5"/>
  <c r="Q1096" i="5"/>
  <c r="P1096" i="5"/>
  <c r="Q1140" i="5"/>
  <c r="P1140" i="5"/>
  <c r="N1140" i="5" s="1"/>
  <c r="Q1885" i="5"/>
  <c r="P1885" i="5"/>
  <c r="Q1825" i="5"/>
  <c r="P1825" i="5"/>
  <c r="Q1775" i="5"/>
  <c r="P1775" i="5"/>
  <c r="Q1715" i="5"/>
  <c r="P1715" i="5"/>
  <c r="Q1655" i="5"/>
  <c r="P1655" i="5"/>
  <c r="Q1604" i="5"/>
  <c r="P1604" i="5"/>
  <c r="Q1544" i="5"/>
  <c r="P1544" i="5"/>
  <c r="Q1489" i="5"/>
  <c r="P1489" i="5"/>
  <c r="Q1430" i="5"/>
  <c r="P1430" i="5"/>
  <c r="Q1106" i="5"/>
  <c r="P1106" i="5"/>
  <c r="N1106" i="5" s="1"/>
  <c r="Q1291" i="5"/>
  <c r="P1291" i="5"/>
  <c r="Q1707" i="5"/>
  <c r="P1707" i="5"/>
  <c r="P1473" i="5"/>
  <c r="Q1473" i="5"/>
  <c r="Q2117" i="5"/>
  <c r="P2117" i="5"/>
  <c r="Q2061" i="5"/>
  <c r="P2061" i="5"/>
  <c r="Q2041" i="5"/>
  <c r="P2041" i="5"/>
  <c r="Q1962" i="5"/>
  <c r="P1962" i="5"/>
  <c r="P1886" i="5"/>
  <c r="Q1886" i="5"/>
  <c r="P1834" i="5"/>
  <c r="Q1834" i="5"/>
  <c r="Q1184" i="5"/>
  <c r="P1184" i="5"/>
  <c r="N1184" i="5" s="1"/>
  <c r="Q1740" i="5"/>
  <c r="P1740" i="5"/>
  <c r="Q1637" i="5"/>
  <c r="P1637" i="5"/>
  <c r="Q1587" i="5"/>
  <c r="P1587" i="5"/>
  <c r="Q1535" i="5"/>
  <c r="P1535" i="5"/>
  <c r="Q1431" i="5"/>
  <c r="P1431" i="5"/>
  <c r="K1155" i="5"/>
  <c r="Q1155" i="5"/>
  <c r="P1155" i="5"/>
  <c r="Q1699" i="5"/>
  <c r="P1699" i="5"/>
  <c r="Q1447" i="5"/>
  <c r="P1447" i="5"/>
  <c r="Q2144" i="5"/>
  <c r="P2144" i="5"/>
  <c r="Q2092" i="5"/>
  <c r="P2092" i="5"/>
  <c r="P1186" i="5"/>
  <c r="Q1186" i="5"/>
  <c r="Q1949" i="5"/>
  <c r="P1949" i="5"/>
  <c r="Q1927" i="5"/>
  <c r="P1927" i="5"/>
  <c r="P1835" i="5"/>
  <c r="Q1835" i="5"/>
  <c r="Q1168" i="5"/>
  <c r="P1168" i="5"/>
  <c r="K1177" i="5"/>
  <c r="Q1177" i="5"/>
  <c r="P1177" i="5"/>
  <c r="P2085" i="5"/>
  <c r="Q2085" i="5"/>
  <c r="K1153" i="5"/>
  <c r="Q1153" i="5"/>
  <c r="P1153" i="5"/>
  <c r="Q1969" i="5"/>
  <c r="P1969" i="5"/>
  <c r="Q1229" i="5"/>
  <c r="P1229" i="5"/>
  <c r="Q1371" i="5"/>
  <c r="P1371" i="5"/>
  <c r="Q1852" i="5"/>
  <c r="P1852" i="5"/>
  <c r="P1793" i="5"/>
  <c r="Q1793" i="5"/>
  <c r="P1742" i="5"/>
  <c r="Q1742" i="5"/>
  <c r="P1682" i="5"/>
  <c r="Q1682" i="5"/>
  <c r="Q1631" i="5"/>
  <c r="P1631" i="5"/>
  <c r="Q1571" i="5"/>
  <c r="P1571" i="5"/>
  <c r="Q1511" i="5"/>
  <c r="P1511" i="5"/>
  <c r="Q1456" i="5"/>
  <c r="P1456" i="5"/>
  <c r="Q1340" i="5"/>
  <c r="P1340" i="5"/>
  <c r="Q1286" i="5"/>
  <c r="P1286" i="5"/>
  <c r="Q1182" i="5"/>
  <c r="P1182" i="5"/>
  <c r="Q1416" i="5"/>
  <c r="P1416" i="5"/>
  <c r="Q1244" i="5"/>
  <c r="P1244" i="5"/>
  <c r="Q1422" i="5"/>
  <c r="P1422" i="5"/>
  <c r="Q2168" i="5"/>
  <c r="P2168" i="5"/>
  <c r="P2110" i="5"/>
  <c r="Q1230" i="5"/>
  <c r="P1230" i="5"/>
  <c r="Q1957" i="5"/>
  <c r="P1957" i="5"/>
  <c r="Q1929" i="5"/>
  <c r="P1929" i="5"/>
  <c r="Q1871" i="5"/>
  <c r="P1871" i="5"/>
  <c r="Q1811" i="5"/>
  <c r="P1811" i="5"/>
  <c r="P1761" i="5"/>
  <c r="Q1761" i="5"/>
  <c r="P1701" i="5"/>
  <c r="Q1701" i="5"/>
  <c r="Q1179" i="5"/>
  <c r="P1179" i="5"/>
  <c r="N1179" i="5" s="1"/>
  <c r="Q1590" i="5"/>
  <c r="P1590" i="5"/>
  <c r="Q1530" i="5"/>
  <c r="P1530" i="5"/>
  <c r="P1400" i="5"/>
  <c r="Q1400" i="5"/>
  <c r="J1287" i="5"/>
  <c r="Q1287" i="5"/>
  <c r="P1287" i="5"/>
  <c r="Q1196" i="5"/>
  <c r="P1196" i="5"/>
  <c r="N1196" i="5" s="1"/>
  <c r="Q2113" i="5"/>
  <c r="P2113" i="5"/>
  <c r="K1235" i="5"/>
  <c r="Q1235" i="5"/>
  <c r="P1235" i="5"/>
  <c r="N1235" i="5" s="1"/>
  <c r="K1350" i="5"/>
  <c r="Q1350" i="5"/>
  <c r="P1350" i="5"/>
  <c r="P1370" i="5"/>
  <c r="Q1370" i="5"/>
  <c r="P1304" i="5"/>
  <c r="Q1304" i="5"/>
  <c r="Q1227" i="5"/>
  <c r="P1227" i="5"/>
  <c r="Q1333" i="5"/>
  <c r="P1333" i="5"/>
  <c r="Q2046" i="5"/>
  <c r="P2046" i="5"/>
  <c r="Q1959" i="5"/>
  <c r="P1959" i="5"/>
  <c r="Q1939" i="5"/>
  <c r="P1939" i="5"/>
  <c r="Q1831" i="5"/>
  <c r="P1831" i="5"/>
  <c r="Q1169" i="5"/>
  <c r="P1169" i="5"/>
  <c r="P1737" i="5"/>
  <c r="Q1737" i="5"/>
  <c r="P1636" i="5"/>
  <c r="Q1636" i="5"/>
  <c r="P1584" i="5"/>
  <c r="Q1584" i="5"/>
  <c r="P1532" i="5"/>
  <c r="Q1532" i="5"/>
  <c r="Q1485" i="5"/>
  <c r="P1485" i="5"/>
  <c r="Q1337" i="5"/>
  <c r="P1337" i="5"/>
  <c r="Q1197" i="5"/>
  <c r="P1197" i="5"/>
  <c r="N1197" i="5" s="1"/>
  <c r="Q1971" i="5"/>
  <c r="P1971" i="5"/>
  <c r="P1095" i="5"/>
  <c r="N1095" i="5" s="1"/>
  <c r="Q1095" i="5"/>
  <c r="Q1884" i="5"/>
  <c r="P1884" i="5"/>
  <c r="Q1824" i="5"/>
  <c r="P1824" i="5"/>
  <c r="Q1774" i="5"/>
  <c r="P1774" i="5"/>
  <c r="Q1714" i="5"/>
  <c r="P1714" i="5"/>
  <c r="Q1654" i="5"/>
  <c r="P1654" i="5"/>
  <c r="Q1603" i="5"/>
  <c r="P1603" i="5"/>
  <c r="Q1543" i="5"/>
  <c r="P1543" i="5"/>
  <c r="Q1488" i="5"/>
  <c r="P1488" i="5"/>
  <c r="Q1429" i="5"/>
  <c r="P1429" i="5"/>
  <c r="K1317" i="5"/>
  <c r="P1317" i="5"/>
  <c r="Q1317" i="5"/>
  <c r="Q1263" i="5"/>
  <c r="P1263" i="5"/>
  <c r="Q1335" i="5"/>
  <c r="P1335" i="5"/>
  <c r="Q1596" i="5"/>
  <c r="P1596" i="5"/>
  <c r="Q2122" i="5"/>
  <c r="P2088" i="5"/>
  <c r="Q2071" i="5"/>
  <c r="Q1165" i="5"/>
  <c r="N1165" i="5" s="1"/>
  <c r="Q1977" i="5"/>
  <c r="P1944" i="5"/>
  <c r="P1203" i="5"/>
  <c r="N1203" i="5" s="1"/>
  <c r="P1938" i="5"/>
  <c r="Q1906" i="5"/>
  <c r="P1872" i="5"/>
  <c r="P1785" i="5"/>
  <c r="Q1754" i="5"/>
  <c r="P1720" i="5"/>
  <c r="P1635" i="5"/>
  <c r="P1575" i="5"/>
  <c r="P1599" i="5"/>
  <c r="Q1531" i="5"/>
  <c r="P1476" i="5"/>
  <c r="P1442" i="5"/>
  <c r="Q1102" i="5"/>
  <c r="N1102" i="5" s="1"/>
  <c r="P1348" i="5"/>
  <c r="P1300" i="5"/>
  <c r="Q1210" i="5"/>
  <c r="N1210" i="5" s="1"/>
  <c r="P2123" i="5"/>
  <c r="Q2089" i="5"/>
  <c r="P2059" i="5"/>
  <c r="F760" i="5"/>
  <c r="F767" i="5"/>
  <c r="F766" i="5"/>
  <c r="F757" i="5"/>
  <c r="F765" i="5"/>
  <c r="F756" i="5"/>
  <c r="F747" i="5"/>
  <c r="F792" i="5"/>
  <c r="F783" i="5"/>
  <c r="F774" i="5"/>
  <c r="F820" i="5"/>
  <c r="F812" i="5"/>
  <c r="F823" i="5"/>
  <c r="L11" i="9" s="1"/>
  <c r="F827" i="5"/>
  <c r="F880" i="5"/>
  <c r="F872" i="5"/>
  <c r="F863" i="5"/>
  <c r="F854" i="5"/>
  <c r="F903" i="5"/>
  <c r="F894" i="5"/>
  <c r="F885" i="5"/>
  <c r="F935" i="5"/>
  <c r="F926" i="5"/>
  <c r="F917" i="5"/>
  <c r="F968" i="5"/>
  <c r="F959" i="5"/>
  <c r="F949" i="5"/>
  <c r="F992" i="5"/>
  <c r="F983" i="5"/>
  <c r="F975" i="5"/>
  <c r="F1026" i="5"/>
  <c r="F1017" i="5"/>
  <c r="F1008" i="5"/>
  <c r="F1029" i="5"/>
  <c r="F1050" i="5"/>
  <c r="F1041" i="5"/>
  <c r="F1031" i="5"/>
  <c r="F1066" i="5"/>
  <c r="F1074" i="5"/>
  <c r="F1082" i="5"/>
  <c r="F1034" i="5"/>
  <c r="Q2148" i="5"/>
  <c r="P2148" i="5"/>
  <c r="Q2090" i="5"/>
  <c r="P2090" i="5"/>
  <c r="Q1136" i="5"/>
  <c r="P1136" i="5"/>
  <c r="Q1988" i="5"/>
  <c r="P1988" i="5"/>
  <c r="Q1180" i="5"/>
  <c r="P1180" i="5"/>
  <c r="Q1893" i="5"/>
  <c r="P1893" i="5"/>
  <c r="Q1833" i="5"/>
  <c r="P1833" i="5"/>
  <c r="Q1781" i="5"/>
  <c r="P1781" i="5"/>
  <c r="Q1723" i="5"/>
  <c r="P1723" i="5"/>
  <c r="Q1663" i="5"/>
  <c r="P1663" i="5"/>
  <c r="Q1612" i="5"/>
  <c r="P1612" i="5"/>
  <c r="Q1552" i="5"/>
  <c r="P1552" i="5"/>
  <c r="Q1495" i="5"/>
  <c r="P1495" i="5"/>
  <c r="Q1438" i="5"/>
  <c r="P1438" i="5"/>
  <c r="Q1150" i="5"/>
  <c r="P1150" i="5"/>
  <c r="K1251" i="5"/>
  <c r="Q1251" i="5"/>
  <c r="P1251" i="5"/>
  <c r="P1647" i="5"/>
  <c r="Q1647" i="5"/>
  <c r="Q1432" i="5"/>
  <c r="P1432" i="5"/>
  <c r="Q2125" i="5"/>
  <c r="P2125" i="5"/>
  <c r="Q2067" i="5"/>
  <c r="P2067" i="5"/>
  <c r="Q2049" i="5"/>
  <c r="P2049" i="5"/>
  <c r="J1103" i="5"/>
  <c r="Q1103" i="5"/>
  <c r="P1103" i="5"/>
  <c r="Q1894" i="5"/>
  <c r="P1894" i="5"/>
  <c r="Q1842" i="5"/>
  <c r="P1842" i="5"/>
  <c r="Q1219" i="5"/>
  <c r="P1219" i="5"/>
  <c r="N1219" i="5" s="1"/>
  <c r="P1690" i="5"/>
  <c r="Q1690" i="5"/>
  <c r="P1641" i="5"/>
  <c r="Q1641" i="5"/>
  <c r="P1595" i="5"/>
  <c r="Q1595" i="5"/>
  <c r="P1490" i="5"/>
  <c r="Q1490" i="5"/>
  <c r="Q1439" i="5"/>
  <c r="P1439" i="5"/>
  <c r="Q1192" i="5"/>
  <c r="P1192" i="5"/>
  <c r="Q1681" i="5"/>
  <c r="P1681" i="5"/>
  <c r="Q1159" i="5"/>
  <c r="P1159" i="5"/>
  <c r="N1159" i="5" s="1"/>
  <c r="Q2150" i="5"/>
  <c r="P2150" i="5"/>
  <c r="Q2100" i="5"/>
  <c r="P2100" i="5"/>
  <c r="J1221" i="5"/>
  <c r="Q1221" i="5"/>
  <c r="P1221" i="5"/>
  <c r="Q1955" i="5"/>
  <c r="P1955" i="5"/>
  <c r="Q1935" i="5"/>
  <c r="P1935" i="5"/>
  <c r="Q1843" i="5"/>
  <c r="P1843" i="5"/>
  <c r="Q1224" i="5"/>
  <c r="P1224" i="5"/>
  <c r="P1630" i="5"/>
  <c r="Q1630" i="5"/>
  <c r="Q2145" i="5"/>
  <c r="P2145" i="5"/>
  <c r="Q2093" i="5"/>
  <c r="P2093" i="5"/>
  <c r="K1190" i="5"/>
  <c r="P1190" i="5"/>
  <c r="Q1190" i="5"/>
  <c r="P1942" i="5"/>
  <c r="Q1942" i="5"/>
  <c r="Q1912" i="5"/>
  <c r="P1912" i="5"/>
  <c r="Q1854" i="5"/>
  <c r="P1854" i="5"/>
  <c r="Q1795" i="5"/>
  <c r="P1795" i="5"/>
  <c r="Q1744" i="5"/>
  <c r="P1744" i="5"/>
  <c r="Q1684" i="5"/>
  <c r="P1684" i="5"/>
  <c r="Q1633" i="5"/>
  <c r="P1633" i="5"/>
  <c r="Q1573" i="5"/>
  <c r="P1573" i="5"/>
  <c r="Q1513" i="5"/>
  <c r="P1513" i="5"/>
  <c r="P1458" i="5"/>
  <c r="Q1458" i="5"/>
  <c r="P1399" i="5"/>
  <c r="Q1399" i="5"/>
  <c r="Q1351" i="5"/>
  <c r="P1351" i="5"/>
  <c r="Q1294" i="5"/>
  <c r="P1294" i="5"/>
  <c r="Q1217" i="5"/>
  <c r="P1217" i="5"/>
  <c r="Q1206" i="5"/>
  <c r="P1206" i="5"/>
  <c r="Q1258" i="5"/>
  <c r="P1258" i="5"/>
  <c r="P1090" i="5"/>
  <c r="Q1090" i="5"/>
  <c r="Q2112" i="5"/>
  <c r="P2112" i="5"/>
  <c r="J1233" i="5"/>
  <c r="Q1233" i="5"/>
  <c r="P1233" i="5"/>
  <c r="Q2044" i="5"/>
  <c r="P2044" i="5"/>
  <c r="Q1965" i="5"/>
  <c r="P1965" i="5"/>
  <c r="Q1937" i="5"/>
  <c r="P1937" i="5"/>
  <c r="Q1879" i="5"/>
  <c r="P1879" i="5"/>
  <c r="Q1819" i="5"/>
  <c r="P1819" i="5"/>
  <c r="Q1769" i="5"/>
  <c r="P1769" i="5"/>
  <c r="Q1709" i="5"/>
  <c r="P1709" i="5"/>
  <c r="Q1649" i="5"/>
  <c r="P1649" i="5"/>
  <c r="Q1598" i="5"/>
  <c r="P1598" i="5"/>
  <c r="Q1538" i="5"/>
  <c r="P1538" i="5"/>
  <c r="Q1408" i="5"/>
  <c r="P1408" i="5"/>
  <c r="Q1303" i="5"/>
  <c r="P1303" i="5"/>
  <c r="Q1406" i="5"/>
  <c r="P1406" i="5"/>
  <c r="Q2121" i="5"/>
  <c r="P2121" i="5"/>
  <c r="Q2064" i="5"/>
  <c r="P2064" i="5"/>
  <c r="Q2045" i="5"/>
  <c r="P2045" i="5"/>
  <c r="Q1094" i="5"/>
  <c r="P1094" i="5"/>
  <c r="Q1306" i="5"/>
  <c r="P1306" i="5"/>
  <c r="Q1232" i="5"/>
  <c r="P1232" i="5"/>
  <c r="N1232" i="5" s="1"/>
  <c r="Q1410" i="5"/>
  <c r="P1410" i="5"/>
  <c r="J1297" i="5"/>
  <c r="Q1297" i="5"/>
  <c r="P1297" i="5"/>
  <c r="Q2054" i="5"/>
  <c r="P2054" i="5"/>
  <c r="P1967" i="5"/>
  <c r="Q1967" i="5"/>
  <c r="Q1891" i="5"/>
  <c r="P1891" i="5"/>
  <c r="Q1839" i="5"/>
  <c r="P1839" i="5"/>
  <c r="Q1207" i="5"/>
  <c r="P1207" i="5"/>
  <c r="Q1687" i="5"/>
  <c r="P1687" i="5"/>
  <c r="Q1638" i="5"/>
  <c r="P1638" i="5"/>
  <c r="Q1592" i="5"/>
  <c r="P1592" i="5"/>
  <c r="Q1540" i="5"/>
  <c r="P1540" i="5"/>
  <c r="Q1436" i="5"/>
  <c r="P1436" i="5"/>
  <c r="P1307" i="5"/>
  <c r="Q1307" i="5"/>
  <c r="Q1285" i="5"/>
  <c r="P1285" i="5"/>
  <c r="Q1979" i="5"/>
  <c r="P1979" i="5"/>
  <c r="Q1135" i="5"/>
  <c r="P1135" i="5"/>
  <c r="Q1892" i="5"/>
  <c r="P1892" i="5"/>
  <c r="Q1832" i="5"/>
  <c r="P1832" i="5"/>
  <c r="Q1780" i="5"/>
  <c r="P1780" i="5"/>
  <c r="Q1722" i="5"/>
  <c r="P1722" i="5"/>
  <c r="Q1662" i="5"/>
  <c r="P1662" i="5"/>
  <c r="Q1611" i="5"/>
  <c r="P1611" i="5"/>
  <c r="Q1551" i="5"/>
  <c r="P1551" i="5"/>
  <c r="Q1133" i="5"/>
  <c r="P1133" i="5"/>
  <c r="Q1437" i="5"/>
  <c r="P1437" i="5"/>
  <c r="K1326" i="5"/>
  <c r="Q1326" i="5"/>
  <c r="P1326" i="5"/>
  <c r="Q1272" i="5"/>
  <c r="P1272" i="5"/>
  <c r="Q1299" i="5"/>
  <c r="P1299" i="5"/>
  <c r="Q1570" i="5"/>
  <c r="P1570" i="5"/>
  <c r="P2162" i="5"/>
  <c r="P2058" i="5"/>
  <c r="P1204" i="5"/>
  <c r="N1204" i="5" s="1"/>
  <c r="P2055" i="5"/>
  <c r="P1966" i="5"/>
  <c r="P1914" i="5"/>
  <c r="Q1846" i="5"/>
  <c r="P1812" i="5"/>
  <c r="Q1694" i="5"/>
  <c r="P1660" i="5"/>
  <c r="Q1609" i="5"/>
  <c r="P1515" i="5"/>
  <c r="Q1505" i="5"/>
  <c r="P1417" i="5"/>
  <c r="P1143" i="5"/>
  <c r="N1143" i="5" s="1"/>
  <c r="Q1320" i="5"/>
  <c r="P1276" i="5"/>
  <c r="Q1277" i="5"/>
  <c r="P2155" i="5"/>
  <c r="F764" i="5"/>
  <c r="F755" i="5"/>
  <c r="F746" i="5"/>
  <c r="F791" i="5"/>
  <c r="F782" i="5"/>
  <c r="F773" i="5"/>
  <c r="F819" i="5"/>
  <c r="F811" i="5"/>
  <c r="F806" i="5"/>
  <c r="F852" i="5"/>
  <c r="F826" i="5"/>
  <c r="F871" i="5"/>
  <c r="F862" i="5"/>
  <c r="F911" i="5"/>
  <c r="F902" i="5"/>
  <c r="F893" i="5"/>
  <c r="F884" i="5"/>
  <c r="F934" i="5"/>
  <c r="F925" i="5"/>
  <c r="F916" i="5"/>
  <c r="F967" i="5"/>
  <c r="F957" i="5"/>
  <c r="F948" i="5"/>
  <c r="F991" i="5"/>
  <c r="F982" i="5"/>
  <c r="F974" i="5"/>
  <c r="F1025" i="5"/>
  <c r="F1016" i="5"/>
  <c r="F1006" i="5"/>
  <c r="F1058" i="5"/>
  <c r="F1049" i="5"/>
  <c r="F1040" i="5"/>
  <c r="F1030" i="5"/>
  <c r="F1067" i="5"/>
  <c r="F1075" i="5"/>
  <c r="F1083" i="5"/>
  <c r="F761" i="5"/>
  <c r="F753" i="5"/>
  <c r="F906" i="5"/>
  <c r="F898" i="5"/>
  <c r="F890" i="5"/>
  <c r="F912" i="5"/>
  <c r="F1023" i="5"/>
  <c r="F1015" i="5"/>
  <c r="F1007" i="5"/>
  <c r="Q2156" i="5"/>
  <c r="P2156" i="5"/>
  <c r="Q2098" i="5"/>
  <c r="P2098" i="5"/>
  <c r="Q1176" i="5"/>
  <c r="P1176" i="5"/>
  <c r="Q1996" i="5"/>
  <c r="P1996" i="5"/>
  <c r="J1215" i="5"/>
  <c r="Q1215" i="5"/>
  <c r="P1215" i="5"/>
  <c r="Q1901" i="5"/>
  <c r="P1901" i="5"/>
  <c r="Q1841" i="5"/>
  <c r="P1841" i="5"/>
  <c r="Q1787" i="5"/>
  <c r="P1787" i="5"/>
  <c r="Q1731" i="5"/>
  <c r="P1731" i="5"/>
  <c r="Q1671" i="5"/>
  <c r="P1671" i="5"/>
  <c r="Q1620" i="5"/>
  <c r="P1620" i="5"/>
  <c r="Q1560" i="5"/>
  <c r="P1560" i="5"/>
  <c r="Q1501" i="5"/>
  <c r="P1501" i="5"/>
  <c r="Q1445" i="5"/>
  <c r="P1445" i="5"/>
  <c r="J1188" i="5"/>
  <c r="Q1188" i="5"/>
  <c r="P1188" i="5"/>
  <c r="P1125" i="5"/>
  <c r="Q1125" i="5"/>
  <c r="Q1622" i="5"/>
  <c r="P1622" i="5"/>
  <c r="Q1349" i="5"/>
  <c r="P1349" i="5"/>
  <c r="Q2133" i="5"/>
  <c r="P2133" i="5"/>
  <c r="Q2074" i="5"/>
  <c r="P2074" i="5"/>
  <c r="Q1973" i="5"/>
  <c r="P1973" i="5"/>
  <c r="Q1147" i="5"/>
  <c r="P1147" i="5"/>
  <c r="Q1902" i="5"/>
  <c r="P1902" i="5"/>
  <c r="Q1850" i="5"/>
  <c r="P1850" i="5"/>
  <c r="Q1750" i="5"/>
  <c r="P1750" i="5"/>
  <c r="Q1698" i="5"/>
  <c r="P1698" i="5"/>
  <c r="Q1646" i="5"/>
  <c r="P1646" i="5"/>
  <c r="Q1545" i="5"/>
  <c r="P1545" i="5"/>
  <c r="Q1144" i="5"/>
  <c r="P1144" i="5"/>
  <c r="N1144" i="5" s="1"/>
  <c r="Q1446" i="5"/>
  <c r="P1446" i="5"/>
  <c r="J1228" i="5"/>
  <c r="Q1228" i="5"/>
  <c r="P1228" i="5"/>
  <c r="K1274" i="5"/>
  <c r="P1274" i="5"/>
  <c r="Q1128" i="5"/>
  <c r="P1128" i="5"/>
  <c r="Q1339" i="5"/>
  <c r="P1339" i="5"/>
  <c r="P2158" i="5"/>
  <c r="Q2158" i="5"/>
  <c r="P2108" i="5"/>
  <c r="Q2108" i="5"/>
  <c r="Q2042" i="5"/>
  <c r="P2042" i="5"/>
  <c r="Q1963" i="5"/>
  <c r="P1963" i="5"/>
  <c r="Q1895" i="5"/>
  <c r="P1895" i="5"/>
  <c r="Q1851" i="5"/>
  <c r="P1851" i="5"/>
  <c r="Q1751" i="5"/>
  <c r="P1751" i="5"/>
  <c r="Q1528" i="5"/>
  <c r="P1528" i="5"/>
  <c r="Q2151" i="5"/>
  <c r="P2151" i="5"/>
  <c r="Q2101" i="5"/>
  <c r="P2101" i="5"/>
  <c r="Q1226" i="5"/>
  <c r="P1226" i="5"/>
  <c r="Q1950" i="5"/>
  <c r="P1950" i="5"/>
  <c r="J1920" i="5"/>
  <c r="Q1920" i="5"/>
  <c r="P1920" i="5"/>
  <c r="Q1862" i="5"/>
  <c r="P1862" i="5"/>
  <c r="Q1802" i="5"/>
  <c r="P1802" i="5"/>
  <c r="Q1752" i="5"/>
  <c r="P1752" i="5"/>
  <c r="Q1692" i="5"/>
  <c r="P1692" i="5"/>
  <c r="Q1134" i="5"/>
  <c r="P1134" i="5"/>
  <c r="N1134" i="5" s="1"/>
  <c r="Q1581" i="5"/>
  <c r="P1581" i="5"/>
  <c r="Q1521" i="5"/>
  <c r="P1521" i="5"/>
  <c r="Q1466" i="5"/>
  <c r="P1466" i="5"/>
  <c r="Q1407" i="5"/>
  <c r="P1407" i="5"/>
  <c r="P1359" i="5"/>
  <c r="Q1359" i="5"/>
  <c r="P1302" i="5"/>
  <c r="Q1302" i="5"/>
  <c r="Q1493" i="5"/>
  <c r="P1493" i="5"/>
  <c r="Q1352" i="5"/>
  <c r="P1352" i="5"/>
  <c r="J1105" i="5"/>
  <c r="Q1105" i="5"/>
  <c r="P1105" i="5"/>
  <c r="N1105" i="5" s="1"/>
  <c r="P1367" i="5"/>
  <c r="Q1367" i="5"/>
  <c r="Q2120" i="5"/>
  <c r="P2120" i="5"/>
  <c r="Q2063" i="5"/>
  <c r="P2063" i="5"/>
  <c r="Q2052" i="5"/>
  <c r="P2052" i="5"/>
  <c r="Q1119" i="5"/>
  <c r="P1119" i="5"/>
  <c r="P1889" i="5"/>
  <c r="Q1889" i="5"/>
  <c r="P1829" i="5"/>
  <c r="Q1829" i="5"/>
  <c r="K1118" i="5"/>
  <c r="P1118" i="5"/>
  <c r="N1118" i="5" s="1"/>
  <c r="Q1118" i="5"/>
  <c r="Q1719" i="5"/>
  <c r="P1719" i="5"/>
  <c r="Q1659" i="5"/>
  <c r="P1659" i="5"/>
  <c r="Q1608" i="5"/>
  <c r="P1608" i="5"/>
  <c r="Q1548" i="5"/>
  <c r="P1548" i="5"/>
  <c r="Q1497" i="5"/>
  <c r="P1497" i="5"/>
  <c r="Q1424" i="5"/>
  <c r="P1424" i="5"/>
  <c r="J1268" i="5"/>
  <c r="Q1268" i="5"/>
  <c r="P1268" i="5"/>
  <c r="Q1358" i="5"/>
  <c r="P1358" i="5"/>
  <c r="Q2129" i="5"/>
  <c r="P2129" i="5"/>
  <c r="P2070" i="5"/>
  <c r="Q2070" i="5"/>
  <c r="Q2053" i="5"/>
  <c r="P2053" i="5"/>
  <c r="Q1132" i="5"/>
  <c r="P1132" i="5"/>
  <c r="N1132" i="5" s="1"/>
  <c r="Q1314" i="5"/>
  <c r="P1314" i="5"/>
  <c r="J1247" i="5"/>
  <c r="Q1247" i="5"/>
  <c r="P1247" i="5"/>
  <c r="Q1426" i="5"/>
  <c r="P1426" i="5"/>
  <c r="Q1270" i="5"/>
  <c r="P1270" i="5"/>
  <c r="Q1970" i="5"/>
  <c r="P1970" i="5"/>
  <c r="J1129" i="5"/>
  <c r="Q1129" i="5"/>
  <c r="P1129" i="5"/>
  <c r="P1899" i="5"/>
  <c r="Q1899" i="5"/>
  <c r="P1847" i="5"/>
  <c r="Q1847" i="5"/>
  <c r="Q1747" i="5"/>
  <c r="P1747" i="5"/>
  <c r="Q1695" i="5"/>
  <c r="P1695" i="5"/>
  <c r="Q1643" i="5"/>
  <c r="P1643" i="5"/>
  <c r="Q1600" i="5"/>
  <c r="P1600" i="5"/>
  <c r="Q1127" i="5"/>
  <c r="P1127" i="5"/>
  <c r="Q1443" i="5"/>
  <c r="P1443" i="5"/>
  <c r="J1325" i="5"/>
  <c r="Q1325" i="5"/>
  <c r="P1325" i="5"/>
  <c r="Q1255" i="5"/>
  <c r="P1255" i="5"/>
  <c r="K1130" i="5"/>
  <c r="Q1130" i="5"/>
  <c r="P1130" i="5"/>
  <c r="Q1987" i="5"/>
  <c r="P1987" i="5"/>
  <c r="Q1175" i="5"/>
  <c r="P1175" i="5"/>
  <c r="N1175" i="5" s="1"/>
  <c r="Q1900" i="5"/>
  <c r="P1900" i="5"/>
  <c r="Q1840" i="5"/>
  <c r="P1840" i="5"/>
  <c r="Q1786" i="5"/>
  <c r="P1786" i="5"/>
  <c r="Q1730" i="5"/>
  <c r="P1730" i="5"/>
  <c r="Q1670" i="5"/>
  <c r="P1670" i="5"/>
  <c r="Q1619" i="5"/>
  <c r="P1619" i="5"/>
  <c r="Q1559" i="5"/>
  <c r="P1559" i="5"/>
  <c r="P1500" i="5"/>
  <c r="Q1500" i="5"/>
  <c r="P1444" i="5"/>
  <c r="Q1444" i="5"/>
  <c r="K1183" i="5"/>
  <c r="P1183" i="5"/>
  <c r="N1183" i="5" s="1"/>
  <c r="Q1334" i="5"/>
  <c r="P1334" i="5"/>
  <c r="J1121" i="5"/>
  <c r="Q1121" i="5"/>
  <c r="P1121" i="5"/>
  <c r="K1238" i="5"/>
  <c r="Q1238" i="5"/>
  <c r="P1238" i="5"/>
  <c r="Q1319" i="5"/>
  <c r="P1319" i="5"/>
  <c r="P2130" i="5"/>
  <c r="P2078" i="5"/>
  <c r="P1985" i="5"/>
  <c r="P1856" i="5"/>
  <c r="P1880" i="5"/>
  <c r="P1762" i="5"/>
  <c r="P1728" i="5"/>
  <c r="P1549" i="5"/>
  <c r="P1539" i="5"/>
  <c r="P1450" i="5"/>
  <c r="P1357" i="5"/>
  <c r="P2097" i="5"/>
  <c r="P2066" i="5"/>
  <c r="F752" i="5"/>
  <c r="F763" i="5"/>
  <c r="F754" i="5"/>
  <c r="F769" i="5"/>
  <c r="F790" i="5"/>
  <c r="F781" i="5"/>
  <c r="F772" i="5"/>
  <c r="F818" i="5"/>
  <c r="F809" i="5"/>
  <c r="F805" i="5"/>
  <c r="F850" i="5"/>
  <c r="F825" i="5"/>
  <c r="F879" i="5"/>
  <c r="F870" i="5"/>
  <c r="F860" i="5"/>
  <c r="F910" i="5"/>
  <c r="F901" i="5"/>
  <c r="F892" i="5"/>
  <c r="F883" i="5"/>
  <c r="F933" i="5"/>
  <c r="F924" i="5"/>
  <c r="F915" i="5"/>
  <c r="F965" i="5"/>
  <c r="F956" i="5"/>
  <c r="F947" i="5"/>
  <c r="F972" i="5"/>
  <c r="F990" i="5"/>
  <c r="F981" i="5"/>
  <c r="F155" i="5"/>
  <c r="F1024" i="5"/>
  <c r="F1014" i="5"/>
  <c r="F1005" i="5"/>
  <c r="F1057" i="5"/>
  <c r="F1048" i="5"/>
  <c r="F1039" i="5"/>
  <c r="F1060" i="5"/>
  <c r="F1068" i="5"/>
  <c r="F1076" i="5"/>
  <c r="F1084" i="5"/>
  <c r="Q2164" i="5"/>
  <c r="P2164" i="5"/>
  <c r="Q2106" i="5"/>
  <c r="P2106" i="5"/>
  <c r="Q1213" i="5"/>
  <c r="P1213" i="5"/>
  <c r="Q1947" i="5"/>
  <c r="P1947" i="5"/>
  <c r="P1917" i="5"/>
  <c r="Q1917" i="5"/>
  <c r="Q1908" i="5"/>
  <c r="P1908" i="5"/>
  <c r="Q1849" i="5"/>
  <c r="P1849" i="5"/>
  <c r="Q1792" i="5"/>
  <c r="P1792" i="5"/>
  <c r="Q1739" i="5"/>
  <c r="P1739" i="5"/>
  <c r="Q1679" i="5"/>
  <c r="P1679" i="5"/>
  <c r="Q1628" i="5"/>
  <c r="P1628" i="5"/>
  <c r="Q1568" i="5"/>
  <c r="P1568" i="5"/>
  <c r="Q1508" i="5"/>
  <c r="P1508" i="5"/>
  <c r="Q1453" i="5"/>
  <c r="P1453" i="5"/>
  <c r="J1223" i="5"/>
  <c r="Q1223" i="5"/>
  <c r="J1166" i="5"/>
  <c r="Q1166" i="5"/>
  <c r="P1166" i="5"/>
  <c r="Q1580" i="5"/>
  <c r="P1580" i="5"/>
  <c r="Q1311" i="5"/>
  <c r="P1311" i="5"/>
  <c r="P2111" i="5"/>
  <c r="Q2111" i="5"/>
  <c r="P2057" i="5"/>
  <c r="Q2057" i="5"/>
  <c r="Q1981" i="5"/>
  <c r="P1981" i="5"/>
  <c r="Q1185" i="5"/>
  <c r="P1185" i="5"/>
  <c r="Q1909" i="5"/>
  <c r="P1909" i="5"/>
  <c r="Q1801" i="5"/>
  <c r="P1801" i="5"/>
  <c r="Q1758" i="5"/>
  <c r="P1758" i="5"/>
  <c r="Q1706" i="5"/>
  <c r="P1706" i="5"/>
  <c r="Q1605" i="5"/>
  <c r="P1605" i="5"/>
  <c r="Q1553" i="5"/>
  <c r="P1553" i="5"/>
  <c r="Q1502" i="5"/>
  <c r="P1502" i="5"/>
  <c r="Q1454" i="5"/>
  <c r="P1454" i="5"/>
  <c r="P1606" i="5"/>
  <c r="Q1606" i="5"/>
  <c r="Q1305" i="5"/>
  <c r="P1305" i="5"/>
  <c r="Q2166" i="5"/>
  <c r="P2166" i="5"/>
  <c r="Q2062" i="5"/>
  <c r="P2062" i="5"/>
  <c r="Q2050" i="5"/>
  <c r="P2050" i="5"/>
  <c r="K1107" i="5"/>
  <c r="Q1107" i="5"/>
  <c r="P1107" i="5"/>
  <c r="Q1910" i="5"/>
  <c r="P1910" i="5"/>
  <c r="Q1245" i="5"/>
  <c r="P1245" i="5"/>
  <c r="N1245" i="5" s="1"/>
  <c r="Q1759" i="5"/>
  <c r="P1759" i="5"/>
  <c r="P1465" i="5"/>
  <c r="Q1465" i="5"/>
  <c r="Q2159" i="5"/>
  <c r="P2159" i="5"/>
  <c r="Q2109" i="5"/>
  <c r="P2109" i="5"/>
  <c r="Q2043" i="5"/>
  <c r="P2043" i="5"/>
  <c r="Q1956" i="5"/>
  <c r="P1956" i="5"/>
  <c r="Q1928" i="5"/>
  <c r="P1928" i="5"/>
  <c r="Q1870" i="5"/>
  <c r="P1870" i="5"/>
  <c r="Q1810" i="5"/>
  <c r="P1810" i="5"/>
  <c r="Q1760" i="5"/>
  <c r="P1760" i="5"/>
  <c r="Q1700" i="5"/>
  <c r="P1700" i="5"/>
  <c r="P1174" i="5"/>
  <c r="Q1174" i="5"/>
  <c r="Q1589" i="5"/>
  <c r="P1589" i="5"/>
  <c r="Q1529" i="5"/>
  <c r="P1529" i="5"/>
  <c r="Q1474" i="5"/>
  <c r="P1474" i="5"/>
  <c r="Q1415" i="5"/>
  <c r="P1415" i="5"/>
  <c r="Q1368" i="5"/>
  <c r="P1368" i="5"/>
  <c r="Q1242" i="5"/>
  <c r="P1242" i="5"/>
  <c r="Q1487" i="5"/>
  <c r="P1487" i="5"/>
  <c r="Q1369" i="5"/>
  <c r="P1369" i="5"/>
  <c r="Q1187" i="5"/>
  <c r="P1187" i="5"/>
  <c r="Q1329" i="5"/>
  <c r="P1329" i="5"/>
  <c r="Q2128" i="5"/>
  <c r="P2128" i="5"/>
  <c r="Q1260" i="5"/>
  <c r="P1260" i="5"/>
  <c r="N1260" i="5" s="1"/>
  <c r="Q1976" i="5"/>
  <c r="P1976" i="5"/>
  <c r="Q1160" i="5"/>
  <c r="P1160" i="5"/>
  <c r="Q1897" i="5"/>
  <c r="P1897" i="5"/>
  <c r="Q1837" i="5"/>
  <c r="P1837" i="5"/>
  <c r="Q1784" i="5"/>
  <c r="P1784" i="5"/>
  <c r="Q1727" i="5"/>
  <c r="P1727" i="5"/>
  <c r="Q1667" i="5"/>
  <c r="P1667" i="5"/>
  <c r="Q1616" i="5"/>
  <c r="P1616" i="5"/>
  <c r="Q1556" i="5"/>
  <c r="P1556" i="5"/>
  <c r="Q1504" i="5"/>
  <c r="P1504" i="5"/>
  <c r="Q1126" i="5"/>
  <c r="P1126" i="5"/>
  <c r="Q1149" i="5"/>
  <c r="P1149" i="5"/>
  <c r="N1149" i="5" s="1"/>
  <c r="Q1321" i="5"/>
  <c r="P1321" i="5"/>
  <c r="Q2137" i="5"/>
  <c r="P2137" i="5"/>
  <c r="Q1271" i="5"/>
  <c r="P1271" i="5"/>
  <c r="P1173" i="5"/>
  <c r="Q1173" i="5"/>
  <c r="Q1324" i="5"/>
  <c r="P1324" i="5"/>
  <c r="P1259" i="5"/>
  <c r="Q1259" i="5"/>
  <c r="Q1098" i="5"/>
  <c r="P1098" i="5"/>
  <c r="Q1503" i="5"/>
  <c r="P1503" i="5"/>
  <c r="Q1978" i="5"/>
  <c r="P1978" i="5"/>
  <c r="Q1170" i="5"/>
  <c r="P1170" i="5"/>
  <c r="K1365" i="5"/>
  <c r="Q1365" i="5"/>
  <c r="P1365" i="5"/>
  <c r="Q1798" i="5"/>
  <c r="P1798" i="5"/>
  <c r="Q1755" i="5"/>
  <c r="P1755" i="5"/>
  <c r="Q1703" i="5"/>
  <c r="P1703" i="5"/>
  <c r="Q1651" i="5"/>
  <c r="P1651" i="5"/>
  <c r="Q1550" i="5"/>
  <c r="P1550" i="5"/>
  <c r="P1499" i="5"/>
  <c r="Q1499" i="5"/>
  <c r="P1451" i="5"/>
  <c r="Q1451" i="5"/>
  <c r="Q1281" i="5"/>
  <c r="P1281" i="5"/>
  <c r="P1097" i="5"/>
  <c r="N1097" i="5" s="1"/>
  <c r="Q1097" i="5"/>
  <c r="K1171" i="5"/>
  <c r="Q1171" i="5"/>
  <c r="P1171" i="5"/>
  <c r="Q1995" i="5"/>
  <c r="P1995" i="5"/>
  <c r="Q1212" i="5"/>
  <c r="P1212" i="5"/>
  <c r="N1212" i="5" s="1"/>
  <c r="Q1907" i="5"/>
  <c r="P1907" i="5"/>
  <c r="Q1848" i="5"/>
  <c r="P1848" i="5"/>
  <c r="Q1791" i="5"/>
  <c r="P1791" i="5"/>
  <c r="Q1738" i="5"/>
  <c r="P1738" i="5"/>
  <c r="Q1678" i="5"/>
  <c r="P1678" i="5"/>
  <c r="Q1627" i="5"/>
  <c r="P1627" i="5"/>
  <c r="Q1567" i="5"/>
  <c r="P1567" i="5"/>
  <c r="Q1507" i="5"/>
  <c r="P1507" i="5"/>
  <c r="Q1452" i="5"/>
  <c r="P1452" i="5"/>
  <c r="K1218" i="5"/>
  <c r="Q1218" i="5"/>
  <c r="P1218" i="5"/>
  <c r="Q1282" i="5"/>
  <c r="P1282" i="5"/>
  <c r="Q1162" i="5"/>
  <c r="P1162" i="5"/>
  <c r="J1264" i="5"/>
  <c r="Q1264" i="5"/>
  <c r="P1264" i="5"/>
  <c r="P1345" i="5"/>
  <c r="P2096" i="5"/>
  <c r="P2039" i="5"/>
  <c r="P1952" i="5"/>
  <c r="Q1890" i="5"/>
  <c r="P1797" i="5"/>
  <c r="Q1790" i="5"/>
  <c r="P1702" i="5"/>
  <c r="Q1145" i="5"/>
  <c r="N1145" i="5" s="1"/>
  <c r="Q1617" i="5"/>
  <c r="P1583" i="5"/>
  <c r="Q1460" i="5"/>
  <c r="P1484" i="5"/>
  <c r="Q1183" i="5"/>
  <c r="P1328" i="5"/>
  <c r="Q1093" i="5"/>
  <c r="N1093" i="5" s="1"/>
  <c r="P1293" i="5"/>
  <c r="Q2131" i="5"/>
  <c r="F798" i="5"/>
  <c r="F789" i="5"/>
  <c r="F780" i="5"/>
  <c r="F771" i="5"/>
  <c r="F817" i="5"/>
  <c r="F804" i="5"/>
  <c r="F845" i="5"/>
  <c r="F824" i="5"/>
  <c r="F878" i="5"/>
  <c r="F868" i="5"/>
  <c r="F859" i="5"/>
  <c r="F909" i="5"/>
  <c r="F900" i="5"/>
  <c r="F891" i="5"/>
  <c r="F941" i="5"/>
  <c r="F932" i="5"/>
  <c r="F923" i="5"/>
  <c r="F914" i="5"/>
  <c r="F964" i="5"/>
  <c r="F955" i="5"/>
  <c r="F946" i="5"/>
  <c r="F998" i="5"/>
  <c r="F989" i="5"/>
  <c r="F980" i="5"/>
  <c r="F1022" i="5"/>
  <c r="F1013" i="5"/>
  <c r="F1004" i="5"/>
  <c r="F1056" i="5"/>
  <c r="F1047" i="5"/>
  <c r="F1038" i="5"/>
  <c r="F1061" i="5"/>
  <c r="F1069" i="5"/>
  <c r="F1077" i="5"/>
  <c r="F1085" i="5"/>
  <c r="F877" i="5"/>
  <c r="F869" i="5"/>
  <c r="F861" i="5"/>
  <c r="F882" i="5"/>
  <c r="F993" i="5"/>
  <c r="F985" i="5"/>
  <c r="P2116" i="5"/>
  <c r="Q2116" i="5"/>
  <c r="P2060" i="5"/>
  <c r="Q2060" i="5"/>
  <c r="Q2040" i="5"/>
  <c r="P2040" i="5"/>
  <c r="P1256" i="5"/>
  <c r="Q1256" i="5"/>
  <c r="Q1925" i="5"/>
  <c r="P1925" i="5"/>
  <c r="P1859" i="5"/>
  <c r="Q1859" i="5"/>
  <c r="P1800" i="5"/>
  <c r="Q1800" i="5"/>
  <c r="P1749" i="5"/>
  <c r="Q1749" i="5"/>
  <c r="P1689" i="5"/>
  <c r="Q1689" i="5"/>
  <c r="P1117" i="5"/>
  <c r="N1117" i="5" s="1"/>
  <c r="Q1117" i="5"/>
  <c r="Q1578" i="5"/>
  <c r="P1578" i="5"/>
  <c r="Q1518" i="5"/>
  <c r="P1518" i="5"/>
  <c r="Q1463" i="5"/>
  <c r="P1463" i="5"/>
  <c r="Q1404" i="5"/>
  <c r="P1404" i="5"/>
  <c r="Q1346" i="5"/>
  <c r="P1346" i="5"/>
  <c r="Q1205" i="5"/>
  <c r="P1205" i="5"/>
  <c r="P1546" i="5"/>
  <c r="Q1546" i="5"/>
  <c r="Q2143" i="5"/>
  <c r="P2143" i="5"/>
  <c r="Q2083" i="5"/>
  <c r="P2083" i="5"/>
  <c r="J1100" i="5"/>
  <c r="Q1100" i="5"/>
  <c r="P1100" i="5"/>
  <c r="P1989" i="5"/>
  <c r="Q1989" i="5"/>
  <c r="Q1220" i="5"/>
  <c r="P1220" i="5"/>
  <c r="N1220" i="5" s="1"/>
  <c r="Q1860" i="5"/>
  <c r="P1860" i="5"/>
  <c r="Q1808" i="5"/>
  <c r="P1808" i="5"/>
  <c r="Q1766" i="5"/>
  <c r="P1766" i="5"/>
  <c r="Q1656" i="5"/>
  <c r="P1656" i="5"/>
  <c r="Q1613" i="5"/>
  <c r="P1613" i="5"/>
  <c r="Q1561" i="5"/>
  <c r="P1561" i="5"/>
  <c r="P1509" i="5"/>
  <c r="Q1509" i="5"/>
  <c r="P1405" i="5"/>
  <c r="Q1405" i="5"/>
  <c r="Q1588" i="5"/>
  <c r="P1588" i="5"/>
  <c r="Q1301" i="5"/>
  <c r="P1301" i="5"/>
  <c r="Q2118" i="5"/>
  <c r="P2118" i="5"/>
  <c r="Q2068" i="5"/>
  <c r="P2068" i="5"/>
  <c r="Q1974" i="5"/>
  <c r="P1974" i="5"/>
  <c r="Q1152" i="5"/>
  <c r="P1152" i="5"/>
  <c r="Q1861" i="5"/>
  <c r="P1861" i="5"/>
  <c r="Q1809" i="5"/>
  <c r="P1809" i="5"/>
  <c r="Q1767" i="5"/>
  <c r="P1767" i="5"/>
  <c r="Q1455" i="5"/>
  <c r="P1455" i="5"/>
  <c r="Q2167" i="5"/>
  <c r="P2167" i="5"/>
  <c r="Q1246" i="5"/>
  <c r="P1246" i="5"/>
  <c r="N1246" i="5" s="1"/>
  <c r="Q2051" i="5"/>
  <c r="P2051" i="5"/>
  <c r="Q1964" i="5"/>
  <c r="P1964" i="5"/>
  <c r="Q1936" i="5"/>
  <c r="P1936" i="5"/>
  <c r="Q1878" i="5"/>
  <c r="P1878" i="5"/>
  <c r="Q1818" i="5"/>
  <c r="P1818" i="5"/>
  <c r="Q1768" i="5"/>
  <c r="P1768" i="5"/>
  <c r="Q1708" i="5"/>
  <c r="P1708" i="5"/>
  <c r="Q1648" i="5"/>
  <c r="P1648" i="5"/>
  <c r="Q1597" i="5"/>
  <c r="P1597" i="5"/>
  <c r="Q1537" i="5"/>
  <c r="P1537" i="5"/>
  <c r="Q1482" i="5"/>
  <c r="P1482" i="5"/>
  <c r="Q1423" i="5"/>
  <c r="P1423" i="5"/>
  <c r="Q1312" i="5"/>
  <c r="P1312" i="5"/>
  <c r="Q1257" i="5"/>
  <c r="P1257" i="5"/>
  <c r="P1459" i="5"/>
  <c r="Q1459" i="5"/>
  <c r="Q1313" i="5"/>
  <c r="P1313" i="5"/>
  <c r="P1234" i="5"/>
  <c r="Q1234" i="5"/>
  <c r="Q2136" i="5"/>
  <c r="P2136" i="5"/>
  <c r="P2077" i="5"/>
  <c r="Q2077" i="5"/>
  <c r="Q1984" i="5"/>
  <c r="P1984" i="5"/>
  <c r="P1199" i="5"/>
  <c r="Q1199" i="5"/>
  <c r="Q1905" i="5"/>
  <c r="P1905" i="5"/>
  <c r="Q1845" i="5"/>
  <c r="P1845" i="5"/>
  <c r="J1198" i="5"/>
  <c r="Q1198" i="5"/>
  <c r="P1198" i="5"/>
  <c r="Q1735" i="5"/>
  <c r="P1735" i="5"/>
  <c r="Q1675" i="5"/>
  <c r="P1675" i="5"/>
  <c r="Q1624" i="5"/>
  <c r="P1624" i="5"/>
  <c r="Q1564" i="5"/>
  <c r="P1564" i="5"/>
  <c r="Q1475" i="5"/>
  <c r="P1475" i="5"/>
  <c r="P1167" i="5"/>
  <c r="Q1167" i="5"/>
  <c r="K1222" i="5"/>
  <c r="P1222" i="5"/>
  <c r="Q1222" i="5"/>
  <c r="Q2147" i="5"/>
  <c r="P2147" i="5"/>
  <c r="Q2087" i="5"/>
  <c r="P2087" i="5"/>
  <c r="K1120" i="5"/>
  <c r="Q1120" i="5"/>
  <c r="P1120" i="5"/>
  <c r="J1211" i="5"/>
  <c r="Q1211" i="5"/>
  <c r="P1211" i="5"/>
  <c r="Q1332" i="5"/>
  <c r="P1332" i="5"/>
  <c r="Q1269" i="5"/>
  <c r="P1269" i="5"/>
  <c r="P1178" i="5"/>
  <c r="Q1178" i="5"/>
  <c r="P1414" i="5"/>
  <c r="Q1414" i="5"/>
  <c r="Q1986" i="5"/>
  <c r="P1986" i="5"/>
  <c r="J1208" i="5"/>
  <c r="Q1208" i="5"/>
  <c r="P1208" i="5"/>
  <c r="Q1857" i="5"/>
  <c r="P1857" i="5"/>
  <c r="Q1805" i="5"/>
  <c r="P1805" i="5"/>
  <c r="Q1763" i="5"/>
  <c r="P1763" i="5"/>
  <c r="Q1711" i="5"/>
  <c r="P1711" i="5"/>
  <c r="Q1610" i="5"/>
  <c r="P1610" i="5"/>
  <c r="Q1558" i="5"/>
  <c r="P1558" i="5"/>
  <c r="Q1506" i="5"/>
  <c r="P1506" i="5"/>
  <c r="Q1402" i="5"/>
  <c r="P1402" i="5"/>
  <c r="Q1275" i="5"/>
  <c r="P1275" i="5"/>
  <c r="P1209" i="5"/>
  <c r="Q1209" i="5"/>
  <c r="Q1946" i="5"/>
  <c r="P1946" i="5"/>
  <c r="P1916" i="5"/>
  <c r="Q1916" i="5"/>
  <c r="P1858" i="5"/>
  <c r="Q1858" i="5"/>
  <c r="P1799" i="5"/>
  <c r="Q1799" i="5"/>
  <c r="P1748" i="5"/>
  <c r="Q1748" i="5"/>
  <c r="P1688" i="5"/>
  <c r="Q1688" i="5"/>
  <c r="P1111" i="5"/>
  <c r="Q1111" i="5"/>
  <c r="Q1577" i="5"/>
  <c r="P1577" i="5"/>
  <c r="Q1517" i="5"/>
  <c r="P1517" i="5"/>
  <c r="Q1462" i="5"/>
  <c r="P1462" i="5"/>
  <c r="Q1403" i="5"/>
  <c r="P1403" i="5"/>
  <c r="Q1344" i="5"/>
  <c r="P1344" i="5"/>
  <c r="Q1290" i="5"/>
  <c r="P1290" i="5"/>
  <c r="P1201" i="5"/>
  <c r="N1201" i="5" s="1"/>
  <c r="Q1201" i="5"/>
  <c r="Q1273" i="5"/>
  <c r="P1273" i="5"/>
  <c r="P2114" i="5"/>
  <c r="P2065" i="5"/>
  <c r="P1999" i="5"/>
  <c r="P1123" i="5"/>
  <c r="N1123" i="5" s="1"/>
  <c r="P1922" i="5"/>
  <c r="P1830" i="5"/>
  <c r="P1820" i="5"/>
  <c r="P1736" i="5"/>
  <c r="P1668" i="5"/>
  <c r="P1642" i="5"/>
  <c r="P1523" i="5"/>
  <c r="P1494" i="5"/>
  <c r="P1425" i="5"/>
  <c r="P1223" i="5"/>
  <c r="P1366" i="5"/>
  <c r="P1284" i="5"/>
  <c r="P1131" i="5"/>
  <c r="N1131" i="5" s="1"/>
  <c r="P2163" i="5"/>
  <c r="P2072" i="5"/>
  <c r="F745" i="5"/>
  <c r="F788" i="5"/>
  <c r="F779" i="5"/>
  <c r="F816" i="5"/>
  <c r="F808" i="5"/>
  <c r="F803" i="5"/>
  <c r="F843" i="5"/>
  <c r="F876" i="5"/>
  <c r="F867" i="5"/>
  <c r="F858" i="5"/>
  <c r="F908" i="5"/>
  <c r="F899" i="5"/>
  <c r="F889" i="5"/>
  <c r="F940" i="5"/>
  <c r="F931" i="5"/>
  <c r="F922" i="5"/>
  <c r="F913" i="5"/>
  <c r="F963" i="5"/>
  <c r="F954" i="5"/>
  <c r="F945" i="5"/>
  <c r="F997" i="5"/>
  <c r="F988" i="5"/>
  <c r="F979" i="5"/>
  <c r="F973" i="5"/>
  <c r="F1021" i="5"/>
  <c r="F1012" i="5"/>
  <c r="F1003" i="5"/>
  <c r="F1055" i="5"/>
  <c r="F1046" i="5"/>
  <c r="F1037" i="5"/>
  <c r="F1062" i="5"/>
  <c r="F1070" i="5"/>
  <c r="F1078" i="5"/>
  <c r="F1086" i="5"/>
  <c r="Q2124" i="5"/>
  <c r="P2124" i="5"/>
  <c r="Q1254" i="5"/>
  <c r="P1254" i="5"/>
  <c r="Q2048" i="5"/>
  <c r="P2048" i="5"/>
  <c r="Q1961" i="5"/>
  <c r="P1961" i="5"/>
  <c r="Q1933" i="5"/>
  <c r="P1933" i="5"/>
  <c r="Q1867" i="5"/>
  <c r="P1867" i="5"/>
  <c r="Q1807" i="5"/>
  <c r="P1807" i="5"/>
  <c r="Q1757" i="5"/>
  <c r="P1757" i="5"/>
  <c r="Q1697" i="5"/>
  <c r="P1697" i="5"/>
  <c r="Q1640" i="5"/>
  <c r="P1640" i="5"/>
  <c r="Q1586" i="5"/>
  <c r="P1586" i="5"/>
  <c r="Q1526" i="5"/>
  <c r="P1526" i="5"/>
  <c r="Q1471" i="5"/>
  <c r="P1471" i="5"/>
  <c r="Q1412" i="5"/>
  <c r="P1412" i="5"/>
  <c r="Q1356" i="5"/>
  <c r="P1356" i="5"/>
  <c r="P1887" i="5"/>
  <c r="Q1887" i="5"/>
  <c r="Q1562" i="5"/>
  <c r="P1562" i="5"/>
  <c r="Q2149" i="5"/>
  <c r="P2149" i="5"/>
  <c r="Q2091" i="5"/>
  <c r="P2091" i="5"/>
  <c r="Q1141" i="5"/>
  <c r="P1141" i="5"/>
  <c r="Q1997" i="5"/>
  <c r="P1997" i="5"/>
  <c r="J1918" i="5"/>
  <c r="Q1918" i="5"/>
  <c r="P1918" i="5"/>
  <c r="Q1868" i="5"/>
  <c r="P1868" i="5"/>
  <c r="Q1816" i="5"/>
  <c r="P1816" i="5"/>
  <c r="Q1716" i="5"/>
  <c r="P1716" i="5"/>
  <c r="Q1664" i="5"/>
  <c r="P1664" i="5"/>
  <c r="Q1621" i="5"/>
  <c r="P1621" i="5"/>
  <c r="Q1569" i="5"/>
  <c r="P1569" i="5"/>
  <c r="Q1464" i="5"/>
  <c r="P1464" i="5"/>
  <c r="Q1413" i="5"/>
  <c r="P1413" i="5"/>
  <c r="P1554" i="5"/>
  <c r="Q1554" i="5"/>
  <c r="Q1231" i="5"/>
  <c r="P1231" i="5"/>
  <c r="Q2126" i="5"/>
  <c r="P2126" i="5"/>
  <c r="Q2075" i="5"/>
  <c r="P2075" i="5"/>
  <c r="Q1982" i="5"/>
  <c r="P1982" i="5"/>
  <c r="K1189" i="5"/>
  <c r="Q1189" i="5"/>
  <c r="P1189" i="5"/>
  <c r="N1189" i="5" s="1"/>
  <c r="Q1869" i="5"/>
  <c r="P1869" i="5"/>
  <c r="Q1817" i="5"/>
  <c r="P1817" i="5"/>
  <c r="Q1717" i="5"/>
  <c r="P1717" i="5"/>
  <c r="Q1116" i="5"/>
  <c r="P1116" i="5"/>
  <c r="N1116" i="5" s="1"/>
  <c r="Q2119" i="5"/>
  <c r="P2119" i="5"/>
  <c r="Q2069" i="5"/>
  <c r="P2069" i="5"/>
  <c r="Q1975" i="5"/>
  <c r="P1975" i="5"/>
  <c r="Q1113" i="5"/>
  <c r="P1113" i="5"/>
  <c r="N1113" i="5" s="1"/>
  <c r="P1888" i="5"/>
  <c r="Q1888" i="5"/>
  <c r="P1828" i="5"/>
  <c r="Q1828" i="5"/>
  <c r="P1112" i="5"/>
  <c r="Q1112" i="5"/>
  <c r="Q1718" i="5"/>
  <c r="P1718" i="5"/>
  <c r="Q1658" i="5"/>
  <c r="P1658" i="5"/>
  <c r="Q1607" i="5"/>
  <c r="P1607" i="5"/>
  <c r="Q1547" i="5"/>
  <c r="P1547" i="5"/>
  <c r="Q1492" i="5"/>
  <c r="P1492" i="5"/>
  <c r="Q1433" i="5"/>
  <c r="P1433" i="5"/>
  <c r="Q1122" i="5"/>
  <c r="P1122" i="5"/>
  <c r="Q1322" i="5"/>
  <c r="P1322" i="5"/>
  <c r="P1267" i="5"/>
  <c r="Q1267" i="5"/>
  <c r="Q1467" i="5"/>
  <c r="P1467" i="5"/>
  <c r="Q1331" i="5"/>
  <c r="P1331" i="5"/>
  <c r="Q1158" i="5"/>
  <c r="P1158" i="5"/>
  <c r="Q2146" i="5"/>
  <c r="P2146" i="5"/>
  <c r="Q2086" i="5"/>
  <c r="P2086" i="5"/>
  <c r="Q1114" i="5"/>
  <c r="P1114" i="5"/>
  <c r="Q1992" i="5"/>
  <c r="P1992" i="5"/>
  <c r="K1091" i="5"/>
  <c r="Q1091" i="5"/>
  <c r="P1091" i="5"/>
  <c r="Q1883" i="5"/>
  <c r="P1883" i="5"/>
  <c r="Q1823" i="5"/>
  <c r="P1823" i="5"/>
  <c r="Q1773" i="5"/>
  <c r="P1773" i="5"/>
  <c r="Q1713" i="5"/>
  <c r="P1713" i="5"/>
  <c r="Q1653" i="5"/>
  <c r="P1653" i="5"/>
  <c r="Q1602" i="5"/>
  <c r="P1602" i="5"/>
  <c r="Q1542" i="5"/>
  <c r="P1542" i="5"/>
  <c r="Q1434" i="5"/>
  <c r="P1434" i="5"/>
  <c r="Q1341" i="5"/>
  <c r="P1341" i="5"/>
  <c r="Q1289" i="5"/>
  <c r="P1289" i="5"/>
  <c r="Q2153" i="5"/>
  <c r="P2153" i="5"/>
  <c r="Q2095" i="5"/>
  <c r="P2095" i="5"/>
  <c r="P1161" i="5"/>
  <c r="Q1161" i="5"/>
  <c r="Q1342" i="5"/>
  <c r="P1342" i="5"/>
  <c r="Q1280" i="5"/>
  <c r="P1280" i="5"/>
  <c r="J1109" i="5"/>
  <c r="Q1109" i="5"/>
  <c r="P1109" i="5"/>
  <c r="Q1343" i="5"/>
  <c r="P1343" i="5"/>
  <c r="Q1240" i="5"/>
  <c r="P1240" i="5"/>
  <c r="Q1994" i="5"/>
  <c r="P1994" i="5"/>
  <c r="Q1915" i="5"/>
  <c r="P1915" i="5"/>
  <c r="Q1865" i="5"/>
  <c r="P1865" i="5"/>
  <c r="Q1813" i="5"/>
  <c r="P1813" i="5"/>
  <c r="Q1771" i="5"/>
  <c r="P1771" i="5"/>
  <c r="Q1661" i="5"/>
  <c r="P1661" i="5"/>
  <c r="Q1618" i="5"/>
  <c r="P1618" i="5"/>
  <c r="Q1566" i="5"/>
  <c r="P1566" i="5"/>
  <c r="Q1461" i="5"/>
  <c r="P1461" i="5"/>
  <c r="Q1418" i="5"/>
  <c r="P1418" i="5"/>
  <c r="J1261" i="5"/>
  <c r="Q1261" i="5"/>
  <c r="P1261" i="5"/>
  <c r="J1253" i="5"/>
  <c r="P1253" i="5"/>
  <c r="Q1253" i="5"/>
  <c r="Q1924" i="5"/>
  <c r="P1924" i="5"/>
  <c r="Q1866" i="5"/>
  <c r="P1866" i="5"/>
  <c r="Q1806" i="5"/>
  <c r="P1806" i="5"/>
  <c r="Q1756" i="5"/>
  <c r="P1756" i="5"/>
  <c r="Q1696" i="5"/>
  <c r="P1696" i="5"/>
  <c r="Q1639" i="5"/>
  <c r="P1639" i="5"/>
  <c r="Q1585" i="5"/>
  <c r="P1585" i="5"/>
  <c r="Q1525" i="5"/>
  <c r="P1525" i="5"/>
  <c r="Q1470" i="5"/>
  <c r="P1470" i="5"/>
  <c r="Q1411" i="5"/>
  <c r="P1411" i="5"/>
  <c r="Q1355" i="5"/>
  <c r="P1355" i="5"/>
  <c r="Q1298" i="5"/>
  <c r="P1298" i="5"/>
  <c r="Q1364" i="5"/>
  <c r="P1364" i="5"/>
  <c r="J1172" i="5"/>
  <c r="Q1172" i="5"/>
  <c r="P2138" i="5"/>
  <c r="P1124" i="5"/>
  <c r="N1124" i="5" s="1"/>
  <c r="P1993" i="5"/>
  <c r="Q1898" i="5"/>
  <c r="P1864" i="5"/>
  <c r="Q1746" i="5"/>
  <c r="P1770" i="5"/>
  <c r="P1625" i="5"/>
  <c r="Q1557" i="5"/>
  <c r="P1468" i="5"/>
  <c r="Q1401" i="5"/>
  <c r="P1338" i="5"/>
  <c r="Q1252" i="5"/>
  <c r="N1252" i="5" s="1"/>
  <c r="Q2139" i="5"/>
  <c r="P2105" i="5"/>
  <c r="F751" i="5"/>
  <c r="F770" i="5"/>
  <c r="F768" i="5"/>
  <c r="F759" i="5"/>
  <c r="F750" i="5"/>
  <c r="F796" i="5"/>
  <c r="F787" i="5"/>
  <c r="F778" i="5"/>
  <c r="F799" i="5"/>
  <c r="F815" i="5"/>
  <c r="F802" i="5"/>
  <c r="F841" i="5"/>
  <c r="F875" i="5"/>
  <c r="F866" i="5"/>
  <c r="F857" i="5"/>
  <c r="F907" i="5"/>
  <c r="F897" i="5"/>
  <c r="F888" i="5"/>
  <c r="F939" i="5"/>
  <c r="F930" i="5"/>
  <c r="F921" i="5"/>
  <c r="F971" i="5"/>
  <c r="F962" i="5"/>
  <c r="F953" i="5"/>
  <c r="F944" i="5"/>
  <c r="F996" i="5"/>
  <c r="F987" i="5"/>
  <c r="F978" i="5"/>
  <c r="F999" i="5"/>
  <c r="F1020" i="5"/>
  <c r="F1011" i="5"/>
  <c r="F1002" i="5"/>
  <c r="F1054" i="5"/>
  <c r="F1045" i="5"/>
  <c r="F1036" i="5"/>
  <c r="F1063" i="5"/>
  <c r="F1071" i="5"/>
  <c r="F1079" i="5"/>
  <c r="F1087" i="5"/>
  <c r="F847" i="5"/>
  <c r="F839" i="5"/>
  <c r="F286" i="5"/>
  <c r="F810" i="5"/>
  <c r="F807" i="5"/>
  <c r="F966" i="5"/>
  <c r="F958" i="5"/>
  <c r="F950" i="5"/>
  <c r="Q2132" i="5"/>
  <c r="P2132" i="5"/>
  <c r="Q2073" i="5"/>
  <c r="P2073" i="5"/>
  <c r="P2056" i="5"/>
  <c r="Q2056" i="5"/>
  <c r="Q1941" i="5"/>
  <c r="P1941" i="5"/>
  <c r="Q1911" i="5"/>
  <c r="P1911" i="5"/>
  <c r="Q1875" i="5"/>
  <c r="P1875" i="5"/>
  <c r="Q1815" i="5"/>
  <c r="P1815" i="5"/>
  <c r="Q1765" i="5"/>
  <c r="P1765" i="5"/>
  <c r="Q1705" i="5"/>
  <c r="P1705" i="5"/>
  <c r="Q1645" i="5"/>
  <c r="P1645" i="5"/>
  <c r="Q1594" i="5"/>
  <c r="P1594" i="5"/>
  <c r="Q1534" i="5"/>
  <c r="P1534" i="5"/>
  <c r="Q1479" i="5"/>
  <c r="P1479" i="5"/>
  <c r="Q1420" i="5"/>
  <c r="P1420" i="5"/>
  <c r="P1318" i="5"/>
  <c r="Q1318" i="5"/>
  <c r="Q1733" i="5"/>
  <c r="P1733" i="5"/>
  <c r="Q1520" i="5"/>
  <c r="P1520" i="5"/>
  <c r="Q2157" i="5"/>
  <c r="P2157" i="5"/>
  <c r="Q2099" i="5"/>
  <c r="P2099" i="5"/>
  <c r="Q1181" i="5"/>
  <c r="P1181" i="5"/>
  <c r="N1181" i="5" s="1"/>
  <c r="Q1948" i="5"/>
  <c r="P1948" i="5"/>
  <c r="Q1926" i="5"/>
  <c r="P1926" i="5"/>
  <c r="Q1876" i="5"/>
  <c r="P1876" i="5"/>
  <c r="Q1776" i="5"/>
  <c r="P1776" i="5"/>
  <c r="Q1724" i="5"/>
  <c r="P1724" i="5"/>
  <c r="Q1672" i="5"/>
  <c r="P1672" i="5"/>
  <c r="Q1629" i="5"/>
  <c r="P1629" i="5"/>
  <c r="Q1519" i="5"/>
  <c r="P1519" i="5"/>
  <c r="Q1472" i="5"/>
  <c r="P1472" i="5"/>
  <c r="Q1421" i="5"/>
  <c r="P1421" i="5"/>
  <c r="Q1903" i="5"/>
  <c r="P1903" i="5"/>
  <c r="Q1536" i="5"/>
  <c r="P1536" i="5"/>
  <c r="Q1137" i="5"/>
  <c r="P1137" i="5"/>
  <c r="Q2134" i="5"/>
  <c r="P2134" i="5"/>
  <c r="Q1104" i="5"/>
  <c r="P1104" i="5"/>
  <c r="P1990" i="5"/>
  <c r="Q1990" i="5"/>
  <c r="Q1225" i="5"/>
  <c r="P1225" i="5"/>
  <c r="Q1877" i="5"/>
  <c r="P1877" i="5"/>
  <c r="Q1777" i="5"/>
  <c r="P1777" i="5"/>
  <c r="Q1741" i="5"/>
  <c r="P1741" i="5"/>
  <c r="Q2127" i="5"/>
  <c r="P2127" i="5"/>
  <c r="Q2076" i="5"/>
  <c r="P2076" i="5"/>
  <c r="Q1983" i="5"/>
  <c r="P1983" i="5"/>
  <c r="J1156" i="5"/>
  <c r="Q1156" i="5"/>
  <c r="P1156" i="5"/>
  <c r="Q1896" i="5"/>
  <c r="P1896" i="5"/>
  <c r="Q1836" i="5"/>
  <c r="P1836" i="5"/>
  <c r="Q1783" i="5"/>
  <c r="P1783" i="5"/>
  <c r="Q1726" i="5"/>
  <c r="P1726" i="5"/>
  <c r="Q1666" i="5"/>
  <c r="P1666" i="5"/>
  <c r="P1615" i="5"/>
  <c r="Q1615" i="5"/>
  <c r="P1555" i="5"/>
  <c r="Q1555" i="5"/>
  <c r="P1496" i="5"/>
  <c r="Q1496" i="5"/>
  <c r="Q1440" i="5"/>
  <c r="P1440" i="5"/>
  <c r="K1163" i="5"/>
  <c r="Q1163" i="5"/>
  <c r="P1163" i="5"/>
  <c r="Q1330" i="5"/>
  <c r="P1330" i="5"/>
  <c r="Q1101" i="5"/>
  <c r="P1101" i="5"/>
  <c r="Q1483" i="5"/>
  <c r="P1483" i="5"/>
  <c r="Q1279" i="5"/>
  <c r="P1279" i="5"/>
  <c r="P1657" i="5"/>
  <c r="Q1657" i="5"/>
  <c r="P2152" i="5"/>
  <c r="Q2152" i="5"/>
  <c r="P2094" i="5"/>
  <c r="Q2094" i="5"/>
  <c r="Q1157" i="5"/>
  <c r="P1157" i="5"/>
  <c r="P1943" i="5"/>
  <c r="Q1943" i="5"/>
  <c r="Q1913" i="5"/>
  <c r="P1913" i="5"/>
  <c r="Q1855" i="5"/>
  <c r="P1855" i="5"/>
  <c r="Q1796" i="5"/>
  <c r="P1796" i="5"/>
  <c r="Q1745" i="5"/>
  <c r="P1745" i="5"/>
  <c r="Q1685" i="5"/>
  <c r="P1685" i="5"/>
  <c r="Q1634" i="5"/>
  <c r="P1634" i="5"/>
  <c r="P1574" i="5"/>
  <c r="Q1574" i="5"/>
  <c r="P1514" i="5"/>
  <c r="Q1514" i="5"/>
  <c r="Q1441" i="5"/>
  <c r="P1441" i="5"/>
  <c r="Q1360" i="5"/>
  <c r="P1360" i="5"/>
  <c r="Q1248" i="5"/>
  <c r="P1248" i="5"/>
  <c r="Q2161" i="5"/>
  <c r="P2161" i="5"/>
  <c r="Q2103" i="5"/>
  <c r="P2103" i="5"/>
  <c r="Q1200" i="5"/>
  <c r="P1200" i="5"/>
  <c r="K1353" i="5"/>
  <c r="Q1353" i="5"/>
  <c r="P1353" i="5"/>
  <c r="Q1288" i="5"/>
  <c r="P1288" i="5"/>
  <c r="Q1154" i="5"/>
  <c r="P1154" i="5"/>
  <c r="N1154" i="5" s="1"/>
  <c r="Q1362" i="5"/>
  <c r="P1362" i="5"/>
  <c r="Q1945" i="5"/>
  <c r="P1945" i="5"/>
  <c r="J1923" i="5"/>
  <c r="Q1923" i="5"/>
  <c r="P1923" i="5"/>
  <c r="Q1873" i="5"/>
  <c r="P1873" i="5"/>
  <c r="Q1821" i="5"/>
  <c r="P1821" i="5"/>
  <c r="Q1721" i="5"/>
  <c r="P1721" i="5"/>
  <c r="Q1669" i="5"/>
  <c r="P1669" i="5"/>
  <c r="Q1626" i="5"/>
  <c r="P1626" i="5"/>
  <c r="Q1516" i="5"/>
  <c r="P1516" i="5"/>
  <c r="Q1469" i="5"/>
  <c r="P1469" i="5"/>
  <c r="Q1138" i="5"/>
  <c r="P1138" i="5"/>
  <c r="P1089" i="5"/>
  <c r="Q1089" i="5"/>
  <c r="Q1960" i="5"/>
  <c r="P1960" i="5"/>
  <c r="Q1932" i="5"/>
  <c r="P1932" i="5"/>
  <c r="Q1874" i="5"/>
  <c r="P1874" i="5"/>
  <c r="Q1814" i="5"/>
  <c r="P1814" i="5"/>
  <c r="Q1764" i="5"/>
  <c r="P1764" i="5"/>
  <c r="Q1704" i="5"/>
  <c r="P1704" i="5"/>
  <c r="Q1644" i="5"/>
  <c r="P1644" i="5"/>
  <c r="Q1593" i="5"/>
  <c r="P1593" i="5"/>
  <c r="Q1533" i="5"/>
  <c r="P1533" i="5"/>
  <c r="Q1478" i="5"/>
  <c r="P1478" i="5"/>
  <c r="Q1419" i="5"/>
  <c r="P1419" i="5"/>
  <c r="Q1363" i="5"/>
  <c r="P1363" i="5"/>
  <c r="Q1236" i="5"/>
  <c r="P1236" i="5"/>
  <c r="Q1309" i="5"/>
  <c r="P1309" i="5"/>
  <c r="P1665" i="5"/>
  <c r="Q1665" i="5"/>
  <c r="P2154" i="5"/>
  <c r="P2104" i="5"/>
  <c r="P2047" i="5"/>
  <c r="P1958" i="5"/>
  <c r="P1164" i="5"/>
  <c r="N1164" i="5" s="1"/>
  <c r="P1930" i="5"/>
  <c r="P1804" i="5"/>
  <c r="P1778" i="5"/>
  <c r="P1710" i="5"/>
  <c r="P1676" i="5"/>
  <c r="P1650" i="5"/>
  <c r="P1591" i="5"/>
  <c r="P1498" i="5"/>
  <c r="P1435" i="5"/>
  <c r="P1336" i="5"/>
  <c r="P1292" i="5"/>
  <c r="P1265" i="5"/>
  <c r="P1172" i="5"/>
  <c r="P1347" i="5"/>
  <c r="P2115" i="5"/>
  <c r="F762" i="5"/>
  <c r="F758" i="5"/>
  <c r="F749" i="5"/>
  <c r="F795" i="5"/>
  <c r="F786" i="5"/>
  <c r="F776" i="5"/>
  <c r="F822" i="5"/>
  <c r="F814" i="5"/>
  <c r="F801" i="5"/>
  <c r="F840" i="5"/>
  <c r="F853" i="5"/>
  <c r="F874" i="5"/>
  <c r="F865" i="5"/>
  <c r="F856" i="5"/>
  <c r="F905" i="5"/>
  <c r="F896" i="5"/>
  <c r="F887" i="5"/>
  <c r="F938" i="5"/>
  <c r="F929" i="5"/>
  <c r="F919" i="5"/>
  <c r="F970" i="5"/>
  <c r="F961" i="5"/>
  <c r="F952" i="5"/>
  <c r="F943" i="5"/>
  <c r="P119" i="5"/>
  <c r="F995" i="5"/>
  <c r="F986" i="5"/>
  <c r="F977" i="5"/>
  <c r="F1028" i="5"/>
  <c r="F1019" i="5"/>
  <c r="F1010" i="5"/>
  <c r="F1001" i="5"/>
  <c r="F1053" i="5"/>
  <c r="F1044" i="5"/>
  <c r="F1033" i="5"/>
  <c r="F1064" i="5"/>
  <c r="F1072" i="5"/>
  <c r="F1080" i="5"/>
  <c r="F1088" i="5"/>
  <c r="Q2140" i="5"/>
  <c r="P2140" i="5"/>
  <c r="P2080" i="5"/>
  <c r="Q2080" i="5"/>
  <c r="Q1972" i="5"/>
  <c r="P1972" i="5"/>
  <c r="P1099" i="5"/>
  <c r="N1099" i="5" s="1"/>
  <c r="Q1099" i="5"/>
  <c r="Q1853" i="5"/>
  <c r="P1853" i="5"/>
  <c r="Q1794" i="5"/>
  <c r="P1794" i="5"/>
  <c r="Q1743" i="5"/>
  <c r="P1743" i="5"/>
  <c r="Q1683" i="5"/>
  <c r="P1683" i="5"/>
  <c r="P1632" i="5"/>
  <c r="Q1632" i="5"/>
  <c r="P1572" i="5"/>
  <c r="Q1572" i="5"/>
  <c r="P1512" i="5"/>
  <c r="Q1512" i="5"/>
  <c r="P1457" i="5"/>
  <c r="Q1457" i="5"/>
  <c r="P1398" i="5"/>
  <c r="Q1398" i="5"/>
  <c r="Q1283" i="5"/>
  <c r="P1283" i="5"/>
  <c r="Q1691" i="5"/>
  <c r="P1691" i="5"/>
  <c r="Q1491" i="5"/>
  <c r="P1491" i="5"/>
  <c r="Q2165" i="5"/>
  <c r="P2165" i="5"/>
  <c r="Q2107" i="5"/>
  <c r="P2107" i="5"/>
  <c r="Q1216" i="5"/>
  <c r="P1216" i="5"/>
  <c r="Q1954" i="5"/>
  <c r="P1954" i="5"/>
  <c r="K1934" i="5"/>
  <c r="Q1934" i="5"/>
  <c r="P1934" i="5"/>
  <c r="Q1826" i="5"/>
  <c r="P1826" i="5"/>
  <c r="Q1146" i="5"/>
  <c r="P1146" i="5"/>
  <c r="N1146" i="5" s="1"/>
  <c r="Q1732" i="5"/>
  <c r="P1732" i="5"/>
  <c r="Q1680" i="5"/>
  <c r="P1680" i="5"/>
  <c r="Q1579" i="5"/>
  <c r="P1579" i="5"/>
  <c r="Q1527" i="5"/>
  <c r="P1527" i="5"/>
  <c r="Q1480" i="5"/>
  <c r="P1480" i="5"/>
  <c r="Q1110" i="5"/>
  <c r="P1110" i="5"/>
  <c r="J1239" i="5"/>
  <c r="P1239" i="5"/>
  <c r="P1725" i="5"/>
  <c r="Q1725" i="5"/>
  <c r="P1481" i="5"/>
  <c r="Q1481" i="5"/>
  <c r="Q1214" i="5"/>
  <c r="P1214" i="5"/>
  <c r="Q2084" i="5"/>
  <c r="P2084" i="5"/>
  <c r="Q1148" i="5"/>
  <c r="P1148" i="5"/>
  <c r="N1148" i="5" s="1"/>
  <c r="Q1998" i="5"/>
  <c r="P1998" i="5"/>
  <c r="Q1919" i="5"/>
  <c r="P1919" i="5"/>
  <c r="Q1827" i="5"/>
  <c r="P1827" i="5"/>
  <c r="Q1782" i="5"/>
  <c r="P1782" i="5"/>
  <c r="Q1673" i="5"/>
  <c r="P1673" i="5"/>
  <c r="K1266" i="5"/>
  <c r="Q1266" i="5"/>
  <c r="P1266" i="5"/>
  <c r="Q2135" i="5"/>
  <c r="P2135" i="5"/>
  <c r="Q1108" i="5"/>
  <c r="P1108" i="5"/>
  <c r="Q1991" i="5"/>
  <c r="P1991" i="5"/>
  <c r="P1194" i="5"/>
  <c r="N1194" i="5" s="1"/>
  <c r="Q1194" i="5"/>
  <c r="Q1904" i="5"/>
  <c r="P1904" i="5"/>
  <c r="Q1844" i="5"/>
  <c r="P1844" i="5"/>
  <c r="Q1789" i="5"/>
  <c r="P1789" i="5"/>
  <c r="Q1734" i="5"/>
  <c r="P1734" i="5"/>
  <c r="Q1674" i="5"/>
  <c r="P1674" i="5"/>
  <c r="Q1623" i="5"/>
  <c r="P1623" i="5"/>
  <c r="Q1563" i="5"/>
  <c r="P1563" i="5"/>
  <c r="Q1193" i="5"/>
  <c r="P1193" i="5"/>
  <c r="Q1448" i="5"/>
  <c r="P1448" i="5"/>
  <c r="Q1202" i="5"/>
  <c r="P1202" i="5"/>
  <c r="Q1278" i="5"/>
  <c r="P1278" i="5"/>
  <c r="Q1142" i="5"/>
  <c r="P1142" i="5"/>
  <c r="Q1449" i="5"/>
  <c r="P1449" i="5"/>
  <c r="Q1295" i="5"/>
  <c r="P1295" i="5"/>
  <c r="P1151" i="5"/>
  <c r="Q1151" i="5"/>
  <c r="Q2160" i="5"/>
  <c r="P2160" i="5"/>
  <c r="Q2102" i="5"/>
  <c r="P2102" i="5"/>
  <c r="K1195" i="5"/>
  <c r="Q1195" i="5"/>
  <c r="P1195" i="5"/>
  <c r="Q1951" i="5"/>
  <c r="P1951" i="5"/>
  <c r="Q1921" i="5"/>
  <c r="P1921" i="5"/>
  <c r="Q1863" i="5"/>
  <c r="P1863" i="5"/>
  <c r="Q1803" i="5"/>
  <c r="P1803" i="5"/>
  <c r="Q1753" i="5"/>
  <c r="P1753" i="5"/>
  <c r="Q1693" i="5"/>
  <c r="P1693" i="5"/>
  <c r="Q1139" i="5"/>
  <c r="P1139" i="5"/>
  <c r="N1139" i="5" s="1"/>
  <c r="Q1582" i="5"/>
  <c r="P1582" i="5"/>
  <c r="Q1522" i="5"/>
  <c r="P1522" i="5"/>
  <c r="Q1428" i="5"/>
  <c r="P1428" i="5"/>
  <c r="P1323" i="5"/>
  <c r="Q1323" i="5"/>
  <c r="Q1115" i="5"/>
  <c r="P1115" i="5"/>
  <c r="P2141" i="5"/>
  <c r="Q2141" i="5"/>
  <c r="P2081" i="5"/>
  <c r="Q2081" i="5"/>
  <c r="Q1092" i="5"/>
  <c r="P1092" i="5"/>
  <c r="N1092" i="5" s="1"/>
  <c r="Q1361" i="5"/>
  <c r="P1361" i="5"/>
  <c r="Q1296" i="5"/>
  <c r="P1296" i="5"/>
  <c r="J1191" i="5"/>
  <c r="Q1191" i="5"/>
  <c r="P1191" i="5"/>
  <c r="Q1315" i="5"/>
  <c r="P1315" i="5"/>
  <c r="Q2038" i="5"/>
  <c r="P2038" i="5"/>
  <c r="Q1953" i="5"/>
  <c r="P1953" i="5"/>
  <c r="K1931" i="5"/>
  <c r="Q1931" i="5"/>
  <c r="P1931" i="5"/>
  <c r="Q1881" i="5"/>
  <c r="P1881" i="5"/>
  <c r="Q1779" i="5"/>
  <c r="P1779" i="5"/>
  <c r="Q1729" i="5"/>
  <c r="P1729" i="5"/>
  <c r="Q1677" i="5"/>
  <c r="P1677" i="5"/>
  <c r="Q1576" i="5"/>
  <c r="P1576" i="5"/>
  <c r="Q1524" i="5"/>
  <c r="P1524" i="5"/>
  <c r="Q1477" i="5"/>
  <c r="P1477" i="5"/>
  <c r="Q1354" i="5"/>
  <c r="P1354" i="5"/>
  <c r="Q1510" i="5"/>
  <c r="P1510" i="5"/>
  <c r="Q1968" i="5"/>
  <c r="P1968" i="5"/>
  <c r="Q1940" i="5"/>
  <c r="P1940" i="5"/>
  <c r="Q1882" i="5"/>
  <c r="P1882" i="5"/>
  <c r="Q1822" i="5"/>
  <c r="P1822" i="5"/>
  <c r="Q1772" i="5"/>
  <c r="P1772" i="5"/>
  <c r="Q1712" i="5"/>
  <c r="P1712" i="5"/>
  <c r="P1652" i="5"/>
  <c r="Q1652" i="5"/>
  <c r="P1601" i="5"/>
  <c r="Q1601" i="5"/>
  <c r="P1541" i="5"/>
  <c r="Q1541" i="5"/>
  <c r="Q1486" i="5"/>
  <c r="P1486" i="5"/>
  <c r="Q1427" i="5"/>
  <c r="P1427" i="5"/>
  <c r="Q1308" i="5"/>
  <c r="P1308" i="5"/>
  <c r="Q1249" i="5"/>
  <c r="P1249" i="5"/>
  <c r="Q1327" i="5"/>
  <c r="P1327" i="5"/>
  <c r="Q1614" i="5"/>
  <c r="P1614" i="5"/>
  <c r="Q1838" i="5"/>
  <c r="Q1686" i="5"/>
  <c r="Q1565" i="5"/>
  <c r="Q1409" i="5"/>
  <c r="Q1310" i="5"/>
  <c r="Q1347" i="5"/>
  <c r="Q2079" i="5"/>
  <c r="K1169" i="5"/>
  <c r="K1939" i="5"/>
  <c r="K1170" i="5"/>
  <c r="J1170" i="5"/>
  <c r="K1260" i="5"/>
  <c r="K1244" i="5"/>
  <c r="J1092" i="5"/>
  <c r="K1113" i="5"/>
  <c r="K1314" i="5"/>
  <c r="J1218" i="5"/>
  <c r="J1113" i="5"/>
  <c r="J1189" i="5"/>
  <c r="J1200" i="5"/>
  <c r="J1165" i="5"/>
  <c r="K1232" i="5"/>
  <c r="K1165" i="5"/>
  <c r="J1209" i="5"/>
  <c r="K1209" i="5"/>
  <c r="J1097" i="5"/>
  <c r="K1234" i="5"/>
  <c r="K1110" i="5"/>
  <c r="K1230" i="5"/>
  <c r="J1230" i="5"/>
  <c r="J1234" i="5"/>
  <c r="K1245" i="5"/>
  <c r="K1263" i="5"/>
  <c r="J1183" i="5"/>
  <c r="J1263" i="5"/>
  <c r="J1095" i="5"/>
  <c r="J1265" i="5"/>
  <c r="J1288" i="5"/>
  <c r="K1101" i="5"/>
  <c r="J1161" i="5"/>
  <c r="K1288" i="5"/>
  <c r="K1161" i="5"/>
  <c r="K1208" i="5"/>
  <c r="J1353" i="5"/>
  <c r="J1174" i="5"/>
  <c r="J1193" i="5"/>
  <c r="K1267" i="5"/>
  <c r="J1186" i="5"/>
  <c r="K1174" i="5"/>
  <c r="K1193" i="5"/>
  <c r="K1214" i="5"/>
  <c r="J1245" i="5"/>
  <c r="J1111" i="5"/>
  <c r="J1236" i="5"/>
  <c r="K1164" i="5"/>
  <c r="J1164" i="5"/>
  <c r="K1147" i="5"/>
  <c r="J1115" i="5"/>
  <c r="J1271" i="5"/>
  <c r="K1178" i="5"/>
  <c r="J1273" i="5"/>
  <c r="K1112" i="5"/>
  <c r="K1205" i="5"/>
  <c r="K1141" i="5"/>
  <c r="K1114" i="5"/>
  <c r="J1114" i="5"/>
  <c r="K1175" i="5"/>
  <c r="J1940" i="5"/>
  <c r="K1124" i="5"/>
  <c r="J1212" i="5"/>
  <c r="J1141" i="5"/>
  <c r="K1119" i="5"/>
  <c r="K1194" i="5"/>
  <c r="J1119" i="5"/>
  <c r="K1271" i="5"/>
  <c r="J1194" i="5"/>
  <c r="J1125" i="5"/>
  <c r="J1157" i="5"/>
  <c r="J1098" i="5"/>
  <c r="J1116" i="5"/>
  <c r="K1138" i="5"/>
  <c r="J1176" i="5"/>
  <c r="J1145" i="5"/>
  <c r="J1127" i="5"/>
  <c r="K1224" i="5"/>
  <c r="K1228" i="5"/>
  <c r="J1224" i="5"/>
  <c r="J1206" i="5"/>
  <c r="K1157" i="5"/>
  <c r="J1131" i="5"/>
  <c r="K1123" i="5"/>
  <c r="K1253" i="5"/>
  <c r="K1940" i="5"/>
  <c r="K1246" i="5"/>
  <c r="J1146" i="5"/>
  <c r="K1146" i="5"/>
  <c r="J1151" i="5"/>
  <c r="K1139" i="5"/>
  <c r="K1117" i="5"/>
  <c r="J1205" i="5"/>
  <c r="J1128" i="5"/>
  <c r="J1220" i="5"/>
  <c r="K1136" i="5"/>
  <c r="J1140" i="5"/>
  <c r="K1187" i="5"/>
  <c r="K1106" i="5"/>
  <c r="K1188" i="5"/>
  <c r="K1210" i="5"/>
  <c r="K1367" i="5"/>
  <c r="J1192" i="5"/>
  <c r="K1311" i="5"/>
  <c r="K1134" i="5"/>
  <c r="J1190" i="5"/>
  <c r="J1225" i="5"/>
  <c r="J1242" i="5"/>
  <c r="K1180" i="5"/>
  <c r="J1213" i="5"/>
  <c r="K1917" i="5"/>
  <c r="J1137" i="5"/>
  <c r="J1210" i="5"/>
  <c r="J1093" i="5"/>
  <c r="J12" i="12"/>
  <c r="K12" i="12"/>
  <c r="L13" i="12" s="1"/>
  <c r="J1110" i="5"/>
  <c r="J1246" i="5"/>
  <c r="I12" i="12"/>
  <c r="R762" i="5"/>
  <c r="P762" i="5" s="1"/>
  <c r="R752" i="5"/>
  <c r="Q752" i="5" s="1"/>
  <c r="R798" i="5"/>
  <c r="Q798" i="5" s="1"/>
  <c r="R789" i="5"/>
  <c r="Q789" i="5" s="1"/>
  <c r="R780" i="5"/>
  <c r="Q780" i="5" s="1"/>
  <c r="R771" i="5"/>
  <c r="P771" i="5" s="1"/>
  <c r="R817" i="5"/>
  <c r="Q817" i="5" s="1"/>
  <c r="R273" i="5"/>
  <c r="Q273" i="5" s="1"/>
  <c r="R804" i="5"/>
  <c r="P804" i="5" s="1"/>
  <c r="R845" i="5"/>
  <c r="Q845" i="5" s="1"/>
  <c r="R824" i="5"/>
  <c r="Q824" i="5" s="1"/>
  <c r="R113" i="5"/>
  <c r="P113" i="5" s="1"/>
  <c r="R73" i="5"/>
  <c r="J73" i="5" s="1"/>
  <c r="R29" i="5"/>
  <c r="Q29" i="5" s="1"/>
  <c r="R878" i="5"/>
  <c r="P878" i="5" s="1"/>
  <c r="R868" i="5"/>
  <c r="Q868" i="5" s="1"/>
  <c r="R859" i="5"/>
  <c r="Q859" i="5" s="1"/>
  <c r="R909" i="5"/>
  <c r="P909" i="5" s="1"/>
  <c r="R900" i="5"/>
  <c r="Q900" i="5" s="1"/>
  <c r="R891" i="5"/>
  <c r="Q891" i="5" s="1"/>
  <c r="R941" i="5"/>
  <c r="Q941" i="5" s="1"/>
  <c r="R932" i="5"/>
  <c r="Q932" i="5" s="1"/>
  <c r="R923" i="5"/>
  <c r="P923" i="5" s="1"/>
  <c r="R914" i="5"/>
  <c r="Q914" i="5" s="1"/>
  <c r="R964" i="5"/>
  <c r="Q964" i="5" s="1"/>
  <c r="R955" i="5"/>
  <c r="P955" i="5" s="1"/>
  <c r="R946" i="5"/>
  <c r="Q946" i="5" s="1"/>
  <c r="R136" i="5"/>
  <c r="Q136" i="5" s="1"/>
  <c r="R96" i="5"/>
  <c r="P96" i="5" s="1"/>
  <c r="R51" i="5"/>
  <c r="K51" i="5" s="1"/>
  <c r="R998" i="5"/>
  <c r="P998" i="5" s="1"/>
  <c r="R989" i="5"/>
  <c r="Q989" i="5" s="1"/>
  <c r="R980" i="5"/>
  <c r="Q980" i="5" s="1"/>
  <c r="R153" i="5"/>
  <c r="P153" i="5" s="1"/>
  <c r="R1022" i="5"/>
  <c r="Q1022" i="5" s="1"/>
  <c r="R1013" i="5"/>
  <c r="Q1013" i="5" s="1"/>
  <c r="R1004" i="5"/>
  <c r="Q1004" i="5" s="1"/>
  <c r="R1056" i="5"/>
  <c r="P1056" i="5" s="1"/>
  <c r="R1047" i="5"/>
  <c r="Q1047" i="5" s="1"/>
  <c r="R1038" i="5"/>
  <c r="Q1038" i="5" s="1"/>
  <c r="R1061" i="5"/>
  <c r="Q1061" i="5" s="1"/>
  <c r="R1069" i="5"/>
  <c r="P1069" i="5" s="1"/>
  <c r="R1077" i="5"/>
  <c r="Q1077" i="5" s="1"/>
  <c r="R1085" i="5"/>
  <c r="Q1085" i="5" s="1"/>
  <c r="R126" i="5"/>
  <c r="P126" i="5" s="1"/>
  <c r="R91" i="5"/>
  <c r="K91" i="5" s="1"/>
  <c r="R55" i="5"/>
  <c r="J55" i="5" s="1"/>
  <c r="R877" i="5"/>
  <c r="Q877" i="5" s="1"/>
  <c r="R869" i="5"/>
  <c r="Q869" i="5" s="1"/>
  <c r="R861" i="5"/>
  <c r="Q861" i="5" s="1"/>
  <c r="R882" i="5"/>
  <c r="Q882" i="5" s="1"/>
  <c r="R993" i="5"/>
  <c r="Q993" i="5" s="1"/>
  <c r="R985" i="5"/>
  <c r="Q985" i="5" s="1"/>
  <c r="R164" i="5"/>
  <c r="Q164" i="5" s="1"/>
  <c r="R751" i="5"/>
  <c r="Q751" i="5" s="1"/>
  <c r="R797" i="5"/>
  <c r="Q797" i="5" s="1"/>
  <c r="R788" i="5"/>
  <c r="Q788" i="5" s="1"/>
  <c r="R779" i="5"/>
  <c r="Q779" i="5" s="1"/>
  <c r="R770" i="5"/>
  <c r="Q770" i="5" s="1"/>
  <c r="R816" i="5"/>
  <c r="Q816" i="5" s="1"/>
  <c r="R808" i="5"/>
  <c r="P808" i="5" s="1"/>
  <c r="R803" i="5"/>
  <c r="Q803" i="5" s="1"/>
  <c r="R843" i="5"/>
  <c r="P843" i="5" s="1"/>
  <c r="R147" i="5"/>
  <c r="Q147" i="5" s="1"/>
  <c r="R109" i="5"/>
  <c r="Q109" i="5" s="1"/>
  <c r="R69" i="5"/>
  <c r="P69" i="5" s="1"/>
  <c r="R25" i="5"/>
  <c r="P25" i="5" s="1"/>
  <c r="R876" i="5"/>
  <c r="Q876" i="5" s="1"/>
  <c r="R867" i="5"/>
  <c r="P867" i="5" s="1"/>
  <c r="R858" i="5"/>
  <c r="Q858" i="5" s="1"/>
  <c r="R908" i="5"/>
  <c r="Q908" i="5" s="1"/>
  <c r="R899" i="5"/>
  <c r="Q899" i="5" s="1"/>
  <c r="R889" i="5"/>
  <c r="P889" i="5" s="1"/>
  <c r="R940" i="5"/>
  <c r="P940" i="5" s="1"/>
  <c r="R931" i="5"/>
  <c r="Q931" i="5" s="1"/>
  <c r="R922" i="5"/>
  <c r="Q922" i="5" s="1"/>
  <c r="R913" i="5"/>
  <c r="P913" i="5" s="1"/>
  <c r="R963" i="5"/>
  <c r="Q963" i="5" s="1"/>
  <c r="R954" i="5"/>
  <c r="Q954" i="5" s="1"/>
  <c r="R945" i="5"/>
  <c r="Q945" i="5" s="1"/>
  <c r="R132" i="5"/>
  <c r="Q132" i="5" s="1"/>
  <c r="R88" i="5"/>
  <c r="Q88" i="5" s="1"/>
  <c r="R45" i="5"/>
  <c r="Q45" i="5" s="1"/>
  <c r="R997" i="5"/>
  <c r="Q997" i="5" s="1"/>
  <c r="R988" i="5"/>
  <c r="Q988" i="5" s="1"/>
  <c r="R979" i="5"/>
  <c r="P979" i="5" s="1"/>
  <c r="R973" i="5"/>
  <c r="Q973" i="5" s="1"/>
  <c r="R1021" i="5"/>
  <c r="Q1021" i="5" s="1"/>
  <c r="R1012" i="5"/>
  <c r="Q1012" i="5" s="1"/>
  <c r="R1003" i="5"/>
  <c r="P1003" i="5" s="1"/>
  <c r="R1055" i="5"/>
  <c r="Q1055" i="5" s="1"/>
  <c r="R1046" i="5"/>
  <c r="Q1046" i="5" s="1"/>
  <c r="R1037" i="5"/>
  <c r="Q1037" i="5" s="1"/>
  <c r="R1062" i="5"/>
  <c r="P1062" i="5" s="1"/>
  <c r="R1070" i="5"/>
  <c r="Q1070" i="5" s="1"/>
  <c r="R1078" i="5"/>
  <c r="Q1078" i="5" s="1"/>
  <c r="R1086" i="5"/>
  <c r="Q1086" i="5" s="1"/>
  <c r="R796" i="5"/>
  <c r="P796" i="5" s="1"/>
  <c r="R787" i="5"/>
  <c r="Q787" i="5" s="1"/>
  <c r="R778" i="5"/>
  <c r="Q778" i="5" s="1"/>
  <c r="R799" i="5"/>
  <c r="Q799" i="5" s="1"/>
  <c r="R815" i="5"/>
  <c r="Q815" i="5" s="1"/>
  <c r="R270" i="5"/>
  <c r="Q270" i="5" s="1"/>
  <c r="R802" i="5"/>
  <c r="Q802" i="5" s="1"/>
  <c r="R841" i="5"/>
  <c r="P841" i="5" s="1"/>
  <c r="R143" i="5"/>
  <c r="Q143" i="5" s="1"/>
  <c r="R104" i="5"/>
  <c r="K104" i="5" s="1"/>
  <c r="R65" i="5"/>
  <c r="Q65" i="5" s="1"/>
  <c r="R21" i="5"/>
  <c r="K21" i="5" s="1"/>
  <c r="R875" i="5"/>
  <c r="P875" i="5" s="1"/>
  <c r="R866" i="5"/>
  <c r="Q866" i="5" s="1"/>
  <c r="R857" i="5"/>
  <c r="P857" i="5" s="1"/>
  <c r="R907" i="5"/>
  <c r="Q907" i="5" s="1"/>
  <c r="R897" i="5"/>
  <c r="P897" i="5" s="1"/>
  <c r="R888" i="5"/>
  <c r="Q888" i="5" s="1"/>
  <c r="R939" i="5"/>
  <c r="Q939" i="5" s="1"/>
  <c r="R930" i="5"/>
  <c r="Q930" i="5" s="1"/>
  <c r="R921" i="5"/>
  <c r="P921" i="5" s="1"/>
  <c r="R971" i="5"/>
  <c r="Q971" i="5" s="1"/>
  <c r="R962" i="5"/>
  <c r="Q962" i="5" s="1"/>
  <c r="R953" i="5"/>
  <c r="Q953" i="5" s="1"/>
  <c r="R944" i="5"/>
  <c r="P944" i="5" s="1"/>
  <c r="R123" i="5"/>
  <c r="J123" i="5" s="1"/>
  <c r="R84" i="5"/>
  <c r="P84" i="5" s="1"/>
  <c r="R40" i="5"/>
  <c r="J40" i="5" s="1"/>
  <c r="R996" i="5"/>
  <c r="Q996" i="5" s="1"/>
  <c r="R987" i="5"/>
  <c r="P987" i="5" s="1"/>
  <c r="R978" i="5"/>
  <c r="Q978" i="5" s="1"/>
  <c r="R999" i="5"/>
  <c r="Q999" i="5" s="1"/>
  <c r="R1020" i="5"/>
  <c r="Q1020" i="5" s="1"/>
  <c r="R1011" i="5"/>
  <c r="Q1011" i="5" s="1"/>
  <c r="R1002" i="5"/>
  <c r="P1002" i="5" s="1"/>
  <c r="R1054" i="5"/>
  <c r="P1054" i="5" s="1"/>
  <c r="R1045" i="5"/>
  <c r="Q1045" i="5" s="1"/>
  <c r="R1036" i="5"/>
  <c r="P1036" i="5" s="1"/>
  <c r="R1063" i="5"/>
  <c r="Q1063" i="5" s="1"/>
  <c r="R1071" i="5"/>
  <c r="Q1071" i="5" s="1"/>
  <c r="R1079" i="5"/>
  <c r="Q1079" i="5" s="1"/>
  <c r="R1087" i="5"/>
  <c r="Q1087" i="5" s="1"/>
  <c r="R847" i="5"/>
  <c r="P847" i="5" s="1"/>
  <c r="R839" i="5"/>
  <c r="P839" i="5" s="1"/>
  <c r="R17" i="5"/>
  <c r="Q17" i="5" s="1"/>
  <c r="R286" i="5"/>
  <c r="P286" i="5" s="1"/>
  <c r="R810" i="5"/>
  <c r="Q810" i="5" s="1"/>
  <c r="R807" i="5"/>
  <c r="Q807" i="5" s="1"/>
  <c r="R966" i="5"/>
  <c r="P966" i="5" s="1"/>
  <c r="R958" i="5"/>
  <c r="Q958" i="5" s="1"/>
  <c r="R950" i="5"/>
  <c r="Q950" i="5" s="1"/>
  <c r="R763" i="5"/>
  <c r="Q763" i="5" s="1"/>
  <c r="R795" i="5"/>
  <c r="P795" i="5" s="1"/>
  <c r="R822" i="5"/>
  <c r="Q822" i="5" s="1"/>
  <c r="R814" i="5"/>
  <c r="Q814" i="5" s="1"/>
  <c r="R268" i="5"/>
  <c r="K268" i="5" s="1"/>
  <c r="R801" i="5"/>
  <c r="Q801" i="5" s="1"/>
  <c r="R840" i="5"/>
  <c r="P840" i="5" s="1"/>
  <c r="R139" i="5"/>
  <c r="Q139" i="5" s="1"/>
  <c r="R100" i="5"/>
  <c r="P100" i="5" s="1"/>
  <c r="R60" i="5"/>
  <c r="Q60" i="5" s="1"/>
  <c r="R853" i="5"/>
  <c r="Q853" i="5" s="1"/>
  <c r="R874" i="5"/>
  <c r="P874" i="5" s="1"/>
  <c r="R865" i="5"/>
  <c r="Q865" i="5" s="1"/>
  <c r="R856" i="5"/>
  <c r="Q856" i="5" s="1"/>
  <c r="R905" i="5"/>
  <c r="Q905" i="5" s="1"/>
  <c r="R896" i="5"/>
  <c r="P896" i="5" s="1"/>
  <c r="R887" i="5"/>
  <c r="Q887" i="5" s="1"/>
  <c r="R938" i="5"/>
  <c r="Q938" i="5" s="1"/>
  <c r="R929" i="5"/>
  <c r="Q929" i="5" s="1"/>
  <c r="R919" i="5"/>
  <c r="P919" i="5" s="1"/>
  <c r="R970" i="5"/>
  <c r="Q970" i="5" s="1"/>
  <c r="R961" i="5"/>
  <c r="Q961" i="5" s="1"/>
  <c r="R952" i="5"/>
  <c r="Q952" i="5" s="1"/>
  <c r="R943" i="5"/>
  <c r="P943" i="5" s="1"/>
  <c r="R119" i="5"/>
  <c r="Q119" i="5" s="1"/>
  <c r="R79" i="5"/>
  <c r="K79" i="5" s="1"/>
  <c r="R35" i="5"/>
  <c r="K35" i="5" s="1"/>
  <c r="R995" i="5"/>
  <c r="Q995" i="5" s="1"/>
  <c r="R986" i="5"/>
  <c r="P986" i="5" s="1"/>
  <c r="R977" i="5"/>
  <c r="Q977" i="5" s="1"/>
  <c r="R1028" i="5"/>
  <c r="Q1028" i="5" s="1"/>
  <c r="R1019" i="5"/>
  <c r="Q1019" i="5" s="1"/>
  <c r="R1010" i="5"/>
  <c r="P1010" i="5" s="1"/>
  <c r="R1001" i="5"/>
  <c r="Q1001" i="5" s="1"/>
  <c r="R1053" i="5"/>
  <c r="P1053" i="5" s="1"/>
  <c r="R1044" i="5"/>
  <c r="Q1044" i="5" s="1"/>
  <c r="R1033" i="5"/>
  <c r="P1033" i="5" s="1"/>
  <c r="R1064" i="5"/>
  <c r="Q1064" i="5" s="1"/>
  <c r="R1072" i="5"/>
  <c r="Q1072" i="5" s="1"/>
  <c r="R1080" i="5"/>
  <c r="Q1080" i="5" s="1"/>
  <c r="R1088" i="5"/>
  <c r="P1088" i="5" s="1"/>
  <c r="R745" i="5"/>
  <c r="P745" i="5" s="1"/>
  <c r="R768" i="5"/>
  <c r="P768" i="5" s="1"/>
  <c r="R750" i="5"/>
  <c r="Q750" i="5" s="1"/>
  <c r="R758" i="5"/>
  <c r="P758" i="5" s="1"/>
  <c r="R776" i="5"/>
  <c r="Q776" i="5" s="1"/>
  <c r="R766" i="5"/>
  <c r="P766" i="5" s="1"/>
  <c r="R757" i="5"/>
  <c r="Q757" i="5" s="1"/>
  <c r="R748" i="5"/>
  <c r="P748" i="5" s="1"/>
  <c r="R794" i="5"/>
  <c r="Q794" i="5" s="1"/>
  <c r="R784" i="5"/>
  <c r="Q784" i="5" s="1"/>
  <c r="R775" i="5"/>
  <c r="Q775" i="5" s="1"/>
  <c r="R821" i="5"/>
  <c r="Q821" i="5" s="1"/>
  <c r="R813" i="5"/>
  <c r="Q813" i="5" s="1"/>
  <c r="R265" i="5"/>
  <c r="Q265" i="5" s="1"/>
  <c r="R800" i="5"/>
  <c r="Q800" i="5" s="1"/>
  <c r="R830" i="5"/>
  <c r="Q830" i="5" s="1"/>
  <c r="R135" i="5"/>
  <c r="Q135" i="5" s="1"/>
  <c r="R95" i="5"/>
  <c r="J95" i="5" s="1"/>
  <c r="R50" i="5"/>
  <c r="J50" i="5" s="1"/>
  <c r="R881" i="5"/>
  <c r="P881" i="5" s="1"/>
  <c r="R873" i="5"/>
  <c r="Q873" i="5" s="1"/>
  <c r="R864" i="5"/>
  <c r="Q864" i="5" s="1"/>
  <c r="R855" i="5"/>
  <c r="Q855" i="5" s="1"/>
  <c r="R904" i="5"/>
  <c r="Q904" i="5" s="1"/>
  <c r="R895" i="5"/>
  <c r="Q895" i="5" s="1"/>
  <c r="R886" i="5"/>
  <c r="Q886" i="5" s="1"/>
  <c r="R937" i="5"/>
  <c r="Q937" i="5" s="1"/>
  <c r="R927" i="5"/>
  <c r="P927" i="5" s="1"/>
  <c r="R918" i="5"/>
  <c r="Q918" i="5" s="1"/>
  <c r="R969" i="5"/>
  <c r="Q969" i="5" s="1"/>
  <c r="R960" i="5"/>
  <c r="Q960" i="5" s="1"/>
  <c r="R951" i="5"/>
  <c r="Q951" i="5" s="1"/>
  <c r="R18" i="5"/>
  <c r="Q18" i="5" s="1"/>
  <c r="R114" i="5"/>
  <c r="P114" i="5" s="1"/>
  <c r="R74" i="5"/>
  <c r="Q74" i="5" s="1"/>
  <c r="R30" i="5"/>
  <c r="Q30" i="5" s="1"/>
  <c r="R994" i="5"/>
  <c r="Q994" i="5" s="1"/>
  <c r="R984" i="5"/>
  <c r="Q984" i="5" s="1"/>
  <c r="R976" i="5"/>
  <c r="Q976" i="5" s="1"/>
  <c r="R1027" i="5"/>
  <c r="P1027" i="5" s="1"/>
  <c r="R1018" i="5"/>
  <c r="Q1018" i="5" s="1"/>
  <c r="R1009" i="5"/>
  <c r="Q1009" i="5" s="1"/>
  <c r="R1000" i="5"/>
  <c r="Q1000" i="5" s="1"/>
  <c r="R1052" i="5"/>
  <c r="Q1052" i="5" s="1"/>
  <c r="R1042" i="5"/>
  <c r="Q1042" i="5" s="1"/>
  <c r="R1032" i="5"/>
  <c r="Q1032" i="5" s="1"/>
  <c r="R1065" i="5"/>
  <c r="Q1065" i="5" s="1"/>
  <c r="R1073" i="5"/>
  <c r="P1073" i="5" s="1"/>
  <c r="R1081" i="5"/>
  <c r="Q1081" i="5" s="1"/>
  <c r="R793" i="5"/>
  <c r="Q793" i="5" s="1"/>
  <c r="R785" i="5"/>
  <c r="Q785" i="5" s="1"/>
  <c r="R777" i="5"/>
  <c r="Q777" i="5" s="1"/>
  <c r="R936" i="5"/>
  <c r="Q936" i="5" s="1"/>
  <c r="R928" i="5"/>
  <c r="Q928" i="5" s="1"/>
  <c r="R920" i="5"/>
  <c r="Q920" i="5" s="1"/>
  <c r="R942" i="5"/>
  <c r="P942" i="5" s="1"/>
  <c r="R1051" i="5"/>
  <c r="Q1051" i="5" s="1"/>
  <c r="R1043" i="5"/>
  <c r="Q1043" i="5" s="1"/>
  <c r="R1035" i="5"/>
  <c r="Q1035" i="5" s="1"/>
  <c r="R764" i="5"/>
  <c r="Q764" i="5" s="1"/>
  <c r="R760" i="5"/>
  <c r="Q760" i="5" s="1"/>
  <c r="R759" i="5"/>
  <c r="Q759" i="5" s="1"/>
  <c r="R767" i="5"/>
  <c r="Q767" i="5" s="1"/>
  <c r="R749" i="5"/>
  <c r="Q749" i="5" s="1"/>
  <c r="R786" i="5"/>
  <c r="Q786" i="5" s="1"/>
  <c r="R765" i="5"/>
  <c r="Q765" i="5" s="1"/>
  <c r="R756" i="5"/>
  <c r="Q756" i="5" s="1"/>
  <c r="R747" i="5"/>
  <c r="Q747" i="5" s="1"/>
  <c r="R792" i="5"/>
  <c r="Q792" i="5" s="1"/>
  <c r="R783" i="5"/>
  <c r="Q783" i="5" s="1"/>
  <c r="R774" i="5"/>
  <c r="Q774" i="5" s="1"/>
  <c r="R820" i="5"/>
  <c r="P820" i="5" s="1"/>
  <c r="R812" i="5"/>
  <c r="Q812" i="5" s="1"/>
  <c r="R263" i="5"/>
  <c r="Q263" i="5" s="1"/>
  <c r="R823" i="5"/>
  <c r="P823" i="5" s="1"/>
  <c r="R827" i="5"/>
  <c r="Q827" i="5" s="1"/>
  <c r="R131" i="5"/>
  <c r="Q131" i="5" s="1"/>
  <c r="R87" i="5"/>
  <c r="K87" i="5" s="1"/>
  <c r="R44" i="5"/>
  <c r="Q44" i="5" s="1"/>
  <c r="R880" i="5"/>
  <c r="Q880" i="5" s="1"/>
  <c r="R872" i="5"/>
  <c r="Q872" i="5" s="1"/>
  <c r="R863" i="5"/>
  <c r="Q863" i="5" s="1"/>
  <c r="R854" i="5"/>
  <c r="Q854" i="5" s="1"/>
  <c r="R903" i="5"/>
  <c r="P903" i="5" s="1"/>
  <c r="R894" i="5"/>
  <c r="Q894" i="5" s="1"/>
  <c r="R885" i="5"/>
  <c r="Q885" i="5" s="1"/>
  <c r="R935" i="5"/>
  <c r="Q935" i="5" s="1"/>
  <c r="R926" i="5"/>
  <c r="Q926" i="5" s="1"/>
  <c r="R917" i="5"/>
  <c r="Q917" i="5" s="1"/>
  <c r="R968" i="5"/>
  <c r="Q968" i="5" s="1"/>
  <c r="R959" i="5"/>
  <c r="Q959" i="5" s="1"/>
  <c r="R949" i="5"/>
  <c r="P949" i="5" s="1"/>
  <c r="R148" i="5"/>
  <c r="Q148" i="5" s="1"/>
  <c r="R110" i="5"/>
  <c r="K110" i="5" s="1"/>
  <c r="R70" i="5"/>
  <c r="Q70" i="5" s="1"/>
  <c r="R26" i="5"/>
  <c r="J26" i="5" s="1"/>
  <c r="R992" i="5"/>
  <c r="Q992" i="5" s="1"/>
  <c r="R983" i="5"/>
  <c r="Q983" i="5" s="1"/>
  <c r="R975" i="5"/>
  <c r="Q975" i="5" s="1"/>
  <c r="R1026" i="5"/>
  <c r="Q1026" i="5" s="1"/>
  <c r="R1017" i="5"/>
  <c r="Q1017" i="5" s="1"/>
  <c r="R1008" i="5"/>
  <c r="Q1008" i="5" s="1"/>
  <c r="R1029" i="5"/>
  <c r="Q1029" i="5" s="1"/>
  <c r="R1050" i="5"/>
  <c r="P1050" i="5" s="1"/>
  <c r="R1041" i="5"/>
  <c r="Q1041" i="5" s="1"/>
  <c r="R1031" i="5"/>
  <c r="Q1031" i="5" s="1"/>
  <c r="R1066" i="5"/>
  <c r="Q1066" i="5" s="1"/>
  <c r="R1074" i="5"/>
  <c r="Q1074" i="5" s="1"/>
  <c r="R1082" i="5"/>
  <c r="Q1082" i="5" s="1"/>
  <c r="R1034" i="5"/>
  <c r="Q1034" i="5" s="1"/>
  <c r="R755" i="5"/>
  <c r="P755" i="5" s="1"/>
  <c r="R746" i="5"/>
  <c r="Q746" i="5" s="1"/>
  <c r="R791" i="5"/>
  <c r="Q791" i="5" s="1"/>
  <c r="R782" i="5"/>
  <c r="Q782" i="5" s="1"/>
  <c r="R773" i="5"/>
  <c r="Q773" i="5" s="1"/>
  <c r="R819" i="5"/>
  <c r="Q819" i="5" s="1"/>
  <c r="R811" i="5"/>
  <c r="Q811" i="5" s="1"/>
  <c r="R806" i="5"/>
  <c r="Q806" i="5" s="1"/>
  <c r="R852" i="5"/>
  <c r="P852" i="5" s="1"/>
  <c r="R826" i="5"/>
  <c r="Q826" i="5" s="1"/>
  <c r="R122" i="5"/>
  <c r="Q122" i="5" s="1"/>
  <c r="R83" i="5"/>
  <c r="K83" i="5" s="1"/>
  <c r="R39" i="5"/>
  <c r="P39" i="5" s="1"/>
  <c r="R189" i="5"/>
  <c r="Q189" i="5" s="1"/>
  <c r="R871" i="5"/>
  <c r="Q871" i="5" s="1"/>
  <c r="R862" i="5"/>
  <c r="Q862" i="5" s="1"/>
  <c r="R911" i="5"/>
  <c r="Q911" i="5" s="1"/>
  <c r="R902" i="5"/>
  <c r="Q902" i="5" s="1"/>
  <c r="R893" i="5"/>
  <c r="Q893" i="5" s="1"/>
  <c r="R884" i="5"/>
  <c r="Q884" i="5" s="1"/>
  <c r="R934" i="5"/>
  <c r="P934" i="5" s="1"/>
  <c r="R925" i="5"/>
  <c r="Q925" i="5" s="1"/>
  <c r="R916" i="5"/>
  <c r="Q916" i="5" s="1"/>
  <c r="R967" i="5"/>
  <c r="Q967" i="5" s="1"/>
  <c r="R957" i="5"/>
  <c r="Q957" i="5" s="1"/>
  <c r="R948" i="5"/>
  <c r="Q948" i="5" s="1"/>
  <c r="R144" i="5"/>
  <c r="Q144" i="5" s="1"/>
  <c r="R105" i="5"/>
  <c r="Q105" i="5" s="1"/>
  <c r="R66" i="5"/>
  <c r="Q66" i="5" s="1"/>
  <c r="R22" i="5"/>
  <c r="Q22" i="5" s="1"/>
  <c r="R991" i="5"/>
  <c r="Q991" i="5" s="1"/>
  <c r="R982" i="5"/>
  <c r="Q982" i="5" s="1"/>
  <c r="R974" i="5"/>
  <c r="P974" i="5" s="1"/>
  <c r="R1025" i="5"/>
  <c r="Q1025" i="5" s="1"/>
  <c r="R1016" i="5"/>
  <c r="Q1016" i="5" s="1"/>
  <c r="R1006" i="5"/>
  <c r="Q1006" i="5" s="1"/>
  <c r="R1058" i="5"/>
  <c r="Q1058" i="5" s="1"/>
  <c r="R1049" i="5"/>
  <c r="Q1049" i="5" s="1"/>
  <c r="R1040" i="5"/>
  <c r="Q1040" i="5" s="1"/>
  <c r="R1030" i="5"/>
  <c r="Q1030" i="5" s="1"/>
  <c r="R1067" i="5"/>
  <c r="P1067" i="5" s="1"/>
  <c r="R1075" i="5"/>
  <c r="Q1075" i="5" s="1"/>
  <c r="R1083" i="5"/>
  <c r="Q1083" i="5" s="1"/>
  <c r="R127" i="5"/>
  <c r="P127" i="5" s="1"/>
  <c r="R92" i="5"/>
  <c r="Q92" i="5" s="1"/>
  <c r="R56" i="5"/>
  <c r="Q56" i="5" s="1"/>
  <c r="R761" i="5"/>
  <c r="Q761" i="5" s="1"/>
  <c r="R753" i="5"/>
  <c r="Q753" i="5" s="1"/>
  <c r="R906" i="5"/>
  <c r="Q906" i="5" s="1"/>
  <c r="R898" i="5"/>
  <c r="P898" i="5" s="1"/>
  <c r="R890" i="5"/>
  <c r="Q890" i="5" s="1"/>
  <c r="R912" i="5"/>
  <c r="Q912" i="5" s="1"/>
  <c r="R1023" i="5"/>
  <c r="Q1023" i="5" s="1"/>
  <c r="R1015" i="5"/>
  <c r="Q1015" i="5" s="1"/>
  <c r="R1007" i="5"/>
  <c r="Q1007" i="5" s="1"/>
  <c r="R754" i="5"/>
  <c r="Q754" i="5" s="1"/>
  <c r="R769" i="5"/>
  <c r="Q769" i="5" s="1"/>
  <c r="R790" i="5"/>
  <c r="Q790" i="5" s="1"/>
  <c r="R781" i="5"/>
  <c r="P781" i="5" s="1"/>
  <c r="R772" i="5"/>
  <c r="Q772" i="5" s="1"/>
  <c r="R818" i="5"/>
  <c r="Q818" i="5" s="1"/>
  <c r="R809" i="5"/>
  <c r="Q809" i="5" s="1"/>
  <c r="R805" i="5"/>
  <c r="Q805" i="5" s="1"/>
  <c r="R850" i="5"/>
  <c r="Q850" i="5" s="1"/>
  <c r="R825" i="5"/>
  <c r="Q825" i="5" s="1"/>
  <c r="R118" i="5"/>
  <c r="Q118" i="5" s="1"/>
  <c r="R78" i="5"/>
  <c r="K78" i="5" s="1"/>
  <c r="R34" i="5"/>
  <c r="Q34" i="5" s="1"/>
  <c r="R879" i="5"/>
  <c r="Q879" i="5" s="1"/>
  <c r="R870" i="5"/>
  <c r="Q870" i="5" s="1"/>
  <c r="R860" i="5"/>
  <c r="Q860" i="5" s="1"/>
  <c r="R910" i="5"/>
  <c r="Q910" i="5" s="1"/>
  <c r="R901" i="5"/>
  <c r="Q901" i="5" s="1"/>
  <c r="R892" i="5"/>
  <c r="Q892" i="5" s="1"/>
  <c r="R883" i="5"/>
  <c r="Q883" i="5" s="1"/>
  <c r="R933" i="5"/>
  <c r="P933" i="5" s="1"/>
  <c r="R924" i="5"/>
  <c r="Q924" i="5" s="1"/>
  <c r="R915" i="5"/>
  <c r="Q915" i="5" s="1"/>
  <c r="R965" i="5"/>
  <c r="Q965" i="5" s="1"/>
  <c r="R956" i="5"/>
  <c r="Q956" i="5" s="1"/>
  <c r="R947" i="5"/>
  <c r="Q947" i="5" s="1"/>
  <c r="R140" i="5"/>
  <c r="Q140" i="5" s="1"/>
  <c r="R101" i="5"/>
  <c r="Q101" i="5" s="1"/>
  <c r="R61" i="5"/>
  <c r="Q61" i="5" s="1"/>
  <c r="R972" i="5"/>
  <c r="P972" i="5" s="1"/>
  <c r="R990" i="5"/>
  <c r="Q990" i="5" s="1"/>
  <c r="R981" i="5"/>
  <c r="Q981" i="5" s="1"/>
  <c r="R155" i="5"/>
  <c r="Q155" i="5" s="1"/>
  <c r="R1024" i="5"/>
  <c r="Q1024" i="5" s="1"/>
  <c r="R1014" i="5"/>
  <c r="Q1014" i="5" s="1"/>
  <c r="R1005" i="5"/>
  <c r="Q1005" i="5" s="1"/>
  <c r="R1057" i="5"/>
  <c r="Q1057" i="5" s="1"/>
  <c r="R1048" i="5"/>
  <c r="P1048" i="5" s="1"/>
  <c r="R1039" i="5"/>
  <c r="Q1039" i="5" s="1"/>
  <c r="R1060" i="5"/>
  <c r="Q1060" i="5" s="1"/>
  <c r="R1068" i="5"/>
  <c r="Q1068" i="5" s="1"/>
  <c r="R1076" i="5"/>
  <c r="Q1076" i="5" s="1"/>
  <c r="R1084" i="5"/>
  <c r="Q1084" i="5" s="1"/>
  <c r="J1260" i="5"/>
  <c r="J1195" i="5"/>
  <c r="J1118" i="5"/>
  <c r="J1167" i="5"/>
  <c r="J1120" i="5"/>
  <c r="J1939" i="5"/>
  <c r="J1207" i="5"/>
  <c r="J1143" i="5"/>
  <c r="K1121" i="5"/>
  <c r="K1176" i="5"/>
  <c r="K1264" i="5"/>
  <c r="K1172" i="5"/>
  <c r="K1128" i="5"/>
  <c r="K1143" i="5"/>
  <c r="K1100" i="5"/>
  <c r="K1220" i="5"/>
  <c r="J1155" i="5"/>
  <c r="J1104" i="5"/>
  <c r="K1186" i="5"/>
  <c r="J1203" i="5"/>
  <c r="K1261" i="5"/>
  <c r="K1347" i="5"/>
  <c r="J1130" i="5"/>
  <c r="K1166" i="5"/>
  <c r="K1109" i="5"/>
  <c r="K1104" i="5"/>
  <c r="J1285" i="5"/>
  <c r="J1177" i="5"/>
  <c r="J1365" i="5"/>
  <c r="J1326" i="5"/>
  <c r="J1162" i="5"/>
  <c r="J1091" i="5"/>
  <c r="K1179" i="5"/>
  <c r="J1126" i="5"/>
  <c r="J1123" i="5"/>
  <c r="J1124" i="5"/>
  <c r="J1180" i="5"/>
  <c r="K1223" i="5"/>
  <c r="K1239" i="5"/>
  <c r="J1168" i="5"/>
  <c r="J1099" i="5"/>
  <c r="J1274" i="5"/>
  <c r="J1107" i="5"/>
  <c r="K1151" i="5"/>
  <c r="J1226" i="5"/>
  <c r="K1122" i="5"/>
  <c r="K1191" i="5"/>
  <c r="K1212" i="5"/>
  <c r="K1918" i="5"/>
  <c r="K1192" i="5"/>
  <c r="K1097" i="5"/>
  <c r="K1226" i="5"/>
  <c r="J1102" i="5"/>
  <c r="J1150" i="5"/>
  <c r="K1150" i="5"/>
  <c r="J1216" i="5"/>
  <c r="J1144" i="5"/>
  <c r="J1154" i="5"/>
  <c r="J1931" i="5"/>
  <c r="J1089" i="5"/>
  <c r="K1135" i="5"/>
  <c r="K1102" i="5"/>
  <c r="K1216" i="5"/>
  <c r="K1144" i="5"/>
  <c r="K1167" i="5"/>
  <c r="J1361" i="5"/>
  <c r="J1232" i="5"/>
  <c r="J1235" i="5"/>
  <c r="J1204" i="5"/>
  <c r="J1169" i="5"/>
  <c r="J1178" i="5"/>
  <c r="K1297" i="5"/>
  <c r="J1248" i="5"/>
  <c r="J1269" i="5"/>
  <c r="J1135" i="5"/>
  <c r="J1936" i="5"/>
  <c r="K1936" i="5"/>
  <c r="K1258" i="5"/>
  <c r="J1258" i="5"/>
  <c r="K1325" i="5"/>
  <c r="K1248" i="5"/>
  <c r="K1158" i="5"/>
  <c r="K1269" i="5"/>
  <c r="J1317" i="5"/>
  <c r="J1201" i="5"/>
  <c r="K1201" i="5"/>
  <c r="J1185" i="5"/>
  <c r="K1185" i="5"/>
  <c r="J1934" i="5"/>
  <c r="K1184" i="5"/>
  <c r="J1184" i="5"/>
  <c r="K1202" i="5"/>
  <c r="J1202" i="5"/>
  <c r="K1361" i="5"/>
  <c r="J1175" i="5"/>
  <c r="K1125" i="5"/>
  <c r="K1108" i="5"/>
  <c r="K1133" i="5"/>
  <c r="K1096" i="5"/>
  <c r="J1096" i="5"/>
  <c r="J1219" i="5"/>
  <c r="J1227" i="5"/>
  <c r="K1227" i="5"/>
  <c r="J1148" i="5"/>
  <c r="K1148" i="5"/>
  <c r="J1160" i="5"/>
  <c r="J1139" i="5"/>
  <c r="J1173" i="5"/>
  <c r="J1345" i="5"/>
  <c r="J1196" i="5"/>
  <c r="J1171" i="5"/>
  <c r="J1133" i="5"/>
  <c r="K1181" i="5"/>
  <c r="J1181" i="5"/>
  <c r="K1219" i="5"/>
  <c r="K1324" i="5"/>
  <c r="J1324" i="5"/>
  <c r="J1350" i="5"/>
  <c r="J1138" i="5"/>
  <c r="J1136" i="5"/>
  <c r="J1251" i="5"/>
  <c r="K1095" i="5"/>
  <c r="K1236" i="5"/>
  <c r="K1162" i="5"/>
  <c r="K1099" i="5"/>
  <c r="K1215" i="5"/>
  <c r="K1265" i="5"/>
  <c r="K1137" i="5"/>
  <c r="K1103" i="5"/>
  <c r="J1259" i="5"/>
  <c r="K1159" i="5"/>
  <c r="J1159" i="5"/>
  <c r="K1142" i="5"/>
  <c r="J1142" i="5"/>
  <c r="J1284" i="5"/>
  <c r="K1259" i="5"/>
  <c r="J1319" i="5"/>
  <c r="K1319" i="5"/>
  <c r="J1229" i="5"/>
  <c r="K1229" i="5"/>
  <c r="K1111" i="5"/>
  <c r="K1213" i="5"/>
  <c r="K1273" i="5"/>
  <c r="K1284" i="5"/>
  <c r="J1255" i="5"/>
  <c r="K1255" i="5"/>
  <c r="J1152" i="5"/>
  <c r="K1152" i="5"/>
  <c r="J1197" i="5"/>
  <c r="K1140" i="5"/>
  <c r="J1917" i="5"/>
  <c r="J1106" i="5"/>
  <c r="K1131" i="5"/>
  <c r="J1214" i="5"/>
  <c r="J1147" i="5"/>
  <c r="J1132" i="5"/>
  <c r="K1132" i="5"/>
  <c r="K1197" i="5"/>
  <c r="K1928" i="5"/>
  <c r="J1928" i="5"/>
  <c r="K1256" i="5"/>
  <c r="K1242" i="5"/>
  <c r="K1217" i="5"/>
  <c r="J1217" i="5"/>
  <c r="K1093" i="5"/>
  <c r="K1168" i="5"/>
  <c r="K1156" i="5"/>
  <c r="J1122" i="5"/>
  <c r="J1112" i="5"/>
  <c r="J1267" i="5"/>
  <c r="J1311" i="5"/>
  <c r="J1240" i="5"/>
  <c r="K1105" i="5"/>
  <c r="J1222" i="5"/>
  <c r="K1221" i="5"/>
  <c r="K1225" i="5"/>
  <c r="K1116" i="5"/>
  <c r="J1358" i="5"/>
  <c r="K1920" i="5"/>
  <c r="K795" i="5"/>
  <c r="J795" i="5"/>
  <c r="K856" i="5"/>
  <c r="J856" i="5"/>
  <c r="K938" i="5"/>
  <c r="J938" i="5"/>
  <c r="K961" i="5"/>
  <c r="J961" i="5"/>
  <c r="K995" i="5"/>
  <c r="J995" i="5"/>
  <c r="K1019" i="5"/>
  <c r="J1019" i="5"/>
  <c r="K1064" i="5"/>
  <c r="J1064" i="5"/>
  <c r="K765" i="5"/>
  <c r="J765" i="5"/>
  <c r="K747" i="5"/>
  <c r="J747" i="5"/>
  <c r="K792" i="5"/>
  <c r="J792" i="5"/>
  <c r="K774" i="5"/>
  <c r="J774" i="5"/>
  <c r="K812" i="5"/>
  <c r="J812" i="5"/>
  <c r="K823" i="5"/>
  <c r="J823" i="5"/>
  <c r="K880" i="5"/>
  <c r="J880" i="5"/>
  <c r="K863" i="5"/>
  <c r="J863" i="5"/>
  <c r="K854" i="5"/>
  <c r="J854" i="5"/>
  <c r="K894" i="5"/>
  <c r="J894" i="5"/>
  <c r="K935" i="5"/>
  <c r="J935" i="5"/>
  <c r="K917" i="5"/>
  <c r="J917" i="5"/>
  <c r="K959" i="5"/>
  <c r="J959" i="5"/>
  <c r="K949" i="5"/>
  <c r="J949" i="5"/>
  <c r="K992" i="5"/>
  <c r="J992" i="5"/>
  <c r="K975" i="5"/>
  <c r="J975" i="5"/>
  <c r="K1017" i="5"/>
  <c r="J1017" i="5"/>
  <c r="K1029" i="5"/>
  <c r="J1029" i="5"/>
  <c r="K1050" i="5"/>
  <c r="J1050" i="5"/>
  <c r="K1031" i="5"/>
  <c r="J1031" i="5"/>
  <c r="K1066" i="5"/>
  <c r="J1066" i="5"/>
  <c r="K1082" i="5"/>
  <c r="J1082" i="5"/>
  <c r="K1034" i="5"/>
  <c r="J1034" i="5"/>
  <c r="J1199" i="5"/>
  <c r="K764" i="5"/>
  <c r="J764" i="5"/>
  <c r="K755" i="5"/>
  <c r="J755" i="5"/>
  <c r="K746" i="5"/>
  <c r="J746" i="5"/>
  <c r="K791" i="5"/>
  <c r="J791" i="5"/>
  <c r="K782" i="5"/>
  <c r="J782" i="5"/>
  <c r="K773" i="5"/>
  <c r="J773" i="5"/>
  <c r="K819" i="5"/>
  <c r="J819" i="5"/>
  <c r="K811" i="5"/>
  <c r="J811" i="5"/>
  <c r="K806" i="5"/>
  <c r="J806" i="5"/>
  <c r="K852" i="5"/>
  <c r="J852" i="5"/>
  <c r="K826" i="5"/>
  <c r="J826" i="5"/>
  <c r="K871" i="5"/>
  <c r="J871" i="5"/>
  <c r="K862" i="5"/>
  <c r="J862" i="5"/>
  <c r="K911" i="5"/>
  <c r="J911" i="5"/>
  <c r="K902" i="5"/>
  <c r="J902" i="5"/>
  <c r="K893" i="5"/>
  <c r="J893" i="5"/>
  <c r="J884" i="5"/>
  <c r="K884" i="5"/>
  <c r="K934" i="5"/>
  <c r="J934" i="5"/>
  <c r="K925" i="5"/>
  <c r="J925" i="5"/>
  <c r="K916" i="5"/>
  <c r="J916" i="5"/>
  <c r="K967" i="5"/>
  <c r="J967" i="5"/>
  <c r="K957" i="5"/>
  <c r="J957" i="5"/>
  <c r="K948" i="5"/>
  <c r="J948" i="5"/>
  <c r="K991" i="5"/>
  <c r="J991" i="5"/>
  <c r="K982" i="5"/>
  <c r="J982" i="5"/>
  <c r="K974" i="5"/>
  <c r="J974" i="5"/>
  <c r="K1025" i="5"/>
  <c r="J1025" i="5"/>
  <c r="K1016" i="5"/>
  <c r="J1016" i="5"/>
  <c r="K1006" i="5"/>
  <c r="J1006" i="5"/>
  <c r="K1058" i="5"/>
  <c r="J1058" i="5"/>
  <c r="K1049" i="5"/>
  <c r="J1049" i="5"/>
  <c r="K1040" i="5"/>
  <c r="J1040" i="5"/>
  <c r="K1030" i="5"/>
  <c r="J1030" i="5"/>
  <c r="K1067" i="5"/>
  <c r="J1067" i="5"/>
  <c r="K1075" i="5"/>
  <c r="J1075" i="5"/>
  <c r="K1083" i="5"/>
  <c r="J1083" i="5"/>
  <c r="K761" i="5"/>
  <c r="J761" i="5"/>
  <c r="K753" i="5"/>
  <c r="J753" i="5"/>
  <c r="K906" i="5"/>
  <c r="J906" i="5"/>
  <c r="K898" i="5"/>
  <c r="J898" i="5"/>
  <c r="K890" i="5"/>
  <c r="J890" i="5"/>
  <c r="K912" i="5"/>
  <c r="J912" i="5"/>
  <c r="K1023" i="5"/>
  <c r="J1023" i="5"/>
  <c r="K1015" i="5"/>
  <c r="J1015" i="5"/>
  <c r="K1007" i="5"/>
  <c r="J1007" i="5"/>
  <c r="K1199" i="5"/>
  <c r="K1198" i="5"/>
  <c r="J1179" i="5"/>
  <c r="K1287" i="5"/>
  <c r="K1154" i="5"/>
  <c r="K1092" i="5"/>
  <c r="K1145" i="5"/>
  <c r="K1129" i="5"/>
  <c r="K1923" i="5"/>
  <c r="K1127" i="5"/>
  <c r="K1098" i="5"/>
  <c r="J1158" i="5"/>
  <c r="J1254" i="5"/>
  <c r="J1256" i="5"/>
  <c r="J1252" i="5"/>
  <c r="K1358" i="5"/>
  <c r="K1285" i="5"/>
  <c r="K1240" i="5"/>
  <c r="J1371" i="5"/>
  <c r="J1312" i="5"/>
  <c r="J1257" i="5"/>
  <c r="J1182" i="5"/>
  <c r="K1149" i="5"/>
  <c r="K1211" i="5"/>
  <c r="K763" i="5"/>
  <c r="J763" i="5"/>
  <c r="K769" i="5"/>
  <c r="J769" i="5"/>
  <c r="K781" i="5"/>
  <c r="J781" i="5"/>
  <c r="K818" i="5"/>
  <c r="J818" i="5"/>
  <c r="K805" i="5"/>
  <c r="J805" i="5"/>
  <c r="K825" i="5"/>
  <c r="J825" i="5"/>
  <c r="K879" i="5"/>
  <c r="J879" i="5"/>
  <c r="K860" i="5"/>
  <c r="J860" i="5"/>
  <c r="K892" i="5"/>
  <c r="J892" i="5"/>
  <c r="K924" i="5"/>
  <c r="J924" i="5"/>
  <c r="K965" i="5"/>
  <c r="J965" i="5"/>
  <c r="K990" i="5"/>
  <c r="J990" i="5"/>
  <c r="K155" i="5"/>
  <c r="J155" i="5"/>
  <c r="K1005" i="5"/>
  <c r="J1005" i="5"/>
  <c r="K1039" i="5"/>
  <c r="J1039" i="5"/>
  <c r="K1076" i="5"/>
  <c r="J1076" i="5"/>
  <c r="K1254" i="5"/>
  <c r="K1252" i="5"/>
  <c r="K1371" i="5"/>
  <c r="K1312" i="5"/>
  <c r="K1257" i="5"/>
  <c r="K1182" i="5"/>
  <c r="J1244" i="5"/>
  <c r="J1094" i="5"/>
  <c r="K786" i="5"/>
  <c r="J786" i="5"/>
  <c r="K896" i="5"/>
  <c r="J896" i="5"/>
  <c r="K943" i="5"/>
  <c r="J943" i="5"/>
  <c r="K977" i="5"/>
  <c r="J977" i="5"/>
  <c r="K1044" i="5"/>
  <c r="J1044" i="5"/>
  <c r="K754" i="5"/>
  <c r="J754" i="5"/>
  <c r="K790" i="5"/>
  <c r="J790" i="5"/>
  <c r="K772" i="5"/>
  <c r="J772" i="5"/>
  <c r="K809" i="5"/>
  <c r="J809" i="5"/>
  <c r="K850" i="5"/>
  <c r="J850" i="5"/>
  <c r="K870" i="5"/>
  <c r="J870" i="5"/>
  <c r="K910" i="5"/>
  <c r="J910" i="5"/>
  <c r="K901" i="5"/>
  <c r="J901" i="5"/>
  <c r="K883" i="5"/>
  <c r="J883" i="5"/>
  <c r="K933" i="5"/>
  <c r="J933" i="5"/>
  <c r="K915" i="5"/>
  <c r="J915" i="5"/>
  <c r="K956" i="5"/>
  <c r="J956" i="5"/>
  <c r="K947" i="5"/>
  <c r="J947" i="5"/>
  <c r="K972" i="5"/>
  <c r="J972" i="5"/>
  <c r="K981" i="5"/>
  <c r="J981" i="5"/>
  <c r="K1024" i="5"/>
  <c r="J1024" i="5"/>
  <c r="K1014" i="5"/>
  <c r="J1014" i="5"/>
  <c r="K1057" i="5"/>
  <c r="J1057" i="5"/>
  <c r="K1048" i="5"/>
  <c r="J1048" i="5"/>
  <c r="K1060" i="5"/>
  <c r="J1060" i="5"/>
  <c r="K1068" i="5"/>
  <c r="J1068" i="5"/>
  <c r="K1084" i="5"/>
  <c r="J1084" i="5"/>
  <c r="K762" i="5"/>
  <c r="J762" i="5"/>
  <c r="K752" i="5"/>
  <c r="J752" i="5"/>
  <c r="K798" i="5"/>
  <c r="J798" i="5"/>
  <c r="K789" i="5"/>
  <c r="J789" i="5"/>
  <c r="K780" i="5"/>
  <c r="J780" i="5"/>
  <c r="K771" i="5"/>
  <c r="J771" i="5"/>
  <c r="K817" i="5"/>
  <c r="J817" i="5"/>
  <c r="K804" i="5"/>
  <c r="J804" i="5"/>
  <c r="K845" i="5"/>
  <c r="J845" i="5"/>
  <c r="K824" i="5"/>
  <c r="J824" i="5"/>
  <c r="K878" i="5"/>
  <c r="J878" i="5"/>
  <c r="K868" i="5"/>
  <c r="J868" i="5"/>
  <c r="K859" i="5"/>
  <c r="J859" i="5"/>
  <c r="K909" i="5"/>
  <c r="J909" i="5"/>
  <c r="K900" i="5"/>
  <c r="J900" i="5"/>
  <c r="K891" i="5"/>
  <c r="J891" i="5"/>
  <c r="K941" i="5"/>
  <c r="J941" i="5"/>
  <c r="K932" i="5"/>
  <c r="J932" i="5"/>
  <c r="K923" i="5"/>
  <c r="J923" i="5"/>
  <c r="K914" i="5"/>
  <c r="J914" i="5"/>
  <c r="K964" i="5"/>
  <c r="J964" i="5"/>
  <c r="K955" i="5"/>
  <c r="J955" i="5"/>
  <c r="K946" i="5"/>
  <c r="J946" i="5"/>
  <c r="K998" i="5"/>
  <c r="J998" i="5"/>
  <c r="K989" i="5"/>
  <c r="J989" i="5"/>
  <c r="K980" i="5"/>
  <c r="J980" i="5"/>
  <c r="K1022" i="5"/>
  <c r="J1022" i="5"/>
  <c r="K1013" i="5"/>
  <c r="J1013" i="5"/>
  <c r="K1004" i="5"/>
  <c r="J1004" i="5"/>
  <c r="K1056" i="5"/>
  <c r="J1056" i="5"/>
  <c r="K1047" i="5"/>
  <c r="J1047" i="5"/>
  <c r="K1038" i="5"/>
  <c r="J1038" i="5"/>
  <c r="K1061" i="5"/>
  <c r="J1061" i="5"/>
  <c r="K1069" i="5"/>
  <c r="J1069" i="5"/>
  <c r="K1077" i="5"/>
  <c r="J1077" i="5"/>
  <c r="K1085" i="5"/>
  <c r="J1085" i="5"/>
  <c r="K877" i="5"/>
  <c r="J877" i="5"/>
  <c r="K869" i="5"/>
  <c r="J869" i="5"/>
  <c r="K861" i="5"/>
  <c r="J861" i="5"/>
  <c r="K882" i="5"/>
  <c r="J882" i="5"/>
  <c r="K993" i="5"/>
  <c r="J993" i="5"/>
  <c r="K985" i="5"/>
  <c r="J985" i="5"/>
  <c r="K1233" i="5"/>
  <c r="K1160" i="5"/>
  <c r="K1126" i="5"/>
  <c r="K1173" i="5"/>
  <c r="K1247" i="5"/>
  <c r="K1200" i="5"/>
  <c r="K1203" i="5"/>
  <c r="K1345" i="5"/>
  <c r="K1204" i="5"/>
  <c r="K1207" i="5"/>
  <c r="J1249" i="5"/>
  <c r="J1238" i="5"/>
  <c r="J1153" i="5"/>
  <c r="K1094" i="5"/>
  <c r="K758" i="5"/>
  <c r="J758" i="5"/>
  <c r="K801" i="5"/>
  <c r="J801" i="5"/>
  <c r="K865" i="5"/>
  <c r="J865" i="5"/>
  <c r="K919" i="5"/>
  <c r="J919" i="5"/>
  <c r="K1001" i="5"/>
  <c r="J1001" i="5"/>
  <c r="K1080" i="5"/>
  <c r="J1080" i="5"/>
  <c r="K760" i="5"/>
  <c r="J760" i="5"/>
  <c r="K797" i="5"/>
  <c r="J797" i="5"/>
  <c r="K779" i="5"/>
  <c r="J779" i="5"/>
  <c r="K808" i="5"/>
  <c r="J808" i="5"/>
  <c r="K843" i="5"/>
  <c r="J843" i="5"/>
  <c r="J876" i="5"/>
  <c r="K876" i="5"/>
  <c r="K858" i="5"/>
  <c r="J858" i="5"/>
  <c r="K899" i="5"/>
  <c r="J899" i="5"/>
  <c r="K940" i="5"/>
  <c r="J940" i="5"/>
  <c r="K913" i="5"/>
  <c r="J913" i="5"/>
  <c r="K954" i="5"/>
  <c r="J954" i="5"/>
  <c r="K988" i="5"/>
  <c r="J988" i="5"/>
  <c r="K973" i="5"/>
  <c r="J973" i="5"/>
  <c r="K1012" i="5"/>
  <c r="J1012" i="5"/>
  <c r="K1046" i="5"/>
  <c r="J1046" i="5"/>
  <c r="K1062" i="5"/>
  <c r="J1062" i="5"/>
  <c r="K1078" i="5"/>
  <c r="J1078" i="5"/>
  <c r="K1249" i="5"/>
  <c r="J1117" i="5"/>
  <c r="K749" i="5"/>
  <c r="J749" i="5"/>
  <c r="K822" i="5"/>
  <c r="J822" i="5"/>
  <c r="K840" i="5"/>
  <c r="J840" i="5"/>
  <c r="K874" i="5"/>
  <c r="J874" i="5"/>
  <c r="K887" i="5"/>
  <c r="J887" i="5"/>
  <c r="K970" i="5"/>
  <c r="J970" i="5"/>
  <c r="K1010" i="5"/>
  <c r="J1010" i="5"/>
  <c r="K1033" i="5"/>
  <c r="J1033" i="5"/>
  <c r="K745" i="5"/>
  <c r="J745" i="5"/>
  <c r="K751" i="5"/>
  <c r="J751" i="5"/>
  <c r="K788" i="5"/>
  <c r="J788" i="5"/>
  <c r="K770" i="5"/>
  <c r="J770" i="5"/>
  <c r="K816" i="5"/>
  <c r="J816" i="5"/>
  <c r="J803" i="5"/>
  <c r="K803" i="5"/>
  <c r="K867" i="5"/>
  <c r="J867" i="5"/>
  <c r="K908" i="5"/>
  <c r="J908" i="5"/>
  <c r="K889" i="5"/>
  <c r="J889" i="5"/>
  <c r="K931" i="5"/>
  <c r="J931" i="5"/>
  <c r="K922" i="5"/>
  <c r="J922" i="5"/>
  <c r="K963" i="5"/>
  <c r="J963" i="5"/>
  <c r="K945" i="5"/>
  <c r="J945" i="5"/>
  <c r="K997" i="5"/>
  <c r="J997" i="5"/>
  <c r="K979" i="5"/>
  <c r="J979" i="5"/>
  <c r="K1021" i="5"/>
  <c r="J1021" i="5"/>
  <c r="K1003" i="5"/>
  <c r="J1003" i="5"/>
  <c r="K1055" i="5"/>
  <c r="J1055" i="5"/>
  <c r="K1037" i="5"/>
  <c r="J1037" i="5"/>
  <c r="K1070" i="5"/>
  <c r="J1070" i="5"/>
  <c r="K1086" i="5"/>
  <c r="J1086" i="5"/>
  <c r="J768" i="5"/>
  <c r="K768" i="5"/>
  <c r="K759" i="5"/>
  <c r="J759" i="5"/>
  <c r="K750" i="5"/>
  <c r="J750" i="5"/>
  <c r="K796" i="5"/>
  <c r="J796" i="5"/>
  <c r="K787" i="5"/>
  <c r="J787" i="5"/>
  <c r="K778" i="5"/>
  <c r="J778" i="5"/>
  <c r="K799" i="5"/>
  <c r="J799" i="5"/>
  <c r="K815" i="5"/>
  <c r="J815" i="5"/>
  <c r="K802" i="5"/>
  <c r="J802" i="5"/>
  <c r="K841" i="5"/>
  <c r="J841" i="5"/>
  <c r="K875" i="5"/>
  <c r="J875" i="5"/>
  <c r="K866" i="5"/>
  <c r="J866" i="5"/>
  <c r="K857" i="5"/>
  <c r="J857" i="5"/>
  <c r="K907" i="5"/>
  <c r="J907" i="5"/>
  <c r="K897" i="5"/>
  <c r="J897" i="5"/>
  <c r="K888" i="5"/>
  <c r="J888" i="5"/>
  <c r="K939" i="5"/>
  <c r="J939" i="5"/>
  <c r="K930" i="5"/>
  <c r="J930" i="5"/>
  <c r="K921" i="5"/>
  <c r="J921" i="5"/>
  <c r="K971" i="5"/>
  <c r="J971" i="5"/>
  <c r="K962" i="5"/>
  <c r="J962" i="5"/>
  <c r="K953" i="5"/>
  <c r="J953" i="5"/>
  <c r="K944" i="5"/>
  <c r="J944" i="5"/>
  <c r="K996" i="5"/>
  <c r="J996" i="5"/>
  <c r="K987" i="5"/>
  <c r="J987" i="5"/>
  <c r="K978" i="5"/>
  <c r="J978" i="5"/>
  <c r="K999" i="5"/>
  <c r="J999" i="5"/>
  <c r="K1020" i="5"/>
  <c r="J1020" i="5"/>
  <c r="K1011" i="5"/>
  <c r="J1011" i="5"/>
  <c r="K1002" i="5"/>
  <c r="J1002" i="5"/>
  <c r="K1054" i="5"/>
  <c r="J1054" i="5"/>
  <c r="K1045" i="5"/>
  <c r="J1045" i="5"/>
  <c r="K1036" i="5"/>
  <c r="J1036" i="5"/>
  <c r="K1063" i="5"/>
  <c r="J1063" i="5"/>
  <c r="K1071" i="5"/>
  <c r="J1071" i="5"/>
  <c r="K1079" i="5"/>
  <c r="J1079" i="5"/>
  <c r="K1087" i="5"/>
  <c r="J1087" i="5"/>
  <c r="K847" i="5"/>
  <c r="J847" i="5"/>
  <c r="K839" i="5"/>
  <c r="J839" i="5"/>
  <c r="K810" i="5"/>
  <c r="J810" i="5"/>
  <c r="K807" i="5"/>
  <c r="J807" i="5"/>
  <c r="K966" i="5"/>
  <c r="J966" i="5"/>
  <c r="K958" i="5"/>
  <c r="J958" i="5"/>
  <c r="K950" i="5"/>
  <c r="J950" i="5"/>
  <c r="K1206" i="5"/>
  <c r="K1115" i="5"/>
  <c r="J1108" i="5"/>
  <c r="J1134" i="5"/>
  <c r="J1163" i="5"/>
  <c r="J1101" i="5"/>
  <c r="K1268" i="5"/>
  <c r="J1090" i="5"/>
  <c r="J1367" i="5"/>
  <c r="J1266" i="5"/>
  <c r="J1187" i="5"/>
  <c r="J1314" i="5"/>
  <c r="K767" i="5"/>
  <c r="J767" i="5"/>
  <c r="K814" i="5"/>
  <c r="J814" i="5"/>
  <c r="K853" i="5"/>
  <c r="J853" i="5"/>
  <c r="K929" i="5"/>
  <c r="J929" i="5"/>
  <c r="K1028" i="5"/>
  <c r="J1028" i="5"/>
  <c r="K1088" i="5"/>
  <c r="J1088" i="5"/>
  <c r="K766" i="5"/>
  <c r="J766" i="5"/>
  <c r="K757" i="5"/>
  <c r="J757" i="5"/>
  <c r="K748" i="5"/>
  <c r="J748" i="5"/>
  <c r="K794" i="5"/>
  <c r="J794" i="5"/>
  <c r="J784" i="5"/>
  <c r="K784" i="5"/>
  <c r="K775" i="5"/>
  <c r="J775" i="5"/>
  <c r="K821" i="5"/>
  <c r="J821" i="5"/>
  <c r="K813" i="5"/>
  <c r="J813" i="5"/>
  <c r="K800" i="5"/>
  <c r="J800" i="5"/>
  <c r="K830" i="5"/>
  <c r="J830" i="5"/>
  <c r="K881" i="5"/>
  <c r="J881" i="5"/>
  <c r="K873" i="5"/>
  <c r="J873" i="5"/>
  <c r="K864" i="5"/>
  <c r="J864" i="5"/>
  <c r="K855" i="5"/>
  <c r="J855" i="5"/>
  <c r="K904" i="5"/>
  <c r="J904" i="5"/>
  <c r="K895" i="5"/>
  <c r="J895" i="5"/>
  <c r="K886" i="5"/>
  <c r="J886" i="5"/>
  <c r="K937" i="5"/>
  <c r="J937" i="5"/>
  <c r="K927" i="5"/>
  <c r="J927" i="5"/>
  <c r="K918" i="5"/>
  <c r="J918" i="5"/>
  <c r="K969" i="5"/>
  <c r="J969" i="5"/>
  <c r="K960" i="5"/>
  <c r="J960" i="5"/>
  <c r="K951" i="5"/>
  <c r="J951" i="5"/>
  <c r="K994" i="5"/>
  <c r="J994" i="5"/>
  <c r="K984" i="5"/>
  <c r="J984" i="5"/>
  <c r="K976" i="5"/>
  <c r="J976" i="5"/>
  <c r="K1027" i="5"/>
  <c r="J1027" i="5"/>
  <c r="K1018" i="5"/>
  <c r="J1018" i="5"/>
  <c r="K1009" i="5"/>
  <c r="J1009" i="5"/>
  <c r="K1000" i="5"/>
  <c r="J1000" i="5"/>
  <c r="K1052" i="5"/>
  <c r="J1052" i="5"/>
  <c r="K1042" i="5"/>
  <c r="J1042" i="5"/>
  <c r="K1032" i="5"/>
  <c r="J1032" i="5"/>
  <c r="K1065" i="5"/>
  <c r="J1065" i="5"/>
  <c r="K1073" i="5"/>
  <c r="J1073" i="5"/>
  <c r="K1081" i="5"/>
  <c r="J1081" i="5"/>
  <c r="K793" i="5"/>
  <c r="J793" i="5"/>
  <c r="K785" i="5"/>
  <c r="J785" i="5"/>
  <c r="K777" i="5"/>
  <c r="J777" i="5"/>
  <c r="K936" i="5"/>
  <c r="J936" i="5"/>
  <c r="K928" i="5"/>
  <c r="J928" i="5"/>
  <c r="K920" i="5"/>
  <c r="J920" i="5"/>
  <c r="K942" i="5"/>
  <c r="J942" i="5"/>
  <c r="K1051" i="5"/>
  <c r="J1051" i="5"/>
  <c r="K1043" i="5"/>
  <c r="J1043" i="5"/>
  <c r="K1035" i="5"/>
  <c r="J1035" i="5"/>
  <c r="K1196" i="5"/>
  <c r="K1090" i="5"/>
  <c r="K776" i="5"/>
  <c r="J776" i="5"/>
  <c r="K905" i="5"/>
  <c r="J905" i="5"/>
  <c r="K952" i="5"/>
  <c r="J952" i="5"/>
  <c r="K986" i="5"/>
  <c r="J986" i="5"/>
  <c r="K1053" i="5"/>
  <c r="J1053" i="5"/>
  <c r="K1072" i="5"/>
  <c r="J1072" i="5"/>
  <c r="K756" i="5"/>
  <c r="J756" i="5"/>
  <c r="K783" i="5"/>
  <c r="J783" i="5"/>
  <c r="K820" i="5"/>
  <c r="J820" i="5"/>
  <c r="K827" i="5"/>
  <c r="J827" i="5"/>
  <c r="K872" i="5"/>
  <c r="J872" i="5"/>
  <c r="K903" i="5"/>
  <c r="J903" i="5"/>
  <c r="K885" i="5"/>
  <c r="J885" i="5"/>
  <c r="K926" i="5"/>
  <c r="J926" i="5"/>
  <c r="K968" i="5"/>
  <c r="J968" i="5"/>
  <c r="K983" i="5"/>
  <c r="J983" i="5"/>
  <c r="K1026" i="5"/>
  <c r="J1026" i="5"/>
  <c r="K1008" i="5"/>
  <c r="J1008" i="5"/>
  <c r="K1041" i="5"/>
  <c r="J1041" i="5"/>
  <c r="K1074" i="5"/>
  <c r="J1074" i="5"/>
  <c r="H1059" i="5"/>
  <c r="N1209" i="5" l="1"/>
  <c r="N1211" i="5"/>
  <c r="N1256" i="5"/>
  <c r="F1256" i="5" s="1"/>
  <c r="N1218" i="5"/>
  <c r="N1090" i="5"/>
  <c r="J1241" i="5"/>
  <c r="P2016" i="5"/>
  <c r="P1316" i="5"/>
  <c r="Q2028" i="5"/>
  <c r="P2014" i="5"/>
  <c r="P2025" i="5"/>
  <c r="N1089" i="5"/>
  <c r="N1111" i="5"/>
  <c r="N1259" i="5"/>
  <c r="F1259" i="5" s="1"/>
  <c r="P1788" i="5"/>
  <c r="N1223" i="5"/>
  <c r="P1980" i="5"/>
  <c r="P829" i="5"/>
  <c r="P2020" i="5"/>
  <c r="P2037" i="5"/>
  <c r="P2015" i="5"/>
  <c r="Q1393" i="5"/>
  <c r="P2010" i="5"/>
  <c r="P1381" i="5"/>
  <c r="P2013" i="5"/>
  <c r="J1262" i="5"/>
  <c r="P2027" i="5"/>
  <c r="P139" i="5"/>
  <c r="Q847" i="5"/>
  <c r="N1240" i="5"/>
  <c r="F1240" i="5" s="1"/>
  <c r="N1158" i="5"/>
  <c r="N1141" i="5"/>
  <c r="N1182" i="5"/>
  <c r="N1229" i="5"/>
  <c r="Q2008" i="5"/>
  <c r="P2035" i="5"/>
  <c r="P1376" i="5"/>
  <c r="P2030" i="5"/>
  <c r="P1372" i="5"/>
  <c r="P1392" i="5"/>
  <c r="P1373" i="5"/>
  <c r="P1080" i="5"/>
  <c r="Q943" i="5"/>
  <c r="Q1002" i="5"/>
  <c r="P2029" i="5"/>
  <c r="P2032" i="5"/>
  <c r="J1243" i="5"/>
  <c r="P1019" i="5"/>
  <c r="P835" i="5"/>
  <c r="K831" i="5"/>
  <c r="P1390" i="5"/>
  <c r="K1241" i="5"/>
  <c r="P2000" i="5"/>
  <c r="Q2018" i="5"/>
  <c r="Q2003" i="5"/>
  <c r="K1243" i="5"/>
  <c r="P2033" i="5"/>
  <c r="P2036" i="5"/>
  <c r="P2009" i="5"/>
  <c r="P1395" i="5"/>
  <c r="P1241" i="5"/>
  <c r="N1241" i="5" s="1"/>
  <c r="F1241" i="5" s="1"/>
  <c r="P1384" i="5"/>
  <c r="P1243" i="5"/>
  <c r="N1243" i="5" s="1"/>
  <c r="F1243" i="5" s="1"/>
  <c r="J1316" i="5"/>
  <c r="P2001" i="5"/>
  <c r="P2004" i="5"/>
  <c r="P2034" i="5"/>
  <c r="P1387" i="5"/>
  <c r="P971" i="5"/>
  <c r="P270" i="5"/>
  <c r="N270" i="5" s="1"/>
  <c r="K834" i="5"/>
  <c r="Q896" i="5"/>
  <c r="P950" i="5"/>
  <c r="P817" i="5"/>
  <c r="P961" i="5"/>
  <c r="P65" i="5"/>
  <c r="N65" i="5" s="1"/>
  <c r="P778" i="5"/>
  <c r="P1070" i="5"/>
  <c r="J828" i="5"/>
  <c r="J832" i="5"/>
  <c r="Q286" i="5"/>
  <c r="P828" i="5"/>
  <c r="Q966" i="5"/>
  <c r="P143" i="5"/>
  <c r="N143" i="5" s="1"/>
  <c r="K828" i="5"/>
  <c r="P389" i="5"/>
  <c r="J837" i="5"/>
  <c r="Q1088" i="5"/>
  <c r="Q940" i="5"/>
  <c r="P856" i="5"/>
  <c r="Q840" i="5"/>
  <c r="P776" i="5"/>
  <c r="Q762" i="5"/>
  <c r="P1071" i="5"/>
  <c r="Q841" i="5"/>
  <c r="P1086" i="5"/>
  <c r="P908" i="5"/>
  <c r="P1047" i="5"/>
  <c r="Q923" i="5"/>
  <c r="P834" i="5"/>
  <c r="J835" i="5"/>
  <c r="P709" i="5"/>
  <c r="Q1053" i="5"/>
  <c r="P977" i="5"/>
  <c r="Q839" i="5"/>
  <c r="P40" i="5"/>
  <c r="P751" i="5"/>
  <c r="Q1003" i="5"/>
  <c r="Q808" i="5"/>
  <c r="Q126" i="5"/>
  <c r="N126" i="5" s="1"/>
  <c r="Q998" i="5"/>
  <c r="Q878" i="5"/>
  <c r="P907" i="5"/>
  <c r="P887" i="5"/>
  <c r="P865" i="5"/>
  <c r="P801" i="5"/>
  <c r="P1020" i="5"/>
  <c r="Q944" i="5"/>
  <c r="P866" i="5"/>
  <c r="Q796" i="5"/>
  <c r="K835" i="5"/>
  <c r="P712" i="5"/>
  <c r="P831" i="5"/>
  <c r="P837" i="5"/>
  <c r="Q96" i="5"/>
  <c r="N96" i="5" s="1"/>
  <c r="P385" i="5"/>
  <c r="J831" i="5"/>
  <c r="P832" i="5"/>
  <c r="Q837" i="5"/>
  <c r="Q986" i="5"/>
  <c r="P1012" i="5"/>
  <c r="P132" i="5"/>
  <c r="P1064" i="5"/>
  <c r="Q1010" i="5"/>
  <c r="P268" i="5"/>
  <c r="P999" i="5"/>
  <c r="P953" i="5"/>
  <c r="P779" i="5"/>
  <c r="Q1069" i="5"/>
  <c r="P845" i="5"/>
  <c r="K836" i="5"/>
  <c r="P970" i="5"/>
  <c r="Q758" i="5"/>
  <c r="Q1054" i="5"/>
  <c r="Q897" i="5"/>
  <c r="P799" i="5"/>
  <c r="P954" i="5"/>
  <c r="Q889" i="5"/>
  <c r="P109" i="5"/>
  <c r="N109" i="5" s="1"/>
  <c r="J836" i="5"/>
  <c r="Q833" i="5"/>
  <c r="Q1033" i="5"/>
  <c r="P35" i="5"/>
  <c r="Q100" i="5"/>
  <c r="N100" i="5" s="1"/>
  <c r="P822" i="5"/>
  <c r="P1079" i="5"/>
  <c r="Q768" i="5"/>
  <c r="P973" i="5"/>
  <c r="Q843" i="5"/>
  <c r="P788" i="5"/>
  <c r="P869" i="5"/>
  <c r="Q153" i="5"/>
  <c r="N153" i="5" s="1"/>
  <c r="Q834" i="5"/>
  <c r="P836" i="5"/>
  <c r="P833" i="5"/>
  <c r="N1249" i="5"/>
  <c r="F1249" i="5" s="1"/>
  <c r="N1214" i="5"/>
  <c r="N1110" i="5"/>
  <c r="P1001" i="5"/>
  <c r="Q79" i="5"/>
  <c r="Q919" i="5"/>
  <c r="Q874" i="5"/>
  <c r="Q795" i="5"/>
  <c r="N1156" i="5"/>
  <c r="Q1036" i="5"/>
  <c r="Q987" i="5"/>
  <c r="Q84" i="5"/>
  <c r="N84" i="5" s="1"/>
  <c r="Q921" i="5"/>
  <c r="P888" i="5"/>
  <c r="Q875" i="5"/>
  <c r="N1114" i="5"/>
  <c r="N1122" i="5"/>
  <c r="Q1062" i="5"/>
  <c r="P1055" i="5"/>
  <c r="Q979" i="5"/>
  <c r="P45" i="5"/>
  <c r="N45" i="5" s="1"/>
  <c r="Q913" i="5"/>
  <c r="Q867" i="5"/>
  <c r="Q69" i="5"/>
  <c r="N69" i="5" s="1"/>
  <c r="P803" i="5"/>
  <c r="Q745" i="5"/>
  <c r="P993" i="5"/>
  <c r="Q55" i="5"/>
  <c r="P1077" i="5"/>
  <c r="Q1056" i="5"/>
  <c r="P1022" i="5"/>
  <c r="P989" i="5"/>
  <c r="Q955" i="5"/>
  <c r="Q909" i="5"/>
  <c r="Q113" i="5"/>
  <c r="N113" i="5" s="1"/>
  <c r="Q804" i="5"/>
  <c r="Q771" i="5"/>
  <c r="P798" i="5"/>
  <c r="N1162" i="5"/>
  <c r="P1084" i="5"/>
  <c r="Q1048" i="5"/>
  <c r="P1014" i="5"/>
  <c r="Q972" i="5"/>
  <c r="P947" i="5"/>
  <c r="Q933" i="5"/>
  <c r="P901" i="5"/>
  <c r="P34" i="5"/>
  <c r="N34" i="5" s="1"/>
  <c r="P850" i="5"/>
  <c r="Q781" i="5"/>
  <c r="P754" i="5"/>
  <c r="N1130" i="5"/>
  <c r="N1129" i="5"/>
  <c r="N1188" i="5"/>
  <c r="P1007" i="5"/>
  <c r="Q898" i="5"/>
  <c r="P761" i="5"/>
  <c r="Q127" i="5"/>
  <c r="N127" i="5" s="1"/>
  <c r="Q1067" i="5"/>
  <c r="P1049" i="5"/>
  <c r="Q974" i="5"/>
  <c r="P22" i="5"/>
  <c r="N22" i="5" s="1"/>
  <c r="P948" i="5"/>
  <c r="Q934" i="5"/>
  <c r="P902" i="5"/>
  <c r="P83" i="5"/>
  <c r="N83" i="5" s="1"/>
  <c r="Q852" i="5"/>
  <c r="P819" i="5"/>
  <c r="Q755" i="5"/>
  <c r="N1094" i="5"/>
  <c r="P1082" i="5"/>
  <c r="Q1050" i="5"/>
  <c r="P1017" i="5"/>
  <c r="P26" i="5"/>
  <c r="Q949" i="5"/>
  <c r="P917" i="5"/>
  <c r="Q903" i="5"/>
  <c r="P872" i="5"/>
  <c r="P87" i="5"/>
  <c r="Q823" i="5"/>
  <c r="Q820" i="5"/>
  <c r="P792" i="5"/>
  <c r="Q766" i="5"/>
  <c r="N1096" i="5"/>
  <c r="Q942" i="5"/>
  <c r="P936" i="5"/>
  <c r="Q1073" i="5"/>
  <c r="P1042" i="5"/>
  <c r="Q1027" i="5"/>
  <c r="P994" i="5"/>
  <c r="Q114" i="5"/>
  <c r="N114" i="5" s="1"/>
  <c r="Q927" i="5"/>
  <c r="P895" i="5"/>
  <c r="Q881" i="5"/>
  <c r="P830" i="5"/>
  <c r="P813" i="5"/>
  <c r="Q748" i="5"/>
  <c r="P123" i="5"/>
  <c r="P91" i="5"/>
  <c r="P1060" i="5"/>
  <c r="P981" i="5"/>
  <c r="P915" i="5"/>
  <c r="P870" i="5"/>
  <c r="P78" i="5"/>
  <c r="P818" i="5"/>
  <c r="P912" i="5"/>
  <c r="P1083" i="5"/>
  <c r="P1016" i="5"/>
  <c r="P916" i="5"/>
  <c r="P871" i="5"/>
  <c r="Q83" i="5"/>
  <c r="P791" i="5"/>
  <c r="P1031" i="5"/>
  <c r="P983" i="5"/>
  <c r="P70" i="5"/>
  <c r="N70" i="5" s="1"/>
  <c r="P885" i="5"/>
  <c r="Q87" i="5"/>
  <c r="P765" i="5"/>
  <c r="P1043" i="5"/>
  <c r="P793" i="5"/>
  <c r="P1009" i="5"/>
  <c r="P18" i="5"/>
  <c r="N18" i="5" s="1"/>
  <c r="P969" i="5"/>
  <c r="P864" i="5"/>
  <c r="P784" i="5"/>
  <c r="P1072" i="5"/>
  <c r="P1028" i="5"/>
  <c r="N139" i="5"/>
  <c r="P962" i="5"/>
  <c r="P1078" i="5"/>
  <c r="P1021" i="5"/>
  <c r="P1038" i="5"/>
  <c r="P891" i="5"/>
  <c r="P824" i="5"/>
  <c r="N1115" i="5"/>
  <c r="N1195" i="5"/>
  <c r="N1151" i="5"/>
  <c r="P1044" i="5"/>
  <c r="P995" i="5"/>
  <c r="P929" i="5"/>
  <c r="P853" i="5"/>
  <c r="Q268" i="5"/>
  <c r="N268" i="5" s="1"/>
  <c r="P749" i="5"/>
  <c r="P807" i="5"/>
  <c r="P1045" i="5"/>
  <c r="P996" i="5"/>
  <c r="Q123" i="5"/>
  <c r="P930" i="5"/>
  <c r="Q857" i="5"/>
  <c r="P21" i="5"/>
  <c r="P750" i="5"/>
  <c r="N1109" i="5"/>
  <c r="F1109" i="5" s="1"/>
  <c r="N1161" i="5"/>
  <c r="N1254" i="5"/>
  <c r="P1037" i="5"/>
  <c r="P988" i="5"/>
  <c r="P88" i="5"/>
  <c r="N88" i="5" s="1"/>
  <c r="P922" i="5"/>
  <c r="P876" i="5"/>
  <c r="N1167" i="5"/>
  <c r="N1152" i="5"/>
  <c r="N1100" i="5"/>
  <c r="Q91" i="5"/>
  <c r="P1004" i="5"/>
  <c r="P136" i="5"/>
  <c r="N136" i="5" s="1"/>
  <c r="P964" i="5"/>
  <c r="P859" i="5"/>
  <c r="P273" i="5"/>
  <c r="N273" i="5" s="1"/>
  <c r="P780" i="5"/>
  <c r="N1173" i="5"/>
  <c r="N1174" i="5"/>
  <c r="N1213" i="5"/>
  <c r="P1057" i="5"/>
  <c r="P61" i="5"/>
  <c r="N61" i="5" s="1"/>
  <c r="P883" i="5"/>
  <c r="Q78" i="5"/>
  <c r="P790" i="5"/>
  <c r="N1127" i="5"/>
  <c r="N1147" i="5"/>
  <c r="N1176" i="5"/>
  <c r="P906" i="5"/>
  <c r="P1030" i="5"/>
  <c r="P982" i="5"/>
  <c r="P66" i="5"/>
  <c r="N66" i="5" s="1"/>
  <c r="P884" i="5"/>
  <c r="P122" i="5"/>
  <c r="N122" i="5" s="1"/>
  <c r="P806" i="5"/>
  <c r="P764" i="5"/>
  <c r="N1233" i="5"/>
  <c r="N1190" i="5"/>
  <c r="N1224" i="5"/>
  <c r="N1221" i="5"/>
  <c r="P1029" i="5"/>
  <c r="P959" i="5"/>
  <c r="P854" i="5"/>
  <c r="P131" i="5"/>
  <c r="N131" i="5" s="1"/>
  <c r="P263" i="5"/>
  <c r="N263" i="5" s="1"/>
  <c r="P774" i="5"/>
  <c r="P767" i="5"/>
  <c r="N1230" i="5"/>
  <c r="N1244" i="5"/>
  <c r="F1244" i="5" s="1"/>
  <c r="N1153" i="5"/>
  <c r="N1168" i="5"/>
  <c r="P920" i="5"/>
  <c r="P1065" i="5"/>
  <c r="P976" i="5"/>
  <c r="P937" i="5"/>
  <c r="P50" i="5"/>
  <c r="N50" i="5" s="1"/>
  <c r="P797" i="5"/>
  <c r="N119" i="5"/>
  <c r="F1059" i="5"/>
  <c r="N1202" i="5"/>
  <c r="N1108" i="5"/>
  <c r="P814" i="5"/>
  <c r="N1236" i="5"/>
  <c r="F1236" i="5" s="1"/>
  <c r="N1157" i="5"/>
  <c r="N1163" i="5"/>
  <c r="N1104" i="5"/>
  <c r="P17" i="5"/>
  <c r="N17" i="5" s="1"/>
  <c r="P1087" i="5"/>
  <c r="P1011" i="5"/>
  <c r="Q21" i="5"/>
  <c r="P815" i="5"/>
  <c r="P770" i="5"/>
  <c r="N1091" i="5"/>
  <c r="P147" i="5"/>
  <c r="N147" i="5" s="1"/>
  <c r="N1205" i="5"/>
  <c r="P164" i="5"/>
  <c r="N164" i="5" s="1"/>
  <c r="P882" i="5"/>
  <c r="P932" i="5"/>
  <c r="P29" i="5"/>
  <c r="N29" i="5" s="1"/>
  <c r="N1098" i="5"/>
  <c r="N1126" i="5"/>
  <c r="N1185" i="5"/>
  <c r="P1076" i="5"/>
  <c r="P1024" i="5"/>
  <c r="P956" i="5"/>
  <c r="P910" i="5"/>
  <c r="P118" i="5"/>
  <c r="N118" i="5" s="1"/>
  <c r="P805" i="5"/>
  <c r="P763" i="5"/>
  <c r="N1121" i="5"/>
  <c r="F1121" i="5" s="1"/>
  <c r="N1255" i="5"/>
  <c r="F1255" i="5" s="1"/>
  <c r="N1226" i="5"/>
  <c r="N1128" i="5"/>
  <c r="P1015" i="5"/>
  <c r="P56" i="5"/>
  <c r="N56" i="5" s="1"/>
  <c r="P1058" i="5"/>
  <c r="P957" i="5"/>
  <c r="P911" i="5"/>
  <c r="P773" i="5"/>
  <c r="N1133" i="5"/>
  <c r="N1135" i="5"/>
  <c r="N1206" i="5"/>
  <c r="N1180" i="5"/>
  <c r="P1074" i="5"/>
  <c r="P1026" i="5"/>
  <c r="P110" i="5"/>
  <c r="P926" i="5"/>
  <c r="P880" i="5"/>
  <c r="P747" i="5"/>
  <c r="N1227" i="5"/>
  <c r="P777" i="5"/>
  <c r="P1052" i="5"/>
  <c r="P30" i="5"/>
  <c r="N30" i="5" s="1"/>
  <c r="P951" i="5"/>
  <c r="P904" i="5"/>
  <c r="Q50" i="5"/>
  <c r="P800" i="5"/>
  <c r="P821" i="5"/>
  <c r="P958" i="5"/>
  <c r="P1063" i="5"/>
  <c r="P787" i="5"/>
  <c r="P877" i="5"/>
  <c r="P946" i="5"/>
  <c r="P900" i="5"/>
  <c r="P1039" i="5"/>
  <c r="P990" i="5"/>
  <c r="P101" i="5"/>
  <c r="N101" i="5" s="1"/>
  <c r="P924" i="5"/>
  <c r="P879" i="5"/>
  <c r="P772" i="5"/>
  <c r="P890" i="5"/>
  <c r="P1075" i="5"/>
  <c r="P1025" i="5"/>
  <c r="P105" i="5"/>
  <c r="N105" i="5" s="1"/>
  <c r="F105" i="5" s="1"/>
  <c r="P925" i="5"/>
  <c r="P189" i="5"/>
  <c r="N189" i="5" s="1"/>
  <c r="P826" i="5"/>
  <c r="P746" i="5"/>
  <c r="P1041" i="5"/>
  <c r="P992" i="5"/>
  <c r="Q110" i="5"/>
  <c r="P894" i="5"/>
  <c r="P827" i="5"/>
  <c r="P812" i="5"/>
  <c r="P757" i="5"/>
  <c r="P1051" i="5"/>
  <c r="P1081" i="5"/>
  <c r="P1018" i="5"/>
  <c r="P918" i="5"/>
  <c r="P873" i="5"/>
  <c r="P95" i="5"/>
  <c r="P794" i="5"/>
  <c r="P786" i="5"/>
  <c r="P978" i="5"/>
  <c r="N132" i="5"/>
  <c r="P963" i="5"/>
  <c r="P858" i="5"/>
  <c r="N1191" i="5"/>
  <c r="N1216" i="5"/>
  <c r="Q35" i="5"/>
  <c r="N35" i="5" s="1"/>
  <c r="P938" i="5"/>
  <c r="P60" i="5"/>
  <c r="N60" i="5" s="1"/>
  <c r="N1172" i="5"/>
  <c r="N1200" i="5"/>
  <c r="P810" i="5"/>
  <c r="Q40" i="5"/>
  <c r="N40" i="5" s="1"/>
  <c r="P939" i="5"/>
  <c r="P759" i="5"/>
  <c r="N1253" i="5"/>
  <c r="P1046" i="5"/>
  <c r="P997" i="5"/>
  <c r="P931" i="5"/>
  <c r="Q25" i="5"/>
  <c r="N25" i="5" s="1"/>
  <c r="N1198" i="5"/>
  <c r="N1199" i="5"/>
  <c r="N1234" i="5"/>
  <c r="P985" i="5"/>
  <c r="P1085" i="5"/>
  <c r="P1013" i="5"/>
  <c r="P980" i="5"/>
  <c r="P914" i="5"/>
  <c r="P868" i="5"/>
  <c r="P73" i="5"/>
  <c r="N73" i="5" s="1"/>
  <c r="P789" i="5"/>
  <c r="N1171" i="5"/>
  <c r="N1170" i="5"/>
  <c r="N1160" i="5"/>
  <c r="N1242" i="5"/>
  <c r="F1242" i="5" s="1"/>
  <c r="N1107" i="5"/>
  <c r="P1005" i="5"/>
  <c r="P892" i="5"/>
  <c r="P825" i="5"/>
  <c r="P769" i="5"/>
  <c r="N1215" i="5"/>
  <c r="P753" i="5"/>
  <c r="P92" i="5"/>
  <c r="N92" i="5" s="1"/>
  <c r="P1040" i="5"/>
  <c r="P991" i="5"/>
  <c r="P893" i="5"/>
  <c r="P811" i="5"/>
  <c r="N1207" i="5"/>
  <c r="N1217" i="5"/>
  <c r="N1192" i="5"/>
  <c r="P1034" i="5"/>
  <c r="P1008" i="5"/>
  <c r="P148" i="5"/>
  <c r="N148" i="5" s="1"/>
  <c r="P968" i="5"/>
  <c r="P863" i="5"/>
  <c r="P783" i="5"/>
  <c r="P760" i="5"/>
  <c r="N1186" i="5"/>
  <c r="P928" i="5"/>
  <c r="P1032" i="5"/>
  <c r="P984" i="5"/>
  <c r="P74" i="5"/>
  <c r="N74" i="5" s="1"/>
  <c r="P886" i="5"/>
  <c r="Q95" i="5"/>
  <c r="P945" i="5"/>
  <c r="P899" i="5"/>
  <c r="P816" i="5"/>
  <c r="P861" i="5"/>
  <c r="P1061" i="5"/>
  <c r="P51" i="5"/>
  <c r="N51" i="5" s="1"/>
  <c r="P941" i="5"/>
  <c r="Q73" i="5"/>
  <c r="P1068" i="5"/>
  <c r="P155" i="5"/>
  <c r="P140" i="5"/>
  <c r="N140" i="5" s="1"/>
  <c r="P965" i="5"/>
  <c r="P860" i="5"/>
  <c r="P809" i="5"/>
  <c r="P752" i="5"/>
  <c r="P1023" i="5"/>
  <c r="P1006" i="5"/>
  <c r="P144" i="5"/>
  <c r="N144" i="5" s="1"/>
  <c r="P967" i="5"/>
  <c r="P862" i="5"/>
  <c r="Q39" i="5"/>
  <c r="N39" i="5" s="1"/>
  <c r="P782" i="5"/>
  <c r="P1066" i="5"/>
  <c r="P975" i="5"/>
  <c r="P935" i="5"/>
  <c r="P44" i="5"/>
  <c r="N44" i="5" s="1"/>
  <c r="P756" i="5"/>
  <c r="P1035" i="5"/>
  <c r="P785" i="5"/>
  <c r="P1000" i="5"/>
  <c r="P960" i="5"/>
  <c r="P855" i="5"/>
  <c r="P135" i="5"/>
  <c r="N135" i="5" s="1"/>
  <c r="P265" i="5"/>
  <c r="N265" i="5" s="1"/>
  <c r="P775" i="5"/>
  <c r="P952" i="5"/>
  <c r="P905" i="5"/>
  <c r="P104" i="5"/>
  <c r="P802" i="5"/>
  <c r="N1142" i="5"/>
  <c r="N1193" i="5"/>
  <c r="P79" i="5"/>
  <c r="N1138" i="5"/>
  <c r="N1101" i="5"/>
  <c r="N1225" i="5"/>
  <c r="N1137" i="5"/>
  <c r="F1137" i="5" s="1"/>
  <c r="Q104" i="5"/>
  <c r="N1261" i="5"/>
  <c r="N1112" i="5"/>
  <c r="N1208" i="5"/>
  <c r="N1178" i="5"/>
  <c r="N1120" i="5"/>
  <c r="N1222" i="5"/>
  <c r="P55" i="5"/>
  <c r="N55" i="5" s="1"/>
  <c r="Q51" i="5"/>
  <c r="N1187" i="5"/>
  <c r="N1166" i="5"/>
  <c r="N1119" i="5"/>
  <c r="N1228" i="5"/>
  <c r="N1125" i="5"/>
  <c r="N1103" i="5"/>
  <c r="N1150" i="5"/>
  <c r="N1136" i="5"/>
  <c r="Q26" i="5"/>
  <c r="N1169" i="5"/>
  <c r="N1177" i="5"/>
  <c r="N1155" i="5"/>
  <c r="F1246" i="5"/>
  <c r="F1250" i="5"/>
  <c r="F1245" i="5"/>
  <c r="F1237" i="5"/>
  <c r="F1201" i="5"/>
  <c r="J35" i="5"/>
  <c r="J143" i="5"/>
  <c r="J88" i="5"/>
  <c r="K56" i="5"/>
  <c r="J22" i="5"/>
  <c r="J104" i="5"/>
  <c r="J17" i="5"/>
  <c r="K122" i="5"/>
  <c r="J87" i="5"/>
  <c r="K270" i="5"/>
  <c r="K29" i="5"/>
  <c r="K139" i="5"/>
  <c r="K147" i="5"/>
  <c r="K153" i="5"/>
  <c r="K131" i="5"/>
  <c r="K22" i="5"/>
  <c r="K60" i="5"/>
  <c r="K101" i="5"/>
  <c r="K126" i="5"/>
  <c r="K34" i="5"/>
  <c r="J263" i="5"/>
  <c r="K164" i="5"/>
  <c r="K118" i="5"/>
  <c r="K70" i="5"/>
  <c r="F1093" i="5"/>
  <c r="K69" i="5"/>
  <c r="R1059" i="5"/>
  <c r="Q1059" i="5" s="1"/>
  <c r="K44" i="5"/>
  <c r="J96" i="5"/>
  <c r="J101" i="5"/>
  <c r="K92" i="5"/>
  <c r="J21" i="5"/>
  <c r="J118" i="5"/>
  <c r="J132" i="5"/>
  <c r="K73" i="5"/>
  <c r="J61" i="5"/>
  <c r="J65" i="5"/>
  <c r="K88" i="5"/>
  <c r="K132" i="5"/>
  <c r="K61" i="5"/>
  <c r="J92" i="5"/>
  <c r="K66" i="5"/>
  <c r="K40" i="5"/>
  <c r="J273" i="5"/>
  <c r="J83" i="5"/>
  <c r="K26" i="5"/>
  <c r="J44" i="5"/>
  <c r="K123" i="5"/>
  <c r="K273" i="5"/>
  <c r="J114" i="5"/>
  <c r="J84" i="5"/>
  <c r="J109" i="5"/>
  <c r="K55" i="5"/>
  <c r="J126" i="5"/>
  <c r="J105" i="5"/>
  <c r="J60" i="5"/>
  <c r="J148" i="5"/>
  <c r="K114" i="5"/>
  <c r="J119" i="5"/>
  <c r="K84" i="5"/>
  <c r="J270" i="5"/>
  <c r="K109" i="5"/>
  <c r="J100" i="5"/>
  <c r="J30" i="5"/>
  <c r="K50" i="5"/>
  <c r="K119" i="5"/>
  <c r="K45" i="5"/>
  <c r="K96" i="5"/>
  <c r="J189" i="5"/>
  <c r="K189" i="5"/>
  <c r="K148" i="5"/>
  <c r="K100" i="5"/>
  <c r="K30" i="5"/>
  <c r="J18" i="5"/>
  <c r="K95" i="5"/>
  <c r="J265" i="5"/>
  <c r="J286" i="5"/>
  <c r="K17" i="5"/>
  <c r="K143" i="5"/>
  <c r="J25" i="5"/>
  <c r="J136" i="5"/>
  <c r="J113" i="5"/>
  <c r="J140" i="5"/>
  <c r="J127" i="5"/>
  <c r="K105" i="5"/>
  <c r="J39" i="5"/>
  <c r="K263" i="5"/>
  <c r="K18" i="5"/>
  <c r="K265" i="5"/>
  <c r="K286" i="5"/>
  <c r="K25" i="5"/>
  <c r="J45" i="5"/>
  <c r="J69" i="5"/>
  <c r="K136" i="5"/>
  <c r="K113" i="5"/>
  <c r="K140" i="5"/>
  <c r="K127" i="5"/>
  <c r="J66" i="5"/>
  <c r="K39" i="5"/>
  <c r="J110" i="5"/>
  <c r="K1059" i="5"/>
  <c r="J1059" i="5"/>
  <c r="J139" i="5"/>
  <c r="J74" i="5"/>
  <c r="J135" i="5"/>
  <c r="K65" i="5"/>
  <c r="J147" i="5"/>
  <c r="J153" i="5"/>
  <c r="J51" i="5"/>
  <c r="J29" i="5"/>
  <c r="J78" i="5"/>
  <c r="J56" i="5"/>
  <c r="J144" i="5"/>
  <c r="J122" i="5"/>
  <c r="J70" i="5"/>
  <c r="J131" i="5"/>
  <c r="K74" i="5"/>
  <c r="K135" i="5"/>
  <c r="J79" i="5"/>
  <c r="J164" i="5"/>
  <c r="J91" i="5"/>
  <c r="J34" i="5"/>
  <c r="K144" i="5"/>
  <c r="J268" i="5"/>
  <c r="N79" i="5" l="1"/>
  <c r="N21" i="5"/>
  <c r="N78" i="5"/>
  <c r="N26" i="5"/>
  <c r="P1059" i="5"/>
  <c r="N104" i="5"/>
  <c r="F104" i="5" s="1"/>
  <c r="N110" i="5"/>
  <c r="N87" i="5"/>
  <c r="N95" i="5"/>
  <c r="N91" i="5"/>
  <c r="N123" i="5"/>
  <c r="F1253" i="5"/>
  <c r="F1130" i="5"/>
  <c r="F1199" i="5"/>
  <c r="F1261" i="5"/>
  <c r="F1262" i="5"/>
  <c r="F1260" i="5"/>
  <c r="F1173" i="5"/>
  <c r="F1254" i="5"/>
  <c r="F1252" i="5"/>
  <c r="F1228" i="5"/>
  <c r="F1218" i="5"/>
  <c r="F1234" i="5"/>
  <c r="F1235" i="5"/>
  <c r="F1232" i="5"/>
  <c r="F1233" i="5"/>
  <c r="F1230" i="5"/>
  <c r="F1226" i="5"/>
  <c r="F1229" i="5"/>
  <c r="F1227" i="5"/>
  <c r="F1222" i="5"/>
  <c r="F1223" i="5"/>
  <c r="F1225" i="5"/>
  <c r="F1224" i="5"/>
  <c r="F1221" i="5"/>
  <c r="F1219" i="5"/>
  <c r="F1220" i="5"/>
  <c r="F1217" i="5"/>
  <c r="F1214" i="5"/>
  <c r="F1215" i="5"/>
  <c r="F1216" i="5"/>
  <c r="F1210" i="5"/>
  <c r="F1211" i="5"/>
  <c r="F1212" i="5"/>
  <c r="F1213" i="5"/>
  <c r="F1205" i="5"/>
  <c r="F1208" i="5"/>
  <c r="F1207" i="5"/>
  <c r="F1209" i="5"/>
  <c r="F1206" i="5"/>
  <c r="F1178" i="5"/>
  <c r="F1148" i="5"/>
  <c r="F1195" i="5"/>
  <c r="F1190" i="5"/>
  <c r="F1204" i="5"/>
  <c r="F1202" i="5"/>
  <c r="F1203" i="5"/>
  <c r="F1186" i="5"/>
  <c r="F1196" i="5"/>
  <c r="F1198" i="5"/>
  <c r="F1200" i="5"/>
  <c r="F1197" i="5"/>
  <c r="F1193" i="5"/>
  <c r="F1192" i="5"/>
  <c r="F1194" i="5"/>
  <c r="F1191" i="5"/>
  <c r="F1189" i="5"/>
  <c r="F1187" i="5"/>
  <c r="F1188" i="5"/>
  <c r="F1185" i="5"/>
  <c r="F1182" i="5"/>
  <c r="F1183" i="5"/>
  <c r="F1184" i="5"/>
  <c r="F1181" i="5"/>
  <c r="F1180" i="5"/>
  <c r="F1179" i="5"/>
  <c r="F1176" i="5"/>
  <c r="F1177" i="5"/>
  <c r="F1175" i="5"/>
  <c r="F1174" i="5"/>
  <c r="F1171" i="5"/>
  <c r="F1172" i="5"/>
  <c r="F1166" i="5"/>
  <c r="F1170" i="5"/>
  <c r="F1168" i="5"/>
  <c r="F1169" i="5"/>
  <c r="F1167" i="5"/>
  <c r="F1163" i="5"/>
  <c r="F1162" i="5"/>
  <c r="F1164" i="5"/>
  <c r="F1165" i="5"/>
  <c r="F1158" i="5"/>
  <c r="F1159" i="5"/>
  <c r="F1161" i="5"/>
  <c r="F1160" i="5"/>
  <c r="F1153" i="5"/>
  <c r="F1156" i="5"/>
  <c r="F1155" i="5"/>
  <c r="F1154" i="5"/>
  <c r="F1157" i="5"/>
  <c r="F1149" i="5"/>
  <c r="F1150" i="5"/>
  <c r="F1151" i="5"/>
  <c r="F1152" i="5"/>
  <c r="F1143" i="5"/>
  <c r="F1144" i="5"/>
  <c r="F1146" i="5"/>
  <c r="F1147" i="5"/>
  <c r="F1145" i="5"/>
  <c r="F1142" i="5"/>
  <c r="F1140" i="5"/>
  <c r="F1141" i="5"/>
  <c r="F1138" i="5"/>
  <c r="F1139" i="5"/>
  <c r="F1131" i="5"/>
  <c r="F1133" i="5"/>
  <c r="F1134" i="5"/>
  <c r="F1136" i="5"/>
  <c r="F1135" i="5"/>
  <c r="F1132" i="5"/>
  <c r="F1125" i="5"/>
  <c r="F1129" i="5"/>
  <c r="F1128" i="5"/>
  <c r="F1126" i="5"/>
  <c r="F1127" i="5"/>
  <c r="F1124" i="5"/>
  <c r="F1123" i="5"/>
  <c r="F1122" i="5"/>
  <c r="F1120" i="5"/>
  <c r="F1107" i="5"/>
  <c r="F1115" i="5"/>
  <c r="F1118" i="5"/>
  <c r="F1103" i="5"/>
  <c r="F1119" i="5"/>
  <c r="F1117" i="5"/>
  <c r="F1116" i="5"/>
  <c r="F1114" i="5"/>
  <c r="F1113" i="5"/>
  <c r="F1112" i="5"/>
  <c r="F1110" i="5"/>
  <c r="F1111" i="5"/>
  <c r="F1108" i="5"/>
  <c r="F1105" i="5"/>
  <c r="F1106" i="5"/>
  <c r="F1101" i="5"/>
  <c r="F1102" i="5"/>
  <c r="F1104" i="5"/>
  <c r="F1097" i="5"/>
  <c r="F1100" i="5"/>
  <c r="F1098" i="5"/>
  <c r="F1099" i="5"/>
  <c r="F1094" i="5"/>
  <c r="F1096" i="5"/>
  <c r="F1095" i="5"/>
  <c r="F1089" i="5" l="1"/>
  <c r="G12" i="12" s="1"/>
  <c r="F1092" i="5"/>
  <c r="N12" i="12" s="1"/>
  <c r="F1091" i="5"/>
  <c r="M12" i="12" s="1"/>
  <c r="F1090" i="5"/>
  <c r="H12" i="12" s="1"/>
  <c r="H718" i="5"/>
  <c r="H719" i="5"/>
  <c r="H720" i="5"/>
  <c r="H721" i="5"/>
  <c r="H722" i="5"/>
  <c r="H723" i="5"/>
  <c r="H724" i="5"/>
  <c r="H163" i="5"/>
  <c r="H725" i="5"/>
  <c r="H726" i="5"/>
  <c r="H727" i="5"/>
  <c r="H728" i="5"/>
  <c r="H729" i="5"/>
  <c r="H730" i="5"/>
  <c r="H731" i="5"/>
  <c r="H732" i="5"/>
  <c r="H733" i="5"/>
  <c r="H734" i="5"/>
  <c r="H735" i="5"/>
  <c r="H736" i="5"/>
  <c r="H737" i="5"/>
  <c r="H738" i="5"/>
  <c r="H739" i="5"/>
  <c r="H740" i="5"/>
  <c r="H741" i="5"/>
  <c r="H742" i="5"/>
  <c r="H188" i="5"/>
  <c r="H743" i="5"/>
  <c r="H744" i="5"/>
  <c r="H717" i="5"/>
  <c r="H699" i="5"/>
  <c r="H700" i="5"/>
  <c r="H701" i="5"/>
  <c r="H33" i="5"/>
  <c r="H38" i="5"/>
  <c r="H702" i="5"/>
  <c r="H49" i="5"/>
  <c r="H54" i="5"/>
  <c r="H59" i="5"/>
  <c r="H64" i="5"/>
  <c r="H703" i="5"/>
  <c r="H704" i="5"/>
  <c r="H77" i="5"/>
  <c r="H705" i="5"/>
  <c r="H706" i="5"/>
  <c r="H707" i="5"/>
  <c r="H708" i="5"/>
  <c r="H99" i="5"/>
  <c r="H108" i="5"/>
  <c r="H710" i="5"/>
  <c r="H117" i="5"/>
  <c r="H711" i="5"/>
  <c r="H130" i="5"/>
  <c r="H713" i="5"/>
  <c r="H714" i="5"/>
  <c r="H715" i="5"/>
  <c r="H716" i="5"/>
  <c r="H698" i="5"/>
  <c r="H669" i="5"/>
  <c r="H670" i="5"/>
  <c r="H671" i="5"/>
  <c r="H672" i="5"/>
  <c r="H673" i="5"/>
  <c r="H674" i="5"/>
  <c r="H675" i="5"/>
  <c r="H676" i="5"/>
  <c r="H677" i="5"/>
  <c r="H678" i="5"/>
  <c r="H679" i="5"/>
  <c r="H680" i="5"/>
  <c r="H681" i="5"/>
  <c r="H682" i="5"/>
  <c r="H683" i="5"/>
  <c r="H684" i="5"/>
  <c r="H685" i="5"/>
  <c r="H686" i="5"/>
  <c r="H687" i="5"/>
  <c r="H688" i="5"/>
  <c r="H689" i="5"/>
  <c r="H690" i="5"/>
  <c r="H691" i="5"/>
  <c r="H692" i="5"/>
  <c r="H693" i="5"/>
  <c r="H694" i="5"/>
  <c r="H695" i="5"/>
  <c r="H696" i="5"/>
  <c r="H697" i="5"/>
  <c r="H668" i="5"/>
  <c r="H639" i="5"/>
  <c r="H640" i="5"/>
  <c r="H641" i="5"/>
  <c r="H642" i="5"/>
  <c r="H643" i="5"/>
  <c r="H644" i="5"/>
  <c r="H645" i="5"/>
  <c r="H646" i="5"/>
  <c r="H647" i="5"/>
  <c r="H648" i="5"/>
  <c r="H649" i="5"/>
  <c r="H650" i="5"/>
  <c r="H651" i="5"/>
  <c r="H652" i="5"/>
  <c r="H653" i="5"/>
  <c r="H654" i="5"/>
  <c r="H655" i="5"/>
  <c r="H656" i="5"/>
  <c r="H657" i="5"/>
  <c r="H658" i="5"/>
  <c r="H659" i="5"/>
  <c r="H660" i="5"/>
  <c r="H661" i="5"/>
  <c r="H662" i="5"/>
  <c r="H663" i="5"/>
  <c r="H664" i="5"/>
  <c r="H665" i="5"/>
  <c r="H666" i="5"/>
  <c r="H667" i="5"/>
  <c r="H638" i="5"/>
  <c r="S108" i="30"/>
  <c r="E639" i="5" s="1"/>
  <c r="S109" i="30"/>
  <c r="E640" i="5" s="1"/>
  <c r="S110" i="30"/>
  <c r="E641" i="5" s="1"/>
  <c r="S111" i="30"/>
  <c r="E642" i="5" s="1"/>
  <c r="S112" i="30"/>
  <c r="E643" i="5" s="1"/>
  <c r="S113" i="30"/>
  <c r="E644" i="5" s="1"/>
  <c r="S114" i="30"/>
  <c r="E645" i="5" s="1"/>
  <c r="S115" i="30"/>
  <c r="E646" i="5" s="1"/>
  <c r="S116" i="30"/>
  <c r="E647" i="5" s="1"/>
  <c r="S117" i="30"/>
  <c r="E648" i="5" s="1"/>
  <c r="S118" i="30"/>
  <c r="E649" i="5" s="1"/>
  <c r="S119" i="30"/>
  <c r="E650" i="5" s="1"/>
  <c r="S120" i="30"/>
  <c r="E651" i="5" s="1"/>
  <c r="S121" i="30"/>
  <c r="E652" i="5" s="1"/>
  <c r="S122" i="30"/>
  <c r="E653" i="5" s="1"/>
  <c r="S123" i="30"/>
  <c r="E654" i="5" s="1"/>
  <c r="S124" i="30"/>
  <c r="E655" i="5" s="1"/>
  <c r="S125" i="30"/>
  <c r="E656" i="5" s="1"/>
  <c r="S126" i="30"/>
  <c r="E657" i="5" s="1"/>
  <c r="S127" i="30"/>
  <c r="E658" i="5" s="1"/>
  <c r="S128" i="30"/>
  <c r="E659" i="5" s="1"/>
  <c r="S129" i="30"/>
  <c r="E660" i="5" s="1"/>
  <c r="S130" i="30"/>
  <c r="E661" i="5" s="1"/>
  <c r="S131" i="30"/>
  <c r="E662" i="5" s="1"/>
  <c r="S132" i="30"/>
  <c r="E663" i="5" s="1"/>
  <c r="S133" i="30"/>
  <c r="E664" i="5" s="1"/>
  <c r="S134" i="30"/>
  <c r="E665" i="5" s="1"/>
  <c r="S135" i="30"/>
  <c r="E666" i="5" s="1"/>
  <c r="S136" i="30"/>
  <c r="E667" i="5" s="1"/>
  <c r="S107" i="30"/>
  <c r="E638" i="5" s="1"/>
  <c r="H609" i="5"/>
  <c r="H610" i="5"/>
  <c r="H611" i="5"/>
  <c r="H612" i="5"/>
  <c r="H613" i="5"/>
  <c r="H614" i="5"/>
  <c r="H615" i="5"/>
  <c r="H616" i="5"/>
  <c r="H617" i="5"/>
  <c r="H618" i="5"/>
  <c r="H619" i="5"/>
  <c r="H620" i="5"/>
  <c r="H621" i="5"/>
  <c r="H622" i="5"/>
  <c r="H623" i="5"/>
  <c r="H624" i="5"/>
  <c r="H625" i="5"/>
  <c r="H626" i="5"/>
  <c r="H627" i="5"/>
  <c r="H628" i="5"/>
  <c r="H629" i="5"/>
  <c r="H630" i="5"/>
  <c r="H631" i="5"/>
  <c r="H632" i="5"/>
  <c r="H633" i="5"/>
  <c r="H634" i="5"/>
  <c r="H635" i="5"/>
  <c r="H636" i="5"/>
  <c r="H637" i="5"/>
  <c r="H608" i="5"/>
  <c r="H579" i="5"/>
  <c r="H580" i="5"/>
  <c r="H581" i="5"/>
  <c r="H582" i="5"/>
  <c r="H583" i="5"/>
  <c r="H584" i="5"/>
  <c r="H585" i="5"/>
  <c r="H586" i="5"/>
  <c r="H587" i="5"/>
  <c r="H588" i="5"/>
  <c r="H589" i="5"/>
  <c r="H590" i="5"/>
  <c r="H591" i="5"/>
  <c r="H592" i="5"/>
  <c r="H593" i="5"/>
  <c r="H594" i="5"/>
  <c r="H595" i="5"/>
  <c r="H596" i="5"/>
  <c r="H597" i="5"/>
  <c r="H598" i="5"/>
  <c r="H599" i="5"/>
  <c r="H600" i="5"/>
  <c r="H601" i="5"/>
  <c r="H602" i="5"/>
  <c r="H603" i="5"/>
  <c r="H604" i="5"/>
  <c r="H605" i="5"/>
  <c r="H606" i="5"/>
  <c r="H607" i="5"/>
  <c r="H578" i="5"/>
  <c r="H552" i="5"/>
  <c r="H553" i="5"/>
  <c r="H554" i="5"/>
  <c r="H555" i="5"/>
  <c r="H556" i="5"/>
  <c r="H43" i="5"/>
  <c r="H48" i="5"/>
  <c r="H557" i="5"/>
  <c r="H558" i="5"/>
  <c r="H559" i="5"/>
  <c r="H560" i="5"/>
  <c r="H561" i="5"/>
  <c r="H562" i="5"/>
  <c r="H82" i="5"/>
  <c r="H563" i="5"/>
  <c r="H564" i="5"/>
  <c r="H565" i="5"/>
  <c r="H566" i="5"/>
  <c r="H567" i="5"/>
  <c r="H568" i="5"/>
  <c r="H569" i="5"/>
  <c r="H570" i="5"/>
  <c r="H571" i="5"/>
  <c r="H572" i="5"/>
  <c r="H573" i="5"/>
  <c r="H574" i="5"/>
  <c r="H575" i="5"/>
  <c r="H576" i="5"/>
  <c r="H577" i="5"/>
  <c r="H551" i="5"/>
  <c r="H522" i="5"/>
  <c r="H523" i="5"/>
  <c r="H524" i="5"/>
  <c r="H525" i="5"/>
  <c r="H526" i="5"/>
  <c r="H527" i="5"/>
  <c r="H528" i="5"/>
  <c r="H529" i="5"/>
  <c r="H530" i="5"/>
  <c r="H531" i="5"/>
  <c r="H532" i="5"/>
  <c r="H533" i="5"/>
  <c r="H534" i="5"/>
  <c r="H535" i="5"/>
  <c r="H536" i="5"/>
  <c r="H537" i="5"/>
  <c r="H538" i="5"/>
  <c r="H539" i="5"/>
  <c r="H540" i="5"/>
  <c r="H541" i="5"/>
  <c r="H542" i="5"/>
  <c r="H543" i="5"/>
  <c r="H544" i="5"/>
  <c r="H545" i="5"/>
  <c r="H546" i="5"/>
  <c r="H547" i="5"/>
  <c r="H548" i="5"/>
  <c r="H549" i="5"/>
  <c r="H550" i="5"/>
  <c r="H521" i="5"/>
  <c r="H492" i="5"/>
  <c r="H493" i="5"/>
  <c r="H494" i="5"/>
  <c r="H495" i="5"/>
  <c r="H496" i="5"/>
  <c r="H497" i="5"/>
  <c r="H498" i="5"/>
  <c r="H499" i="5"/>
  <c r="H500" i="5"/>
  <c r="H501" i="5"/>
  <c r="H502" i="5"/>
  <c r="H503" i="5"/>
  <c r="H504" i="5"/>
  <c r="H505" i="5"/>
  <c r="H506" i="5"/>
  <c r="H507" i="5"/>
  <c r="H508" i="5"/>
  <c r="H509" i="5"/>
  <c r="H510" i="5"/>
  <c r="H511" i="5"/>
  <c r="H512" i="5"/>
  <c r="H513" i="5"/>
  <c r="H514" i="5"/>
  <c r="H515" i="5"/>
  <c r="H516" i="5"/>
  <c r="H517" i="5"/>
  <c r="H518" i="5"/>
  <c r="H519" i="5"/>
  <c r="H520" i="5"/>
  <c r="H49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6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3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01" i="5"/>
  <c r="X237" i="30"/>
  <c r="E1060" i="5" s="1"/>
  <c r="X238" i="30"/>
  <c r="E1061" i="5" s="1"/>
  <c r="X239" i="30"/>
  <c r="E1062" i="5" s="1"/>
  <c r="X240" i="30"/>
  <c r="E1063" i="5" s="1"/>
  <c r="X241" i="30"/>
  <c r="E1064" i="5" s="1"/>
  <c r="X242" i="30"/>
  <c r="E1065" i="5" s="1"/>
  <c r="X243" i="30"/>
  <c r="E1066" i="5" s="1"/>
  <c r="X244" i="30"/>
  <c r="E1067" i="5" s="1"/>
  <c r="X245" i="30"/>
  <c r="E1068" i="5" s="1"/>
  <c r="X246" i="30"/>
  <c r="E1069" i="5" s="1"/>
  <c r="X247" i="30"/>
  <c r="E1070" i="5" s="1"/>
  <c r="X248" i="30"/>
  <c r="E1071" i="5" s="1"/>
  <c r="X249" i="30"/>
  <c r="E1072" i="5" s="1"/>
  <c r="X250" i="30"/>
  <c r="E1073" i="5" s="1"/>
  <c r="X251" i="30"/>
  <c r="E1074" i="5" s="1"/>
  <c r="X252" i="30"/>
  <c r="E1075" i="5" s="1"/>
  <c r="X253" i="30"/>
  <c r="E1076" i="5" s="1"/>
  <c r="X254" i="30"/>
  <c r="E1077" i="5" s="1"/>
  <c r="X255" i="30"/>
  <c r="E1078" i="5" s="1"/>
  <c r="X256" i="30"/>
  <c r="E1079" i="5" s="1"/>
  <c r="X257" i="30"/>
  <c r="E1080" i="5" s="1"/>
  <c r="X258" i="30"/>
  <c r="E1081" i="5" s="1"/>
  <c r="X259" i="30"/>
  <c r="E1082" i="5" s="1"/>
  <c r="X260" i="30"/>
  <c r="E1083" i="5" s="1"/>
  <c r="X261" i="30"/>
  <c r="E1084" i="5" s="1"/>
  <c r="X262" i="30"/>
  <c r="E1085" i="5" s="1"/>
  <c r="X263" i="30"/>
  <c r="E1086" i="5" s="1"/>
  <c r="X264" i="30"/>
  <c r="E1087" i="5" s="1"/>
  <c r="X265" i="30"/>
  <c r="E1088" i="5" s="1"/>
  <c r="X236" i="30"/>
  <c r="E1059" i="5" s="1"/>
  <c r="S237" i="30"/>
  <c r="E1030" i="5" s="1"/>
  <c r="S238" i="30"/>
  <c r="E1031" i="5" s="1"/>
  <c r="S239" i="30"/>
  <c r="E1032" i="5" s="1"/>
  <c r="S240" i="30"/>
  <c r="E1033" i="5" s="1"/>
  <c r="S241" i="30"/>
  <c r="E1034" i="5" s="1"/>
  <c r="S242" i="30"/>
  <c r="E1035" i="5" s="1"/>
  <c r="S243" i="30"/>
  <c r="E1036" i="5" s="1"/>
  <c r="S244" i="30"/>
  <c r="E1037" i="5" s="1"/>
  <c r="S245" i="30"/>
  <c r="E1038" i="5" s="1"/>
  <c r="S246" i="30"/>
  <c r="E1039" i="5" s="1"/>
  <c r="S247" i="30"/>
  <c r="E1040" i="5" s="1"/>
  <c r="S248" i="30"/>
  <c r="E1041" i="5" s="1"/>
  <c r="S249" i="30"/>
  <c r="E1042" i="5" s="1"/>
  <c r="S250" i="30"/>
  <c r="E1043" i="5" s="1"/>
  <c r="S251" i="30"/>
  <c r="E1044" i="5" s="1"/>
  <c r="S252" i="30"/>
  <c r="E1045" i="5" s="1"/>
  <c r="S253" i="30"/>
  <c r="E1046" i="5" s="1"/>
  <c r="S254" i="30"/>
  <c r="E1047" i="5" s="1"/>
  <c r="S255" i="30"/>
  <c r="E1048" i="5" s="1"/>
  <c r="S256" i="30"/>
  <c r="E1049" i="5" s="1"/>
  <c r="S257" i="30"/>
  <c r="E1050" i="5" s="1"/>
  <c r="S258" i="30"/>
  <c r="E1051" i="5" s="1"/>
  <c r="S259" i="30"/>
  <c r="E1052" i="5" s="1"/>
  <c r="S260" i="30"/>
  <c r="E1053" i="5" s="1"/>
  <c r="S261" i="30"/>
  <c r="E1054" i="5" s="1"/>
  <c r="S262" i="30"/>
  <c r="E1055" i="5" s="1"/>
  <c r="S263" i="30"/>
  <c r="E1056" i="5" s="1"/>
  <c r="S264" i="30"/>
  <c r="E1057" i="5" s="1"/>
  <c r="S265" i="30"/>
  <c r="E1058" i="5" s="1"/>
  <c r="S236" i="30"/>
  <c r="E1029" i="5" s="1"/>
  <c r="N237" i="30"/>
  <c r="E1000" i="5" s="1"/>
  <c r="N238" i="30"/>
  <c r="E1001" i="5" s="1"/>
  <c r="N239" i="30"/>
  <c r="E1002" i="5" s="1"/>
  <c r="N240" i="30"/>
  <c r="E1003" i="5" s="1"/>
  <c r="N241" i="30"/>
  <c r="E1004" i="5" s="1"/>
  <c r="N242" i="30"/>
  <c r="E1005" i="5" s="1"/>
  <c r="N243" i="30"/>
  <c r="E1006" i="5" s="1"/>
  <c r="N244" i="30"/>
  <c r="E1007" i="5" s="1"/>
  <c r="N245" i="30"/>
  <c r="E1008" i="5" s="1"/>
  <c r="N246" i="30"/>
  <c r="E1009" i="5" s="1"/>
  <c r="N247" i="30"/>
  <c r="E1010" i="5" s="1"/>
  <c r="N248" i="30"/>
  <c r="E1011" i="5" s="1"/>
  <c r="N249" i="30"/>
  <c r="E1012" i="5" s="1"/>
  <c r="N250" i="30"/>
  <c r="E1013" i="5" s="1"/>
  <c r="N251" i="30"/>
  <c r="E1014" i="5" s="1"/>
  <c r="N252" i="30"/>
  <c r="E1015" i="5" s="1"/>
  <c r="N253" i="30"/>
  <c r="E1016" i="5" s="1"/>
  <c r="N254" i="30"/>
  <c r="E1017" i="5" s="1"/>
  <c r="N255" i="30"/>
  <c r="E1018" i="5" s="1"/>
  <c r="N256" i="30"/>
  <c r="E1019" i="5" s="1"/>
  <c r="N257" i="30"/>
  <c r="E1020" i="5" s="1"/>
  <c r="N258" i="30"/>
  <c r="E1021" i="5" s="1"/>
  <c r="N259" i="30"/>
  <c r="E1022" i="5" s="1"/>
  <c r="N260" i="30"/>
  <c r="E1023" i="5" s="1"/>
  <c r="N261" i="30"/>
  <c r="E1024" i="5" s="1"/>
  <c r="N262" i="30"/>
  <c r="E1025" i="5" s="1"/>
  <c r="N263" i="30"/>
  <c r="E1026" i="5" s="1"/>
  <c r="N264" i="30"/>
  <c r="E1027" i="5" s="1"/>
  <c r="N265" i="30"/>
  <c r="E1028" i="5" s="1"/>
  <c r="N236" i="30"/>
  <c r="E999" i="5" s="1"/>
  <c r="I237" i="30"/>
  <c r="E973" i="5" s="1"/>
  <c r="I238" i="30"/>
  <c r="E153" i="5" s="1"/>
  <c r="I239" i="30"/>
  <c r="E155" i="5" s="1"/>
  <c r="I240" i="30"/>
  <c r="E974" i="5" s="1"/>
  <c r="I241" i="30"/>
  <c r="E975" i="5" s="1"/>
  <c r="I242" i="30"/>
  <c r="E976" i="5" s="1"/>
  <c r="I243" i="30"/>
  <c r="E977" i="5" s="1"/>
  <c r="I244" i="30"/>
  <c r="E164" i="5" s="1"/>
  <c r="I245" i="30"/>
  <c r="E978" i="5" s="1"/>
  <c r="I246" i="30"/>
  <c r="E979" i="5" s="1"/>
  <c r="I247" i="30"/>
  <c r="E980" i="5" s="1"/>
  <c r="I248" i="30"/>
  <c r="E981" i="5" s="1"/>
  <c r="I249" i="30"/>
  <c r="E982" i="5" s="1"/>
  <c r="I250" i="30"/>
  <c r="E983" i="5" s="1"/>
  <c r="I251" i="30"/>
  <c r="E984" i="5" s="1"/>
  <c r="I252" i="30"/>
  <c r="E985" i="5" s="1"/>
  <c r="I253" i="30"/>
  <c r="E986" i="5" s="1"/>
  <c r="I254" i="30"/>
  <c r="E987" i="5" s="1"/>
  <c r="I255" i="30"/>
  <c r="E988" i="5" s="1"/>
  <c r="I256" i="30"/>
  <c r="E989" i="5" s="1"/>
  <c r="I257" i="30"/>
  <c r="E990" i="5" s="1"/>
  <c r="I258" i="30"/>
  <c r="E991" i="5" s="1"/>
  <c r="I259" i="30"/>
  <c r="E992" i="5" s="1"/>
  <c r="I260" i="30"/>
  <c r="E993" i="5" s="1"/>
  <c r="I261" i="30"/>
  <c r="E994" i="5" s="1"/>
  <c r="I262" i="30"/>
  <c r="E995" i="5" s="1"/>
  <c r="I263" i="30"/>
  <c r="E996" i="5" s="1"/>
  <c r="I264" i="30"/>
  <c r="E997" i="5" s="1"/>
  <c r="I265" i="30"/>
  <c r="E998" i="5" s="1"/>
  <c r="D237" i="30"/>
  <c r="E22" i="5" s="1"/>
  <c r="D238" i="30"/>
  <c r="E26" i="5" s="1"/>
  <c r="D239" i="30"/>
  <c r="E30" i="5" s="1"/>
  <c r="D240" i="30"/>
  <c r="E35" i="5" s="1"/>
  <c r="D241" i="30"/>
  <c r="E40" i="5" s="1"/>
  <c r="D242" i="30"/>
  <c r="E45" i="5" s="1"/>
  <c r="D243" i="30"/>
  <c r="E51" i="5" s="1"/>
  <c r="D244" i="30"/>
  <c r="E56" i="5" s="1"/>
  <c r="D245" i="30"/>
  <c r="E61" i="5" s="1"/>
  <c r="D246" i="30"/>
  <c r="E66" i="5" s="1"/>
  <c r="D247" i="30"/>
  <c r="E70" i="5" s="1"/>
  <c r="D248" i="30"/>
  <c r="E74" i="5" s="1"/>
  <c r="D249" i="30"/>
  <c r="E79" i="5" s="1"/>
  <c r="D250" i="30"/>
  <c r="E84" i="5" s="1"/>
  <c r="D251" i="30"/>
  <c r="E88" i="5" s="1"/>
  <c r="D252" i="30"/>
  <c r="E92" i="5" s="1"/>
  <c r="D253" i="30"/>
  <c r="E96" i="5" s="1"/>
  <c r="D254" i="30"/>
  <c r="E101" i="5" s="1"/>
  <c r="D255" i="30"/>
  <c r="E105" i="5" s="1"/>
  <c r="D256" i="30"/>
  <c r="E110" i="5" s="1"/>
  <c r="D257" i="30"/>
  <c r="E114" i="5" s="1"/>
  <c r="D258" i="30"/>
  <c r="E119" i="5" s="1"/>
  <c r="D259" i="30"/>
  <c r="E123" i="5" s="1"/>
  <c r="D260" i="30"/>
  <c r="E127" i="5" s="1"/>
  <c r="D261" i="30"/>
  <c r="E132" i="5" s="1"/>
  <c r="D262" i="30"/>
  <c r="E136" i="5" s="1"/>
  <c r="D263" i="30"/>
  <c r="E140" i="5" s="1"/>
  <c r="D264" i="30"/>
  <c r="E144" i="5" s="1"/>
  <c r="D265" i="30"/>
  <c r="E148" i="5" s="1"/>
  <c r="D236" i="30"/>
  <c r="E18" i="5" s="1"/>
  <c r="I236" i="30"/>
  <c r="E972" i="5" s="1"/>
  <c r="N205" i="30"/>
  <c r="E883" i="5" s="1"/>
  <c r="N206" i="30"/>
  <c r="E884" i="5" s="1"/>
  <c r="N207" i="30"/>
  <c r="E885" i="5" s="1"/>
  <c r="N208" i="30"/>
  <c r="E886" i="5" s="1"/>
  <c r="N209" i="30"/>
  <c r="E887" i="5" s="1"/>
  <c r="N210" i="30"/>
  <c r="E888" i="5" s="1"/>
  <c r="N211" i="30"/>
  <c r="E889" i="5" s="1"/>
  <c r="N212" i="30"/>
  <c r="E890" i="5" s="1"/>
  <c r="N213" i="30"/>
  <c r="E891" i="5" s="1"/>
  <c r="N214" i="30"/>
  <c r="E892" i="5" s="1"/>
  <c r="N215" i="30"/>
  <c r="E893" i="5" s="1"/>
  <c r="N216" i="30"/>
  <c r="E894" i="5" s="1"/>
  <c r="N217" i="30"/>
  <c r="E895" i="5" s="1"/>
  <c r="N218" i="30"/>
  <c r="E896" i="5" s="1"/>
  <c r="N219" i="30"/>
  <c r="E897" i="5" s="1"/>
  <c r="N220" i="30"/>
  <c r="E898" i="5" s="1"/>
  <c r="N221" i="30"/>
  <c r="E899" i="5" s="1"/>
  <c r="N222" i="30"/>
  <c r="E900" i="5" s="1"/>
  <c r="N223" i="30"/>
  <c r="E901" i="5" s="1"/>
  <c r="N224" i="30"/>
  <c r="E902" i="5" s="1"/>
  <c r="N225" i="30"/>
  <c r="E903" i="5" s="1"/>
  <c r="N226" i="30"/>
  <c r="E904" i="5" s="1"/>
  <c r="N227" i="30"/>
  <c r="E905" i="5" s="1"/>
  <c r="N228" i="30"/>
  <c r="E906" i="5" s="1"/>
  <c r="N229" i="30"/>
  <c r="E907" i="5" s="1"/>
  <c r="N230" i="30"/>
  <c r="E908" i="5" s="1"/>
  <c r="N231" i="30"/>
  <c r="E909" i="5" s="1"/>
  <c r="N232" i="30"/>
  <c r="E910" i="5" s="1"/>
  <c r="N233" i="30"/>
  <c r="E911" i="5" s="1"/>
  <c r="S205" i="30"/>
  <c r="E913" i="5" s="1"/>
  <c r="S206" i="30"/>
  <c r="E914" i="5" s="1"/>
  <c r="S207" i="30"/>
  <c r="E915" i="5" s="1"/>
  <c r="S208" i="30"/>
  <c r="E916" i="5" s="1"/>
  <c r="S209" i="30"/>
  <c r="E917" i="5" s="1"/>
  <c r="S210" i="30"/>
  <c r="E918" i="5" s="1"/>
  <c r="S211" i="30"/>
  <c r="E919" i="5" s="1"/>
  <c r="S212" i="30"/>
  <c r="E920" i="5" s="1"/>
  <c r="S213" i="30"/>
  <c r="E921" i="5" s="1"/>
  <c r="S214" i="30"/>
  <c r="E922" i="5" s="1"/>
  <c r="S215" i="30"/>
  <c r="E923" i="5" s="1"/>
  <c r="S216" i="30"/>
  <c r="E924" i="5" s="1"/>
  <c r="S217" i="30"/>
  <c r="E925" i="5" s="1"/>
  <c r="S218" i="30"/>
  <c r="E926" i="5" s="1"/>
  <c r="S219" i="30"/>
  <c r="E927" i="5" s="1"/>
  <c r="S220" i="30"/>
  <c r="E928" i="5" s="1"/>
  <c r="S221" i="30"/>
  <c r="E929" i="5" s="1"/>
  <c r="S222" i="30"/>
  <c r="E930" i="5" s="1"/>
  <c r="S223" i="30"/>
  <c r="E931" i="5" s="1"/>
  <c r="S224" i="30"/>
  <c r="E932" i="5" s="1"/>
  <c r="S225" i="30"/>
  <c r="E933" i="5" s="1"/>
  <c r="S226" i="30"/>
  <c r="E934" i="5" s="1"/>
  <c r="S227" i="30"/>
  <c r="E935" i="5" s="1"/>
  <c r="S228" i="30"/>
  <c r="E936" i="5" s="1"/>
  <c r="S229" i="30"/>
  <c r="E937" i="5" s="1"/>
  <c r="S230" i="30"/>
  <c r="E938" i="5" s="1"/>
  <c r="S231" i="30"/>
  <c r="E939" i="5" s="1"/>
  <c r="S232" i="30"/>
  <c r="E940" i="5" s="1"/>
  <c r="S233" i="30"/>
  <c r="E941" i="5" s="1"/>
  <c r="X205" i="30"/>
  <c r="E943" i="5" s="1"/>
  <c r="X206" i="30"/>
  <c r="E944" i="5" s="1"/>
  <c r="X207" i="30"/>
  <c r="E945" i="5" s="1"/>
  <c r="X208" i="30"/>
  <c r="E946" i="5" s="1"/>
  <c r="X209" i="30"/>
  <c r="E947" i="5" s="1"/>
  <c r="X210" i="30"/>
  <c r="E948" i="5" s="1"/>
  <c r="X211" i="30"/>
  <c r="E949" i="5" s="1"/>
  <c r="X212" i="30"/>
  <c r="E950" i="5" s="1"/>
  <c r="X213" i="30"/>
  <c r="E951" i="5" s="1"/>
  <c r="X214" i="30"/>
  <c r="E952" i="5" s="1"/>
  <c r="X215" i="30"/>
  <c r="E953" i="5" s="1"/>
  <c r="X216" i="30"/>
  <c r="E954" i="5" s="1"/>
  <c r="X217" i="30"/>
  <c r="E955" i="5" s="1"/>
  <c r="X218" i="30"/>
  <c r="E956" i="5" s="1"/>
  <c r="X219" i="30"/>
  <c r="E957" i="5" s="1"/>
  <c r="X220" i="30"/>
  <c r="E958" i="5" s="1"/>
  <c r="X221" i="30"/>
  <c r="E959" i="5" s="1"/>
  <c r="X222" i="30"/>
  <c r="E960" i="5" s="1"/>
  <c r="X223" i="30"/>
  <c r="E961" i="5" s="1"/>
  <c r="X224" i="30"/>
  <c r="E962" i="5" s="1"/>
  <c r="X225" i="30"/>
  <c r="E963" i="5" s="1"/>
  <c r="X226" i="30"/>
  <c r="E964" i="5" s="1"/>
  <c r="X227" i="30"/>
  <c r="E965" i="5" s="1"/>
  <c r="X228" i="30"/>
  <c r="E966" i="5" s="1"/>
  <c r="X229" i="30"/>
  <c r="E967" i="5" s="1"/>
  <c r="X230" i="30"/>
  <c r="E968" i="5" s="1"/>
  <c r="X231" i="30"/>
  <c r="E969" i="5" s="1"/>
  <c r="X232" i="30"/>
  <c r="E970" i="5" s="1"/>
  <c r="X233" i="30"/>
  <c r="E971" i="5" s="1"/>
  <c r="X204" i="30"/>
  <c r="E942" i="5" s="1"/>
  <c r="S204" i="30"/>
  <c r="E912" i="5" s="1"/>
  <c r="N204" i="30"/>
  <c r="E882" i="5" s="1"/>
  <c r="I205" i="30"/>
  <c r="E854" i="5" s="1"/>
  <c r="I206" i="30"/>
  <c r="E855" i="5" s="1"/>
  <c r="I207" i="30"/>
  <c r="E856" i="5" s="1"/>
  <c r="I208" i="30"/>
  <c r="E857" i="5" s="1"/>
  <c r="I209" i="30"/>
  <c r="E858" i="5" s="1"/>
  <c r="I210" i="30"/>
  <c r="E859" i="5" s="1"/>
  <c r="I211" i="30"/>
  <c r="E860" i="5" s="1"/>
  <c r="I212" i="30"/>
  <c r="E861" i="5" s="1"/>
  <c r="I213" i="30"/>
  <c r="E862" i="5" s="1"/>
  <c r="I214" i="30"/>
  <c r="E863" i="5" s="1"/>
  <c r="I215" i="30"/>
  <c r="E864" i="5" s="1"/>
  <c r="I216" i="30"/>
  <c r="E865" i="5" s="1"/>
  <c r="I217" i="30"/>
  <c r="E866" i="5" s="1"/>
  <c r="I218" i="30"/>
  <c r="E867" i="5" s="1"/>
  <c r="I219" i="30"/>
  <c r="E868" i="5" s="1"/>
  <c r="I220" i="30"/>
  <c r="E869" i="5" s="1"/>
  <c r="I221" i="30"/>
  <c r="E870" i="5" s="1"/>
  <c r="I222" i="30"/>
  <c r="E871" i="5" s="1"/>
  <c r="I223" i="30"/>
  <c r="E872" i="5" s="1"/>
  <c r="I224" i="30"/>
  <c r="E873" i="5" s="1"/>
  <c r="I225" i="30"/>
  <c r="E874" i="5" s="1"/>
  <c r="I226" i="30"/>
  <c r="E875" i="5" s="1"/>
  <c r="I227" i="30"/>
  <c r="E876" i="5" s="1"/>
  <c r="I228" i="30"/>
  <c r="E877" i="5" s="1"/>
  <c r="I229" i="30"/>
  <c r="E878" i="5" s="1"/>
  <c r="I230" i="30"/>
  <c r="E879" i="5" s="1"/>
  <c r="I231" i="30"/>
  <c r="E189" i="5" s="1"/>
  <c r="I232" i="30"/>
  <c r="E880" i="5" s="1"/>
  <c r="I233" i="30"/>
  <c r="E881" i="5" s="1"/>
  <c r="I204" i="30"/>
  <c r="E853" i="5" s="1"/>
  <c r="D205" i="30"/>
  <c r="E21" i="5" s="1"/>
  <c r="D206" i="30"/>
  <c r="E25" i="5" s="1"/>
  <c r="D207" i="30"/>
  <c r="E29" i="5" s="1"/>
  <c r="D208" i="30"/>
  <c r="E34" i="5" s="1"/>
  <c r="D209" i="30"/>
  <c r="E39" i="5" s="1"/>
  <c r="D210" i="30"/>
  <c r="E44" i="5" s="1"/>
  <c r="D211" i="30"/>
  <c r="E50" i="5" s="1"/>
  <c r="D212" i="30"/>
  <c r="E55" i="5" s="1"/>
  <c r="D213" i="30"/>
  <c r="E60" i="5" s="1"/>
  <c r="D214" i="30"/>
  <c r="E65" i="5" s="1"/>
  <c r="D215" i="30"/>
  <c r="E69" i="5" s="1"/>
  <c r="D216" i="30"/>
  <c r="E73" i="5" s="1"/>
  <c r="D217" i="30"/>
  <c r="E78" i="5" s="1"/>
  <c r="D218" i="30"/>
  <c r="E83" i="5" s="1"/>
  <c r="D219" i="30"/>
  <c r="E87" i="5" s="1"/>
  <c r="D220" i="30"/>
  <c r="E91" i="5" s="1"/>
  <c r="D221" i="30"/>
  <c r="E95" i="5" s="1"/>
  <c r="D222" i="30"/>
  <c r="E100" i="5" s="1"/>
  <c r="D223" i="30"/>
  <c r="E104" i="5" s="1"/>
  <c r="D224" i="30"/>
  <c r="E109" i="5" s="1"/>
  <c r="D225" i="30"/>
  <c r="E113" i="5" s="1"/>
  <c r="D226" i="30"/>
  <c r="E118" i="5" s="1"/>
  <c r="D227" i="30"/>
  <c r="E122" i="5" s="1"/>
  <c r="D228" i="30"/>
  <c r="E126" i="5" s="1"/>
  <c r="D229" i="30"/>
  <c r="E131" i="5" s="1"/>
  <c r="D230" i="30"/>
  <c r="E135" i="5" s="1"/>
  <c r="D231" i="30"/>
  <c r="E139" i="5" s="1"/>
  <c r="D232" i="30"/>
  <c r="E143" i="5" s="1"/>
  <c r="D233" i="30"/>
  <c r="E147" i="5" s="1"/>
  <c r="D204" i="30"/>
  <c r="E17" i="5" s="1"/>
  <c r="E824" i="5"/>
  <c r="E825" i="5"/>
  <c r="E826" i="5"/>
  <c r="E827" i="5"/>
  <c r="E830" i="5"/>
  <c r="E838" i="5"/>
  <c r="E839" i="5"/>
  <c r="E840" i="5"/>
  <c r="E841" i="5"/>
  <c r="E842" i="5"/>
  <c r="E843" i="5"/>
  <c r="E844" i="5"/>
  <c r="E845" i="5"/>
  <c r="E846" i="5"/>
  <c r="E847" i="5"/>
  <c r="E848" i="5"/>
  <c r="E849" i="5"/>
  <c r="E850" i="5"/>
  <c r="E851" i="5"/>
  <c r="E852" i="5"/>
  <c r="E823" i="5"/>
  <c r="X140" i="30"/>
  <c r="E800" i="5" s="1"/>
  <c r="X141" i="30"/>
  <c r="E801" i="5" s="1"/>
  <c r="X142" i="30"/>
  <c r="E802" i="5" s="1"/>
  <c r="X143" i="30"/>
  <c r="E803" i="5" s="1"/>
  <c r="X144" i="30"/>
  <c r="E804" i="5" s="1"/>
  <c r="X145" i="30"/>
  <c r="E805" i="5" s="1"/>
  <c r="X146" i="30"/>
  <c r="E806" i="5" s="1"/>
  <c r="X147" i="30"/>
  <c r="E807" i="5" s="1"/>
  <c r="X148" i="30"/>
  <c r="E263" i="5" s="1"/>
  <c r="X149" i="30"/>
  <c r="E265" i="5" s="1"/>
  <c r="X150" i="30"/>
  <c r="E268" i="5" s="1"/>
  <c r="X151" i="30"/>
  <c r="E270" i="5" s="1"/>
  <c r="X152" i="30"/>
  <c r="E808" i="5" s="1"/>
  <c r="X153" i="30"/>
  <c r="E273" i="5" s="1"/>
  <c r="X154" i="30"/>
  <c r="E809" i="5" s="1"/>
  <c r="X155" i="30"/>
  <c r="E810" i="5" s="1"/>
  <c r="X156" i="30"/>
  <c r="E811" i="5" s="1"/>
  <c r="X157" i="30"/>
  <c r="E812" i="5" s="1"/>
  <c r="X158" i="30"/>
  <c r="E813" i="5" s="1"/>
  <c r="X159" i="30"/>
  <c r="E814" i="5" s="1"/>
  <c r="X160" i="30"/>
  <c r="E815" i="5" s="1"/>
  <c r="X161" i="30"/>
  <c r="E816" i="5" s="1"/>
  <c r="X162" i="30"/>
  <c r="E817" i="5" s="1"/>
  <c r="X163" i="30"/>
  <c r="E286" i="5" s="1"/>
  <c r="X164" i="30"/>
  <c r="E818" i="5" s="1"/>
  <c r="X165" i="30"/>
  <c r="E819" i="5" s="1"/>
  <c r="X166" i="30"/>
  <c r="E820" i="5" s="1"/>
  <c r="X167" i="30"/>
  <c r="E821" i="5" s="1"/>
  <c r="X168" i="30"/>
  <c r="E822" i="5" s="1"/>
  <c r="X139" i="30"/>
  <c r="E799" i="5" s="1"/>
  <c r="S140" i="30"/>
  <c r="E770" i="5" s="1"/>
  <c r="S141" i="30"/>
  <c r="E771" i="5" s="1"/>
  <c r="S142" i="30"/>
  <c r="E772" i="5" s="1"/>
  <c r="S143" i="30"/>
  <c r="E773" i="5" s="1"/>
  <c r="S144" i="30"/>
  <c r="E774" i="5" s="1"/>
  <c r="S145" i="30"/>
  <c r="E775" i="5" s="1"/>
  <c r="S146" i="30"/>
  <c r="E776" i="5" s="1"/>
  <c r="S147" i="30"/>
  <c r="E777" i="5" s="1"/>
  <c r="S148" i="30"/>
  <c r="E778" i="5" s="1"/>
  <c r="S149" i="30"/>
  <c r="E779" i="5" s="1"/>
  <c r="S150" i="30"/>
  <c r="E780" i="5" s="1"/>
  <c r="S151" i="30"/>
  <c r="E781" i="5" s="1"/>
  <c r="S152" i="30"/>
  <c r="E782" i="5" s="1"/>
  <c r="S153" i="30"/>
  <c r="E783" i="5" s="1"/>
  <c r="S154" i="30"/>
  <c r="E784" i="5" s="1"/>
  <c r="S155" i="30"/>
  <c r="E785" i="5" s="1"/>
  <c r="S156" i="30"/>
  <c r="E786" i="5" s="1"/>
  <c r="S157" i="30"/>
  <c r="E787" i="5" s="1"/>
  <c r="S158" i="30"/>
  <c r="E788" i="5" s="1"/>
  <c r="S159" i="30"/>
  <c r="E789" i="5" s="1"/>
  <c r="S160" i="30"/>
  <c r="E790" i="5" s="1"/>
  <c r="S161" i="30"/>
  <c r="E791" i="5" s="1"/>
  <c r="S162" i="30"/>
  <c r="E792" i="5" s="1"/>
  <c r="S163" i="30"/>
  <c r="E793" i="5" s="1"/>
  <c r="S164" i="30"/>
  <c r="E794" i="5" s="1"/>
  <c r="S165" i="30"/>
  <c r="E795" i="5" s="1"/>
  <c r="S166" i="30"/>
  <c r="E796" i="5" s="1"/>
  <c r="S167" i="30"/>
  <c r="E797" i="5" s="1"/>
  <c r="S168" i="30"/>
  <c r="E798" i="5" s="1"/>
  <c r="S139" i="30"/>
  <c r="E769" i="5" s="1"/>
  <c r="N140" i="30"/>
  <c r="E746" i="5" s="1"/>
  <c r="N141" i="30"/>
  <c r="E747" i="5" s="1"/>
  <c r="N142" i="30"/>
  <c r="E748" i="5" s="1"/>
  <c r="N143" i="30"/>
  <c r="E749" i="5" s="1"/>
  <c r="N144" i="30"/>
  <c r="E750" i="5" s="1"/>
  <c r="N145" i="30"/>
  <c r="E751" i="5" s="1"/>
  <c r="N146" i="30"/>
  <c r="E752" i="5" s="1"/>
  <c r="N147" i="30"/>
  <c r="E753" i="5" s="1"/>
  <c r="N148" i="30"/>
  <c r="E754" i="5" s="1"/>
  <c r="N149" i="30"/>
  <c r="E755" i="5" s="1"/>
  <c r="N150" i="30"/>
  <c r="E756" i="5" s="1"/>
  <c r="N151" i="30"/>
  <c r="E757" i="5" s="1"/>
  <c r="N152" i="30"/>
  <c r="E758" i="5" s="1"/>
  <c r="N153" i="30"/>
  <c r="E759" i="5" s="1"/>
  <c r="N154" i="30"/>
  <c r="E760" i="5" s="1"/>
  <c r="N155" i="30"/>
  <c r="E761" i="5" s="1"/>
  <c r="N156" i="30"/>
  <c r="E762" i="5" s="1"/>
  <c r="N157" i="30"/>
  <c r="E763" i="5" s="1"/>
  <c r="N158" i="30"/>
  <c r="E764" i="5" s="1"/>
  <c r="N159" i="30"/>
  <c r="E765" i="5" s="1"/>
  <c r="N160" i="30"/>
  <c r="E766" i="5" s="1"/>
  <c r="N161" i="30"/>
  <c r="E767" i="5" s="1"/>
  <c r="N162" i="30"/>
  <c r="E768" i="5" s="1"/>
  <c r="N163" i="30"/>
  <c r="N164" i="30"/>
  <c r="N165" i="30"/>
  <c r="N166" i="30"/>
  <c r="N167" i="30"/>
  <c r="N168" i="30"/>
  <c r="N139" i="30"/>
  <c r="E745" i="5" s="1"/>
  <c r="I140" i="30"/>
  <c r="E718" i="5" s="1"/>
  <c r="I141" i="30"/>
  <c r="E719" i="5" s="1"/>
  <c r="I142" i="30"/>
  <c r="E720" i="5" s="1"/>
  <c r="I143" i="30"/>
  <c r="E721" i="5" s="1"/>
  <c r="I144" i="30"/>
  <c r="E722" i="5" s="1"/>
  <c r="I145" i="30"/>
  <c r="E723" i="5" s="1"/>
  <c r="I146" i="30"/>
  <c r="E724" i="5" s="1"/>
  <c r="I147" i="30"/>
  <c r="E163" i="5" s="1"/>
  <c r="I148" i="30"/>
  <c r="E725" i="5" s="1"/>
  <c r="I149" i="30"/>
  <c r="E726" i="5" s="1"/>
  <c r="I150" i="30"/>
  <c r="E727" i="5" s="1"/>
  <c r="I151" i="30"/>
  <c r="E728" i="5" s="1"/>
  <c r="I152" i="30"/>
  <c r="E729" i="5" s="1"/>
  <c r="I153" i="30"/>
  <c r="E730" i="5" s="1"/>
  <c r="I154" i="30"/>
  <c r="E731" i="5" s="1"/>
  <c r="I155" i="30"/>
  <c r="E732" i="5" s="1"/>
  <c r="I156" i="30"/>
  <c r="E733" i="5" s="1"/>
  <c r="I157" i="30"/>
  <c r="E734" i="5" s="1"/>
  <c r="I158" i="30"/>
  <c r="E735" i="5" s="1"/>
  <c r="I159" i="30"/>
  <c r="E736" i="5" s="1"/>
  <c r="I160" i="30"/>
  <c r="E737" i="5" s="1"/>
  <c r="I161" i="30"/>
  <c r="E738" i="5" s="1"/>
  <c r="I162" i="30"/>
  <c r="E739" i="5" s="1"/>
  <c r="I163" i="30"/>
  <c r="E740" i="5" s="1"/>
  <c r="I164" i="30"/>
  <c r="E741" i="5" s="1"/>
  <c r="I165" i="30"/>
  <c r="E742" i="5" s="1"/>
  <c r="I166" i="30"/>
  <c r="E188" i="5" s="1"/>
  <c r="I167" i="30"/>
  <c r="E743" i="5" s="1"/>
  <c r="I168" i="30"/>
  <c r="E744" i="5" s="1"/>
  <c r="I139" i="30"/>
  <c r="E717" i="5" s="1"/>
  <c r="D140" i="30"/>
  <c r="E699" i="5" s="1"/>
  <c r="D141" i="30"/>
  <c r="E700" i="5" s="1"/>
  <c r="D142" i="30"/>
  <c r="E701" i="5" s="1"/>
  <c r="D143" i="30"/>
  <c r="E33" i="5" s="1"/>
  <c r="D144" i="30"/>
  <c r="E38" i="5" s="1"/>
  <c r="D145" i="30"/>
  <c r="E702" i="5" s="1"/>
  <c r="D146" i="30"/>
  <c r="E49" i="5" s="1"/>
  <c r="D147" i="30"/>
  <c r="E54" i="5" s="1"/>
  <c r="D148" i="30"/>
  <c r="E59" i="5" s="1"/>
  <c r="D149" i="30"/>
  <c r="E64" i="5" s="1"/>
  <c r="D150" i="30"/>
  <c r="E703" i="5" s="1"/>
  <c r="D151" i="30"/>
  <c r="E704" i="5" s="1"/>
  <c r="D152" i="30"/>
  <c r="E77" i="5" s="1"/>
  <c r="D153" i="30"/>
  <c r="E705" i="5" s="1"/>
  <c r="D154" i="30"/>
  <c r="E706" i="5" s="1"/>
  <c r="D155" i="30"/>
  <c r="E707" i="5" s="1"/>
  <c r="D156" i="30"/>
  <c r="E708" i="5" s="1"/>
  <c r="D157" i="30"/>
  <c r="E99" i="5" s="1"/>
  <c r="D158" i="30"/>
  <c r="E709" i="5" s="1"/>
  <c r="D159" i="30"/>
  <c r="E108" i="5" s="1"/>
  <c r="D160" i="30"/>
  <c r="E710" i="5" s="1"/>
  <c r="D161" i="30"/>
  <c r="E117" i="5" s="1"/>
  <c r="D162" i="30"/>
  <c r="E711" i="5" s="1"/>
  <c r="D163" i="30"/>
  <c r="E712" i="5" s="1"/>
  <c r="D164" i="30"/>
  <c r="E130" i="5" s="1"/>
  <c r="D165" i="30"/>
  <c r="E713" i="5" s="1"/>
  <c r="D166" i="30"/>
  <c r="E714" i="5" s="1"/>
  <c r="D167" i="30"/>
  <c r="E715" i="5" s="1"/>
  <c r="D168" i="30"/>
  <c r="E716" i="5" s="1"/>
  <c r="D139" i="30"/>
  <c r="E698" i="5" s="1"/>
  <c r="D108" i="30"/>
  <c r="E552" i="5" s="1"/>
  <c r="D109" i="30"/>
  <c r="E553" i="5" s="1"/>
  <c r="D110" i="30"/>
  <c r="E554" i="5" s="1"/>
  <c r="D111" i="30"/>
  <c r="E555" i="5" s="1"/>
  <c r="D112" i="30"/>
  <c r="E556" i="5" s="1"/>
  <c r="D113" i="30"/>
  <c r="E43" i="5" s="1"/>
  <c r="D114" i="30"/>
  <c r="E48" i="5" s="1"/>
  <c r="D115" i="30"/>
  <c r="E557" i="5" s="1"/>
  <c r="D116" i="30"/>
  <c r="E558" i="5" s="1"/>
  <c r="D117" i="30"/>
  <c r="E559" i="5" s="1"/>
  <c r="D118" i="30"/>
  <c r="E560" i="5" s="1"/>
  <c r="D119" i="30"/>
  <c r="E561" i="5" s="1"/>
  <c r="D120" i="30"/>
  <c r="E562" i="5" s="1"/>
  <c r="D121" i="30"/>
  <c r="E82" i="5" s="1"/>
  <c r="D122" i="30"/>
  <c r="E563" i="5" s="1"/>
  <c r="D123" i="30"/>
  <c r="E564" i="5" s="1"/>
  <c r="D124" i="30"/>
  <c r="E565" i="5" s="1"/>
  <c r="D125" i="30"/>
  <c r="E566" i="5" s="1"/>
  <c r="D126" i="30"/>
  <c r="E567" i="5" s="1"/>
  <c r="D127" i="30"/>
  <c r="E568" i="5" s="1"/>
  <c r="D128" i="30"/>
  <c r="E569" i="5" s="1"/>
  <c r="D129" i="30"/>
  <c r="E570" i="5" s="1"/>
  <c r="D130" i="30"/>
  <c r="E571" i="5" s="1"/>
  <c r="D131" i="30"/>
  <c r="E572" i="5" s="1"/>
  <c r="D132" i="30"/>
  <c r="E573" i="5" s="1"/>
  <c r="D133" i="30"/>
  <c r="E574" i="5" s="1"/>
  <c r="D134" i="30"/>
  <c r="E575" i="5" s="1"/>
  <c r="D135" i="30"/>
  <c r="E576" i="5" s="1"/>
  <c r="D136" i="30"/>
  <c r="E577" i="5" s="1"/>
  <c r="X108" i="30"/>
  <c r="E669" i="5" s="1"/>
  <c r="X109" i="30"/>
  <c r="E670" i="5" s="1"/>
  <c r="X110" i="30"/>
  <c r="E671" i="5" s="1"/>
  <c r="X111" i="30"/>
  <c r="E672" i="5" s="1"/>
  <c r="X112" i="30"/>
  <c r="E673" i="5" s="1"/>
  <c r="X113" i="30"/>
  <c r="E674" i="5" s="1"/>
  <c r="X114" i="30"/>
  <c r="E675" i="5" s="1"/>
  <c r="X115" i="30"/>
  <c r="E676" i="5" s="1"/>
  <c r="X116" i="30"/>
  <c r="E677" i="5" s="1"/>
  <c r="X117" i="30"/>
  <c r="E678" i="5" s="1"/>
  <c r="X118" i="30"/>
  <c r="E679" i="5" s="1"/>
  <c r="X119" i="30"/>
  <c r="E680" i="5" s="1"/>
  <c r="X120" i="30"/>
  <c r="E681" i="5" s="1"/>
  <c r="X121" i="30"/>
  <c r="E682" i="5" s="1"/>
  <c r="X122" i="30"/>
  <c r="E683" i="5" s="1"/>
  <c r="X123" i="30"/>
  <c r="E684" i="5" s="1"/>
  <c r="X124" i="30"/>
  <c r="E685" i="5" s="1"/>
  <c r="X125" i="30"/>
  <c r="E686" i="5" s="1"/>
  <c r="X126" i="30"/>
  <c r="E687" i="5" s="1"/>
  <c r="X127" i="30"/>
  <c r="E688" i="5" s="1"/>
  <c r="X128" i="30"/>
  <c r="E689" i="5" s="1"/>
  <c r="X129" i="30"/>
  <c r="E690" i="5" s="1"/>
  <c r="X130" i="30"/>
  <c r="E691" i="5" s="1"/>
  <c r="X131" i="30"/>
  <c r="E692" i="5" s="1"/>
  <c r="X132" i="30"/>
  <c r="E693" i="5" s="1"/>
  <c r="X133" i="30"/>
  <c r="E694" i="5" s="1"/>
  <c r="X134" i="30"/>
  <c r="E695" i="5" s="1"/>
  <c r="X135" i="30"/>
  <c r="E696" i="5" s="1"/>
  <c r="X136" i="30"/>
  <c r="E697" i="5" s="1"/>
  <c r="X107" i="30"/>
  <c r="E668" i="5" s="1"/>
  <c r="I108" i="30"/>
  <c r="E579" i="5" s="1"/>
  <c r="I109" i="30"/>
  <c r="E580" i="5" s="1"/>
  <c r="I110" i="30"/>
  <c r="E581" i="5" s="1"/>
  <c r="I111" i="30"/>
  <c r="E582" i="5" s="1"/>
  <c r="I112" i="30"/>
  <c r="E583" i="5" s="1"/>
  <c r="I113" i="30"/>
  <c r="E584" i="5" s="1"/>
  <c r="I114" i="30"/>
  <c r="E585" i="5" s="1"/>
  <c r="I115" i="30"/>
  <c r="E586" i="5" s="1"/>
  <c r="I116" i="30"/>
  <c r="E587" i="5" s="1"/>
  <c r="I117" i="30"/>
  <c r="E588" i="5" s="1"/>
  <c r="I118" i="30"/>
  <c r="E589" i="5" s="1"/>
  <c r="I119" i="30"/>
  <c r="E590" i="5" s="1"/>
  <c r="I120" i="30"/>
  <c r="E591" i="5" s="1"/>
  <c r="I121" i="30"/>
  <c r="E592" i="5" s="1"/>
  <c r="I122" i="30"/>
  <c r="E593" i="5" s="1"/>
  <c r="I123" i="30"/>
  <c r="E594" i="5" s="1"/>
  <c r="I124" i="30"/>
  <c r="E595" i="5" s="1"/>
  <c r="I125" i="30"/>
  <c r="E596" i="5" s="1"/>
  <c r="I126" i="30"/>
  <c r="E597" i="5" s="1"/>
  <c r="I127" i="30"/>
  <c r="E598" i="5" s="1"/>
  <c r="I128" i="30"/>
  <c r="E599" i="5" s="1"/>
  <c r="I129" i="30"/>
  <c r="E600" i="5" s="1"/>
  <c r="I130" i="30"/>
  <c r="E601" i="5" s="1"/>
  <c r="I131" i="30"/>
  <c r="E602" i="5" s="1"/>
  <c r="I132" i="30"/>
  <c r="E603" i="5" s="1"/>
  <c r="I133" i="30"/>
  <c r="E604" i="5" s="1"/>
  <c r="I134" i="30"/>
  <c r="E605" i="5" s="1"/>
  <c r="I135" i="30"/>
  <c r="E606" i="5" s="1"/>
  <c r="I136" i="30"/>
  <c r="E607" i="5" s="1"/>
  <c r="N108" i="30"/>
  <c r="E609" i="5" s="1"/>
  <c r="N109" i="30"/>
  <c r="E610" i="5" s="1"/>
  <c r="N110" i="30"/>
  <c r="E611" i="5" s="1"/>
  <c r="N111" i="30"/>
  <c r="E612" i="5" s="1"/>
  <c r="N112" i="30"/>
  <c r="E613" i="5" s="1"/>
  <c r="N113" i="30"/>
  <c r="E614" i="5" s="1"/>
  <c r="N114" i="30"/>
  <c r="E615" i="5" s="1"/>
  <c r="N115" i="30"/>
  <c r="E616" i="5" s="1"/>
  <c r="N116" i="30"/>
  <c r="E617" i="5" s="1"/>
  <c r="N117" i="30"/>
  <c r="E618" i="5" s="1"/>
  <c r="N118" i="30"/>
  <c r="E619" i="5" s="1"/>
  <c r="N119" i="30"/>
  <c r="E620" i="5" s="1"/>
  <c r="N120" i="30"/>
  <c r="E621" i="5" s="1"/>
  <c r="N121" i="30"/>
  <c r="E622" i="5" s="1"/>
  <c r="N122" i="30"/>
  <c r="E623" i="5" s="1"/>
  <c r="N123" i="30"/>
  <c r="E624" i="5" s="1"/>
  <c r="N124" i="30"/>
  <c r="E625" i="5" s="1"/>
  <c r="N125" i="30"/>
  <c r="E626" i="5" s="1"/>
  <c r="N126" i="30"/>
  <c r="E627" i="5" s="1"/>
  <c r="N127" i="30"/>
  <c r="E628" i="5" s="1"/>
  <c r="N128" i="30"/>
  <c r="E629" i="5" s="1"/>
  <c r="N129" i="30"/>
  <c r="E630" i="5" s="1"/>
  <c r="N130" i="30"/>
  <c r="E631" i="5" s="1"/>
  <c r="N131" i="30"/>
  <c r="E632" i="5" s="1"/>
  <c r="N132" i="30"/>
  <c r="E633" i="5" s="1"/>
  <c r="N133" i="30"/>
  <c r="E634" i="5" s="1"/>
  <c r="N134" i="30"/>
  <c r="E635" i="5" s="1"/>
  <c r="N135" i="30"/>
  <c r="E636" i="5" s="1"/>
  <c r="N136" i="30"/>
  <c r="E637" i="5" s="1"/>
  <c r="N107" i="30"/>
  <c r="E608" i="5" s="1"/>
  <c r="I107" i="30"/>
  <c r="E578" i="5" s="1"/>
  <c r="D107" i="30"/>
  <c r="E551" i="5" s="1"/>
  <c r="X76" i="30"/>
  <c r="E522" i="5" s="1"/>
  <c r="X77" i="30"/>
  <c r="E523" i="5" s="1"/>
  <c r="X78" i="30"/>
  <c r="E524" i="5" s="1"/>
  <c r="X79" i="30"/>
  <c r="E525" i="5" s="1"/>
  <c r="X80" i="30"/>
  <c r="E526" i="5" s="1"/>
  <c r="X81" i="30"/>
  <c r="E527" i="5" s="1"/>
  <c r="X82" i="30"/>
  <c r="E528" i="5" s="1"/>
  <c r="X83" i="30"/>
  <c r="E529" i="5" s="1"/>
  <c r="X84" i="30"/>
  <c r="E530" i="5" s="1"/>
  <c r="X85" i="30"/>
  <c r="E531" i="5" s="1"/>
  <c r="X86" i="30"/>
  <c r="E532" i="5" s="1"/>
  <c r="X87" i="30"/>
  <c r="E533" i="5" s="1"/>
  <c r="X88" i="30"/>
  <c r="E534" i="5" s="1"/>
  <c r="X89" i="30"/>
  <c r="E535" i="5" s="1"/>
  <c r="X90" i="30"/>
  <c r="E536" i="5" s="1"/>
  <c r="X91" i="30"/>
  <c r="E537" i="5" s="1"/>
  <c r="X92" i="30"/>
  <c r="E538" i="5" s="1"/>
  <c r="X93" i="30"/>
  <c r="E539" i="5" s="1"/>
  <c r="X94" i="30"/>
  <c r="E540" i="5" s="1"/>
  <c r="X95" i="30"/>
  <c r="E541" i="5" s="1"/>
  <c r="X96" i="30"/>
  <c r="E542" i="5" s="1"/>
  <c r="X97" i="30"/>
  <c r="E543" i="5" s="1"/>
  <c r="X98" i="30"/>
  <c r="E544" i="5" s="1"/>
  <c r="X99" i="30"/>
  <c r="E545" i="5" s="1"/>
  <c r="X100" i="30"/>
  <c r="E546" i="5" s="1"/>
  <c r="X101" i="30"/>
  <c r="E547" i="5" s="1"/>
  <c r="X102" i="30"/>
  <c r="E548" i="5" s="1"/>
  <c r="X103" i="30"/>
  <c r="E549" i="5" s="1"/>
  <c r="X104" i="30"/>
  <c r="E550" i="5" s="1"/>
  <c r="X75" i="30"/>
  <c r="E521" i="5" s="1"/>
  <c r="S76" i="30"/>
  <c r="E492" i="5" s="1"/>
  <c r="S77" i="30"/>
  <c r="E493" i="5" s="1"/>
  <c r="S78" i="30"/>
  <c r="E494" i="5" s="1"/>
  <c r="S79" i="30"/>
  <c r="E495" i="5" s="1"/>
  <c r="S80" i="30"/>
  <c r="E496" i="5" s="1"/>
  <c r="S81" i="30"/>
  <c r="E497" i="5" s="1"/>
  <c r="S82" i="30"/>
  <c r="E498" i="5" s="1"/>
  <c r="S83" i="30"/>
  <c r="E499" i="5" s="1"/>
  <c r="S84" i="30"/>
  <c r="E500" i="5" s="1"/>
  <c r="S85" i="30"/>
  <c r="E501" i="5" s="1"/>
  <c r="S86" i="30"/>
  <c r="E502" i="5" s="1"/>
  <c r="S87" i="30"/>
  <c r="E503" i="5" s="1"/>
  <c r="S88" i="30"/>
  <c r="E504" i="5" s="1"/>
  <c r="S89" i="30"/>
  <c r="E505" i="5" s="1"/>
  <c r="S90" i="30"/>
  <c r="E506" i="5" s="1"/>
  <c r="S91" i="30"/>
  <c r="E507" i="5" s="1"/>
  <c r="S92" i="30"/>
  <c r="E508" i="5" s="1"/>
  <c r="S93" i="30"/>
  <c r="E509" i="5" s="1"/>
  <c r="S94" i="30"/>
  <c r="E510" i="5" s="1"/>
  <c r="S95" i="30"/>
  <c r="E511" i="5" s="1"/>
  <c r="S96" i="30"/>
  <c r="E512" i="5" s="1"/>
  <c r="S97" i="30"/>
  <c r="E513" i="5" s="1"/>
  <c r="S98" i="30"/>
  <c r="E514" i="5" s="1"/>
  <c r="S99" i="30"/>
  <c r="E515" i="5" s="1"/>
  <c r="S100" i="30"/>
  <c r="E516" i="5" s="1"/>
  <c r="S101" i="30"/>
  <c r="E517" i="5" s="1"/>
  <c r="S102" i="30"/>
  <c r="E518" i="5" s="1"/>
  <c r="S103" i="30"/>
  <c r="E519" i="5" s="1"/>
  <c r="S104" i="30"/>
  <c r="E520" i="5" s="1"/>
  <c r="S75" i="30"/>
  <c r="E491" i="5" s="1"/>
  <c r="N76" i="30"/>
  <c r="E462" i="5" s="1"/>
  <c r="N77" i="30"/>
  <c r="E463" i="5" s="1"/>
  <c r="N78" i="30"/>
  <c r="E464" i="5" s="1"/>
  <c r="N79" i="30"/>
  <c r="E465" i="5" s="1"/>
  <c r="N80" i="30"/>
  <c r="E466" i="5" s="1"/>
  <c r="N81" i="30"/>
  <c r="E467" i="5" s="1"/>
  <c r="N82" i="30"/>
  <c r="E468" i="5" s="1"/>
  <c r="N83" i="30"/>
  <c r="E469" i="5" s="1"/>
  <c r="N84" i="30"/>
  <c r="E470" i="5" s="1"/>
  <c r="N85" i="30"/>
  <c r="E471" i="5" s="1"/>
  <c r="N86" i="30"/>
  <c r="E472" i="5" s="1"/>
  <c r="N87" i="30"/>
  <c r="E473" i="5" s="1"/>
  <c r="N88" i="30"/>
  <c r="E474" i="5" s="1"/>
  <c r="N89" i="30"/>
  <c r="E475" i="5" s="1"/>
  <c r="N90" i="30"/>
  <c r="E476" i="5" s="1"/>
  <c r="N91" i="30"/>
  <c r="E477" i="5" s="1"/>
  <c r="N92" i="30"/>
  <c r="E478" i="5" s="1"/>
  <c r="N93" i="30"/>
  <c r="E479" i="5" s="1"/>
  <c r="N94" i="30"/>
  <c r="E480" i="5" s="1"/>
  <c r="N95" i="30"/>
  <c r="E481" i="5" s="1"/>
  <c r="N96" i="30"/>
  <c r="E482" i="5" s="1"/>
  <c r="N97" i="30"/>
  <c r="E483" i="5" s="1"/>
  <c r="N98" i="30"/>
  <c r="E484" i="5" s="1"/>
  <c r="N99" i="30"/>
  <c r="E485" i="5" s="1"/>
  <c r="N100" i="30"/>
  <c r="E486" i="5" s="1"/>
  <c r="N101" i="30"/>
  <c r="E487" i="5" s="1"/>
  <c r="N102" i="30"/>
  <c r="E488" i="5" s="1"/>
  <c r="N103" i="30"/>
  <c r="E489" i="5" s="1"/>
  <c r="N104" i="30"/>
  <c r="E490" i="5" s="1"/>
  <c r="N75" i="30"/>
  <c r="E461" i="5" s="1"/>
  <c r="I76" i="30"/>
  <c r="E432" i="5" s="1"/>
  <c r="I77" i="30"/>
  <c r="E433" i="5" s="1"/>
  <c r="I78" i="30"/>
  <c r="E434" i="5" s="1"/>
  <c r="I79" i="30"/>
  <c r="E435" i="5" s="1"/>
  <c r="I80" i="30"/>
  <c r="E436" i="5" s="1"/>
  <c r="I81" i="30"/>
  <c r="E437" i="5" s="1"/>
  <c r="I82" i="30"/>
  <c r="E438" i="5" s="1"/>
  <c r="I83" i="30"/>
  <c r="E439" i="5" s="1"/>
  <c r="I84" i="30"/>
  <c r="E440" i="5" s="1"/>
  <c r="I85" i="30"/>
  <c r="E441" i="5" s="1"/>
  <c r="I86" i="30"/>
  <c r="E442" i="5" s="1"/>
  <c r="I87" i="30"/>
  <c r="E443" i="5" s="1"/>
  <c r="I88" i="30"/>
  <c r="E444" i="5" s="1"/>
  <c r="I89" i="30"/>
  <c r="E445" i="5" s="1"/>
  <c r="I90" i="30"/>
  <c r="E446" i="5" s="1"/>
  <c r="I91" i="30"/>
  <c r="E447" i="5" s="1"/>
  <c r="I92" i="30"/>
  <c r="E448" i="5" s="1"/>
  <c r="I93" i="30"/>
  <c r="E449" i="5" s="1"/>
  <c r="I94" i="30"/>
  <c r="E450" i="5" s="1"/>
  <c r="I95" i="30"/>
  <c r="E451" i="5" s="1"/>
  <c r="I96" i="30"/>
  <c r="E452" i="5" s="1"/>
  <c r="I97" i="30"/>
  <c r="E453" i="5" s="1"/>
  <c r="I98" i="30"/>
  <c r="E454" i="5" s="1"/>
  <c r="I99" i="30"/>
  <c r="E455" i="5" s="1"/>
  <c r="I100" i="30"/>
  <c r="E456" i="5" s="1"/>
  <c r="I101" i="30"/>
  <c r="E457" i="5" s="1"/>
  <c r="I102" i="30"/>
  <c r="E458" i="5" s="1"/>
  <c r="I103" i="30"/>
  <c r="E459" i="5" s="1"/>
  <c r="I104" i="30"/>
  <c r="E460" i="5" s="1"/>
  <c r="I75" i="30"/>
  <c r="E431" i="5" s="1"/>
  <c r="D76" i="30"/>
  <c r="E402" i="5" s="1"/>
  <c r="D77" i="30"/>
  <c r="E403" i="5" s="1"/>
  <c r="D78" i="30"/>
  <c r="E404" i="5" s="1"/>
  <c r="D79" i="30"/>
  <c r="E405" i="5" s="1"/>
  <c r="D80" i="30"/>
  <c r="E406" i="5" s="1"/>
  <c r="D81" i="30"/>
  <c r="E407" i="5" s="1"/>
  <c r="D82" i="30"/>
  <c r="E408" i="5" s="1"/>
  <c r="D83" i="30"/>
  <c r="E409" i="5" s="1"/>
  <c r="D84" i="30"/>
  <c r="E410" i="5" s="1"/>
  <c r="D85" i="30"/>
  <c r="E411" i="5" s="1"/>
  <c r="D86" i="30"/>
  <c r="E412" i="5" s="1"/>
  <c r="D87" i="30"/>
  <c r="E413" i="5" s="1"/>
  <c r="D88" i="30"/>
  <c r="E414" i="5" s="1"/>
  <c r="D89" i="30"/>
  <c r="E415" i="5" s="1"/>
  <c r="D90" i="30"/>
  <c r="E416" i="5" s="1"/>
  <c r="D91" i="30"/>
  <c r="E417" i="5" s="1"/>
  <c r="D92" i="30"/>
  <c r="E418" i="5" s="1"/>
  <c r="D93" i="30"/>
  <c r="E419" i="5" s="1"/>
  <c r="D94" i="30"/>
  <c r="E420" i="5" s="1"/>
  <c r="D95" i="30"/>
  <c r="E421" i="5" s="1"/>
  <c r="D96" i="30"/>
  <c r="E422" i="5" s="1"/>
  <c r="D97" i="30"/>
  <c r="E423" i="5" s="1"/>
  <c r="D98" i="30"/>
  <c r="E424" i="5" s="1"/>
  <c r="D99" i="30"/>
  <c r="E425" i="5" s="1"/>
  <c r="D100" i="30"/>
  <c r="E426" i="5" s="1"/>
  <c r="D101" i="30"/>
  <c r="E427" i="5" s="1"/>
  <c r="D102" i="30"/>
  <c r="E428" i="5" s="1"/>
  <c r="D103" i="30"/>
  <c r="E429" i="5" s="1"/>
  <c r="D104" i="30"/>
  <c r="E430" i="5" s="1"/>
  <c r="D75" i="30"/>
  <c r="E401" i="5" s="1"/>
  <c r="H376" i="5"/>
  <c r="H377" i="5"/>
  <c r="H378" i="5"/>
  <c r="H379" i="5"/>
  <c r="H380" i="5"/>
  <c r="H381" i="5"/>
  <c r="H382" i="5"/>
  <c r="H383" i="5"/>
  <c r="H384" i="5"/>
  <c r="H386" i="5"/>
  <c r="H387" i="5"/>
  <c r="H388" i="5"/>
  <c r="H390" i="5"/>
  <c r="H391" i="5"/>
  <c r="H392" i="5"/>
  <c r="H393" i="5"/>
  <c r="H394" i="5"/>
  <c r="H395" i="5"/>
  <c r="H396" i="5"/>
  <c r="H397" i="5"/>
  <c r="H398" i="5"/>
  <c r="H399" i="5"/>
  <c r="H400" i="5"/>
  <c r="H375" i="5"/>
  <c r="H347" i="5"/>
  <c r="H348" i="5"/>
  <c r="H349" i="5"/>
  <c r="H350" i="5"/>
  <c r="H351" i="5"/>
  <c r="H352" i="5"/>
  <c r="H230" i="5"/>
  <c r="H353" i="5"/>
  <c r="H354" i="5"/>
  <c r="H355" i="5"/>
  <c r="H356" i="5"/>
  <c r="H357" i="5"/>
  <c r="H358" i="5"/>
  <c r="H359" i="5"/>
  <c r="H360" i="5"/>
  <c r="H361" i="5"/>
  <c r="H362" i="5"/>
  <c r="H363" i="5"/>
  <c r="H364" i="5"/>
  <c r="H365" i="5"/>
  <c r="H366" i="5"/>
  <c r="H367" i="5"/>
  <c r="H368" i="5"/>
  <c r="H369" i="5"/>
  <c r="H370" i="5"/>
  <c r="H371" i="5"/>
  <c r="H372" i="5"/>
  <c r="H373" i="5"/>
  <c r="H374" i="5"/>
  <c r="H34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16" i="5"/>
  <c r="H294" i="5"/>
  <c r="H152" i="5"/>
  <c r="H295" i="5"/>
  <c r="H157" i="5"/>
  <c r="H296" i="5"/>
  <c r="H159" i="5"/>
  <c r="H297" i="5"/>
  <c r="H298" i="5"/>
  <c r="H299" i="5"/>
  <c r="H300" i="5"/>
  <c r="H301" i="5"/>
  <c r="H169" i="5"/>
  <c r="H302" i="5"/>
  <c r="H303" i="5"/>
  <c r="H304" i="5"/>
  <c r="H174" i="5"/>
  <c r="H305" i="5"/>
  <c r="H306" i="5"/>
  <c r="H307" i="5"/>
  <c r="H308" i="5"/>
  <c r="H309" i="5"/>
  <c r="H310" i="5"/>
  <c r="H311" i="5"/>
  <c r="H183" i="5"/>
  <c r="H312" i="5"/>
  <c r="H186" i="5"/>
  <c r="H313" i="5"/>
  <c r="H314" i="5"/>
  <c r="H315" i="5"/>
  <c r="H293" i="5"/>
  <c r="H20" i="5"/>
  <c r="H24" i="5"/>
  <c r="H28" i="5"/>
  <c r="H32" i="5"/>
  <c r="H37" i="5"/>
  <c r="H42" i="5"/>
  <c r="H47" i="5"/>
  <c r="H53" i="5"/>
  <c r="H58" i="5"/>
  <c r="H63" i="5"/>
  <c r="H68" i="5"/>
  <c r="H72" i="5"/>
  <c r="H76" i="5"/>
  <c r="H81" i="5"/>
  <c r="H86" i="5"/>
  <c r="H90" i="5"/>
  <c r="H94" i="5"/>
  <c r="H98" i="5"/>
  <c r="H103" i="5"/>
  <c r="H107" i="5"/>
  <c r="H112" i="5"/>
  <c r="H116" i="5"/>
  <c r="H121" i="5"/>
  <c r="H125" i="5"/>
  <c r="H129" i="5"/>
  <c r="H134" i="5"/>
  <c r="H138" i="5"/>
  <c r="H142" i="5"/>
  <c r="H146" i="5"/>
  <c r="H16" i="5"/>
  <c r="X44" i="30"/>
  <c r="E376" i="5" s="1"/>
  <c r="X45" i="30"/>
  <c r="E377" i="5" s="1"/>
  <c r="X46" i="30"/>
  <c r="E378" i="5" s="1"/>
  <c r="X47" i="30"/>
  <c r="E379" i="5" s="1"/>
  <c r="X48" i="30"/>
  <c r="E380" i="5" s="1"/>
  <c r="X49" i="30"/>
  <c r="E381" i="5" s="1"/>
  <c r="X50" i="30"/>
  <c r="E382" i="5" s="1"/>
  <c r="X51" i="30"/>
  <c r="E383" i="5" s="1"/>
  <c r="X52" i="30"/>
  <c r="E384" i="5" s="1"/>
  <c r="X53" i="30"/>
  <c r="E385" i="5" s="1"/>
  <c r="X54" i="30"/>
  <c r="E267" i="5" s="1"/>
  <c r="X55" i="30"/>
  <c r="E386" i="5" s="1"/>
  <c r="X56" i="30"/>
  <c r="E387" i="5" s="1"/>
  <c r="X57" i="30"/>
  <c r="E388" i="5" s="1"/>
  <c r="X58" i="30"/>
  <c r="E389" i="5" s="1"/>
  <c r="X59" i="30"/>
  <c r="E276" i="5" s="1"/>
  <c r="X60" i="30"/>
  <c r="E390" i="5" s="1"/>
  <c r="X61" i="30"/>
  <c r="E391" i="5" s="1"/>
  <c r="X62" i="30"/>
  <c r="E392" i="5" s="1"/>
  <c r="X63" i="30"/>
  <c r="E393" i="5" s="1"/>
  <c r="X64" i="30"/>
  <c r="E394" i="5" s="1"/>
  <c r="X65" i="30"/>
  <c r="E283" i="5" s="1"/>
  <c r="X66" i="30"/>
  <c r="E395" i="5" s="1"/>
  <c r="X67" i="30"/>
  <c r="E396" i="5" s="1"/>
  <c r="X68" i="30"/>
  <c r="E397" i="5" s="1"/>
  <c r="X69" i="30"/>
  <c r="E289" i="5" s="1"/>
  <c r="X70" i="30"/>
  <c r="E398" i="5" s="1"/>
  <c r="X71" i="30"/>
  <c r="E399" i="5" s="1"/>
  <c r="X72" i="30"/>
  <c r="E400" i="5" s="1"/>
  <c r="X43" i="30"/>
  <c r="E375" i="5" s="1"/>
  <c r="S44" i="30"/>
  <c r="E347" i="5" s="1"/>
  <c r="S45" i="30"/>
  <c r="E348" i="5" s="1"/>
  <c r="S46" i="30"/>
  <c r="E349" i="5" s="1"/>
  <c r="S47" i="30"/>
  <c r="E350" i="5" s="1"/>
  <c r="S48" i="30"/>
  <c r="E351" i="5" s="1"/>
  <c r="S49" i="30"/>
  <c r="E352" i="5" s="1"/>
  <c r="S50" i="30"/>
  <c r="E230" i="5" s="1"/>
  <c r="S51" i="30"/>
  <c r="E353" i="5" s="1"/>
  <c r="S52" i="30"/>
  <c r="E354" i="5" s="1"/>
  <c r="S53" i="30"/>
  <c r="E355" i="5" s="1"/>
  <c r="S54" i="30"/>
  <c r="E356" i="5" s="1"/>
  <c r="S55" i="30"/>
  <c r="E357" i="5" s="1"/>
  <c r="S56" i="30"/>
  <c r="E358" i="5" s="1"/>
  <c r="S57" i="30"/>
  <c r="E359" i="5" s="1"/>
  <c r="S58" i="30"/>
  <c r="E360" i="5" s="1"/>
  <c r="S59" i="30"/>
  <c r="E361" i="5" s="1"/>
  <c r="S60" i="30"/>
  <c r="E362" i="5" s="1"/>
  <c r="S61" i="30"/>
  <c r="E363" i="5" s="1"/>
  <c r="S62" i="30"/>
  <c r="E364" i="5" s="1"/>
  <c r="S63" i="30"/>
  <c r="E365" i="5" s="1"/>
  <c r="S64" i="30"/>
  <c r="E366" i="5" s="1"/>
  <c r="S65" i="30"/>
  <c r="E367" i="5" s="1"/>
  <c r="S66" i="30"/>
  <c r="E368" i="5" s="1"/>
  <c r="S67" i="30"/>
  <c r="E369" i="5" s="1"/>
  <c r="S68" i="30"/>
  <c r="E370" i="5" s="1"/>
  <c r="S69" i="30"/>
  <c r="E371" i="5" s="1"/>
  <c r="S70" i="30"/>
  <c r="E372" i="5" s="1"/>
  <c r="S71" i="30"/>
  <c r="E373" i="5" s="1"/>
  <c r="S72" i="30"/>
  <c r="E374" i="5" s="1"/>
  <c r="S43" i="30"/>
  <c r="E346" i="5" s="1"/>
  <c r="N44" i="30"/>
  <c r="E317" i="5" s="1"/>
  <c r="N45" i="30"/>
  <c r="E318" i="5" s="1"/>
  <c r="N46" i="30"/>
  <c r="E319" i="5" s="1"/>
  <c r="N47" i="30"/>
  <c r="E320" i="5" s="1"/>
  <c r="N48" i="30"/>
  <c r="E321" i="5" s="1"/>
  <c r="N49" i="30"/>
  <c r="E322" i="5" s="1"/>
  <c r="N50" i="30"/>
  <c r="E323" i="5" s="1"/>
  <c r="N51" i="30"/>
  <c r="E324" i="5" s="1"/>
  <c r="N52" i="30"/>
  <c r="E325" i="5" s="1"/>
  <c r="N53" i="30"/>
  <c r="E326" i="5" s="1"/>
  <c r="N54" i="30"/>
  <c r="E327" i="5" s="1"/>
  <c r="N55" i="30"/>
  <c r="E328" i="5" s="1"/>
  <c r="N56" i="30"/>
  <c r="E329" i="5" s="1"/>
  <c r="N57" i="30"/>
  <c r="E330" i="5" s="1"/>
  <c r="N58" i="30"/>
  <c r="E331" i="5" s="1"/>
  <c r="N59" i="30"/>
  <c r="E332" i="5" s="1"/>
  <c r="N60" i="30"/>
  <c r="E333" i="5" s="1"/>
  <c r="N61" i="30"/>
  <c r="E334" i="5" s="1"/>
  <c r="N62" i="30"/>
  <c r="E335" i="5" s="1"/>
  <c r="N63" i="30"/>
  <c r="E336" i="5" s="1"/>
  <c r="N64" i="30"/>
  <c r="E337" i="5" s="1"/>
  <c r="N65" i="30"/>
  <c r="E338" i="5" s="1"/>
  <c r="N66" i="30"/>
  <c r="E339" i="5" s="1"/>
  <c r="N67" i="30"/>
  <c r="E340" i="5" s="1"/>
  <c r="N68" i="30"/>
  <c r="E341" i="5" s="1"/>
  <c r="N69" i="30"/>
  <c r="E342" i="5" s="1"/>
  <c r="N70" i="30"/>
  <c r="E343" i="5" s="1"/>
  <c r="N71" i="30"/>
  <c r="E344" i="5" s="1"/>
  <c r="N72" i="30"/>
  <c r="E345" i="5" s="1"/>
  <c r="N43" i="30"/>
  <c r="E316" i="5" s="1"/>
  <c r="I44" i="30"/>
  <c r="E294" i="5" s="1"/>
  <c r="I45" i="30"/>
  <c r="E152" i="5" s="1"/>
  <c r="I46" i="30"/>
  <c r="E295" i="5" s="1"/>
  <c r="I47" i="30"/>
  <c r="E157" i="5" s="1"/>
  <c r="I48" i="30"/>
  <c r="E296" i="5" s="1"/>
  <c r="I49" i="30"/>
  <c r="E159" i="5" s="1"/>
  <c r="I50" i="30"/>
  <c r="E297" i="5" s="1"/>
  <c r="I51" i="30"/>
  <c r="E298" i="5" s="1"/>
  <c r="I52" i="30"/>
  <c r="E299" i="5" s="1"/>
  <c r="I53" i="30"/>
  <c r="E300" i="5" s="1"/>
  <c r="I54" i="30"/>
  <c r="E301" i="5" s="1"/>
  <c r="I55" i="30"/>
  <c r="E169" i="5" s="1"/>
  <c r="I56" i="30"/>
  <c r="E302" i="5" s="1"/>
  <c r="I57" i="30"/>
  <c r="E303" i="5" s="1"/>
  <c r="I58" i="30"/>
  <c r="E304" i="5" s="1"/>
  <c r="I59" i="30"/>
  <c r="E174" i="5" s="1"/>
  <c r="I60" i="30"/>
  <c r="E305" i="5" s="1"/>
  <c r="I61" i="30"/>
  <c r="E306" i="5" s="1"/>
  <c r="I62" i="30"/>
  <c r="E307" i="5" s="1"/>
  <c r="I63" i="30"/>
  <c r="E308" i="5" s="1"/>
  <c r="I64" i="30"/>
  <c r="E309" i="5" s="1"/>
  <c r="I65" i="30"/>
  <c r="E310" i="5" s="1"/>
  <c r="I66" i="30"/>
  <c r="E311" i="5" s="1"/>
  <c r="I67" i="30"/>
  <c r="E183" i="5" s="1"/>
  <c r="I68" i="30"/>
  <c r="E312" i="5" s="1"/>
  <c r="I69" i="30"/>
  <c r="E186" i="5" s="1"/>
  <c r="I70" i="30"/>
  <c r="E313" i="5" s="1"/>
  <c r="I71" i="30"/>
  <c r="E314" i="5" s="1"/>
  <c r="I72" i="30"/>
  <c r="E315" i="5" s="1"/>
  <c r="I43" i="30"/>
  <c r="E293" i="5" s="1"/>
  <c r="D44" i="30"/>
  <c r="E20" i="5" s="1"/>
  <c r="D45" i="30"/>
  <c r="E24" i="5" s="1"/>
  <c r="D46" i="30"/>
  <c r="E28" i="5" s="1"/>
  <c r="D47" i="30"/>
  <c r="E32" i="5" s="1"/>
  <c r="D48" i="30"/>
  <c r="E37" i="5" s="1"/>
  <c r="D49" i="30"/>
  <c r="E42" i="5" s="1"/>
  <c r="D50" i="30"/>
  <c r="E47" i="5" s="1"/>
  <c r="D51" i="30"/>
  <c r="E53" i="5" s="1"/>
  <c r="D52" i="30"/>
  <c r="E58" i="5" s="1"/>
  <c r="D53" i="30"/>
  <c r="E63" i="5" s="1"/>
  <c r="D54" i="30"/>
  <c r="E68" i="5" s="1"/>
  <c r="D55" i="30"/>
  <c r="E72" i="5" s="1"/>
  <c r="D56" i="30"/>
  <c r="E76" i="5" s="1"/>
  <c r="D57" i="30"/>
  <c r="E81" i="5" s="1"/>
  <c r="D58" i="30"/>
  <c r="E86" i="5" s="1"/>
  <c r="D59" i="30"/>
  <c r="E90" i="5" s="1"/>
  <c r="D60" i="30"/>
  <c r="E94" i="5" s="1"/>
  <c r="D61" i="30"/>
  <c r="E98" i="5" s="1"/>
  <c r="D62" i="30"/>
  <c r="E103" i="5" s="1"/>
  <c r="D63" i="30"/>
  <c r="E107" i="5" s="1"/>
  <c r="D64" i="30"/>
  <c r="E112" i="5" s="1"/>
  <c r="D65" i="30"/>
  <c r="E116" i="5" s="1"/>
  <c r="D66" i="30"/>
  <c r="E121" i="5" s="1"/>
  <c r="D67" i="30"/>
  <c r="E125" i="5" s="1"/>
  <c r="D68" i="30"/>
  <c r="E129" i="5" s="1"/>
  <c r="D69" i="30"/>
  <c r="E134" i="5" s="1"/>
  <c r="D70" i="30"/>
  <c r="E138" i="5" s="1"/>
  <c r="D71" i="30"/>
  <c r="E142" i="5" s="1"/>
  <c r="D72" i="30"/>
  <c r="E146" i="5" s="1"/>
  <c r="D43" i="30"/>
  <c r="E16" i="5" s="1"/>
  <c r="H254" i="5"/>
  <c r="H255" i="5"/>
  <c r="H256" i="5"/>
  <c r="H257" i="5"/>
  <c r="H258" i="5"/>
  <c r="H259" i="5"/>
  <c r="H260" i="5"/>
  <c r="H261" i="5"/>
  <c r="H262" i="5"/>
  <c r="H264" i="5"/>
  <c r="H266" i="5"/>
  <c r="H269" i="5"/>
  <c r="H271" i="5"/>
  <c r="H272" i="5"/>
  <c r="H274" i="5"/>
  <c r="H275" i="5"/>
  <c r="H277" i="5"/>
  <c r="H278" i="5"/>
  <c r="H279" i="5"/>
  <c r="H280" i="5"/>
  <c r="H281" i="5"/>
  <c r="H282" i="5"/>
  <c r="H284" i="5"/>
  <c r="H285" i="5"/>
  <c r="H287" i="5"/>
  <c r="H288" i="5"/>
  <c r="H290" i="5"/>
  <c r="H291" i="5"/>
  <c r="H292" i="5"/>
  <c r="H253" i="5"/>
  <c r="H223" i="5"/>
  <c r="H224" i="5"/>
  <c r="H225" i="5"/>
  <c r="H226" i="5"/>
  <c r="H227" i="5"/>
  <c r="H228" i="5"/>
  <c r="H229" i="5"/>
  <c r="H231" i="5"/>
  <c r="H232" i="5"/>
  <c r="H233" i="5"/>
  <c r="H234" i="5"/>
  <c r="H235" i="5"/>
  <c r="H236" i="5"/>
  <c r="H237" i="5"/>
  <c r="H238" i="5"/>
  <c r="H239" i="5"/>
  <c r="H240" i="5"/>
  <c r="H241" i="5"/>
  <c r="H242" i="5"/>
  <c r="H243" i="5"/>
  <c r="H244" i="5"/>
  <c r="H245" i="5"/>
  <c r="H246" i="5"/>
  <c r="H247" i="5"/>
  <c r="H248" i="5"/>
  <c r="H249" i="5"/>
  <c r="H250" i="5"/>
  <c r="H251" i="5"/>
  <c r="H252" i="5"/>
  <c r="H22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192" i="5"/>
  <c r="H150" i="5"/>
  <c r="H151" i="5"/>
  <c r="H154" i="5"/>
  <c r="H156" i="5"/>
  <c r="H158" i="5"/>
  <c r="H160" i="5"/>
  <c r="H161" i="5"/>
  <c r="H162" i="5"/>
  <c r="H165" i="5"/>
  <c r="H166" i="5"/>
  <c r="H167" i="5"/>
  <c r="H168" i="5"/>
  <c r="H170" i="5"/>
  <c r="H171" i="5"/>
  <c r="H172" i="5"/>
  <c r="H173" i="5"/>
  <c r="H175" i="5"/>
  <c r="H176" i="5"/>
  <c r="H177" i="5"/>
  <c r="H178" i="5"/>
  <c r="H179" i="5"/>
  <c r="H180" i="5"/>
  <c r="H181" i="5"/>
  <c r="H182" i="5"/>
  <c r="H184" i="5"/>
  <c r="H185" i="5"/>
  <c r="H187" i="5"/>
  <c r="H190" i="5"/>
  <c r="H191" i="5"/>
  <c r="H149" i="5"/>
  <c r="H19" i="5"/>
  <c r="H23" i="5"/>
  <c r="H27" i="5"/>
  <c r="H31" i="5"/>
  <c r="H36" i="5"/>
  <c r="H41" i="5"/>
  <c r="H46" i="5"/>
  <c r="H52" i="5"/>
  <c r="H57" i="5"/>
  <c r="H62" i="5"/>
  <c r="H67" i="5"/>
  <c r="H71" i="5"/>
  <c r="H75" i="5"/>
  <c r="H80" i="5"/>
  <c r="H85" i="5"/>
  <c r="H89" i="5"/>
  <c r="H93" i="5"/>
  <c r="H97" i="5"/>
  <c r="H102" i="5"/>
  <c r="H106" i="5"/>
  <c r="H111" i="5"/>
  <c r="H115" i="5"/>
  <c r="H120" i="5"/>
  <c r="H124" i="5"/>
  <c r="H128" i="5"/>
  <c r="H133" i="5"/>
  <c r="H137" i="5"/>
  <c r="H141" i="5"/>
  <c r="H145" i="5"/>
  <c r="H15" i="5"/>
  <c r="X12" i="30"/>
  <c r="E254" i="5" s="1"/>
  <c r="X13" i="30"/>
  <c r="E255" i="5" s="1"/>
  <c r="X14" i="30"/>
  <c r="E256" i="5" s="1"/>
  <c r="X15" i="30"/>
  <c r="E257" i="5" s="1"/>
  <c r="X16" i="30"/>
  <c r="E258" i="5" s="1"/>
  <c r="X17" i="30"/>
  <c r="E259" i="5" s="1"/>
  <c r="X18" i="30"/>
  <c r="E260" i="5" s="1"/>
  <c r="X19" i="30"/>
  <c r="E261" i="5" s="1"/>
  <c r="X20" i="30"/>
  <c r="E262" i="5" s="1"/>
  <c r="X21" i="30"/>
  <c r="E264" i="5" s="1"/>
  <c r="X22" i="30"/>
  <c r="E266" i="5" s="1"/>
  <c r="X23" i="30"/>
  <c r="E269" i="5" s="1"/>
  <c r="X24" i="30"/>
  <c r="E271" i="5" s="1"/>
  <c r="X25" i="30"/>
  <c r="E272" i="5" s="1"/>
  <c r="X26" i="30"/>
  <c r="E274" i="5" s="1"/>
  <c r="X27" i="30"/>
  <c r="E275" i="5" s="1"/>
  <c r="X28" i="30"/>
  <c r="E277" i="5" s="1"/>
  <c r="X29" i="30"/>
  <c r="E278" i="5" s="1"/>
  <c r="X30" i="30"/>
  <c r="E279" i="5" s="1"/>
  <c r="X31" i="30"/>
  <c r="E280" i="5" s="1"/>
  <c r="X32" i="30"/>
  <c r="E281" i="5" s="1"/>
  <c r="X33" i="30"/>
  <c r="E282" i="5" s="1"/>
  <c r="X34" i="30"/>
  <c r="E284" i="5" s="1"/>
  <c r="X35" i="30"/>
  <c r="E285" i="5" s="1"/>
  <c r="X36" i="30"/>
  <c r="E287" i="5" s="1"/>
  <c r="X37" i="30"/>
  <c r="E288" i="5" s="1"/>
  <c r="X38" i="30"/>
  <c r="E290" i="5" s="1"/>
  <c r="X39" i="30"/>
  <c r="E291" i="5" s="1"/>
  <c r="X40" i="30"/>
  <c r="E292" i="5" s="1"/>
  <c r="X11" i="30"/>
  <c r="E253" i="5" s="1"/>
  <c r="S12" i="30"/>
  <c r="E223" i="5" s="1"/>
  <c r="S13" i="30"/>
  <c r="E224" i="5" s="1"/>
  <c r="S14" i="30"/>
  <c r="E225" i="5" s="1"/>
  <c r="S15" i="30"/>
  <c r="E226" i="5" s="1"/>
  <c r="S16" i="30"/>
  <c r="E227" i="5" s="1"/>
  <c r="S17" i="30"/>
  <c r="E228" i="5" s="1"/>
  <c r="S18" i="30"/>
  <c r="E229" i="5" s="1"/>
  <c r="S19" i="30"/>
  <c r="E231" i="5" s="1"/>
  <c r="S20" i="30"/>
  <c r="E232" i="5" s="1"/>
  <c r="S21" i="30"/>
  <c r="E233" i="5" s="1"/>
  <c r="S22" i="30"/>
  <c r="E234" i="5" s="1"/>
  <c r="S23" i="30"/>
  <c r="E235" i="5" s="1"/>
  <c r="S24" i="30"/>
  <c r="E236" i="5" s="1"/>
  <c r="S25" i="30"/>
  <c r="E237" i="5" s="1"/>
  <c r="S26" i="30"/>
  <c r="E238" i="5" s="1"/>
  <c r="S27" i="30"/>
  <c r="E239" i="5" s="1"/>
  <c r="S28" i="30"/>
  <c r="E240" i="5" s="1"/>
  <c r="S29" i="30"/>
  <c r="E241" i="5" s="1"/>
  <c r="S30" i="30"/>
  <c r="E242" i="5" s="1"/>
  <c r="S31" i="30"/>
  <c r="E243" i="5" s="1"/>
  <c r="S32" i="30"/>
  <c r="E244" i="5" s="1"/>
  <c r="S33" i="30"/>
  <c r="E245" i="5" s="1"/>
  <c r="S34" i="30"/>
  <c r="E246" i="5" s="1"/>
  <c r="S35" i="30"/>
  <c r="E247" i="5" s="1"/>
  <c r="S36" i="30"/>
  <c r="E248" i="5" s="1"/>
  <c r="S37" i="30"/>
  <c r="E249" i="5" s="1"/>
  <c r="S38" i="30"/>
  <c r="E250" i="5" s="1"/>
  <c r="S39" i="30"/>
  <c r="E251" i="5" s="1"/>
  <c r="S40" i="30"/>
  <c r="E252" i="5" s="1"/>
  <c r="S11" i="30"/>
  <c r="E222" i="5" s="1"/>
  <c r="N12" i="30"/>
  <c r="E193" i="5" s="1"/>
  <c r="N13" i="30"/>
  <c r="E194" i="5" s="1"/>
  <c r="N14" i="30"/>
  <c r="E195" i="5" s="1"/>
  <c r="N15" i="30"/>
  <c r="E196" i="5" s="1"/>
  <c r="N16" i="30"/>
  <c r="E197" i="5" s="1"/>
  <c r="N17" i="30"/>
  <c r="E198" i="5" s="1"/>
  <c r="N18" i="30"/>
  <c r="E199" i="5" s="1"/>
  <c r="N19" i="30"/>
  <c r="E200" i="5" s="1"/>
  <c r="N20" i="30"/>
  <c r="E201" i="5" s="1"/>
  <c r="N21" i="30"/>
  <c r="E202" i="5" s="1"/>
  <c r="N22" i="30"/>
  <c r="E203" i="5" s="1"/>
  <c r="N23" i="30"/>
  <c r="E204" i="5" s="1"/>
  <c r="N24" i="30"/>
  <c r="E205" i="5" s="1"/>
  <c r="N25" i="30"/>
  <c r="E206" i="5" s="1"/>
  <c r="N26" i="30"/>
  <c r="E207" i="5" s="1"/>
  <c r="N27" i="30"/>
  <c r="E208" i="5" s="1"/>
  <c r="N28" i="30"/>
  <c r="E209" i="5" s="1"/>
  <c r="N29" i="30"/>
  <c r="E210" i="5" s="1"/>
  <c r="N30" i="30"/>
  <c r="E211" i="5" s="1"/>
  <c r="N31" i="30"/>
  <c r="E212" i="5" s="1"/>
  <c r="N32" i="30"/>
  <c r="E213" i="5" s="1"/>
  <c r="N33" i="30"/>
  <c r="E214" i="5" s="1"/>
  <c r="N34" i="30"/>
  <c r="E215" i="5" s="1"/>
  <c r="N35" i="30"/>
  <c r="E216" i="5" s="1"/>
  <c r="N36" i="30"/>
  <c r="E217" i="5" s="1"/>
  <c r="N37" i="30"/>
  <c r="E218" i="5" s="1"/>
  <c r="N38" i="30"/>
  <c r="E219" i="5" s="1"/>
  <c r="N39" i="30"/>
  <c r="E220" i="5" s="1"/>
  <c r="N40" i="30"/>
  <c r="E221" i="5" s="1"/>
  <c r="N11" i="30"/>
  <c r="E192" i="5" s="1"/>
  <c r="I12" i="30"/>
  <c r="E150" i="5" s="1"/>
  <c r="I13" i="30"/>
  <c r="E151" i="5" s="1"/>
  <c r="I14" i="30"/>
  <c r="E154" i="5" s="1"/>
  <c r="I15" i="30"/>
  <c r="E156" i="5" s="1"/>
  <c r="I16" i="30"/>
  <c r="E158" i="5" s="1"/>
  <c r="I17" i="30"/>
  <c r="E160" i="5" s="1"/>
  <c r="I18" i="30"/>
  <c r="E161" i="5" s="1"/>
  <c r="I19" i="30"/>
  <c r="E162" i="5" s="1"/>
  <c r="I20" i="30"/>
  <c r="E165" i="5" s="1"/>
  <c r="I21" i="30"/>
  <c r="E166" i="5" s="1"/>
  <c r="I22" i="30"/>
  <c r="E167" i="5" s="1"/>
  <c r="I23" i="30"/>
  <c r="E168" i="5" s="1"/>
  <c r="I24" i="30"/>
  <c r="E170" i="5" s="1"/>
  <c r="I25" i="30"/>
  <c r="E171" i="5" s="1"/>
  <c r="I26" i="30"/>
  <c r="E172" i="5" s="1"/>
  <c r="I27" i="30"/>
  <c r="E173" i="5" s="1"/>
  <c r="I28" i="30"/>
  <c r="E175" i="5" s="1"/>
  <c r="I29" i="30"/>
  <c r="E176" i="5" s="1"/>
  <c r="I30" i="30"/>
  <c r="E177" i="5" s="1"/>
  <c r="I31" i="30"/>
  <c r="E178" i="5" s="1"/>
  <c r="I32" i="30"/>
  <c r="E179" i="5" s="1"/>
  <c r="I33" i="30"/>
  <c r="E180" i="5" s="1"/>
  <c r="I34" i="30"/>
  <c r="E181" i="5" s="1"/>
  <c r="I35" i="30"/>
  <c r="E182" i="5" s="1"/>
  <c r="I36" i="30"/>
  <c r="E184" i="5" s="1"/>
  <c r="I37" i="30"/>
  <c r="E185" i="5" s="1"/>
  <c r="I38" i="30"/>
  <c r="E187" i="5" s="1"/>
  <c r="I39" i="30"/>
  <c r="E190" i="5" s="1"/>
  <c r="I40" i="30"/>
  <c r="E191" i="5" s="1"/>
  <c r="I11" i="30"/>
  <c r="E149" i="5" s="1"/>
  <c r="D12" i="30"/>
  <c r="E19" i="5" s="1"/>
  <c r="D13" i="30"/>
  <c r="E23" i="5" s="1"/>
  <c r="D14" i="30"/>
  <c r="E27" i="5" s="1"/>
  <c r="D15" i="30"/>
  <c r="E31" i="5" s="1"/>
  <c r="D16" i="30"/>
  <c r="E36" i="5" s="1"/>
  <c r="D17" i="30"/>
  <c r="E41" i="5" s="1"/>
  <c r="D18" i="30"/>
  <c r="E46" i="5" s="1"/>
  <c r="D19" i="30"/>
  <c r="E52" i="5" s="1"/>
  <c r="D20" i="30"/>
  <c r="E57" i="5" s="1"/>
  <c r="D21" i="30"/>
  <c r="E62" i="5" s="1"/>
  <c r="D22" i="30"/>
  <c r="E67" i="5" s="1"/>
  <c r="D23" i="30"/>
  <c r="E71" i="5" s="1"/>
  <c r="D24" i="30"/>
  <c r="E75" i="5" s="1"/>
  <c r="D25" i="30"/>
  <c r="E80" i="5" s="1"/>
  <c r="D26" i="30"/>
  <c r="E85" i="5" s="1"/>
  <c r="D27" i="30"/>
  <c r="E89" i="5" s="1"/>
  <c r="D28" i="30"/>
  <c r="E93" i="5" s="1"/>
  <c r="D29" i="30"/>
  <c r="E97" i="5" s="1"/>
  <c r="D30" i="30"/>
  <c r="E102" i="5" s="1"/>
  <c r="D31" i="30"/>
  <c r="E106" i="5" s="1"/>
  <c r="D32" i="30"/>
  <c r="E111" i="5" s="1"/>
  <c r="D33" i="30"/>
  <c r="E115" i="5" s="1"/>
  <c r="D34" i="30"/>
  <c r="E120" i="5" s="1"/>
  <c r="D35" i="30"/>
  <c r="E124" i="5" s="1"/>
  <c r="D36" i="30"/>
  <c r="E128" i="5" s="1"/>
  <c r="D37" i="30"/>
  <c r="E133" i="5" s="1"/>
  <c r="D38" i="30"/>
  <c r="E137" i="5" s="1"/>
  <c r="D39" i="30"/>
  <c r="E141" i="5" s="1"/>
  <c r="D40" i="30"/>
  <c r="E145" i="5" s="1"/>
  <c r="D11" i="30"/>
  <c r="E15" i="5" s="1"/>
  <c r="F177" i="5" l="1"/>
  <c r="F167" i="5"/>
  <c r="F154" i="5"/>
  <c r="F217" i="5"/>
  <c r="F209" i="5"/>
  <c r="F201" i="5"/>
  <c r="F193" i="5"/>
  <c r="F246" i="5"/>
  <c r="F238" i="5"/>
  <c r="F229" i="5"/>
  <c r="F292" i="5"/>
  <c r="F281" i="5"/>
  <c r="F271" i="5"/>
  <c r="F258" i="5"/>
  <c r="F311" i="5"/>
  <c r="F304" i="5"/>
  <c r="F297" i="5"/>
  <c r="F345" i="5"/>
  <c r="F337" i="5"/>
  <c r="F329" i="5"/>
  <c r="F321" i="5"/>
  <c r="F372" i="5"/>
  <c r="F364" i="5"/>
  <c r="F356" i="5"/>
  <c r="F349" i="5"/>
  <c r="F396" i="5"/>
  <c r="F387" i="5"/>
  <c r="F378" i="5"/>
  <c r="F401" i="5"/>
  <c r="F423" i="5"/>
  <c r="F415" i="5"/>
  <c r="F407" i="5"/>
  <c r="F459" i="5"/>
  <c r="F451" i="5"/>
  <c r="F443" i="5"/>
  <c r="F435" i="5"/>
  <c r="F487" i="5"/>
  <c r="F479" i="5"/>
  <c r="F471" i="5"/>
  <c r="F463" i="5"/>
  <c r="F515" i="5"/>
  <c r="F507" i="5"/>
  <c r="F499" i="5"/>
  <c r="F521" i="5"/>
  <c r="F543" i="5"/>
  <c r="F535" i="5"/>
  <c r="F527" i="5"/>
  <c r="F576" i="5"/>
  <c r="F568" i="5"/>
  <c r="F561" i="5"/>
  <c r="F555" i="5"/>
  <c r="F604" i="5"/>
  <c r="F596" i="5"/>
  <c r="F588" i="5"/>
  <c r="F580" i="5"/>
  <c r="F632" i="5"/>
  <c r="F624" i="5"/>
  <c r="F616" i="5"/>
  <c r="F666" i="5"/>
  <c r="F658" i="5"/>
  <c r="F650" i="5"/>
  <c r="F642" i="5"/>
  <c r="F694" i="5"/>
  <c r="F686" i="5"/>
  <c r="F678" i="5"/>
  <c r="F670" i="5"/>
  <c r="F711" i="5"/>
  <c r="F705" i="5"/>
  <c r="F702" i="5"/>
  <c r="F743" i="5"/>
  <c r="F736" i="5"/>
  <c r="F728" i="5"/>
  <c r="F721" i="5"/>
  <c r="F176" i="5"/>
  <c r="F166" i="5"/>
  <c r="F216" i="5"/>
  <c r="F208" i="5"/>
  <c r="F200" i="5"/>
  <c r="F222" i="5"/>
  <c r="F245" i="5"/>
  <c r="F237" i="5"/>
  <c r="F228" i="5"/>
  <c r="F291" i="5"/>
  <c r="F280" i="5"/>
  <c r="F257" i="5"/>
  <c r="F293" i="5"/>
  <c r="F310" i="5"/>
  <c r="F303" i="5"/>
  <c r="F344" i="5"/>
  <c r="F336" i="5"/>
  <c r="F328" i="5"/>
  <c r="F320" i="5"/>
  <c r="F371" i="5"/>
  <c r="F363" i="5"/>
  <c r="F355" i="5"/>
  <c r="F348" i="5"/>
  <c r="F395" i="5"/>
  <c r="F386" i="5"/>
  <c r="F377" i="5"/>
  <c r="F430" i="5"/>
  <c r="F422" i="5"/>
  <c r="F414" i="5"/>
  <c r="F406" i="5"/>
  <c r="F458" i="5"/>
  <c r="F450" i="5"/>
  <c r="F442" i="5"/>
  <c r="F434" i="5"/>
  <c r="F486" i="5"/>
  <c r="F478" i="5"/>
  <c r="F470" i="5"/>
  <c r="F462" i="5"/>
  <c r="F514" i="5"/>
  <c r="F506" i="5"/>
  <c r="F498" i="5"/>
  <c r="F550" i="5"/>
  <c r="F542" i="5"/>
  <c r="F534" i="5"/>
  <c r="F526" i="5"/>
  <c r="F575" i="5"/>
  <c r="F567" i="5"/>
  <c r="F560" i="5"/>
  <c r="F554" i="5"/>
  <c r="F603" i="5"/>
  <c r="F595" i="5"/>
  <c r="F587" i="5"/>
  <c r="F579" i="5"/>
  <c r="F631" i="5"/>
  <c r="F623" i="5"/>
  <c r="F615" i="5"/>
  <c r="F665" i="5"/>
  <c r="F657" i="5"/>
  <c r="F649" i="5"/>
  <c r="F641" i="5"/>
  <c r="F693" i="5"/>
  <c r="F685" i="5"/>
  <c r="F677" i="5"/>
  <c r="F669" i="5"/>
  <c r="F735" i="5"/>
  <c r="F727" i="5"/>
  <c r="F720" i="5"/>
  <c r="F184" i="5"/>
  <c r="F175" i="5"/>
  <c r="F165" i="5"/>
  <c r="F150" i="5"/>
  <c r="F215" i="5"/>
  <c r="F207" i="5"/>
  <c r="F199" i="5"/>
  <c r="F252" i="5"/>
  <c r="F244" i="5"/>
  <c r="F236" i="5"/>
  <c r="F227" i="5"/>
  <c r="F290" i="5"/>
  <c r="F279" i="5"/>
  <c r="F256" i="5"/>
  <c r="F315" i="5"/>
  <c r="F309" i="5"/>
  <c r="F302" i="5"/>
  <c r="F296" i="5"/>
  <c r="F343" i="5"/>
  <c r="F335" i="5"/>
  <c r="F327" i="5"/>
  <c r="F319" i="5"/>
  <c r="F370" i="5"/>
  <c r="F362" i="5"/>
  <c r="F354" i="5"/>
  <c r="F347" i="5"/>
  <c r="F394" i="5"/>
  <c r="F384" i="5"/>
  <c r="F376" i="5"/>
  <c r="F429" i="5"/>
  <c r="F421" i="5"/>
  <c r="F413" i="5"/>
  <c r="F405" i="5"/>
  <c r="F457" i="5"/>
  <c r="F449" i="5"/>
  <c r="F441" i="5"/>
  <c r="F433" i="5"/>
  <c r="F485" i="5"/>
  <c r="F477" i="5"/>
  <c r="F469" i="5"/>
  <c r="F491" i="5"/>
  <c r="F513" i="5"/>
  <c r="F505" i="5"/>
  <c r="F497" i="5"/>
  <c r="F549" i="5"/>
  <c r="F541" i="5"/>
  <c r="F533" i="5"/>
  <c r="F525" i="5"/>
  <c r="F574" i="5"/>
  <c r="F566" i="5"/>
  <c r="F559" i="5"/>
  <c r="F553" i="5"/>
  <c r="F602" i="5"/>
  <c r="F594" i="5"/>
  <c r="F586" i="5"/>
  <c r="F608" i="5"/>
  <c r="F630" i="5"/>
  <c r="F622" i="5"/>
  <c r="F614" i="5"/>
  <c r="F664" i="5"/>
  <c r="F656" i="5"/>
  <c r="F648" i="5"/>
  <c r="F640" i="5"/>
  <c r="F692" i="5"/>
  <c r="F684" i="5"/>
  <c r="F676" i="5"/>
  <c r="F698" i="5"/>
  <c r="F710" i="5"/>
  <c r="F704" i="5"/>
  <c r="F742" i="5"/>
  <c r="F734" i="5"/>
  <c r="F726" i="5"/>
  <c r="F719" i="5"/>
  <c r="F192" i="5"/>
  <c r="F214" i="5"/>
  <c r="F206" i="5"/>
  <c r="F198" i="5"/>
  <c r="F251" i="5"/>
  <c r="F243" i="5"/>
  <c r="F235" i="5"/>
  <c r="F226" i="5"/>
  <c r="F288" i="5"/>
  <c r="F278" i="5"/>
  <c r="F255" i="5"/>
  <c r="F314" i="5"/>
  <c r="F308" i="5"/>
  <c r="F342" i="5"/>
  <c r="F334" i="5"/>
  <c r="F326" i="5"/>
  <c r="F318" i="5"/>
  <c r="F369" i="5"/>
  <c r="F361" i="5"/>
  <c r="F353" i="5"/>
  <c r="F375" i="5"/>
  <c r="F393" i="5"/>
  <c r="F383" i="5"/>
  <c r="F428" i="5"/>
  <c r="F420" i="5"/>
  <c r="F412" i="5"/>
  <c r="F404" i="5"/>
  <c r="F456" i="5"/>
  <c r="F448" i="5"/>
  <c r="F440" i="5"/>
  <c r="F432" i="5"/>
  <c r="F484" i="5"/>
  <c r="F476" i="5"/>
  <c r="F468" i="5"/>
  <c r="F520" i="5"/>
  <c r="F512" i="5"/>
  <c r="F504" i="5"/>
  <c r="F496" i="5"/>
  <c r="F548" i="5"/>
  <c r="F540" i="5"/>
  <c r="F532" i="5"/>
  <c r="F524" i="5"/>
  <c r="F573" i="5"/>
  <c r="F565" i="5"/>
  <c r="F558" i="5"/>
  <c r="F552" i="5"/>
  <c r="F601" i="5"/>
  <c r="F593" i="5"/>
  <c r="F585" i="5"/>
  <c r="F637" i="5"/>
  <c r="F629" i="5"/>
  <c r="F621" i="5"/>
  <c r="F613" i="5"/>
  <c r="F663" i="5"/>
  <c r="F655" i="5"/>
  <c r="F647" i="5"/>
  <c r="F639" i="5"/>
  <c r="F691" i="5"/>
  <c r="F683" i="5"/>
  <c r="F675" i="5"/>
  <c r="F716" i="5"/>
  <c r="F703" i="5"/>
  <c r="F701" i="5"/>
  <c r="F741" i="5"/>
  <c r="F733" i="5"/>
  <c r="F725" i="5"/>
  <c r="F718" i="5"/>
  <c r="F181" i="5"/>
  <c r="F172" i="5"/>
  <c r="F161" i="5"/>
  <c r="F221" i="5"/>
  <c r="F213" i="5"/>
  <c r="F205" i="5"/>
  <c r="F197" i="5"/>
  <c r="F250" i="5"/>
  <c r="F242" i="5"/>
  <c r="F234" i="5"/>
  <c r="F225" i="5"/>
  <c r="F287" i="5"/>
  <c r="F277" i="5"/>
  <c r="F254" i="5"/>
  <c r="F313" i="5"/>
  <c r="F307" i="5"/>
  <c r="F301" i="5"/>
  <c r="F295" i="5"/>
  <c r="F341" i="5"/>
  <c r="F333" i="5"/>
  <c r="F325" i="5"/>
  <c r="F317" i="5"/>
  <c r="F368" i="5"/>
  <c r="F360" i="5"/>
  <c r="F230" i="5"/>
  <c r="F400" i="5"/>
  <c r="F392" i="5"/>
  <c r="F382" i="5"/>
  <c r="F427" i="5"/>
  <c r="F419" i="5"/>
  <c r="F411" i="5"/>
  <c r="F403" i="5"/>
  <c r="F455" i="5"/>
  <c r="F447" i="5"/>
  <c r="F439" i="5"/>
  <c r="F461" i="5"/>
  <c r="F483" i="5"/>
  <c r="F475" i="5"/>
  <c r="F467" i="5"/>
  <c r="F519" i="5"/>
  <c r="F511" i="5"/>
  <c r="F503" i="5"/>
  <c r="F495" i="5"/>
  <c r="F547" i="5"/>
  <c r="F539" i="5"/>
  <c r="F531" i="5"/>
  <c r="F523" i="5"/>
  <c r="F572" i="5"/>
  <c r="F564" i="5"/>
  <c r="F557" i="5"/>
  <c r="F578" i="5"/>
  <c r="F600" i="5"/>
  <c r="F592" i="5"/>
  <c r="F584" i="5"/>
  <c r="F636" i="5"/>
  <c r="F628" i="5"/>
  <c r="F620" i="5"/>
  <c r="F612" i="5"/>
  <c r="F662" i="5"/>
  <c r="F654" i="5"/>
  <c r="F646" i="5"/>
  <c r="F668" i="5"/>
  <c r="F690" i="5"/>
  <c r="F682" i="5"/>
  <c r="F674" i="5"/>
  <c r="F715" i="5"/>
  <c r="F700" i="5"/>
  <c r="F740" i="5"/>
  <c r="F732" i="5"/>
  <c r="F149" i="5"/>
  <c r="F180" i="5"/>
  <c r="F171" i="5"/>
  <c r="F220" i="5"/>
  <c r="F212" i="5"/>
  <c r="F204" i="5"/>
  <c r="F196" i="5"/>
  <c r="F249" i="5"/>
  <c r="F241" i="5"/>
  <c r="F233" i="5"/>
  <c r="F224" i="5"/>
  <c r="F285" i="5"/>
  <c r="F275" i="5"/>
  <c r="F261" i="5"/>
  <c r="F306" i="5"/>
  <c r="F300" i="5"/>
  <c r="F340" i="5"/>
  <c r="F332" i="5"/>
  <c r="F324" i="5"/>
  <c r="F346" i="5"/>
  <c r="F367" i="5"/>
  <c r="F359" i="5"/>
  <c r="F352" i="5"/>
  <c r="F399" i="5"/>
  <c r="F391" i="5"/>
  <c r="F381" i="5"/>
  <c r="F426" i="5"/>
  <c r="F418" i="5"/>
  <c r="F410" i="5"/>
  <c r="F402" i="5"/>
  <c r="F454" i="5"/>
  <c r="F446" i="5"/>
  <c r="F438" i="5"/>
  <c r="F490" i="5"/>
  <c r="F482" i="5"/>
  <c r="F474" i="5"/>
  <c r="F466" i="5"/>
  <c r="F518" i="5"/>
  <c r="F510" i="5"/>
  <c r="F502" i="5"/>
  <c r="F494" i="5"/>
  <c r="F546" i="5"/>
  <c r="F538" i="5"/>
  <c r="F530" i="5"/>
  <c r="F522" i="5"/>
  <c r="F571" i="5"/>
  <c r="F563" i="5"/>
  <c r="F607" i="5"/>
  <c r="F599" i="5"/>
  <c r="F591" i="5"/>
  <c r="F583" i="5"/>
  <c r="F635" i="5"/>
  <c r="F627" i="5"/>
  <c r="F619" i="5"/>
  <c r="F611" i="5"/>
  <c r="F661" i="5"/>
  <c r="F653" i="5"/>
  <c r="F645" i="5"/>
  <c r="F697" i="5"/>
  <c r="F689" i="5"/>
  <c r="F681" i="5"/>
  <c r="F673" i="5"/>
  <c r="F714" i="5"/>
  <c r="F708" i="5"/>
  <c r="F699" i="5"/>
  <c r="F739" i="5"/>
  <c r="F731" i="5"/>
  <c r="F724" i="5"/>
  <c r="F191" i="5"/>
  <c r="F179" i="5"/>
  <c r="F170" i="5"/>
  <c r="F158" i="5"/>
  <c r="F219" i="5"/>
  <c r="F211" i="5"/>
  <c r="F203" i="5"/>
  <c r="F195" i="5"/>
  <c r="F248" i="5"/>
  <c r="F240" i="5"/>
  <c r="F232" i="5"/>
  <c r="F223" i="5"/>
  <c r="F284" i="5"/>
  <c r="F274" i="5"/>
  <c r="F260" i="5"/>
  <c r="F312" i="5"/>
  <c r="F305" i="5"/>
  <c r="F299" i="5"/>
  <c r="F294" i="5"/>
  <c r="F339" i="5"/>
  <c r="F331" i="5"/>
  <c r="F323" i="5"/>
  <c r="F374" i="5"/>
  <c r="F366" i="5"/>
  <c r="F358" i="5"/>
  <c r="F351" i="5"/>
  <c r="F398" i="5"/>
  <c r="F390" i="5"/>
  <c r="F380" i="5"/>
  <c r="F425" i="5"/>
  <c r="F417" i="5"/>
  <c r="F409" i="5"/>
  <c r="F431" i="5"/>
  <c r="F453" i="5"/>
  <c r="F445" i="5"/>
  <c r="F437" i="5"/>
  <c r="F489" i="5"/>
  <c r="F481" i="5"/>
  <c r="F473" i="5"/>
  <c r="F465" i="5"/>
  <c r="F517" i="5"/>
  <c r="F509" i="5"/>
  <c r="F501" i="5"/>
  <c r="F493" i="5"/>
  <c r="F545" i="5"/>
  <c r="F537" i="5"/>
  <c r="F529" i="5"/>
  <c r="F551" i="5"/>
  <c r="F570" i="5"/>
  <c r="F606" i="5"/>
  <c r="F598" i="5"/>
  <c r="F590" i="5"/>
  <c r="F582" i="5"/>
  <c r="F634" i="5"/>
  <c r="F626" i="5"/>
  <c r="F618" i="5"/>
  <c r="F610" i="5"/>
  <c r="F638" i="5"/>
  <c r="F660" i="5"/>
  <c r="F652" i="5"/>
  <c r="F644" i="5"/>
  <c r="F696" i="5"/>
  <c r="F688" i="5"/>
  <c r="F680" i="5"/>
  <c r="F672" i="5"/>
  <c r="F713" i="5"/>
  <c r="F707" i="5"/>
  <c r="F717" i="5"/>
  <c r="F738" i="5"/>
  <c r="F730" i="5"/>
  <c r="F723" i="5"/>
  <c r="F190" i="5"/>
  <c r="F178" i="5"/>
  <c r="F218" i="5"/>
  <c r="F210" i="5"/>
  <c r="F202" i="5"/>
  <c r="F194" i="5"/>
  <c r="F247" i="5"/>
  <c r="F239" i="5"/>
  <c r="F231" i="5"/>
  <c r="F253" i="5"/>
  <c r="F282" i="5"/>
  <c r="F259" i="5"/>
  <c r="F298" i="5"/>
  <c r="F316" i="5"/>
  <c r="F338" i="5"/>
  <c r="F330" i="5"/>
  <c r="F322" i="5"/>
  <c r="F373" i="5"/>
  <c r="F365" i="5"/>
  <c r="F357" i="5"/>
  <c r="F350" i="5"/>
  <c r="F397" i="5"/>
  <c r="F388" i="5"/>
  <c r="F379" i="5"/>
  <c r="F424" i="5"/>
  <c r="F416" i="5"/>
  <c r="F408" i="5"/>
  <c r="F460" i="5"/>
  <c r="F452" i="5"/>
  <c r="F444" i="5"/>
  <c r="F436" i="5"/>
  <c r="F488" i="5"/>
  <c r="F480" i="5"/>
  <c r="F472" i="5"/>
  <c r="F464" i="5"/>
  <c r="F516" i="5"/>
  <c r="F508" i="5"/>
  <c r="F500" i="5"/>
  <c r="F492" i="5"/>
  <c r="F544" i="5"/>
  <c r="F536" i="5"/>
  <c r="F528" i="5"/>
  <c r="F577" i="5"/>
  <c r="F569" i="5"/>
  <c r="F562" i="5"/>
  <c r="F556" i="5"/>
  <c r="F605" i="5"/>
  <c r="F597" i="5"/>
  <c r="F589" i="5"/>
  <c r="F581" i="5"/>
  <c r="F633" i="5"/>
  <c r="F625" i="5"/>
  <c r="F617" i="5"/>
  <c r="F609" i="5"/>
  <c r="F667" i="5"/>
  <c r="F659" i="5"/>
  <c r="F651" i="5"/>
  <c r="F643" i="5"/>
  <c r="F695" i="5"/>
  <c r="F687" i="5"/>
  <c r="F679" i="5"/>
  <c r="F671" i="5"/>
  <c r="F706" i="5"/>
  <c r="F744" i="5"/>
  <c r="F737" i="5"/>
  <c r="F729" i="5"/>
  <c r="F722" i="5"/>
  <c r="K13" i="12"/>
  <c r="L14" i="12" s="1"/>
  <c r="H13" i="12"/>
  <c r="N13" i="12"/>
  <c r="M13" i="12"/>
  <c r="G13" i="12"/>
  <c r="J13" i="12"/>
  <c r="I13" i="12"/>
  <c r="R141" i="5"/>
  <c r="K141" i="5" s="1"/>
  <c r="R106" i="5"/>
  <c r="P106" i="5" s="1"/>
  <c r="R71" i="5"/>
  <c r="Q71" i="5" s="1"/>
  <c r="R31" i="5"/>
  <c r="P31" i="5" s="1"/>
  <c r="R185" i="5"/>
  <c r="Q185" i="5" s="1"/>
  <c r="R176" i="5"/>
  <c r="J176" i="5" s="1"/>
  <c r="R166" i="5"/>
  <c r="Q166" i="5" s="1"/>
  <c r="R151" i="5"/>
  <c r="J151" i="5" s="1"/>
  <c r="R216" i="5"/>
  <c r="Q216" i="5" s="1"/>
  <c r="R208" i="5"/>
  <c r="Q208" i="5" s="1"/>
  <c r="R200" i="5"/>
  <c r="Q200" i="5" s="1"/>
  <c r="R222" i="5"/>
  <c r="Q222" i="5" s="1"/>
  <c r="R245" i="5"/>
  <c r="Q245" i="5" s="1"/>
  <c r="R237" i="5"/>
  <c r="P237" i="5" s="1"/>
  <c r="R228" i="5"/>
  <c r="Q228" i="5" s="1"/>
  <c r="R291" i="5"/>
  <c r="Q291" i="5" s="1"/>
  <c r="R280" i="5"/>
  <c r="J280" i="5" s="1"/>
  <c r="R269" i="5"/>
  <c r="Q269" i="5" s="1"/>
  <c r="R257" i="5"/>
  <c r="Q257" i="5" s="1"/>
  <c r="R129" i="5"/>
  <c r="Q129" i="5" s="1"/>
  <c r="R94" i="5"/>
  <c r="Q94" i="5" s="1"/>
  <c r="R58" i="5"/>
  <c r="K58" i="5" s="1"/>
  <c r="R20" i="5"/>
  <c r="J20" i="5" s="1"/>
  <c r="R311" i="5"/>
  <c r="Q311" i="5" s="1"/>
  <c r="R304" i="5"/>
  <c r="Q304" i="5" s="1"/>
  <c r="R297" i="5"/>
  <c r="Q297" i="5" s="1"/>
  <c r="R345" i="5"/>
  <c r="Q345" i="5" s="1"/>
  <c r="R337" i="5"/>
  <c r="Q337" i="5" s="1"/>
  <c r="R329" i="5"/>
  <c r="Q329" i="5" s="1"/>
  <c r="R321" i="5"/>
  <c r="P321" i="5" s="1"/>
  <c r="R372" i="5"/>
  <c r="Q372" i="5" s="1"/>
  <c r="R364" i="5"/>
  <c r="Q364" i="5" s="1"/>
  <c r="R356" i="5"/>
  <c r="Q356" i="5" s="1"/>
  <c r="R349" i="5"/>
  <c r="Q349" i="5" s="1"/>
  <c r="R396" i="5"/>
  <c r="Q396" i="5" s="1"/>
  <c r="R388" i="5"/>
  <c r="Q388" i="5" s="1"/>
  <c r="R380" i="5"/>
  <c r="Q380" i="5" s="1"/>
  <c r="R426" i="5"/>
  <c r="Q426" i="5" s="1"/>
  <c r="R418" i="5"/>
  <c r="Q418" i="5" s="1"/>
  <c r="R410" i="5"/>
  <c r="Q410" i="5" s="1"/>
  <c r="R402" i="5"/>
  <c r="Q402" i="5" s="1"/>
  <c r="R454" i="5"/>
  <c r="Q454" i="5" s="1"/>
  <c r="R446" i="5"/>
  <c r="Q446" i="5" s="1"/>
  <c r="R438" i="5"/>
  <c r="Q438" i="5" s="1"/>
  <c r="R490" i="5"/>
  <c r="P490" i="5" s="1"/>
  <c r="R482" i="5"/>
  <c r="Q482" i="5" s="1"/>
  <c r="R474" i="5"/>
  <c r="Q474" i="5" s="1"/>
  <c r="R466" i="5"/>
  <c r="Q466" i="5" s="1"/>
  <c r="R518" i="5"/>
  <c r="Q518" i="5" s="1"/>
  <c r="R510" i="5"/>
  <c r="Q510" i="5" s="1"/>
  <c r="R502" i="5"/>
  <c r="Q502" i="5" s="1"/>
  <c r="R494" i="5"/>
  <c r="Q494" i="5" s="1"/>
  <c r="R546" i="5"/>
  <c r="P546" i="5" s="1"/>
  <c r="R538" i="5"/>
  <c r="Q538" i="5" s="1"/>
  <c r="R530" i="5"/>
  <c r="Q530" i="5" s="1"/>
  <c r="R522" i="5"/>
  <c r="Q522" i="5" s="1"/>
  <c r="R571" i="5"/>
  <c r="Q571" i="5" s="1"/>
  <c r="R563" i="5"/>
  <c r="Q563" i="5" s="1"/>
  <c r="R48" i="5"/>
  <c r="Q48" i="5" s="1"/>
  <c r="R607" i="5"/>
  <c r="Q607" i="5" s="1"/>
  <c r="R599" i="5"/>
  <c r="Q599" i="5" s="1"/>
  <c r="R591" i="5"/>
  <c r="Q591" i="5" s="1"/>
  <c r="R583" i="5"/>
  <c r="Q583" i="5" s="1"/>
  <c r="R635" i="5"/>
  <c r="P635" i="5" s="1"/>
  <c r="R627" i="5"/>
  <c r="Q627" i="5" s="1"/>
  <c r="R619" i="5"/>
  <c r="Q619" i="5" s="1"/>
  <c r="R611" i="5"/>
  <c r="Q611" i="5" s="1"/>
  <c r="R661" i="5"/>
  <c r="Q661" i="5" s="1"/>
  <c r="R653" i="5"/>
  <c r="Q653" i="5" s="1"/>
  <c r="R645" i="5"/>
  <c r="Q645" i="5" s="1"/>
  <c r="R697" i="5"/>
  <c r="Q697" i="5" s="1"/>
  <c r="R689" i="5"/>
  <c r="P689" i="5" s="1"/>
  <c r="R681" i="5"/>
  <c r="Q681" i="5" s="1"/>
  <c r="R673" i="5"/>
  <c r="Q673" i="5" s="1"/>
  <c r="R714" i="5"/>
  <c r="Q714" i="5" s="1"/>
  <c r="R703" i="5"/>
  <c r="P703" i="5" s="1"/>
  <c r="R701" i="5"/>
  <c r="Q701" i="5" s="1"/>
  <c r="R741" i="5"/>
  <c r="Q741" i="5" s="1"/>
  <c r="R733" i="5"/>
  <c r="Q733" i="5" s="1"/>
  <c r="R725" i="5"/>
  <c r="Q725" i="5" s="1"/>
  <c r="R718" i="5"/>
  <c r="Q718" i="5" s="1"/>
  <c r="R137" i="5"/>
  <c r="K137" i="5" s="1"/>
  <c r="R102" i="5"/>
  <c r="J102" i="5" s="1"/>
  <c r="R67" i="5"/>
  <c r="Q67" i="5" s="1"/>
  <c r="R27" i="5"/>
  <c r="J27" i="5" s="1"/>
  <c r="R184" i="5"/>
  <c r="Q184" i="5" s="1"/>
  <c r="R175" i="5"/>
  <c r="Q175" i="5" s="1"/>
  <c r="R165" i="5"/>
  <c r="J165" i="5" s="1"/>
  <c r="R150" i="5"/>
  <c r="Q150" i="5" s="1"/>
  <c r="R215" i="5"/>
  <c r="Q215" i="5" s="1"/>
  <c r="R207" i="5"/>
  <c r="Q207" i="5" s="1"/>
  <c r="R199" i="5"/>
  <c r="P199" i="5" s="1"/>
  <c r="R252" i="5"/>
  <c r="Q252" i="5" s="1"/>
  <c r="R244" i="5"/>
  <c r="Q244" i="5" s="1"/>
  <c r="R236" i="5"/>
  <c r="Q236" i="5" s="1"/>
  <c r="R227" i="5"/>
  <c r="Q227" i="5" s="1"/>
  <c r="R290" i="5"/>
  <c r="Q290" i="5" s="1"/>
  <c r="R279" i="5"/>
  <c r="Q279" i="5" s="1"/>
  <c r="R266" i="5"/>
  <c r="Q266" i="5" s="1"/>
  <c r="R256" i="5"/>
  <c r="Q256" i="5" s="1"/>
  <c r="R125" i="5"/>
  <c r="P125" i="5" s="1"/>
  <c r="R90" i="5"/>
  <c r="Q90" i="5" s="1"/>
  <c r="R53" i="5"/>
  <c r="Q53" i="5" s="1"/>
  <c r="R293" i="5"/>
  <c r="Q293" i="5" s="1"/>
  <c r="R310" i="5"/>
  <c r="Q310" i="5" s="1"/>
  <c r="R303" i="5"/>
  <c r="Q303" i="5" s="1"/>
  <c r="R159" i="5"/>
  <c r="Q159" i="5" s="1"/>
  <c r="R344" i="5"/>
  <c r="Q344" i="5" s="1"/>
  <c r="R336" i="5"/>
  <c r="Q336" i="5" s="1"/>
  <c r="R328" i="5"/>
  <c r="P328" i="5" s="1"/>
  <c r="R320" i="5"/>
  <c r="Q320" i="5" s="1"/>
  <c r="R371" i="5"/>
  <c r="Q371" i="5" s="1"/>
  <c r="R363" i="5"/>
  <c r="Q363" i="5" s="1"/>
  <c r="R355" i="5"/>
  <c r="Q355" i="5" s="1"/>
  <c r="R348" i="5"/>
  <c r="Q348" i="5" s="1"/>
  <c r="R395" i="5"/>
  <c r="Q395" i="5" s="1"/>
  <c r="R387" i="5"/>
  <c r="Q387" i="5" s="1"/>
  <c r="R379" i="5"/>
  <c r="Q379" i="5" s="1"/>
  <c r="R425" i="5"/>
  <c r="Q425" i="5" s="1"/>
  <c r="R417" i="5"/>
  <c r="Q417" i="5" s="1"/>
  <c r="R409" i="5"/>
  <c r="P409" i="5" s="1"/>
  <c r="R431" i="5"/>
  <c r="Q431" i="5" s="1"/>
  <c r="R453" i="5"/>
  <c r="Q453" i="5" s="1"/>
  <c r="R445" i="5"/>
  <c r="Q445" i="5" s="1"/>
  <c r="R437" i="5"/>
  <c r="Q437" i="5" s="1"/>
  <c r="R489" i="5"/>
  <c r="Q489" i="5" s="1"/>
  <c r="R481" i="5"/>
  <c r="Q481" i="5" s="1"/>
  <c r="R473" i="5"/>
  <c r="Q473" i="5" s="1"/>
  <c r="R465" i="5"/>
  <c r="P465" i="5" s="1"/>
  <c r="R517" i="5"/>
  <c r="Q517" i="5" s="1"/>
  <c r="R509" i="5"/>
  <c r="Q509" i="5" s="1"/>
  <c r="R501" i="5"/>
  <c r="Q501" i="5" s="1"/>
  <c r="R493" i="5"/>
  <c r="Q493" i="5" s="1"/>
  <c r="R545" i="5"/>
  <c r="Q545" i="5" s="1"/>
  <c r="R537" i="5"/>
  <c r="Q537" i="5" s="1"/>
  <c r="R529" i="5"/>
  <c r="Q529" i="5" s="1"/>
  <c r="R551" i="5"/>
  <c r="P551" i="5" s="1"/>
  <c r="R570" i="5"/>
  <c r="Q570" i="5" s="1"/>
  <c r="R82" i="5"/>
  <c r="Q82" i="5" s="1"/>
  <c r="R43" i="5"/>
  <c r="P43" i="5" s="1"/>
  <c r="R606" i="5"/>
  <c r="Q606" i="5" s="1"/>
  <c r="R598" i="5"/>
  <c r="Q598" i="5" s="1"/>
  <c r="R590" i="5"/>
  <c r="P590" i="5" s="1"/>
  <c r="R582" i="5"/>
  <c r="P582" i="5" s="1"/>
  <c r="R634" i="5"/>
  <c r="Q634" i="5" s="1"/>
  <c r="R626" i="5"/>
  <c r="Q626" i="5" s="1"/>
  <c r="R618" i="5"/>
  <c r="Q618" i="5" s="1"/>
  <c r="R610" i="5"/>
  <c r="Q610" i="5" s="1"/>
  <c r="R638" i="5"/>
  <c r="Q638" i="5" s="1"/>
  <c r="R660" i="5"/>
  <c r="Q660" i="5" s="1"/>
  <c r="R652" i="5"/>
  <c r="P652" i="5" s="1"/>
  <c r="R644" i="5"/>
  <c r="P644" i="5" s="1"/>
  <c r="R696" i="5"/>
  <c r="Q696" i="5" s="1"/>
  <c r="R688" i="5"/>
  <c r="Q688" i="5" s="1"/>
  <c r="R680" i="5"/>
  <c r="Q680" i="5" s="1"/>
  <c r="R672" i="5"/>
  <c r="Q672" i="5" s="1"/>
  <c r="R713" i="5"/>
  <c r="Q713" i="5" s="1"/>
  <c r="R99" i="5"/>
  <c r="Q99" i="5" s="1"/>
  <c r="R64" i="5"/>
  <c r="Q64" i="5" s="1"/>
  <c r="R700" i="5"/>
  <c r="Q700" i="5" s="1"/>
  <c r="R740" i="5"/>
  <c r="Q740" i="5" s="1"/>
  <c r="R732" i="5"/>
  <c r="Q732" i="5" s="1"/>
  <c r="R163" i="5"/>
  <c r="Q163" i="5" s="1"/>
  <c r="R133" i="5"/>
  <c r="Q133" i="5" s="1"/>
  <c r="R97" i="5"/>
  <c r="K97" i="5" s="1"/>
  <c r="R62" i="5"/>
  <c r="Q62" i="5" s="1"/>
  <c r="R23" i="5"/>
  <c r="K23" i="5" s="1"/>
  <c r="R182" i="5"/>
  <c r="J182" i="5" s="1"/>
  <c r="R173" i="5"/>
  <c r="K173" i="5" s="1"/>
  <c r="R162" i="5"/>
  <c r="K162" i="5" s="1"/>
  <c r="R192" i="5"/>
  <c r="Q192" i="5" s="1"/>
  <c r="R214" i="5"/>
  <c r="Q214" i="5" s="1"/>
  <c r="R206" i="5"/>
  <c r="Q206" i="5" s="1"/>
  <c r="R198" i="5"/>
  <c r="Q198" i="5" s="1"/>
  <c r="R251" i="5"/>
  <c r="Q251" i="5" s="1"/>
  <c r="R243" i="5"/>
  <c r="P243" i="5" s="1"/>
  <c r="R235" i="5"/>
  <c r="Q235" i="5" s="1"/>
  <c r="R226" i="5"/>
  <c r="Q226" i="5" s="1"/>
  <c r="R288" i="5"/>
  <c r="Q288" i="5" s="1"/>
  <c r="R278" i="5"/>
  <c r="Q278" i="5" s="1"/>
  <c r="R264" i="5"/>
  <c r="Q264" i="5" s="1"/>
  <c r="R255" i="5"/>
  <c r="Q255" i="5" s="1"/>
  <c r="R121" i="5"/>
  <c r="Q121" i="5" s="1"/>
  <c r="R86" i="5"/>
  <c r="Q86" i="5" s="1"/>
  <c r="R47" i="5"/>
  <c r="Q47" i="5" s="1"/>
  <c r="R315" i="5"/>
  <c r="P315" i="5" s="1"/>
  <c r="R309" i="5"/>
  <c r="Q309" i="5" s="1"/>
  <c r="R302" i="5"/>
  <c r="Q302" i="5" s="1"/>
  <c r="R296" i="5"/>
  <c r="Q296" i="5" s="1"/>
  <c r="R343" i="5"/>
  <c r="Q343" i="5" s="1"/>
  <c r="R335" i="5"/>
  <c r="Q335" i="5" s="1"/>
  <c r="R327" i="5"/>
  <c r="Q327" i="5" s="1"/>
  <c r="R319" i="5"/>
  <c r="Q319" i="5" s="1"/>
  <c r="R370" i="5"/>
  <c r="P370" i="5" s="1"/>
  <c r="R362" i="5"/>
  <c r="Q362" i="5" s="1"/>
  <c r="R354" i="5"/>
  <c r="Q354" i="5" s="1"/>
  <c r="R347" i="5"/>
  <c r="Q347" i="5" s="1"/>
  <c r="R394" i="5"/>
  <c r="Q394" i="5" s="1"/>
  <c r="R386" i="5"/>
  <c r="Q386" i="5" s="1"/>
  <c r="R378" i="5"/>
  <c r="Q378" i="5" s="1"/>
  <c r="R424" i="5"/>
  <c r="P424" i="5" s="1"/>
  <c r="R416" i="5"/>
  <c r="Q416" i="5" s="1"/>
  <c r="R408" i="5"/>
  <c r="Q408" i="5" s="1"/>
  <c r="R460" i="5"/>
  <c r="Q460" i="5" s="1"/>
  <c r="R452" i="5"/>
  <c r="Q452" i="5" s="1"/>
  <c r="R444" i="5"/>
  <c r="Q444" i="5" s="1"/>
  <c r="R436" i="5"/>
  <c r="Q436" i="5" s="1"/>
  <c r="R488" i="5"/>
  <c r="Q488" i="5" s="1"/>
  <c r="R480" i="5"/>
  <c r="P480" i="5" s="1"/>
  <c r="R472" i="5"/>
  <c r="Q472" i="5" s="1"/>
  <c r="R464" i="5"/>
  <c r="Q464" i="5" s="1"/>
  <c r="R516" i="5"/>
  <c r="Q516" i="5" s="1"/>
  <c r="R508" i="5"/>
  <c r="Q508" i="5" s="1"/>
  <c r="R500" i="5"/>
  <c r="Q500" i="5" s="1"/>
  <c r="R492" i="5"/>
  <c r="Q492" i="5" s="1"/>
  <c r="R544" i="5"/>
  <c r="Q544" i="5" s="1"/>
  <c r="R536" i="5"/>
  <c r="P536" i="5" s="1"/>
  <c r="R528" i="5"/>
  <c r="Q528" i="5" s="1"/>
  <c r="R577" i="5"/>
  <c r="Q577" i="5" s="1"/>
  <c r="R569" i="5"/>
  <c r="Q569" i="5" s="1"/>
  <c r="R562" i="5"/>
  <c r="Q562" i="5" s="1"/>
  <c r="R556" i="5"/>
  <c r="Q556" i="5" s="1"/>
  <c r="R605" i="5"/>
  <c r="Q605" i="5" s="1"/>
  <c r="R597" i="5"/>
  <c r="Q597" i="5" s="1"/>
  <c r="R589" i="5"/>
  <c r="P589" i="5" s="1"/>
  <c r="R581" i="5"/>
  <c r="P581" i="5" s="1"/>
  <c r="R633" i="5"/>
  <c r="Q633" i="5" s="1"/>
  <c r="R625" i="5"/>
  <c r="Q625" i="5" s="1"/>
  <c r="R617" i="5"/>
  <c r="Q617" i="5" s="1"/>
  <c r="R609" i="5"/>
  <c r="Q609" i="5" s="1"/>
  <c r="R667" i="5"/>
  <c r="Q667" i="5" s="1"/>
  <c r="R659" i="5"/>
  <c r="Q659" i="5" s="1"/>
  <c r="R651" i="5"/>
  <c r="P651" i="5" s="1"/>
  <c r="R643" i="5"/>
  <c r="P643" i="5" s="1"/>
  <c r="R695" i="5"/>
  <c r="Q695" i="5" s="1"/>
  <c r="R687" i="5"/>
  <c r="Q687" i="5" s="1"/>
  <c r="R679" i="5"/>
  <c r="Q679" i="5" s="1"/>
  <c r="R671" i="5"/>
  <c r="Q671" i="5" s="1"/>
  <c r="R130" i="5"/>
  <c r="Q130" i="5" s="1"/>
  <c r="R708" i="5"/>
  <c r="Q708" i="5" s="1"/>
  <c r="R59" i="5"/>
  <c r="Q59" i="5" s="1"/>
  <c r="R699" i="5"/>
  <c r="Q699" i="5" s="1"/>
  <c r="R739" i="5"/>
  <c r="Q739" i="5" s="1"/>
  <c r="R731" i="5"/>
  <c r="Q731" i="5" s="1"/>
  <c r="R724" i="5"/>
  <c r="Q724" i="5" s="1"/>
  <c r="R128" i="5"/>
  <c r="Q128" i="5" s="1"/>
  <c r="R93" i="5"/>
  <c r="Q93" i="5" s="1"/>
  <c r="R57" i="5"/>
  <c r="Q57" i="5" s="1"/>
  <c r="R19" i="5"/>
  <c r="J19" i="5" s="1"/>
  <c r="R181" i="5"/>
  <c r="Q181" i="5" s="1"/>
  <c r="R172" i="5"/>
  <c r="Q172" i="5" s="1"/>
  <c r="R161" i="5"/>
  <c r="P161" i="5" s="1"/>
  <c r="R221" i="5"/>
  <c r="Q221" i="5" s="1"/>
  <c r="R213" i="5"/>
  <c r="Q213" i="5" s="1"/>
  <c r="R205" i="5"/>
  <c r="Q205" i="5" s="1"/>
  <c r="R197" i="5"/>
  <c r="Q197" i="5" s="1"/>
  <c r="R250" i="5"/>
  <c r="Q250" i="5" s="1"/>
  <c r="R242" i="5"/>
  <c r="Q242" i="5" s="1"/>
  <c r="R234" i="5"/>
  <c r="Q234" i="5" s="1"/>
  <c r="R225" i="5"/>
  <c r="P225" i="5" s="1"/>
  <c r="R287" i="5"/>
  <c r="Q287" i="5" s="1"/>
  <c r="R277" i="5"/>
  <c r="Q277" i="5" s="1"/>
  <c r="R262" i="5"/>
  <c r="P262" i="5" s="1"/>
  <c r="R254" i="5"/>
  <c r="Q254" i="5" s="1"/>
  <c r="R16" i="5"/>
  <c r="Q16" i="5" s="1"/>
  <c r="R116" i="5"/>
  <c r="Q116" i="5" s="1"/>
  <c r="R81" i="5"/>
  <c r="Q81" i="5" s="1"/>
  <c r="R42" i="5"/>
  <c r="P42" i="5" s="1"/>
  <c r="R314" i="5"/>
  <c r="Q314" i="5" s="1"/>
  <c r="R308" i="5"/>
  <c r="Q308" i="5" s="1"/>
  <c r="R169" i="5"/>
  <c r="Q169" i="5" s="1"/>
  <c r="R157" i="5"/>
  <c r="Q157" i="5" s="1"/>
  <c r="R342" i="5"/>
  <c r="Q342" i="5" s="1"/>
  <c r="R334" i="5"/>
  <c r="Q334" i="5" s="1"/>
  <c r="R326" i="5"/>
  <c r="Q326" i="5" s="1"/>
  <c r="R318" i="5"/>
  <c r="Q318" i="5" s="1"/>
  <c r="R369" i="5"/>
  <c r="Q369" i="5" s="1"/>
  <c r="R361" i="5"/>
  <c r="Q361" i="5" s="1"/>
  <c r="R353" i="5"/>
  <c r="P353" i="5" s="1"/>
  <c r="R375" i="5"/>
  <c r="Q375" i="5" s="1"/>
  <c r="R393" i="5"/>
  <c r="Q393" i="5" s="1"/>
  <c r="R377" i="5"/>
  <c r="P377" i="5" s="1"/>
  <c r="R401" i="5"/>
  <c r="P401" i="5" s="1"/>
  <c r="R423" i="5"/>
  <c r="Q423" i="5" s="1"/>
  <c r="R415" i="5"/>
  <c r="Q415" i="5" s="1"/>
  <c r="R407" i="5"/>
  <c r="Q407" i="5" s="1"/>
  <c r="R459" i="5"/>
  <c r="Q459" i="5" s="1"/>
  <c r="R451" i="5"/>
  <c r="Q451" i="5" s="1"/>
  <c r="R443" i="5"/>
  <c r="Q443" i="5" s="1"/>
  <c r="R435" i="5"/>
  <c r="Q435" i="5" s="1"/>
  <c r="R487" i="5"/>
  <c r="P487" i="5" s="1"/>
  <c r="R479" i="5"/>
  <c r="Q479" i="5" s="1"/>
  <c r="R471" i="5"/>
  <c r="Q471" i="5" s="1"/>
  <c r="R463" i="5"/>
  <c r="Q463" i="5" s="1"/>
  <c r="R515" i="5"/>
  <c r="Q515" i="5" s="1"/>
  <c r="R507" i="5"/>
  <c r="Q507" i="5" s="1"/>
  <c r="R499" i="5"/>
  <c r="Q499" i="5" s="1"/>
  <c r="R521" i="5"/>
  <c r="Q521" i="5" s="1"/>
  <c r="R543" i="5"/>
  <c r="P543" i="5" s="1"/>
  <c r="R535" i="5"/>
  <c r="Q535" i="5" s="1"/>
  <c r="R527" i="5"/>
  <c r="Q527" i="5" s="1"/>
  <c r="R576" i="5"/>
  <c r="Q576" i="5" s="1"/>
  <c r="R568" i="5"/>
  <c r="Q568" i="5" s="1"/>
  <c r="R561" i="5"/>
  <c r="Q561" i="5" s="1"/>
  <c r="R555" i="5"/>
  <c r="Q555" i="5" s="1"/>
  <c r="R604" i="5"/>
  <c r="Q604" i="5" s="1"/>
  <c r="R596" i="5"/>
  <c r="P596" i="5" s="1"/>
  <c r="R588" i="5"/>
  <c r="Q588" i="5" s="1"/>
  <c r="R580" i="5"/>
  <c r="Q580" i="5" s="1"/>
  <c r="R632" i="5"/>
  <c r="Q632" i="5" s="1"/>
  <c r="R624" i="5"/>
  <c r="Q624" i="5" s="1"/>
  <c r="R616" i="5"/>
  <c r="Q616" i="5" s="1"/>
  <c r="R666" i="5"/>
  <c r="Q666" i="5" s="1"/>
  <c r="R658" i="5"/>
  <c r="Q658" i="5" s="1"/>
  <c r="R650" i="5"/>
  <c r="P650" i="5" s="1"/>
  <c r="R642" i="5"/>
  <c r="Q642" i="5" s="1"/>
  <c r="R694" i="5"/>
  <c r="Q694" i="5" s="1"/>
  <c r="R686" i="5"/>
  <c r="Q686" i="5" s="1"/>
  <c r="R678" i="5"/>
  <c r="Q678" i="5" s="1"/>
  <c r="R670" i="5"/>
  <c r="Q670" i="5" s="1"/>
  <c r="R707" i="5"/>
  <c r="Q707" i="5" s="1"/>
  <c r="R54" i="5"/>
  <c r="Q54" i="5" s="1"/>
  <c r="R717" i="5"/>
  <c r="Q717" i="5" s="1"/>
  <c r="R738" i="5"/>
  <c r="Q738" i="5" s="1"/>
  <c r="R730" i="5"/>
  <c r="P730" i="5" s="1"/>
  <c r="R723" i="5"/>
  <c r="Q723" i="5" s="1"/>
  <c r="R124" i="5"/>
  <c r="P124" i="5" s="1"/>
  <c r="R89" i="5"/>
  <c r="Q89" i="5" s="1"/>
  <c r="R52" i="5"/>
  <c r="J52" i="5" s="1"/>
  <c r="R149" i="5"/>
  <c r="Q149" i="5" s="1"/>
  <c r="R180" i="5"/>
  <c r="Q180" i="5" s="1"/>
  <c r="R171" i="5"/>
  <c r="Q171" i="5" s="1"/>
  <c r="R160" i="5"/>
  <c r="Q160" i="5" s="1"/>
  <c r="R220" i="5"/>
  <c r="Q220" i="5" s="1"/>
  <c r="R212" i="5"/>
  <c r="Q212" i="5" s="1"/>
  <c r="R204" i="5"/>
  <c r="P204" i="5" s="1"/>
  <c r="R196" i="5"/>
  <c r="Q196" i="5" s="1"/>
  <c r="R249" i="5"/>
  <c r="Q249" i="5" s="1"/>
  <c r="R241" i="5"/>
  <c r="Q241" i="5" s="1"/>
  <c r="R233" i="5"/>
  <c r="Q233" i="5" s="1"/>
  <c r="R224" i="5"/>
  <c r="Q224" i="5" s="1"/>
  <c r="R285" i="5"/>
  <c r="Q285" i="5" s="1"/>
  <c r="R275" i="5"/>
  <c r="Q275" i="5" s="1"/>
  <c r="R261" i="5"/>
  <c r="P261" i="5" s="1"/>
  <c r="R146" i="5"/>
  <c r="Q146" i="5" s="1"/>
  <c r="R112" i="5"/>
  <c r="Q112" i="5" s="1"/>
  <c r="R76" i="5"/>
  <c r="Q76" i="5" s="1"/>
  <c r="R37" i="5"/>
  <c r="Q37" i="5" s="1"/>
  <c r="R313" i="5"/>
  <c r="Q313" i="5" s="1"/>
  <c r="R307" i="5"/>
  <c r="Q307" i="5" s="1"/>
  <c r="R301" i="5"/>
  <c r="Q301" i="5" s="1"/>
  <c r="R295" i="5"/>
  <c r="Q295" i="5" s="1"/>
  <c r="R341" i="5"/>
  <c r="Q341" i="5" s="1"/>
  <c r="R333" i="5"/>
  <c r="Q333" i="5" s="1"/>
  <c r="R325" i="5"/>
  <c r="P325" i="5" s="1"/>
  <c r="R317" i="5"/>
  <c r="Q317" i="5" s="1"/>
  <c r="R368" i="5"/>
  <c r="Q368" i="5" s="1"/>
  <c r="R360" i="5"/>
  <c r="Q360" i="5" s="1"/>
  <c r="R230" i="5"/>
  <c r="Q230" i="5" s="1"/>
  <c r="R400" i="5"/>
  <c r="Q400" i="5" s="1"/>
  <c r="R392" i="5"/>
  <c r="Q392" i="5" s="1"/>
  <c r="R384" i="5"/>
  <c r="Q384" i="5" s="1"/>
  <c r="R376" i="5"/>
  <c r="Q376" i="5" s="1"/>
  <c r="R430" i="5"/>
  <c r="Q430" i="5" s="1"/>
  <c r="R422" i="5"/>
  <c r="Q422" i="5" s="1"/>
  <c r="R414" i="5"/>
  <c r="Q414" i="5" s="1"/>
  <c r="R406" i="5"/>
  <c r="Q406" i="5" s="1"/>
  <c r="R458" i="5"/>
  <c r="Q458" i="5" s="1"/>
  <c r="R450" i="5"/>
  <c r="Q450" i="5" s="1"/>
  <c r="R442" i="5"/>
  <c r="Q442" i="5" s="1"/>
  <c r="R434" i="5"/>
  <c r="P434" i="5" s="1"/>
  <c r="R486" i="5"/>
  <c r="Q486" i="5" s="1"/>
  <c r="R478" i="5"/>
  <c r="Q478" i="5" s="1"/>
  <c r="R470" i="5"/>
  <c r="Q470" i="5" s="1"/>
  <c r="R462" i="5"/>
  <c r="Q462" i="5" s="1"/>
  <c r="R514" i="5"/>
  <c r="Q514" i="5" s="1"/>
  <c r="R506" i="5"/>
  <c r="Q506" i="5" s="1"/>
  <c r="R498" i="5"/>
  <c r="Q498" i="5" s="1"/>
  <c r="R550" i="5"/>
  <c r="P550" i="5" s="1"/>
  <c r="R542" i="5"/>
  <c r="Q542" i="5" s="1"/>
  <c r="R534" i="5"/>
  <c r="Q534" i="5" s="1"/>
  <c r="R526" i="5"/>
  <c r="Q526" i="5" s="1"/>
  <c r="R575" i="5"/>
  <c r="Q575" i="5" s="1"/>
  <c r="R567" i="5"/>
  <c r="Q567" i="5" s="1"/>
  <c r="R560" i="5"/>
  <c r="Q560" i="5" s="1"/>
  <c r="R554" i="5"/>
  <c r="Q554" i="5" s="1"/>
  <c r="R603" i="5"/>
  <c r="P603" i="5" s="1"/>
  <c r="R595" i="5"/>
  <c r="Q595" i="5" s="1"/>
  <c r="R587" i="5"/>
  <c r="Q587" i="5" s="1"/>
  <c r="R579" i="5"/>
  <c r="Q579" i="5" s="1"/>
  <c r="R631" i="5"/>
  <c r="Q631" i="5" s="1"/>
  <c r="R623" i="5"/>
  <c r="Q623" i="5" s="1"/>
  <c r="R615" i="5"/>
  <c r="Q615" i="5" s="1"/>
  <c r="R665" i="5"/>
  <c r="Q665" i="5" s="1"/>
  <c r="R657" i="5"/>
  <c r="P657" i="5" s="1"/>
  <c r="R649" i="5"/>
  <c r="Q649" i="5" s="1"/>
  <c r="R641" i="5"/>
  <c r="Q641" i="5" s="1"/>
  <c r="R693" i="5"/>
  <c r="Q693" i="5" s="1"/>
  <c r="R685" i="5"/>
  <c r="Q685" i="5" s="1"/>
  <c r="R677" i="5"/>
  <c r="Q677" i="5" s="1"/>
  <c r="R669" i="5"/>
  <c r="Q669" i="5" s="1"/>
  <c r="R711" i="5"/>
  <c r="Q711" i="5" s="1"/>
  <c r="R706" i="5"/>
  <c r="Q706" i="5" s="1"/>
  <c r="R49" i="5"/>
  <c r="J49" i="5" s="1"/>
  <c r="R744" i="5"/>
  <c r="Q744" i="5" s="1"/>
  <c r="R737" i="5"/>
  <c r="Q737" i="5" s="1"/>
  <c r="R729" i="5"/>
  <c r="Q729" i="5" s="1"/>
  <c r="R722" i="5"/>
  <c r="Q722" i="5" s="1"/>
  <c r="R120" i="5"/>
  <c r="Q120" i="5" s="1"/>
  <c r="R85" i="5"/>
  <c r="Q85" i="5" s="1"/>
  <c r="R46" i="5"/>
  <c r="P46" i="5" s="1"/>
  <c r="R191" i="5"/>
  <c r="Q191" i="5" s="1"/>
  <c r="R179" i="5"/>
  <c r="Q179" i="5" s="1"/>
  <c r="R170" i="5"/>
  <c r="Q170" i="5" s="1"/>
  <c r="R158" i="5"/>
  <c r="Q158" i="5" s="1"/>
  <c r="R219" i="5"/>
  <c r="Q219" i="5" s="1"/>
  <c r="R211" i="5"/>
  <c r="Q211" i="5" s="1"/>
  <c r="R203" i="5"/>
  <c r="Q203" i="5" s="1"/>
  <c r="R195" i="5"/>
  <c r="P195" i="5" s="1"/>
  <c r="R248" i="5"/>
  <c r="Q248" i="5" s="1"/>
  <c r="R240" i="5"/>
  <c r="Q240" i="5" s="1"/>
  <c r="R232" i="5"/>
  <c r="Q232" i="5" s="1"/>
  <c r="R223" i="5"/>
  <c r="Q223" i="5" s="1"/>
  <c r="R284" i="5"/>
  <c r="Q284" i="5" s="1"/>
  <c r="R274" i="5"/>
  <c r="J274" i="5" s="1"/>
  <c r="R260" i="5"/>
  <c r="Q260" i="5" s="1"/>
  <c r="R142" i="5"/>
  <c r="Q142" i="5" s="1"/>
  <c r="R107" i="5"/>
  <c r="Q107" i="5" s="1"/>
  <c r="R72" i="5"/>
  <c r="Q72" i="5" s="1"/>
  <c r="R32" i="5"/>
  <c r="Q32" i="5" s="1"/>
  <c r="R186" i="5"/>
  <c r="Q186" i="5" s="1"/>
  <c r="R306" i="5"/>
  <c r="Q306" i="5" s="1"/>
  <c r="R300" i="5"/>
  <c r="P300" i="5" s="1"/>
  <c r="R152" i="5"/>
  <c r="Q152" i="5" s="1"/>
  <c r="R340" i="5"/>
  <c r="Q340" i="5" s="1"/>
  <c r="R332" i="5"/>
  <c r="P332" i="5" s="1"/>
  <c r="R324" i="5"/>
  <c r="Q324" i="5" s="1"/>
  <c r="R346" i="5"/>
  <c r="Q346" i="5" s="1"/>
  <c r="R367" i="5"/>
  <c r="Q367" i="5" s="1"/>
  <c r="R359" i="5"/>
  <c r="Q359" i="5" s="1"/>
  <c r="R352" i="5"/>
  <c r="Q352" i="5" s="1"/>
  <c r="R399" i="5"/>
  <c r="Q399" i="5" s="1"/>
  <c r="R391" i="5"/>
  <c r="Q391" i="5" s="1"/>
  <c r="R383" i="5"/>
  <c r="Q383" i="5" s="1"/>
  <c r="R429" i="5"/>
  <c r="Q429" i="5" s="1"/>
  <c r="R421" i="5"/>
  <c r="P421" i="5" s="1"/>
  <c r="R413" i="5"/>
  <c r="Q413" i="5" s="1"/>
  <c r="R405" i="5"/>
  <c r="Q405" i="5" s="1"/>
  <c r="R457" i="5"/>
  <c r="Q457" i="5" s="1"/>
  <c r="R449" i="5"/>
  <c r="Q449" i="5" s="1"/>
  <c r="R441" i="5"/>
  <c r="Q441" i="5" s="1"/>
  <c r="R433" i="5"/>
  <c r="Q433" i="5" s="1"/>
  <c r="R485" i="5"/>
  <c r="Q485" i="5" s="1"/>
  <c r="R477" i="5"/>
  <c r="P477" i="5" s="1"/>
  <c r="R469" i="5"/>
  <c r="Q469" i="5" s="1"/>
  <c r="R491" i="5"/>
  <c r="Q491" i="5" s="1"/>
  <c r="R513" i="5"/>
  <c r="Q513" i="5" s="1"/>
  <c r="R505" i="5"/>
  <c r="Q505" i="5" s="1"/>
  <c r="R497" i="5"/>
  <c r="Q497" i="5" s="1"/>
  <c r="R549" i="5"/>
  <c r="Q549" i="5" s="1"/>
  <c r="R541" i="5"/>
  <c r="Q541" i="5" s="1"/>
  <c r="R533" i="5"/>
  <c r="P533" i="5" s="1"/>
  <c r="R525" i="5"/>
  <c r="Q525" i="5" s="1"/>
  <c r="R574" i="5"/>
  <c r="Q574" i="5" s="1"/>
  <c r="R566" i="5"/>
  <c r="Q566" i="5" s="1"/>
  <c r="R559" i="5"/>
  <c r="Q559" i="5" s="1"/>
  <c r="R553" i="5"/>
  <c r="Q553" i="5" s="1"/>
  <c r="R602" i="5"/>
  <c r="Q602" i="5" s="1"/>
  <c r="R594" i="5"/>
  <c r="Q594" i="5" s="1"/>
  <c r="R586" i="5"/>
  <c r="P586" i="5" s="1"/>
  <c r="R608" i="5"/>
  <c r="Q608" i="5" s="1"/>
  <c r="R630" i="5"/>
  <c r="Q630" i="5" s="1"/>
  <c r="R622" i="5"/>
  <c r="Q622" i="5" s="1"/>
  <c r="R614" i="5"/>
  <c r="Q614" i="5" s="1"/>
  <c r="R664" i="5"/>
  <c r="Q664" i="5" s="1"/>
  <c r="R656" i="5"/>
  <c r="Q656" i="5" s="1"/>
  <c r="R648" i="5"/>
  <c r="Q648" i="5" s="1"/>
  <c r="R640" i="5"/>
  <c r="P640" i="5" s="1"/>
  <c r="R692" i="5"/>
  <c r="Q692" i="5" s="1"/>
  <c r="R684" i="5"/>
  <c r="Q684" i="5" s="1"/>
  <c r="R676" i="5"/>
  <c r="Q676" i="5" s="1"/>
  <c r="R698" i="5"/>
  <c r="Q698" i="5" s="1"/>
  <c r="R117" i="5"/>
  <c r="K117" i="5" s="1"/>
  <c r="R705" i="5"/>
  <c r="Q705" i="5" s="1"/>
  <c r="R702" i="5"/>
  <c r="P702" i="5" s="1"/>
  <c r="R743" i="5"/>
  <c r="Q743" i="5" s="1"/>
  <c r="R736" i="5"/>
  <c r="Q736" i="5" s="1"/>
  <c r="R728" i="5"/>
  <c r="Q728" i="5" s="1"/>
  <c r="R721" i="5"/>
  <c r="Q721" i="5" s="1"/>
  <c r="R115" i="5"/>
  <c r="Q115" i="5" s="1"/>
  <c r="R80" i="5"/>
  <c r="Q80" i="5" s="1"/>
  <c r="R41" i="5"/>
  <c r="P41" i="5" s="1"/>
  <c r="R190" i="5"/>
  <c r="Q190" i="5" s="1"/>
  <c r="R178" i="5"/>
  <c r="Q178" i="5" s="1"/>
  <c r="R168" i="5"/>
  <c r="Q168" i="5" s="1"/>
  <c r="R156" i="5"/>
  <c r="Q156" i="5" s="1"/>
  <c r="R218" i="5"/>
  <c r="P218" i="5" s="1"/>
  <c r="R210" i="5"/>
  <c r="Q210" i="5" s="1"/>
  <c r="R202" i="5"/>
  <c r="Q202" i="5" s="1"/>
  <c r="R194" i="5"/>
  <c r="Q194" i="5" s="1"/>
  <c r="R247" i="5"/>
  <c r="Q247" i="5" s="1"/>
  <c r="R239" i="5"/>
  <c r="Q239" i="5" s="1"/>
  <c r="R231" i="5"/>
  <c r="Q231" i="5" s="1"/>
  <c r="R253" i="5"/>
  <c r="Q253" i="5" s="1"/>
  <c r="R282" i="5"/>
  <c r="P282" i="5" s="1"/>
  <c r="R272" i="5"/>
  <c r="Q272" i="5" s="1"/>
  <c r="R259" i="5"/>
  <c r="Q259" i="5" s="1"/>
  <c r="R138" i="5"/>
  <c r="Q138" i="5" s="1"/>
  <c r="R103" i="5"/>
  <c r="Q103" i="5" s="1"/>
  <c r="R68" i="5"/>
  <c r="Q68" i="5" s="1"/>
  <c r="R28" i="5"/>
  <c r="Q28" i="5" s="1"/>
  <c r="R312" i="5"/>
  <c r="P312" i="5" s="1"/>
  <c r="R305" i="5"/>
  <c r="Q305" i="5" s="1"/>
  <c r="R299" i="5"/>
  <c r="Q299" i="5" s="1"/>
  <c r="R294" i="5"/>
  <c r="Q294" i="5" s="1"/>
  <c r="R339" i="5"/>
  <c r="Q339" i="5" s="1"/>
  <c r="R331" i="5"/>
  <c r="Q331" i="5" s="1"/>
  <c r="R323" i="5"/>
  <c r="Q323" i="5" s="1"/>
  <c r="R374" i="5"/>
  <c r="Q374" i="5" s="1"/>
  <c r="R366" i="5"/>
  <c r="P366" i="5" s="1"/>
  <c r="R358" i="5"/>
  <c r="Q358" i="5" s="1"/>
  <c r="R351" i="5"/>
  <c r="Q351" i="5" s="1"/>
  <c r="R398" i="5"/>
  <c r="Q398" i="5" s="1"/>
  <c r="R390" i="5"/>
  <c r="Q390" i="5" s="1"/>
  <c r="R382" i="5"/>
  <c r="Q382" i="5" s="1"/>
  <c r="R428" i="5"/>
  <c r="Q428" i="5" s="1"/>
  <c r="R420" i="5"/>
  <c r="Q420" i="5" s="1"/>
  <c r="R412" i="5"/>
  <c r="Q412" i="5" s="1"/>
  <c r="R404" i="5"/>
  <c r="Q404" i="5" s="1"/>
  <c r="R456" i="5"/>
  <c r="P456" i="5" s="1"/>
  <c r="R448" i="5"/>
  <c r="Q448" i="5" s="1"/>
  <c r="R440" i="5"/>
  <c r="Q440" i="5" s="1"/>
  <c r="R432" i="5"/>
  <c r="Q432" i="5" s="1"/>
  <c r="R484" i="5"/>
  <c r="Q484" i="5" s="1"/>
  <c r="R476" i="5"/>
  <c r="Q476" i="5" s="1"/>
  <c r="R468" i="5"/>
  <c r="Q468" i="5" s="1"/>
  <c r="R520" i="5"/>
  <c r="Q520" i="5" s="1"/>
  <c r="R512" i="5"/>
  <c r="P512" i="5" s="1"/>
  <c r="R504" i="5"/>
  <c r="Q504" i="5" s="1"/>
  <c r="R496" i="5"/>
  <c r="Q496" i="5" s="1"/>
  <c r="R548" i="5"/>
  <c r="Q548" i="5" s="1"/>
  <c r="R540" i="5"/>
  <c r="Q540" i="5" s="1"/>
  <c r="R532" i="5"/>
  <c r="Q532" i="5" s="1"/>
  <c r="R524" i="5"/>
  <c r="Q524" i="5" s="1"/>
  <c r="R573" i="5"/>
  <c r="Q573" i="5" s="1"/>
  <c r="R565" i="5"/>
  <c r="P565" i="5" s="1"/>
  <c r="R558" i="5"/>
  <c r="Q558" i="5" s="1"/>
  <c r="R552" i="5"/>
  <c r="Q552" i="5" s="1"/>
  <c r="R601" i="5"/>
  <c r="Q601" i="5" s="1"/>
  <c r="R593" i="5"/>
  <c r="Q593" i="5" s="1"/>
  <c r="R585" i="5"/>
  <c r="Q585" i="5" s="1"/>
  <c r="R637" i="5"/>
  <c r="Q637" i="5" s="1"/>
  <c r="R629" i="5"/>
  <c r="Q629" i="5" s="1"/>
  <c r="R621" i="5"/>
  <c r="P621" i="5" s="1"/>
  <c r="R613" i="5"/>
  <c r="Q613" i="5" s="1"/>
  <c r="R663" i="5"/>
  <c r="Q663" i="5" s="1"/>
  <c r="R655" i="5"/>
  <c r="Q655" i="5" s="1"/>
  <c r="R647" i="5"/>
  <c r="Q647" i="5" s="1"/>
  <c r="R639" i="5"/>
  <c r="Q639" i="5" s="1"/>
  <c r="R691" i="5"/>
  <c r="Q691" i="5" s="1"/>
  <c r="R683" i="5"/>
  <c r="Q683" i="5" s="1"/>
  <c r="R675" i="5"/>
  <c r="P675" i="5" s="1"/>
  <c r="R716" i="5"/>
  <c r="Q716" i="5" s="1"/>
  <c r="R710" i="5"/>
  <c r="Q710" i="5" s="1"/>
  <c r="R77" i="5"/>
  <c r="J77" i="5" s="1"/>
  <c r="R38" i="5"/>
  <c r="K38" i="5" s="1"/>
  <c r="R188" i="5"/>
  <c r="Q188" i="5" s="1"/>
  <c r="R735" i="5"/>
  <c r="Q735" i="5" s="1"/>
  <c r="R727" i="5"/>
  <c r="P727" i="5" s="1"/>
  <c r="R720" i="5"/>
  <c r="Q720" i="5" s="1"/>
  <c r="R145" i="5"/>
  <c r="Q145" i="5" s="1"/>
  <c r="R111" i="5"/>
  <c r="Q111" i="5" s="1"/>
  <c r="R75" i="5"/>
  <c r="Q75" i="5" s="1"/>
  <c r="R36" i="5"/>
  <c r="Q36" i="5" s="1"/>
  <c r="R187" i="5"/>
  <c r="Q187" i="5" s="1"/>
  <c r="R177" i="5"/>
  <c r="Q177" i="5" s="1"/>
  <c r="R167" i="5"/>
  <c r="Q167" i="5" s="1"/>
  <c r="R154" i="5"/>
  <c r="Q154" i="5" s="1"/>
  <c r="R217" i="5"/>
  <c r="Q217" i="5" s="1"/>
  <c r="R209" i="5"/>
  <c r="P209" i="5" s="1"/>
  <c r="R201" i="5"/>
  <c r="Q201" i="5" s="1"/>
  <c r="R193" i="5"/>
  <c r="Q193" i="5" s="1"/>
  <c r="R246" i="5"/>
  <c r="Q246" i="5" s="1"/>
  <c r="R238" i="5"/>
  <c r="Q238" i="5" s="1"/>
  <c r="R229" i="5"/>
  <c r="Q229" i="5" s="1"/>
  <c r="R292" i="5"/>
  <c r="Q292" i="5" s="1"/>
  <c r="R281" i="5"/>
  <c r="Q281" i="5" s="1"/>
  <c r="R271" i="5"/>
  <c r="P271" i="5" s="1"/>
  <c r="R258" i="5"/>
  <c r="Q258" i="5" s="1"/>
  <c r="R134" i="5"/>
  <c r="Q134" i="5" s="1"/>
  <c r="R98" i="5"/>
  <c r="K98" i="5" s="1"/>
  <c r="R63" i="5"/>
  <c r="K63" i="5" s="1"/>
  <c r="R24" i="5"/>
  <c r="P24" i="5" s="1"/>
  <c r="R183" i="5"/>
  <c r="Q183" i="5" s="1"/>
  <c r="R174" i="5"/>
  <c r="Q174" i="5" s="1"/>
  <c r="R298" i="5"/>
  <c r="Q298" i="5" s="1"/>
  <c r="R316" i="5"/>
  <c r="Q316" i="5" s="1"/>
  <c r="R338" i="5"/>
  <c r="Q338" i="5" s="1"/>
  <c r="R330" i="5"/>
  <c r="Q330" i="5" s="1"/>
  <c r="R322" i="5"/>
  <c r="P322" i="5" s="1"/>
  <c r="R373" i="5"/>
  <c r="Q373" i="5" s="1"/>
  <c r="R365" i="5"/>
  <c r="Q365" i="5" s="1"/>
  <c r="R357" i="5"/>
  <c r="Q357" i="5" s="1"/>
  <c r="R350" i="5"/>
  <c r="Q350" i="5" s="1"/>
  <c r="R397" i="5"/>
  <c r="Q397" i="5" s="1"/>
  <c r="R381" i="5"/>
  <c r="P381" i="5" s="1"/>
  <c r="R427" i="5"/>
  <c r="P427" i="5" s="1"/>
  <c r="R419" i="5"/>
  <c r="Q419" i="5" s="1"/>
  <c r="R411" i="5"/>
  <c r="Q411" i="5" s="1"/>
  <c r="R403" i="5"/>
  <c r="Q403" i="5" s="1"/>
  <c r="R455" i="5"/>
  <c r="Q455" i="5" s="1"/>
  <c r="R447" i="5"/>
  <c r="Q447" i="5" s="1"/>
  <c r="R439" i="5"/>
  <c r="Q439" i="5" s="1"/>
  <c r="R461" i="5"/>
  <c r="Q461" i="5" s="1"/>
  <c r="R483" i="5"/>
  <c r="P483" i="5" s="1"/>
  <c r="R475" i="5"/>
  <c r="Q475" i="5" s="1"/>
  <c r="R467" i="5"/>
  <c r="Q467" i="5" s="1"/>
  <c r="R519" i="5"/>
  <c r="Q519" i="5" s="1"/>
  <c r="R511" i="5"/>
  <c r="Q511" i="5" s="1"/>
  <c r="R503" i="5"/>
  <c r="Q503" i="5" s="1"/>
  <c r="R495" i="5"/>
  <c r="Q495" i="5" s="1"/>
  <c r="R547" i="5"/>
  <c r="Q547" i="5" s="1"/>
  <c r="R539" i="5"/>
  <c r="P539" i="5" s="1"/>
  <c r="R531" i="5"/>
  <c r="Q531" i="5" s="1"/>
  <c r="R523" i="5"/>
  <c r="Q523" i="5" s="1"/>
  <c r="R572" i="5"/>
  <c r="Q572" i="5" s="1"/>
  <c r="R564" i="5"/>
  <c r="Q564" i="5" s="1"/>
  <c r="R557" i="5"/>
  <c r="Q557" i="5" s="1"/>
  <c r="R578" i="5"/>
  <c r="Q578" i="5" s="1"/>
  <c r="R600" i="5"/>
  <c r="Q600" i="5" s="1"/>
  <c r="R592" i="5"/>
  <c r="P592" i="5" s="1"/>
  <c r="R584" i="5"/>
  <c r="Q584" i="5" s="1"/>
  <c r="R636" i="5"/>
  <c r="Q636" i="5" s="1"/>
  <c r="R628" i="5"/>
  <c r="Q628" i="5" s="1"/>
  <c r="R620" i="5"/>
  <c r="Q620" i="5" s="1"/>
  <c r="R612" i="5"/>
  <c r="Q612" i="5" s="1"/>
  <c r="R662" i="5"/>
  <c r="Q662" i="5" s="1"/>
  <c r="R654" i="5"/>
  <c r="Q654" i="5" s="1"/>
  <c r="R646" i="5"/>
  <c r="P646" i="5" s="1"/>
  <c r="R668" i="5"/>
  <c r="Q668" i="5" s="1"/>
  <c r="R690" i="5"/>
  <c r="Q690" i="5" s="1"/>
  <c r="R682" i="5"/>
  <c r="Q682" i="5" s="1"/>
  <c r="R674" i="5"/>
  <c r="Q674" i="5" s="1"/>
  <c r="R715" i="5"/>
  <c r="Q715" i="5" s="1"/>
  <c r="R108" i="5"/>
  <c r="Q108" i="5" s="1"/>
  <c r="R704" i="5"/>
  <c r="Q704" i="5" s="1"/>
  <c r="R33" i="5"/>
  <c r="K33" i="5" s="1"/>
  <c r="R742" i="5"/>
  <c r="Q742" i="5" s="1"/>
  <c r="R734" i="5"/>
  <c r="Q734" i="5" s="1"/>
  <c r="R726" i="5"/>
  <c r="Q726" i="5" s="1"/>
  <c r="R719" i="5"/>
  <c r="P719" i="5" s="1"/>
  <c r="K217" i="5"/>
  <c r="J217" i="5"/>
  <c r="K201" i="5"/>
  <c r="J201" i="5"/>
  <c r="K193" i="5"/>
  <c r="J193" i="5"/>
  <c r="K216" i="5"/>
  <c r="J216" i="5"/>
  <c r="K208" i="5"/>
  <c r="J208" i="5"/>
  <c r="K200" i="5"/>
  <c r="J200" i="5"/>
  <c r="K222" i="5"/>
  <c r="J222" i="5"/>
  <c r="K245" i="5"/>
  <c r="J245" i="5"/>
  <c r="K237" i="5"/>
  <c r="J237" i="5"/>
  <c r="K228" i="5"/>
  <c r="J228" i="5"/>
  <c r="K291" i="5"/>
  <c r="J291" i="5"/>
  <c r="K269" i="5"/>
  <c r="K257" i="5"/>
  <c r="J257" i="5"/>
  <c r="K311" i="5"/>
  <c r="J311" i="5"/>
  <c r="K304" i="5"/>
  <c r="J304" i="5"/>
  <c r="K297" i="5"/>
  <c r="J297" i="5"/>
  <c r="K345" i="5"/>
  <c r="J345" i="5"/>
  <c r="K337" i="5"/>
  <c r="J337" i="5"/>
  <c r="K329" i="5"/>
  <c r="J329" i="5"/>
  <c r="K321" i="5"/>
  <c r="J321" i="5"/>
  <c r="J372" i="5"/>
  <c r="K372" i="5"/>
  <c r="K364" i="5"/>
  <c r="J364" i="5"/>
  <c r="K356" i="5"/>
  <c r="J356" i="5"/>
  <c r="K349" i="5"/>
  <c r="J349" i="5"/>
  <c r="K396" i="5"/>
  <c r="J396" i="5"/>
  <c r="K388" i="5"/>
  <c r="J388" i="5"/>
  <c r="K380" i="5"/>
  <c r="J380" i="5"/>
  <c r="K426" i="5"/>
  <c r="J426" i="5"/>
  <c r="K418" i="5"/>
  <c r="J418" i="5"/>
  <c r="K410" i="5"/>
  <c r="J410" i="5"/>
  <c r="K402" i="5"/>
  <c r="J402" i="5"/>
  <c r="K454" i="5"/>
  <c r="J454" i="5"/>
  <c r="K446" i="5"/>
  <c r="J446" i="5"/>
  <c r="K438" i="5"/>
  <c r="J438" i="5"/>
  <c r="K490" i="5"/>
  <c r="J490" i="5"/>
  <c r="K482" i="5"/>
  <c r="J482" i="5"/>
  <c r="K474" i="5"/>
  <c r="J474" i="5"/>
  <c r="K466" i="5"/>
  <c r="J466" i="5"/>
  <c r="K518" i="5"/>
  <c r="J518" i="5"/>
  <c r="K510" i="5"/>
  <c r="J510" i="5"/>
  <c r="K502" i="5"/>
  <c r="J502" i="5"/>
  <c r="K494" i="5"/>
  <c r="J494" i="5"/>
  <c r="K546" i="5"/>
  <c r="J546" i="5"/>
  <c r="K538" i="5"/>
  <c r="J538" i="5"/>
  <c r="K530" i="5"/>
  <c r="J530" i="5"/>
  <c r="K522" i="5"/>
  <c r="J522" i="5"/>
  <c r="K571" i="5"/>
  <c r="J571" i="5"/>
  <c r="K563" i="5"/>
  <c r="J563" i="5"/>
  <c r="K607" i="5"/>
  <c r="J607" i="5"/>
  <c r="K599" i="5"/>
  <c r="J599" i="5"/>
  <c r="K591" i="5"/>
  <c r="J591" i="5"/>
  <c r="K583" i="5"/>
  <c r="J583" i="5"/>
  <c r="K635" i="5"/>
  <c r="J635" i="5"/>
  <c r="K627" i="5"/>
  <c r="J627" i="5"/>
  <c r="K619" i="5"/>
  <c r="J619" i="5"/>
  <c r="K611" i="5"/>
  <c r="J611" i="5"/>
  <c r="K661" i="5"/>
  <c r="J661" i="5"/>
  <c r="J653" i="5"/>
  <c r="K653" i="5"/>
  <c r="K645" i="5"/>
  <c r="J645" i="5"/>
  <c r="K697" i="5"/>
  <c r="J697" i="5"/>
  <c r="K689" i="5"/>
  <c r="J689" i="5"/>
  <c r="K681" i="5"/>
  <c r="J681" i="5"/>
  <c r="K673" i="5"/>
  <c r="J673" i="5"/>
  <c r="K714" i="5"/>
  <c r="J714" i="5"/>
  <c r="K703" i="5"/>
  <c r="J703" i="5"/>
  <c r="K701" i="5"/>
  <c r="J701" i="5"/>
  <c r="K741" i="5"/>
  <c r="J741" i="5"/>
  <c r="K733" i="5"/>
  <c r="J733" i="5"/>
  <c r="K725" i="5"/>
  <c r="J725" i="5"/>
  <c r="K718" i="5"/>
  <c r="J718" i="5"/>
  <c r="K253" i="5"/>
  <c r="J253" i="5"/>
  <c r="K305" i="5"/>
  <c r="J305" i="5"/>
  <c r="K374" i="5"/>
  <c r="J374" i="5"/>
  <c r="K390" i="5"/>
  <c r="J390" i="5"/>
  <c r="K207" i="5"/>
  <c r="J207" i="5"/>
  <c r="K199" i="5"/>
  <c r="J199" i="5"/>
  <c r="K252" i="5"/>
  <c r="J252" i="5"/>
  <c r="K244" i="5"/>
  <c r="J244" i="5"/>
  <c r="K236" i="5"/>
  <c r="J236" i="5"/>
  <c r="K256" i="5"/>
  <c r="J256" i="5"/>
  <c r="K293" i="5"/>
  <c r="J293" i="5"/>
  <c r="K310" i="5"/>
  <c r="J310" i="5"/>
  <c r="K303" i="5"/>
  <c r="J303" i="5"/>
  <c r="K344" i="5"/>
  <c r="J344" i="5"/>
  <c r="K336" i="5"/>
  <c r="J336" i="5"/>
  <c r="K328" i="5"/>
  <c r="J328" i="5"/>
  <c r="K320" i="5"/>
  <c r="J320" i="5"/>
  <c r="K371" i="5"/>
  <c r="J371" i="5"/>
  <c r="K363" i="5"/>
  <c r="J363" i="5"/>
  <c r="K355" i="5"/>
  <c r="J355" i="5"/>
  <c r="K348" i="5"/>
  <c r="J348" i="5"/>
  <c r="K395" i="5"/>
  <c r="J395" i="5"/>
  <c r="K387" i="5"/>
  <c r="J387" i="5"/>
  <c r="K379" i="5"/>
  <c r="J379" i="5"/>
  <c r="K425" i="5"/>
  <c r="J425" i="5"/>
  <c r="K417" i="5"/>
  <c r="J417" i="5"/>
  <c r="K409" i="5"/>
  <c r="J409" i="5"/>
  <c r="K431" i="5"/>
  <c r="J431" i="5"/>
  <c r="K453" i="5"/>
  <c r="J453" i="5"/>
  <c r="K445" i="5"/>
  <c r="J445" i="5"/>
  <c r="K437" i="5"/>
  <c r="J437" i="5"/>
  <c r="K489" i="5"/>
  <c r="J489" i="5"/>
  <c r="K481" i="5"/>
  <c r="J481" i="5"/>
  <c r="K473" i="5"/>
  <c r="J473" i="5"/>
  <c r="K465" i="5"/>
  <c r="J465" i="5"/>
  <c r="K517" i="5"/>
  <c r="J517" i="5"/>
  <c r="K509" i="5"/>
  <c r="J509" i="5"/>
  <c r="K501" i="5"/>
  <c r="J501" i="5"/>
  <c r="K493" i="5"/>
  <c r="J493" i="5"/>
  <c r="K545" i="5"/>
  <c r="J545" i="5"/>
  <c r="K537" i="5"/>
  <c r="J537" i="5"/>
  <c r="K529" i="5"/>
  <c r="J529" i="5"/>
  <c r="K551" i="5"/>
  <c r="J551" i="5"/>
  <c r="K570" i="5"/>
  <c r="J570" i="5"/>
  <c r="K606" i="5"/>
  <c r="J606" i="5"/>
  <c r="K598" i="5"/>
  <c r="J598" i="5"/>
  <c r="K590" i="5"/>
  <c r="J590" i="5"/>
  <c r="K582" i="5"/>
  <c r="J582" i="5"/>
  <c r="K634" i="5"/>
  <c r="J634" i="5"/>
  <c r="K626" i="5"/>
  <c r="J626" i="5"/>
  <c r="K618" i="5"/>
  <c r="J618" i="5"/>
  <c r="K610" i="5"/>
  <c r="J610" i="5"/>
  <c r="K638" i="5"/>
  <c r="J638" i="5"/>
  <c r="K660" i="5"/>
  <c r="J660" i="5"/>
  <c r="K652" i="5"/>
  <c r="J652" i="5"/>
  <c r="K644" i="5"/>
  <c r="J644" i="5"/>
  <c r="K696" i="5"/>
  <c r="J696" i="5"/>
  <c r="K688" i="5"/>
  <c r="J688" i="5"/>
  <c r="K680" i="5"/>
  <c r="J680" i="5"/>
  <c r="K672" i="5"/>
  <c r="J672" i="5"/>
  <c r="K713" i="5"/>
  <c r="J713" i="5"/>
  <c r="K700" i="5"/>
  <c r="J700" i="5"/>
  <c r="J740" i="5"/>
  <c r="K740" i="5"/>
  <c r="K732" i="5"/>
  <c r="J732" i="5"/>
  <c r="R15" i="5"/>
  <c r="Q15" i="5" s="1"/>
  <c r="K247" i="5"/>
  <c r="J247" i="5"/>
  <c r="K339" i="5"/>
  <c r="J339" i="5"/>
  <c r="K184" i="5"/>
  <c r="K215" i="5"/>
  <c r="J215" i="5"/>
  <c r="K227" i="5"/>
  <c r="J227" i="5"/>
  <c r="K214" i="5"/>
  <c r="J214" i="5"/>
  <c r="K198" i="5"/>
  <c r="J198" i="5"/>
  <c r="K243" i="5"/>
  <c r="J243" i="5"/>
  <c r="K226" i="5"/>
  <c r="J226" i="5"/>
  <c r="K288" i="5"/>
  <c r="J288" i="5"/>
  <c r="K278" i="5"/>
  <c r="J278" i="5"/>
  <c r="K255" i="5"/>
  <c r="J255" i="5"/>
  <c r="K315" i="5"/>
  <c r="J315" i="5"/>
  <c r="K309" i="5"/>
  <c r="J309" i="5"/>
  <c r="K302" i="5"/>
  <c r="J302" i="5"/>
  <c r="K296" i="5"/>
  <c r="J296" i="5"/>
  <c r="K343" i="5"/>
  <c r="J343" i="5"/>
  <c r="K335" i="5"/>
  <c r="J335" i="5"/>
  <c r="K327" i="5"/>
  <c r="J327" i="5"/>
  <c r="K319" i="5"/>
  <c r="J319" i="5"/>
  <c r="K370" i="5"/>
  <c r="J370" i="5"/>
  <c r="K362" i="5"/>
  <c r="J362" i="5"/>
  <c r="K354" i="5"/>
  <c r="J354" i="5"/>
  <c r="K347" i="5"/>
  <c r="J347" i="5"/>
  <c r="K394" i="5"/>
  <c r="J394" i="5"/>
  <c r="K386" i="5"/>
  <c r="J386" i="5"/>
  <c r="K378" i="5"/>
  <c r="J378" i="5"/>
  <c r="K424" i="5"/>
  <c r="J424" i="5"/>
  <c r="K416" i="5"/>
  <c r="J416" i="5"/>
  <c r="K408" i="5"/>
  <c r="J408" i="5"/>
  <c r="K460" i="5"/>
  <c r="J460" i="5"/>
  <c r="K452" i="5"/>
  <c r="J452" i="5"/>
  <c r="K444" i="5"/>
  <c r="J444" i="5"/>
  <c r="K436" i="5"/>
  <c r="J436" i="5"/>
  <c r="K488" i="5"/>
  <c r="J488" i="5"/>
  <c r="K480" i="5"/>
  <c r="J480" i="5"/>
  <c r="K472" i="5"/>
  <c r="J472" i="5"/>
  <c r="K464" i="5"/>
  <c r="J464" i="5"/>
  <c r="K516" i="5"/>
  <c r="J516" i="5"/>
  <c r="K508" i="5"/>
  <c r="J508" i="5"/>
  <c r="K500" i="5"/>
  <c r="J500" i="5"/>
  <c r="K492" i="5"/>
  <c r="J492" i="5"/>
  <c r="K544" i="5"/>
  <c r="J544" i="5"/>
  <c r="K536" i="5"/>
  <c r="J536" i="5"/>
  <c r="K528" i="5"/>
  <c r="J528" i="5"/>
  <c r="K577" i="5"/>
  <c r="J577" i="5"/>
  <c r="K569" i="5"/>
  <c r="J569" i="5"/>
  <c r="K562" i="5"/>
  <c r="J562" i="5"/>
  <c r="K556" i="5"/>
  <c r="J556" i="5"/>
  <c r="J605" i="5"/>
  <c r="K605" i="5"/>
  <c r="K597" i="5"/>
  <c r="J597" i="5"/>
  <c r="K589" i="5"/>
  <c r="J589" i="5"/>
  <c r="K581" i="5"/>
  <c r="J581" i="5"/>
  <c r="K633" i="5"/>
  <c r="J633" i="5"/>
  <c r="K625" i="5"/>
  <c r="J625" i="5"/>
  <c r="K617" i="5"/>
  <c r="J617" i="5"/>
  <c r="K609" i="5"/>
  <c r="J609" i="5"/>
  <c r="K667" i="5"/>
  <c r="J667" i="5"/>
  <c r="K659" i="5"/>
  <c r="J659" i="5"/>
  <c r="K651" i="5"/>
  <c r="J651" i="5"/>
  <c r="K643" i="5"/>
  <c r="J643" i="5"/>
  <c r="K695" i="5"/>
  <c r="J695" i="5"/>
  <c r="K687" i="5"/>
  <c r="J687" i="5"/>
  <c r="K679" i="5"/>
  <c r="J679" i="5"/>
  <c r="K671" i="5"/>
  <c r="J671" i="5"/>
  <c r="K708" i="5"/>
  <c r="J708" i="5"/>
  <c r="K699" i="5"/>
  <c r="J699" i="5"/>
  <c r="K739" i="5"/>
  <c r="J739" i="5"/>
  <c r="K731" i="5"/>
  <c r="J731" i="5"/>
  <c r="K724" i="5"/>
  <c r="J724" i="5"/>
  <c r="K210" i="5"/>
  <c r="J210" i="5"/>
  <c r="K366" i="5"/>
  <c r="J366" i="5"/>
  <c r="K279" i="5"/>
  <c r="J279" i="5"/>
  <c r="K192" i="5"/>
  <c r="J192" i="5"/>
  <c r="K206" i="5"/>
  <c r="J206" i="5"/>
  <c r="K251" i="5"/>
  <c r="J251" i="5"/>
  <c r="K235" i="5"/>
  <c r="J235" i="5"/>
  <c r="K221" i="5"/>
  <c r="J221" i="5"/>
  <c r="K213" i="5"/>
  <c r="J213" i="5"/>
  <c r="K205" i="5"/>
  <c r="J205" i="5"/>
  <c r="K197" i="5"/>
  <c r="J197" i="5"/>
  <c r="K250" i="5"/>
  <c r="J250" i="5"/>
  <c r="K242" i="5"/>
  <c r="J242" i="5"/>
  <c r="K234" i="5"/>
  <c r="J234" i="5"/>
  <c r="K225" i="5"/>
  <c r="J225" i="5"/>
  <c r="K287" i="5"/>
  <c r="J287" i="5"/>
  <c r="K277" i="5"/>
  <c r="J277" i="5"/>
  <c r="K254" i="5"/>
  <c r="J254" i="5"/>
  <c r="K314" i="5"/>
  <c r="J314" i="5"/>
  <c r="K308" i="5"/>
  <c r="J308" i="5"/>
  <c r="K342" i="5"/>
  <c r="J342" i="5"/>
  <c r="K334" i="5"/>
  <c r="J334" i="5"/>
  <c r="K326" i="5"/>
  <c r="J326" i="5"/>
  <c r="K318" i="5"/>
  <c r="J318" i="5"/>
  <c r="K369" i="5"/>
  <c r="J369" i="5"/>
  <c r="K361" i="5"/>
  <c r="J361" i="5"/>
  <c r="K353" i="5"/>
  <c r="J353" i="5"/>
  <c r="K375" i="5"/>
  <c r="J375" i="5"/>
  <c r="K393" i="5"/>
  <c r="J393" i="5"/>
  <c r="K377" i="5"/>
  <c r="J377" i="5"/>
  <c r="K401" i="5"/>
  <c r="J401" i="5"/>
  <c r="K423" i="5"/>
  <c r="J423" i="5"/>
  <c r="K415" i="5"/>
  <c r="J415" i="5"/>
  <c r="K407" i="5"/>
  <c r="J407" i="5"/>
  <c r="K459" i="5"/>
  <c r="J459" i="5"/>
  <c r="K451" i="5"/>
  <c r="J451" i="5"/>
  <c r="K443" i="5"/>
  <c r="J443" i="5"/>
  <c r="K435" i="5"/>
  <c r="J435" i="5"/>
  <c r="K487" i="5"/>
  <c r="J487" i="5"/>
  <c r="J479" i="5"/>
  <c r="K479" i="5"/>
  <c r="K471" i="5"/>
  <c r="J471" i="5"/>
  <c r="K463" i="5"/>
  <c r="J463" i="5"/>
  <c r="K515" i="5"/>
  <c r="J515" i="5"/>
  <c r="K507" i="5"/>
  <c r="J507" i="5"/>
  <c r="K499" i="5"/>
  <c r="J499" i="5"/>
  <c r="K521" i="5"/>
  <c r="J521" i="5"/>
  <c r="K543" i="5"/>
  <c r="J543" i="5"/>
  <c r="K535" i="5"/>
  <c r="J535" i="5"/>
  <c r="K527" i="5"/>
  <c r="J527" i="5"/>
  <c r="K576" i="5"/>
  <c r="J576" i="5"/>
  <c r="K568" i="5"/>
  <c r="J568" i="5"/>
  <c r="K561" i="5"/>
  <c r="J561" i="5"/>
  <c r="K555" i="5"/>
  <c r="J555" i="5"/>
  <c r="K604" i="5"/>
  <c r="J604" i="5"/>
  <c r="K596" i="5"/>
  <c r="J596" i="5"/>
  <c r="K588" i="5"/>
  <c r="J588" i="5"/>
  <c r="K580" i="5"/>
  <c r="J580" i="5"/>
  <c r="K632" i="5"/>
  <c r="J632" i="5"/>
  <c r="K624" i="5"/>
  <c r="J624" i="5"/>
  <c r="K616" i="5"/>
  <c r="J616" i="5"/>
  <c r="K666" i="5"/>
  <c r="J666" i="5"/>
  <c r="K658" i="5"/>
  <c r="J658" i="5"/>
  <c r="K650" i="5"/>
  <c r="J650" i="5"/>
  <c r="K642" i="5"/>
  <c r="J642" i="5"/>
  <c r="K694" i="5"/>
  <c r="J694" i="5"/>
  <c r="K686" i="5"/>
  <c r="J686" i="5"/>
  <c r="K678" i="5"/>
  <c r="J678" i="5"/>
  <c r="K670" i="5"/>
  <c r="J670" i="5"/>
  <c r="K707" i="5"/>
  <c r="J707" i="5"/>
  <c r="K717" i="5"/>
  <c r="J717" i="5"/>
  <c r="K738" i="5"/>
  <c r="J738" i="5"/>
  <c r="K730" i="5"/>
  <c r="J730" i="5"/>
  <c r="K723" i="5"/>
  <c r="J723" i="5"/>
  <c r="K202" i="5"/>
  <c r="J202" i="5"/>
  <c r="K312" i="5"/>
  <c r="J312" i="5"/>
  <c r="K323" i="5"/>
  <c r="J323" i="5"/>
  <c r="K351" i="5"/>
  <c r="J351" i="5"/>
  <c r="K382" i="5"/>
  <c r="J382" i="5"/>
  <c r="K149" i="5"/>
  <c r="J149" i="5"/>
  <c r="K220" i="5"/>
  <c r="J220" i="5"/>
  <c r="K212" i="5"/>
  <c r="J212" i="5"/>
  <c r="K204" i="5"/>
  <c r="J204" i="5"/>
  <c r="K196" i="5"/>
  <c r="J196" i="5"/>
  <c r="K249" i="5"/>
  <c r="J249" i="5"/>
  <c r="K241" i="5"/>
  <c r="J241" i="5"/>
  <c r="K233" i="5"/>
  <c r="J233" i="5"/>
  <c r="K224" i="5"/>
  <c r="J224" i="5"/>
  <c r="K285" i="5"/>
  <c r="J285" i="5"/>
  <c r="K275" i="5"/>
  <c r="J275" i="5"/>
  <c r="K261" i="5"/>
  <c r="J261" i="5"/>
  <c r="K313" i="5"/>
  <c r="J313" i="5"/>
  <c r="K307" i="5"/>
  <c r="J307" i="5"/>
  <c r="K301" i="5"/>
  <c r="J301" i="5"/>
  <c r="K295" i="5"/>
  <c r="J295" i="5"/>
  <c r="K341" i="5"/>
  <c r="J341" i="5"/>
  <c r="K333" i="5"/>
  <c r="J333" i="5"/>
  <c r="K325" i="5"/>
  <c r="J325" i="5"/>
  <c r="K317" i="5"/>
  <c r="J317" i="5"/>
  <c r="K368" i="5"/>
  <c r="J368" i="5"/>
  <c r="K360" i="5"/>
  <c r="J360" i="5"/>
  <c r="K400" i="5"/>
  <c r="J400" i="5"/>
  <c r="K392" i="5"/>
  <c r="J392" i="5"/>
  <c r="K384" i="5"/>
  <c r="J384" i="5"/>
  <c r="K376" i="5"/>
  <c r="J376" i="5"/>
  <c r="K430" i="5"/>
  <c r="J430" i="5"/>
  <c r="K422" i="5"/>
  <c r="J422" i="5"/>
  <c r="K414" i="5"/>
  <c r="J414" i="5"/>
  <c r="K406" i="5"/>
  <c r="J406" i="5"/>
  <c r="K458" i="5"/>
  <c r="J458" i="5"/>
  <c r="K450" i="5"/>
  <c r="J450" i="5"/>
  <c r="K442" i="5"/>
  <c r="J442" i="5"/>
  <c r="K434" i="5"/>
  <c r="J434" i="5"/>
  <c r="K486" i="5"/>
  <c r="J486" i="5"/>
  <c r="K478" i="5"/>
  <c r="J478" i="5"/>
  <c r="K470" i="5"/>
  <c r="J470" i="5"/>
  <c r="K462" i="5"/>
  <c r="J462" i="5"/>
  <c r="K514" i="5"/>
  <c r="J514" i="5"/>
  <c r="K506" i="5"/>
  <c r="J506" i="5"/>
  <c r="K498" i="5"/>
  <c r="J498" i="5"/>
  <c r="K550" i="5"/>
  <c r="J550" i="5"/>
  <c r="K542" i="5"/>
  <c r="J542" i="5"/>
  <c r="K534" i="5"/>
  <c r="J534" i="5"/>
  <c r="K526" i="5"/>
  <c r="J526" i="5"/>
  <c r="J575" i="5"/>
  <c r="K575" i="5"/>
  <c r="K567" i="5"/>
  <c r="J567" i="5"/>
  <c r="K560" i="5"/>
  <c r="J560" i="5"/>
  <c r="K554" i="5"/>
  <c r="J554" i="5"/>
  <c r="K603" i="5"/>
  <c r="J603" i="5"/>
  <c r="K595" i="5"/>
  <c r="J595" i="5"/>
  <c r="K587" i="5"/>
  <c r="J587" i="5"/>
  <c r="K579" i="5"/>
  <c r="J579" i="5"/>
  <c r="K631" i="5"/>
  <c r="J631" i="5"/>
  <c r="K623" i="5"/>
  <c r="J623" i="5"/>
  <c r="K615" i="5"/>
  <c r="J615" i="5"/>
  <c r="K665" i="5"/>
  <c r="J665" i="5"/>
  <c r="K657" i="5"/>
  <c r="J657" i="5"/>
  <c r="K649" i="5"/>
  <c r="J649" i="5"/>
  <c r="K641" i="5"/>
  <c r="J641" i="5"/>
  <c r="K693" i="5"/>
  <c r="J693" i="5"/>
  <c r="K685" i="5"/>
  <c r="J685" i="5"/>
  <c r="K677" i="5"/>
  <c r="J677" i="5"/>
  <c r="J669" i="5"/>
  <c r="K669" i="5"/>
  <c r="K711" i="5"/>
  <c r="J711" i="5"/>
  <c r="K706" i="5"/>
  <c r="J706" i="5"/>
  <c r="K744" i="5"/>
  <c r="J744" i="5"/>
  <c r="K737" i="5"/>
  <c r="J737" i="5"/>
  <c r="K729" i="5"/>
  <c r="J729" i="5"/>
  <c r="J722" i="5"/>
  <c r="K722" i="5"/>
  <c r="K218" i="5"/>
  <c r="J218" i="5"/>
  <c r="K239" i="5"/>
  <c r="J239" i="5"/>
  <c r="K294" i="5"/>
  <c r="J294" i="5"/>
  <c r="K170" i="5"/>
  <c r="K219" i="5"/>
  <c r="J219" i="5"/>
  <c r="K211" i="5"/>
  <c r="J211" i="5"/>
  <c r="K203" i="5"/>
  <c r="J203" i="5"/>
  <c r="K195" i="5"/>
  <c r="J195" i="5"/>
  <c r="K248" i="5"/>
  <c r="J248" i="5"/>
  <c r="K240" i="5"/>
  <c r="J240" i="5"/>
  <c r="K232" i="5"/>
  <c r="J232" i="5"/>
  <c r="K223" i="5"/>
  <c r="J223" i="5"/>
  <c r="K284" i="5"/>
  <c r="J284" i="5"/>
  <c r="K306" i="5"/>
  <c r="J306" i="5"/>
  <c r="K300" i="5"/>
  <c r="J300" i="5"/>
  <c r="K340" i="5"/>
  <c r="J340" i="5"/>
  <c r="K332" i="5"/>
  <c r="J332" i="5"/>
  <c r="K324" i="5"/>
  <c r="J324" i="5"/>
  <c r="K346" i="5"/>
  <c r="J346" i="5"/>
  <c r="K367" i="5"/>
  <c r="J367" i="5"/>
  <c r="K359" i="5"/>
  <c r="J359" i="5"/>
  <c r="K352" i="5"/>
  <c r="J352" i="5"/>
  <c r="K399" i="5"/>
  <c r="J399" i="5"/>
  <c r="K391" i="5"/>
  <c r="J391" i="5"/>
  <c r="K383" i="5"/>
  <c r="J383" i="5"/>
  <c r="K429" i="5"/>
  <c r="J429" i="5"/>
  <c r="K421" i="5"/>
  <c r="J421" i="5"/>
  <c r="K413" i="5"/>
  <c r="J413" i="5"/>
  <c r="K405" i="5"/>
  <c r="J405" i="5"/>
  <c r="K457" i="5"/>
  <c r="J457" i="5"/>
  <c r="K449" i="5"/>
  <c r="J449" i="5"/>
  <c r="K441" i="5"/>
  <c r="J441" i="5"/>
  <c r="K433" i="5"/>
  <c r="J433" i="5"/>
  <c r="K485" i="5"/>
  <c r="J485" i="5"/>
  <c r="K477" i="5"/>
  <c r="J477" i="5"/>
  <c r="K469" i="5"/>
  <c r="J469" i="5"/>
  <c r="K491" i="5"/>
  <c r="J491" i="5"/>
  <c r="K513" i="5"/>
  <c r="J513" i="5"/>
  <c r="K505" i="5"/>
  <c r="J505" i="5"/>
  <c r="K497" i="5"/>
  <c r="J497" i="5"/>
  <c r="K549" i="5"/>
  <c r="J549" i="5"/>
  <c r="K541" i="5"/>
  <c r="J541" i="5"/>
  <c r="K533" i="5"/>
  <c r="J533" i="5"/>
  <c r="K525" i="5"/>
  <c r="J525" i="5"/>
  <c r="K574" i="5"/>
  <c r="J574" i="5"/>
  <c r="K566" i="5"/>
  <c r="J566" i="5"/>
  <c r="K559" i="5"/>
  <c r="J559" i="5"/>
  <c r="K553" i="5"/>
  <c r="J553" i="5"/>
  <c r="K602" i="5"/>
  <c r="J602" i="5"/>
  <c r="K594" i="5"/>
  <c r="J594" i="5"/>
  <c r="K586" i="5"/>
  <c r="J586" i="5"/>
  <c r="K608" i="5"/>
  <c r="J608" i="5"/>
  <c r="K630" i="5"/>
  <c r="J630" i="5"/>
  <c r="K622" i="5"/>
  <c r="J622" i="5"/>
  <c r="K614" i="5"/>
  <c r="J614" i="5"/>
  <c r="K664" i="5"/>
  <c r="J664" i="5"/>
  <c r="K656" i="5"/>
  <c r="J656" i="5"/>
  <c r="K648" i="5"/>
  <c r="J648" i="5"/>
  <c r="K640" i="5"/>
  <c r="J640" i="5"/>
  <c r="K692" i="5"/>
  <c r="J692" i="5"/>
  <c r="K684" i="5"/>
  <c r="J684" i="5"/>
  <c r="K676" i="5"/>
  <c r="J676" i="5"/>
  <c r="K698" i="5"/>
  <c r="J698" i="5"/>
  <c r="K705" i="5"/>
  <c r="J705" i="5"/>
  <c r="K702" i="5"/>
  <c r="J702" i="5"/>
  <c r="K743" i="5"/>
  <c r="J743" i="5"/>
  <c r="K736" i="5"/>
  <c r="J736" i="5"/>
  <c r="K728" i="5"/>
  <c r="J728" i="5"/>
  <c r="K721" i="5"/>
  <c r="J721" i="5"/>
  <c r="K299" i="5"/>
  <c r="J299" i="5"/>
  <c r="K358" i="5"/>
  <c r="J358" i="5"/>
  <c r="K428" i="5"/>
  <c r="J428" i="5"/>
  <c r="K420" i="5"/>
  <c r="J420" i="5"/>
  <c r="K412" i="5"/>
  <c r="J412" i="5"/>
  <c r="K404" i="5"/>
  <c r="J404" i="5"/>
  <c r="K456" i="5"/>
  <c r="J456" i="5"/>
  <c r="K448" i="5"/>
  <c r="J448" i="5"/>
  <c r="K440" i="5"/>
  <c r="J440" i="5"/>
  <c r="K432" i="5"/>
  <c r="J432" i="5"/>
  <c r="K484" i="5"/>
  <c r="J484" i="5"/>
  <c r="K476" i="5"/>
  <c r="J476" i="5"/>
  <c r="K468" i="5"/>
  <c r="J468" i="5"/>
  <c r="K520" i="5"/>
  <c r="J520" i="5"/>
  <c r="K512" i="5"/>
  <c r="J512" i="5"/>
  <c r="K504" i="5"/>
  <c r="J504" i="5"/>
  <c r="K496" i="5"/>
  <c r="J496" i="5"/>
  <c r="K548" i="5"/>
  <c r="J548" i="5"/>
  <c r="K540" i="5"/>
  <c r="J540" i="5"/>
  <c r="K532" i="5"/>
  <c r="J532" i="5"/>
  <c r="K524" i="5"/>
  <c r="J524" i="5"/>
  <c r="K573" i="5"/>
  <c r="J573" i="5"/>
  <c r="K565" i="5"/>
  <c r="J565" i="5"/>
  <c r="K558" i="5"/>
  <c r="J558" i="5"/>
  <c r="K552" i="5"/>
  <c r="J552" i="5"/>
  <c r="K601" i="5"/>
  <c r="J601" i="5"/>
  <c r="K593" i="5"/>
  <c r="J593" i="5"/>
  <c r="K585" i="5"/>
  <c r="J585" i="5"/>
  <c r="K637" i="5"/>
  <c r="J637" i="5"/>
  <c r="K629" i="5"/>
  <c r="J629" i="5"/>
  <c r="K621" i="5"/>
  <c r="J621" i="5"/>
  <c r="K613" i="5"/>
  <c r="J613" i="5"/>
  <c r="K663" i="5"/>
  <c r="J663" i="5"/>
  <c r="K655" i="5"/>
  <c r="J655" i="5"/>
  <c r="K647" i="5"/>
  <c r="J647" i="5"/>
  <c r="K639" i="5"/>
  <c r="J639" i="5"/>
  <c r="K691" i="5"/>
  <c r="J691" i="5"/>
  <c r="K683" i="5"/>
  <c r="J683" i="5"/>
  <c r="K675" i="5"/>
  <c r="J675" i="5"/>
  <c r="K716" i="5"/>
  <c r="J716" i="5"/>
  <c r="K710" i="5"/>
  <c r="J710" i="5"/>
  <c r="K735" i="5"/>
  <c r="J735" i="5"/>
  <c r="K727" i="5"/>
  <c r="J727" i="5"/>
  <c r="K720" i="5"/>
  <c r="J720" i="5"/>
  <c r="K194" i="5"/>
  <c r="J194" i="5"/>
  <c r="K282" i="5"/>
  <c r="J282" i="5"/>
  <c r="K331" i="5"/>
  <c r="J331" i="5"/>
  <c r="K398" i="5"/>
  <c r="J398" i="5"/>
  <c r="K209" i="5"/>
  <c r="J209" i="5"/>
  <c r="K246" i="5"/>
  <c r="J246" i="5"/>
  <c r="K229" i="5"/>
  <c r="J229" i="5"/>
  <c r="K281" i="5"/>
  <c r="J281" i="5"/>
  <c r="K258" i="5"/>
  <c r="J258" i="5"/>
  <c r="K298" i="5"/>
  <c r="J298" i="5"/>
  <c r="K316" i="5"/>
  <c r="J316" i="5"/>
  <c r="K338" i="5"/>
  <c r="J338" i="5"/>
  <c r="K330" i="5"/>
  <c r="J330" i="5"/>
  <c r="K322" i="5"/>
  <c r="J322" i="5"/>
  <c r="K373" i="5"/>
  <c r="J373" i="5"/>
  <c r="K365" i="5"/>
  <c r="J365" i="5"/>
  <c r="K357" i="5"/>
  <c r="J357" i="5"/>
  <c r="K350" i="5"/>
  <c r="J350" i="5"/>
  <c r="K397" i="5"/>
  <c r="J397" i="5"/>
  <c r="K381" i="5"/>
  <c r="J381" i="5"/>
  <c r="K427" i="5"/>
  <c r="J427" i="5"/>
  <c r="K419" i="5"/>
  <c r="J419" i="5"/>
  <c r="K411" i="5"/>
  <c r="J411" i="5"/>
  <c r="K403" i="5"/>
  <c r="J403" i="5"/>
  <c r="K455" i="5"/>
  <c r="J455" i="5"/>
  <c r="K447" i="5"/>
  <c r="J447" i="5"/>
  <c r="K439" i="5"/>
  <c r="J439" i="5"/>
  <c r="K461" i="5"/>
  <c r="J461" i="5"/>
  <c r="K483" i="5"/>
  <c r="J483" i="5"/>
  <c r="K475" i="5"/>
  <c r="J475" i="5"/>
  <c r="K467" i="5"/>
  <c r="J467" i="5"/>
  <c r="K519" i="5"/>
  <c r="J519" i="5"/>
  <c r="K511" i="5"/>
  <c r="J511" i="5"/>
  <c r="K503" i="5"/>
  <c r="J503" i="5"/>
  <c r="K495" i="5"/>
  <c r="J495" i="5"/>
  <c r="J547" i="5"/>
  <c r="K547" i="5"/>
  <c r="K539" i="5"/>
  <c r="J539" i="5"/>
  <c r="K531" i="5"/>
  <c r="J531" i="5"/>
  <c r="K523" i="5"/>
  <c r="J523" i="5"/>
  <c r="K572" i="5"/>
  <c r="J572" i="5"/>
  <c r="K564" i="5"/>
  <c r="J564" i="5"/>
  <c r="K557" i="5"/>
  <c r="J557" i="5"/>
  <c r="K578" i="5"/>
  <c r="J578" i="5"/>
  <c r="K600" i="5"/>
  <c r="J600" i="5"/>
  <c r="K592" i="5"/>
  <c r="J592" i="5"/>
  <c r="K584" i="5"/>
  <c r="J584" i="5"/>
  <c r="K636" i="5"/>
  <c r="J636" i="5"/>
  <c r="K628" i="5"/>
  <c r="J628" i="5"/>
  <c r="K620" i="5"/>
  <c r="J620" i="5"/>
  <c r="K612" i="5"/>
  <c r="J612" i="5"/>
  <c r="K662" i="5"/>
  <c r="J662" i="5"/>
  <c r="K654" i="5"/>
  <c r="J654" i="5"/>
  <c r="K646" i="5"/>
  <c r="J646" i="5"/>
  <c r="K668" i="5"/>
  <c r="J668" i="5"/>
  <c r="K690" i="5"/>
  <c r="J690" i="5"/>
  <c r="K682" i="5"/>
  <c r="J682" i="5"/>
  <c r="K674" i="5"/>
  <c r="J674" i="5"/>
  <c r="K715" i="5"/>
  <c r="J715" i="5"/>
  <c r="K704" i="5"/>
  <c r="J704" i="5"/>
  <c r="K742" i="5"/>
  <c r="J742" i="5"/>
  <c r="K734" i="5"/>
  <c r="J734" i="5"/>
  <c r="K726" i="5"/>
  <c r="J726" i="5"/>
  <c r="K719" i="5"/>
  <c r="J719" i="5"/>
  <c r="J129" i="5" l="1"/>
  <c r="K129" i="5"/>
  <c r="J162" i="5"/>
  <c r="Q643" i="5"/>
  <c r="Q644" i="5"/>
  <c r="Q581" i="5"/>
  <c r="Q582" i="5"/>
  <c r="P388" i="5"/>
  <c r="P722" i="5"/>
  <c r="P729" i="5"/>
  <c r="P671" i="5"/>
  <c r="Q651" i="5"/>
  <c r="P609" i="5"/>
  <c r="Q589" i="5"/>
  <c r="P556" i="5"/>
  <c r="Q536" i="5"/>
  <c r="P500" i="5"/>
  <c r="Q480" i="5"/>
  <c r="P444" i="5"/>
  <c r="Q424" i="5"/>
  <c r="P397" i="5"/>
  <c r="Q322" i="5"/>
  <c r="P316" i="5"/>
  <c r="P183" i="5"/>
  <c r="N183" i="5" s="1"/>
  <c r="P134" i="5"/>
  <c r="N134" i="5" s="1"/>
  <c r="Q282" i="5"/>
  <c r="P239" i="5"/>
  <c r="Q218" i="5"/>
  <c r="P115" i="5"/>
  <c r="N115" i="5" s="1"/>
  <c r="Q730" i="5"/>
  <c r="P54" i="5"/>
  <c r="N54" i="5" s="1"/>
  <c r="P672" i="5"/>
  <c r="Q652" i="5"/>
  <c r="P610" i="5"/>
  <c r="Q590" i="5"/>
  <c r="Q43" i="5"/>
  <c r="N43" i="5" s="1"/>
  <c r="Q551" i="5"/>
  <c r="P545" i="5"/>
  <c r="Q465" i="5"/>
  <c r="P489" i="5"/>
  <c r="Q409" i="5"/>
  <c r="P380" i="5"/>
  <c r="Q366" i="5"/>
  <c r="P331" i="5"/>
  <c r="Q312" i="5"/>
  <c r="P138" i="5"/>
  <c r="N138" i="5" s="1"/>
  <c r="P284" i="5"/>
  <c r="Q195" i="5"/>
  <c r="P219" i="5"/>
  <c r="Q46" i="5"/>
  <c r="N46" i="5" s="1"/>
  <c r="P731" i="5"/>
  <c r="Q689" i="5"/>
  <c r="P653" i="5"/>
  <c r="Q635" i="5"/>
  <c r="P599" i="5"/>
  <c r="P563" i="5"/>
  <c r="Q546" i="5"/>
  <c r="P510" i="5"/>
  <c r="Q490" i="5"/>
  <c r="P454" i="5"/>
  <c r="Q381" i="5"/>
  <c r="P352" i="5"/>
  <c r="Q332" i="5"/>
  <c r="Q300" i="5"/>
  <c r="P32" i="5"/>
  <c r="N32" i="5" s="1"/>
  <c r="Q261" i="5"/>
  <c r="P224" i="5"/>
  <c r="Q204" i="5"/>
  <c r="P160" i="5"/>
  <c r="N160" i="5" s="1"/>
  <c r="P149" i="5"/>
  <c r="Q124" i="5"/>
  <c r="N124" i="5" s="1"/>
  <c r="P715" i="5"/>
  <c r="Q646" i="5"/>
  <c r="P612" i="5"/>
  <c r="Q592" i="5"/>
  <c r="P557" i="5"/>
  <c r="Q539" i="5"/>
  <c r="P503" i="5"/>
  <c r="Q483" i="5"/>
  <c r="P447" i="5"/>
  <c r="Q427" i="5"/>
  <c r="P400" i="5"/>
  <c r="Q325" i="5"/>
  <c r="P295" i="5"/>
  <c r="P112" i="5"/>
  <c r="N112" i="5" s="1"/>
  <c r="Q262" i="5"/>
  <c r="N262" i="5" s="1"/>
  <c r="Q225" i="5"/>
  <c r="P250" i="5"/>
  <c r="Q161" i="5"/>
  <c r="P19" i="5"/>
  <c r="P718" i="5"/>
  <c r="Q703" i="5"/>
  <c r="Q675" i="5"/>
  <c r="P639" i="5"/>
  <c r="Q621" i="5"/>
  <c r="P585" i="5"/>
  <c r="Q565" i="5"/>
  <c r="P532" i="5"/>
  <c r="Q512" i="5"/>
  <c r="P476" i="5"/>
  <c r="Q456" i="5"/>
  <c r="P420" i="5"/>
  <c r="Q353" i="5"/>
  <c r="P318" i="5"/>
  <c r="P308" i="5"/>
  <c r="P81" i="5"/>
  <c r="N81" i="5" s="1"/>
  <c r="Q243" i="5"/>
  <c r="P206" i="5"/>
  <c r="P23" i="5"/>
  <c r="Q719" i="5"/>
  <c r="P742" i="5"/>
  <c r="P710" i="5"/>
  <c r="Q640" i="5"/>
  <c r="P664" i="5"/>
  <c r="Q586" i="5"/>
  <c r="P553" i="5"/>
  <c r="Q533" i="5"/>
  <c r="P497" i="5"/>
  <c r="Q477" i="5"/>
  <c r="P441" i="5"/>
  <c r="Q421" i="5"/>
  <c r="P384" i="5"/>
  <c r="Q370" i="5"/>
  <c r="P335" i="5"/>
  <c r="Q315" i="5"/>
  <c r="P256" i="5"/>
  <c r="P290" i="5"/>
  <c r="Q199" i="5"/>
  <c r="P150" i="5"/>
  <c r="P102" i="5"/>
  <c r="Q727" i="5"/>
  <c r="Q38" i="5"/>
  <c r="P677" i="5"/>
  <c r="Q657" i="5"/>
  <c r="P623" i="5"/>
  <c r="Q603" i="5"/>
  <c r="P567" i="5"/>
  <c r="Q550" i="5"/>
  <c r="P514" i="5"/>
  <c r="Q434" i="5"/>
  <c r="P458" i="5"/>
  <c r="Q377" i="5"/>
  <c r="P348" i="5"/>
  <c r="Q328" i="5"/>
  <c r="P159" i="5"/>
  <c r="N159" i="5" s="1"/>
  <c r="P293" i="5"/>
  <c r="Q125" i="5"/>
  <c r="N125" i="5" s="1"/>
  <c r="Q237" i="5"/>
  <c r="P200" i="5"/>
  <c r="Q106" i="5"/>
  <c r="N106" i="5" s="1"/>
  <c r="Q702" i="5"/>
  <c r="P670" i="5"/>
  <c r="Q650" i="5"/>
  <c r="P616" i="5"/>
  <c r="Q596" i="5"/>
  <c r="P561" i="5"/>
  <c r="Q543" i="5"/>
  <c r="P507" i="5"/>
  <c r="Q487" i="5"/>
  <c r="P451" i="5"/>
  <c r="Q401" i="5"/>
  <c r="P396" i="5"/>
  <c r="Q321" i="5"/>
  <c r="P345" i="5"/>
  <c r="P94" i="5"/>
  <c r="N94" i="5" s="1"/>
  <c r="Q271" i="5"/>
  <c r="P229" i="5"/>
  <c r="Q209" i="5"/>
  <c r="P167" i="5"/>
  <c r="P36" i="5"/>
  <c r="N36" i="5" s="1"/>
  <c r="P49" i="5"/>
  <c r="P695" i="5"/>
  <c r="P633" i="5"/>
  <c r="P577" i="5"/>
  <c r="P464" i="5"/>
  <c r="P408" i="5"/>
  <c r="P365" i="5"/>
  <c r="P202" i="5"/>
  <c r="P190" i="5"/>
  <c r="P696" i="5"/>
  <c r="P634" i="5"/>
  <c r="P509" i="5"/>
  <c r="P453" i="5"/>
  <c r="P351" i="5"/>
  <c r="P299" i="5"/>
  <c r="P240" i="5"/>
  <c r="P179" i="5"/>
  <c r="P85" i="5"/>
  <c r="N85" i="5" s="1"/>
  <c r="P59" i="5"/>
  <c r="N59" i="5" s="1"/>
  <c r="P673" i="5"/>
  <c r="P619" i="5"/>
  <c r="P530" i="5"/>
  <c r="P474" i="5"/>
  <c r="P418" i="5"/>
  <c r="P346" i="5"/>
  <c r="P72" i="5"/>
  <c r="N72" i="5" s="1"/>
  <c r="P249" i="5"/>
  <c r="P163" i="5"/>
  <c r="N163" i="5" s="1"/>
  <c r="P700" i="5"/>
  <c r="P690" i="5"/>
  <c r="P636" i="5"/>
  <c r="P523" i="5"/>
  <c r="P467" i="5"/>
  <c r="P411" i="5"/>
  <c r="P368" i="5"/>
  <c r="P313" i="5"/>
  <c r="P277" i="5"/>
  <c r="P213" i="5"/>
  <c r="Q19" i="5"/>
  <c r="P741" i="5"/>
  <c r="P663" i="5"/>
  <c r="P552" i="5"/>
  <c r="P496" i="5"/>
  <c r="P440" i="5"/>
  <c r="P393" i="5"/>
  <c r="P342" i="5"/>
  <c r="P264" i="5"/>
  <c r="N264" i="5" s="1"/>
  <c r="P226" i="5"/>
  <c r="P162" i="5"/>
  <c r="P62" i="5"/>
  <c r="N62" i="5" s="1"/>
  <c r="P684" i="5"/>
  <c r="P630" i="5"/>
  <c r="P574" i="5"/>
  <c r="P491" i="5"/>
  <c r="P405" i="5"/>
  <c r="P354" i="5"/>
  <c r="P302" i="5"/>
  <c r="P244" i="5"/>
  <c r="P184" i="5"/>
  <c r="Q102" i="5"/>
  <c r="P77" i="5"/>
  <c r="P641" i="5"/>
  <c r="P587" i="5"/>
  <c r="P534" i="5"/>
  <c r="P478" i="5"/>
  <c r="P422" i="5"/>
  <c r="P371" i="5"/>
  <c r="P257" i="5"/>
  <c r="P291" i="5"/>
  <c r="P151" i="5"/>
  <c r="P185" i="5"/>
  <c r="N185" i="5" s="1"/>
  <c r="P141" i="5"/>
  <c r="P736" i="5"/>
  <c r="P694" i="5"/>
  <c r="P580" i="5"/>
  <c r="P527" i="5"/>
  <c r="P471" i="5"/>
  <c r="P415" i="5"/>
  <c r="P364" i="5"/>
  <c r="P311" i="5"/>
  <c r="P193" i="5"/>
  <c r="Q49" i="5"/>
  <c r="P659" i="5"/>
  <c r="P597" i="5"/>
  <c r="P544" i="5"/>
  <c r="P488" i="5"/>
  <c r="P379" i="5"/>
  <c r="P330" i="5"/>
  <c r="Q24" i="5"/>
  <c r="N24" i="5" s="1"/>
  <c r="P259" i="5"/>
  <c r="P253" i="5"/>
  <c r="P156" i="5"/>
  <c r="N156" i="5" s="1"/>
  <c r="P15" i="5"/>
  <c r="N15" i="5" s="1"/>
  <c r="P738" i="5"/>
  <c r="P707" i="5"/>
  <c r="P660" i="5"/>
  <c r="P598" i="5"/>
  <c r="P82" i="5"/>
  <c r="N82" i="5" s="1"/>
  <c r="P529" i="5"/>
  <c r="P473" i="5"/>
  <c r="P417" i="5"/>
  <c r="P374" i="5"/>
  <c r="P28" i="5"/>
  <c r="N28" i="5" s="1"/>
  <c r="P260" i="5"/>
  <c r="P203" i="5"/>
  <c r="P697" i="5"/>
  <c r="P583" i="5"/>
  <c r="P494" i="5"/>
  <c r="P438" i="5"/>
  <c r="P391" i="5"/>
  <c r="P340" i="5"/>
  <c r="P306" i="5"/>
  <c r="P275" i="5"/>
  <c r="P212" i="5"/>
  <c r="P171" i="5"/>
  <c r="P654" i="5"/>
  <c r="P600" i="5"/>
  <c r="P547" i="5"/>
  <c r="P461" i="5"/>
  <c r="P382" i="5"/>
  <c r="P333" i="5"/>
  <c r="P146" i="5"/>
  <c r="N146" i="5" s="1"/>
  <c r="P234" i="5"/>
  <c r="P172" i="5"/>
  <c r="P57" i="5"/>
  <c r="N57" i="5" s="1"/>
  <c r="P108" i="5"/>
  <c r="N108" i="5" s="1"/>
  <c r="P683" i="5"/>
  <c r="P629" i="5"/>
  <c r="P573" i="5"/>
  <c r="P520" i="5"/>
  <c r="P404" i="5"/>
  <c r="P361" i="5"/>
  <c r="P116" i="5"/>
  <c r="N116" i="5" s="1"/>
  <c r="P251" i="5"/>
  <c r="Q162" i="5"/>
  <c r="P726" i="5"/>
  <c r="P648" i="5"/>
  <c r="P594" i="5"/>
  <c r="P541" i="5"/>
  <c r="P485" i="5"/>
  <c r="P429" i="5"/>
  <c r="P319" i="5"/>
  <c r="P47" i="5"/>
  <c r="N47" i="5" s="1"/>
  <c r="P207" i="5"/>
  <c r="P137" i="5"/>
  <c r="P735" i="5"/>
  <c r="Q77" i="5"/>
  <c r="P665" i="5"/>
  <c r="P554" i="5"/>
  <c r="P498" i="5"/>
  <c r="P442" i="5"/>
  <c r="P386" i="5"/>
  <c r="P336" i="5"/>
  <c r="P303" i="5"/>
  <c r="P245" i="5"/>
  <c r="Q151" i="5"/>
  <c r="Q141" i="5"/>
  <c r="P705" i="5"/>
  <c r="P658" i="5"/>
  <c r="P604" i="5"/>
  <c r="P521" i="5"/>
  <c r="P435" i="5"/>
  <c r="P378" i="5"/>
  <c r="P329" i="5"/>
  <c r="P129" i="5"/>
  <c r="N129" i="5" s="1"/>
  <c r="P281" i="5"/>
  <c r="P217" i="5"/>
  <c r="P75" i="5"/>
  <c r="N75" i="5" s="1"/>
  <c r="P737" i="5"/>
  <c r="P706" i="5"/>
  <c r="P679" i="5"/>
  <c r="P617" i="5"/>
  <c r="P562" i="5"/>
  <c r="P508" i="5"/>
  <c r="P452" i="5"/>
  <c r="P350" i="5"/>
  <c r="P298" i="5"/>
  <c r="P247" i="5"/>
  <c r="P680" i="5"/>
  <c r="P618" i="5"/>
  <c r="P493" i="5"/>
  <c r="P437" i="5"/>
  <c r="P390" i="5"/>
  <c r="P339" i="5"/>
  <c r="P223" i="5"/>
  <c r="P158" i="5"/>
  <c r="P120" i="5"/>
  <c r="N120" i="5" s="1"/>
  <c r="P739" i="5"/>
  <c r="P708" i="5"/>
  <c r="P661" i="5"/>
  <c r="P607" i="5"/>
  <c r="P571" i="5"/>
  <c r="P518" i="5"/>
  <c r="P402" i="5"/>
  <c r="P359" i="5"/>
  <c r="P107" i="5"/>
  <c r="N107" i="5" s="1"/>
  <c r="P233" i="5"/>
  <c r="P52" i="5"/>
  <c r="P732" i="5"/>
  <c r="P674" i="5"/>
  <c r="P620" i="5"/>
  <c r="P564" i="5"/>
  <c r="P511" i="5"/>
  <c r="P455" i="5"/>
  <c r="P230" i="5"/>
  <c r="P301" i="5"/>
  <c r="P197" i="5"/>
  <c r="P725" i="5"/>
  <c r="P647" i="5"/>
  <c r="P593" i="5"/>
  <c r="P540" i="5"/>
  <c r="P484" i="5"/>
  <c r="P428" i="5"/>
  <c r="P326" i="5"/>
  <c r="P314" i="5"/>
  <c r="P278" i="5"/>
  <c r="P214" i="5"/>
  <c r="P173" i="5"/>
  <c r="P97" i="5"/>
  <c r="Q33" i="5"/>
  <c r="P698" i="5"/>
  <c r="P614" i="5"/>
  <c r="P559" i="5"/>
  <c r="P505" i="5"/>
  <c r="P449" i="5"/>
  <c r="P394" i="5"/>
  <c r="P343" i="5"/>
  <c r="P266" i="5"/>
  <c r="N266" i="5" s="1"/>
  <c r="P227" i="5"/>
  <c r="P165" i="5"/>
  <c r="Q137" i="5"/>
  <c r="P117" i="5"/>
  <c r="P685" i="5"/>
  <c r="P631" i="5"/>
  <c r="P575" i="5"/>
  <c r="P462" i="5"/>
  <c r="P406" i="5"/>
  <c r="P355" i="5"/>
  <c r="P53" i="5"/>
  <c r="N53" i="5" s="1"/>
  <c r="P208" i="5"/>
  <c r="P166" i="5"/>
  <c r="Q31" i="5"/>
  <c r="N31" i="5" s="1"/>
  <c r="P721" i="5"/>
  <c r="P678" i="5"/>
  <c r="P624" i="5"/>
  <c r="P568" i="5"/>
  <c r="P515" i="5"/>
  <c r="P459" i="5"/>
  <c r="P349" i="5"/>
  <c r="P297" i="5"/>
  <c r="P238" i="5"/>
  <c r="P177" i="5"/>
  <c r="P528" i="5"/>
  <c r="P472" i="5"/>
  <c r="P416" i="5"/>
  <c r="P373" i="5"/>
  <c r="P63" i="5"/>
  <c r="P210" i="5"/>
  <c r="P168" i="5"/>
  <c r="N168" i="5" s="1"/>
  <c r="Q41" i="5"/>
  <c r="N41" i="5" s="1"/>
  <c r="P723" i="5"/>
  <c r="P570" i="5"/>
  <c r="P517" i="5"/>
  <c r="P431" i="5"/>
  <c r="P358" i="5"/>
  <c r="P305" i="5"/>
  <c r="P68" i="5"/>
  <c r="N68" i="5" s="1"/>
  <c r="P248" i="5"/>
  <c r="P191" i="5"/>
  <c r="P681" i="5"/>
  <c r="P627" i="5"/>
  <c r="P538" i="5"/>
  <c r="P482" i="5"/>
  <c r="P426" i="5"/>
  <c r="P324" i="5"/>
  <c r="P196" i="5"/>
  <c r="Q52" i="5"/>
  <c r="P64" i="5"/>
  <c r="N64" i="5" s="1"/>
  <c r="P668" i="5"/>
  <c r="P584" i="5"/>
  <c r="P531" i="5"/>
  <c r="P475" i="5"/>
  <c r="P419" i="5"/>
  <c r="P317" i="5"/>
  <c r="P37" i="5"/>
  <c r="N37" i="5" s="1"/>
  <c r="P254" i="5"/>
  <c r="P287" i="5"/>
  <c r="P221" i="5"/>
  <c r="P93" i="5"/>
  <c r="N93" i="5" s="1"/>
  <c r="P701" i="5"/>
  <c r="P716" i="5"/>
  <c r="P613" i="5"/>
  <c r="P558" i="5"/>
  <c r="P504" i="5"/>
  <c r="P448" i="5"/>
  <c r="P375" i="5"/>
  <c r="P157" i="5"/>
  <c r="N157" i="5" s="1"/>
  <c r="P16" i="5"/>
  <c r="N16" i="5" s="1"/>
  <c r="P235" i="5"/>
  <c r="Q173" i="5"/>
  <c r="Q97" i="5"/>
  <c r="P33" i="5"/>
  <c r="P692" i="5"/>
  <c r="P608" i="5"/>
  <c r="P525" i="5"/>
  <c r="P469" i="5"/>
  <c r="P413" i="5"/>
  <c r="P362" i="5"/>
  <c r="P309" i="5"/>
  <c r="P86" i="5"/>
  <c r="N86" i="5" s="1"/>
  <c r="P252" i="5"/>
  <c r="Q165" i="5"/>
  <c r="Q27" i="5"/>
  <c r="P720" i="5"/>
  <c r="Q117" i="5"/>
  <c r="P649" i="5"/>
  <c r="P595" i="5"/>
  <c r="P542" i="5"/>
  <c r="P486" i="5"/>
  <c r="P430" i="5"/>
  <c r="P320" i="5"/>
  <c r="P269" i="5"/>
  <c r="N269" i="5" s="1"/>
  <c r="P228" i="5"/>
  <c r="P743" i="5"/>
  <c r="P642" i="5"/>
  <c r="P588" i="5"/>
  <c r="P535" i="5"/>
  <c r="P479" i="5"/>
  <c r="P423" i="5"/>
  <c r="P372" i="5"/>
  <c r="P20" i="5"/>
  <c r="P258" i="5"/>
  <c r="P201" i="5"/>
  <c r="P111" i="5"/>
  <c r="N111" i="5" s="1"/>
  <c r="P667" i="5"/>
  <c r="P605" i="5"/>
  <c r="P492" i="5"/>
  <c r="P436" i="5"/>
  <c r="P338" i="5"/>
  <c r="Q63" i="5"/>
  <c r="P272" i="5"/>
  <c r="N272" i="5" s="1"/>
  <c r="P231" i="5"/>
  <c r="P717" i="5"/>
  <c r="P713" i="5"/>
  <c r="P638" i="5"/>
  <c r="P606" i="5"/>
  <c r="P537" i="5"/>
  <c r="P481" i="5"/>
  <c r="P425" i="5"/>
  <c r="P323" i="5"/>
  <c r="P274" i="5"/>
  <c r="P211" i="5"/>
  <c r="P724" i="5"/>
  <c r="P645" i="5"/>
  <c r="P591" i="5"/>
  <c r="P502" i="5"/>
  <c r="P446" i="5"/>
  <c r="P399" i="5"/>
  <c r="P152" i="5"/>
  <c r="N152" i="5" s="1"/>
  <c r="P186" i="5"/>
  <c r="N186" i="5" s="1"/>
  <c r="P142" i="5"/>
  <c r="N142" i="5" s="1"/>
  <c r="P285" i="5"/>
  <c r="P220" i="5"/>
  <c r="P180" i="5"/>
  <c r="P89" i="5"/>
  <c r="N89" i="5" s="1"/>
  <c r="P662" i="5"/>
  <c r="P578" i="5"/>
  <c r="P495" i="5"/>
  <c r="P439" i="5"/>
  <c r="P392" i="5"/>
  <c r="P341" i="5"/>
  <c r="P242" i="5"/>
  <c r="P181" i="5"/>
  <c r="P691" i="5"/>
  <c r="P637" i="5"/>
  <c r="P524" i="5"/>
  <c r="P468" i="5"/>
  <c r="P412" i="5"/>
  <c r="P369" i="5"/>
  <c r="P198" i="5"/>
  <c r="P182" i="5"/>
  <c r="P133" i="5"/>
  <c r="N133" i="5" s="1"/>
  <c r="P734" i="5"/>
  <c r="P704" i="5"/>
  <c r="P656" i="5"/>
  <c r="P602" i="5"/>
  <c r="P549" i="5"/>
  <c r="P433" i="5"/>
  <c r="P376" i="5"/>
  <c r="P327" i="5"/>
  <c r="P279" i="5"/>
  <c r="P215" i="5"/>
  <c r="P27" i="5"/>
  <c r="N27" i="5" s="1"/>
  <c r="P188" i="5"/>
  <c r="N188" i="5" s="1"/>
  <c r="P669" i="5"/>
  <c r="P615" i="5"/>
  <c r="P560" i="5"/>
  <c r="P506" i="5"/>
  <c r="P450" i="5"/>
  <c r="P395" i="5"/>
  <c r="P344" i="5"/>
  <c r="P310" i="5"/>
  <c r="P90" i="5"/>
  <c r="N90" i="5" s="1"/>
  <c r="P222" i="5"/>
  <c r="P71" i="5"/>
  <c r="N71" i="5" s="1"/>
  <c r="P711" i="5"/>
  <c r="P666" i="5"/>
  <c r="P555" i="5"/>
  <c r="P499" i="5"/>
  <c r="P443" i="5"/>
  <c r="P387" i="5"/>
  <c r="P337" i="5"/>
  <c r="Q20" i="5"/>
  <c r="P292" i="5"/>
  <c r="P154" i="5"/>
  <c r="P744" i="5"/>
  <c r="P130" i="5"/>
  <c r="N130" i="5" s="1"/>
  <c r="P687" i="5"/>
  <c r="P625" i="5"/>
  <c r="P569" i="5"/>
  <c r="P516" i="5"/>
  <c r="P460" i="5"/>
  <c r="P357" i="5"/>
  <c r="P174" i="5"/>
  <c r="N174" i="5" s="1"/>
  <c r="P98" i="5"/>
  <c r="P194" i="5"/>
  <c r="P178" i="5"/>
  <c r="P80" i="5"/>
  <c r="N80" i="5" s="1"/>
  <c r="P688" i="5"/>
  <c r="P626" i="5"/>
  <c r="P501" i="5"/>
  <c r="P445" i="5"/>
  <c r="P398" i="5"/>
  <c r="P294" i="5"/>
  <c r="P103" i="5"/>
  <c r="N103" i="5" s="1"/>
  <c r="F103" i="5" s="1"/>
  <c r="Q274" i="5"/>
  <c r="P232" i="5"/>
  <c r="P170" i="5"/>
  <c r="P699" i="5"/>
  <c r="P714" i="5"/>
  <c r="P611" i="5"/>
  <c r="P48" i="5"/>
  <c r="N48" i="5" s="1"/>
  <c r="P522" i="5"/>
  <c r="P466" i="5"/>
  <c r="P410" i="5"/>
  <c r="P367" i="5"/>
  <c r="P241" i="5"/>
  <c r="P740" i="5"/>
  <c r="P99" i="5"/>
  <c r="N99" i="5" s="1"/>
  <c r="P682" i="5"/>
  <c r="P628" i="5"/>
  <c r="P572" i="5"/>
  <c r="P519" i="5"/>
  <c r="P403" i="5"/>
  <c r="P360" i="5"/>
  <c r="P307" i="5"/>
  <c r="P76" i="5"/>
  <c r="N76" i="5" s="1"/>
  <c r="P205" i="5"/>
  <c r="P128" i="5"/>
  <c r="N128" i="5" s="1"/>
  <c r="P733" i="5"/>
  <c r="P655" i="5"/>
  <c r="P601" i="5"/>
  <c r="P548" i="5"/>
  <c r="P432" i="5"/>
  <c r="P383" i="5"/>
  <c r="P334" i="5"/>
  <c r="P169" i="5"/>
  <c r="N169" i="5" s="1"/>
  <c r="Q42" i="5"/>
  <c r="N42" i="5" s="1"/>
  <c r="P255" i="5"/>
  <c r="P288" i="5"/>
  <c r="P192" i="5"/>
  <c r="Q182" i="5"/>
  <c r="P676" i="5"/>
  <c r="P622" i="5"/>
  <c r="P566" i="5"/>
  <c r="P513" i="5"/>
  <c r="P457" i="5"/>
  <c r="P347" i="5"/>
  <c r="P296" i="5"/>
  <c r="P121" i="5"/>
  <c r="N121" i="5" s="1"/>
  <c r="P236" i="5"/>
  <c r="P175" i="5"/>
  <c r="P67" i="5"/>
  <c r="N67" i="5" s="1"/>
  <c r="P693" i="5"/>
  <c r="P579" i="5"/>
  <c r="P526" i="5"/>
  <c r="P470" i="5"/>
  <c r="P414" i="5"/>
  <c r="P363" i="5"/>
  <c r="P280" i="5"/>
  <c r="P216" i="5"/>
  <c r="P176" i="5"/>
  <c r="P728" i="5"/>
  <c r="P686" i="5"/>
  <c r="P632" i="5"/>
  <c r="P576" i="5"/>
  <c r="P463" i="5"/>
  <c r="P407" i="5"/>
  <c r="P356" i="5"/>
  <c r="P304" i="5"/>
  <c r="P58" i="5"/>
  <c r="P246" i="5"/>
  <c r="P187" i="5"/>
  <c r="N187" i="5" s="1"/>
  <c r="P145" i="5"/>
  <c r="N145" i="5" s="1"/>
  <c r="Q98" i="5"/>
  <c r="Q23" i="5"/>
  <c r="P38" i="5"/>
  <c r="N38" i="5" s="1"/>
  <c r="Q280" i="5"/>
  <c r="Q176" i="5"/>
  <c r="Q58" i="5"/>
  <c r="H14" i="12"/>
  <c r="I14" i="12"/>
  <c r="G14" i="12"/>
  <c r="M14" i="12"/>
  <c r="N14" i="12"/>
  <c r="K14" i="12"/>
  <c r="L15" i="12" s="1"/>
  <c r="J14" i="12"/>
  <c r="J53" i="5"/>
  <c r="K264" i="5"/>
  <c r="J181" i="5"/>
  <c r="J111" i="5"/>
  <c r="J71" i="5"/>
  <c r="K116" i="5"/>
  <c r="J59" i="5"/>
  <c r="K76" i="5"/>
  <c r="K53" i="5"/>
  <c r="K290" i="5"/>
  <c r="K180" i="5"/>
  <c r="K182" i="5"/>
  <c r="K146" i="5"/>
  <c r="K186" i="5"/>
  <c r="K172" i="5"/>
  <c r="J32" i="5"/>
  <c r="J76" i="5"/>
  <c r="K169" i="5"/>
  <c r="J168" i="5"/>
  <c r="J112" i="5"/>
  <c r="K160" i="5"/>
  <c r="J190" i="5"/>
  <c r="K138" i="5"/>
  <c r="J138" i="5"/>
  <c r="K176" i="5"/>
  <c r="J81" i="5"/>
  <c r="K128" i="5"/>
  <c r="K163" i="5"/>
  <c r="J99" i="5"/>
  <c r="J85" i="5"/>
  <c r="J163" i="5"/>
  <c r="K11" i="9"/>
  <c r="L12" i="9" s="1"/>
  <c r="K266" i="5"/>
  <c r="K107" i="5"/>
  <c r="J58" i="5"/>
  <c r="J48" i="5"/>
  <c r="K57" i="5"/>
  <c r="K142" i="5"/>
  <c r="K177" i="5"/>
  <c r="J64" i="5"/>
  <c r="K115" i="5"/>
  <c r="J115" i="5"/>
  <c r="J260" i="5"/>
  <c r="K260" i="5"/>
  <c r="K80" i="5"/>
  <c r="K154" i="5"/>
  <c r="K231" i="5"/>
  <c r="J186" i="5"/>
  <c r="J238" i="5"/>
  <c r="K37" i="5"/>
  <c r="J262" i="5"/>
  <c r="K262" i="5"/>
  <c r="K156" i="5"/>
  <c r="J28" i="5"/>
  <c r="J152" i="5"/>
  <c r="J72" i="5"/>
  <c r="J75" i="5"/>
  <c r="J63" i="5"/>
  <c r="J108" i="5"/>
  <c r="K111" i="5"/>
  <c r="J188" i="5"/>
  <c r="J272" i="5"/>
  <c r="I11" i="9"/>
  <c r="J11" i="9"/>
  <c r="K188" i="5"/>
  <c r="K77" i="5"/>
  <c r="K168" i="5"/>
  <c r="K54" i="5"/>
  <c r="J57" i="5"/>
  <c r="K82" i="5"/>
  <c r="K151" i="5"/>
  <c r="K59" i="5"/>
  <c r="K15" i="5"/>
  <c r="J154" i="5"/>
  <c r="K32" i="5"/>
  <c r="J170" i="5"/>
  <c r="J171" i="5"/>
  <c r="J161" i="5"/>
  <c r="J150" i="5"/>
  <c r="K274" i="5"/>
  <c r="J259" i="5"/>
  <c r="K112" i="5"/>
  <c r="K171" i="5"/>
  <c r="J124" i="5"/>
  <c r="J116" i="5"/>
  <c r="K161" i="5"/>
  <c r="J264" i="5"/>
  <c r="K150" i="5"/>
  <c r="J137" i="5"/>
  <c r="J292" i="5"/>
  <c r="K28" i="5"/>
  <c r="K124" i="5"/>
  <c r="J93" i="5"/>
  <c r="J146" i="5"/>
  <c r="J160" i="5"/>
  <c r="K67" i="5"/>
  <c r="J86" i="5"/>
  <c r="K64" i="5"/>
  <c r="K159" i="5"/>
  <c r="K48" i="5"/>
  <c r="J117" i="5"/>
  <c r="J107" i="5"/>
  <c r="J46" i="5"/>
  <c r="K46" i="5"/>
  <c r="J134" i="5"/>
  <c r="J231" i="5"/>
  <c r="K24" i="5"/>
  <c r="K134" i="5"/>
  <c r="K152" i="5"/>
  <c r="K158" i="5"/>
  <c r="J174" i="5"/>
  <c r="K190" i="5"/>
  <c r="J142" i="5"/>
  <c r="J37" i="5"/>
  <c r="K191" i="5"/>
  <c r="K120" i="5"/>
  <c r="J191" i="5"/>
  <c r="J120" i="5"/>
  <c r="J230" i="5"/>
  <c r="K230" i="5"/>
  <c r="K52" i="5"/>
  <c r="J16" i="5"/>
  <c r="K86" i="5"/>
  <c r="J184" i="5"/>
  <c r="K102" i="5"/>
  <c r="K272" i="5"/>
  <c r="J178" i="5"/>
  <c r="J43" i="5"/>
  <c r="K90" i="5"/>
  <c r="K16" i="5"/>
  <c r="K133" i="5"/>
  <c r="K103" i="5"/>
  <c r="K130" i="5"/>
  <c r="J47" i="5"/>
  <c r="J62" i="5"/>
  <c r="J68" i="5"/>
  <c r="K178" i="5"/>
  <c r="K43" i="5"/>
  <c r="J90" i="5"/>
  <c r="J269" i="5"/>
  <c r="J167" i="5"/>
  <c r="K47" i="5"/>
  <c r="K62" i="5"/>
  <c r="K68" i="5"/>
  <c r="K167" i="5"/>
  <c r="K165" i="5"/>
  <c r="J94" i="5"/>
  <c r="K89" i="5"/>
  <c r="J157" i="5"/>
  <c r="K42" i="5"/>
  <c r="J97" i="5"/>
  <c r="J266" i="5"/>
  <c r="K94" i="5"/>
  <c r="K166" i="5"/>
  <c r="J145" i="5"/>
  <c r="J106" i="5"/>
  <c r="J271" i="5"/>
  <c r="K145" i="5"/>
  <c r="K93" i="5"/>
  <c r="J15" i="5"/>
  <c r="K99" i="5"/>
  <c r="J159" i="5"/>
  <c r="K106" i="5"/>
  <c r="K271" i="5"/>
  <c r="J183" i="5"/>
  <c r="K183" i="5"/>
  <c r="J98" i="5"/>
  <c r="K72" i="5"/>
  <c r="J179" i="5"/>
  <c r="K85" i="5"/>
  <c r="K49" i="5"/>
  <c r="J180" i="5"/>
  <c r="K41" i="5"/>
  <c r="J54" i="5"/>
  <c r="J169" i="5"/>
  <c r="J42" i="5"/>
  <c r="K81" i="5"/>
  <c r="J172" i="5"/>
  <c r="K181" i="5"/>
  <c r="K19" i="5"/>
  <c r="J133" i="5"/>
  <c r="J103" i="5"/>
  <c r="J130" i="5"/>
  <c r="J121" i="5"/>
  <c r="J125" i="5"/>
  <c r="J175" i="5"/>
  <c r="K20" i="5"/>
  <c r="K280" i="5"/>
  <c r="J185" i="5"/>
  <c r="J31" i="5"/>
  <c r="K71" i="5"/>
  <c r="K238" i="5"/>
  <c r="J187" i="5"/>
  <c r="J36" i="5"/>
  <c r="K75" i="5"/>
  <c r="K121" i="5"/>
  <c r="K125" i="5"/>
  <c r="K175" i="5"/>
  <c r="K27" i="5"/>
  <c r="K185" i="5"/>
  <c r="K31" i="5"/>
  <c r="K187" i="5"/>
  <c r="K36" i="5"/>
  <c r="K108" i="5"/>
  <c r="K174" i="5"/>
  <c r="K292" i="5"/>
  <c r="J158" i="5"/>
  <c r="K179" i="5"/>
  <c r="K259" i="5"/>
  <c r="J173" i="5"/>
  <c r="J33" i="5"/>
  <c r="J38" i="5"/>
  <c r="J128" i="5"/>
  <c r="J23" i="5"/>
  <c r="J67" i="5"/>
  <c r="J290" i="5"/>
  <c r="J156" i="5"/>
  <c r="J141" i="5"/>
  <c r="J177" i="5"/>
  <c r="J24" i="5"/>
  <c r="J80" i="5"/>
  <c r="J89" i="5"/>
  <c r="K157" i="5"/>
  <c r="J82" i="5"/>
  <c r="J166" i="5"/>
  <c r="J41" i="5"/>
  <c r="N58" i="5" l="1"/>
  <c r="F58" i="5" s="1"/>
  <c r="N182" i="5"/>
  <c r="N173" i="5"/>
  <c r="F173" i="5" s="1"/>
  <c r="N77" i="5"/>
  <c r="N20" i="5"/>
  <c r="N97" i="5"/>
  <c r="N23" i="5"/>
  <c r="N98" i="5"/>
  <c r="N63" i="5"/>
  <c r="N137" i="5"/>
  <c r="N162" i="5"/>
  <c r="N49" i="5"/>
  <c r="N117" i="5"/>
  <c r="N141" i="5"/>
  <c r="N102" i="5"/>
  <c r="F102" i="5" s="1"/>
  <c r="N19" i="5"/>
  <c r="N33" i="5"/>
  <c r="N52" i="5"/>
  <c r="N151" i="5"/>
  <c r="M15" i="12"/>
  <c r="G15" i="12"/>
  <c r="H15" i="12"/>
  <c r="J15" i="12"/>
  <c r="I15" i="12"/>
  <c r="K15" i="12"/>
  <c r="L16" i="12" s="1"/>
  <c r="N15" i="12"/>
  <c r="F272" i="5"/>
  <c r="F273" i="5"/>
  <c r="F269" i="5"/>
  <c r="F270" i="5"/>
  <c r="F264" i="5"/>
  <c r="F265" i="5"/>
  <c r="F262" i="5"/>
  <c r="F263" i="5"/>
  <c r="F74" i="5"/>
  <c r="F189" i="5"/>
  <c r="F188" i="5"/>
  <c r="F185" i="5"/>
  <c r="F186" i="5"/>
  <c r="F187" i="5"/>
  <c r="F168" i="5"/>
  <c r="F169" i="5"/>
  <c r="F160" i="5"/>
  <c r="F159" i="5"/>
  <c r="F125" i="5"/>
  <c r="F112" i="5"/>
  <c r="F126" i="5"/>
  <c r="F127" i="5"/>
  <c r="F124" i="5"/>
  <c r="F114" i="5"/>
  <c r="F113" i="5"/>
  <c r="F111" i="5"/>
  <c r="F82" i="5"/>
  <c r="F84" i="5"/>
  <c r="F83" i="5"/>
  <c r="F81" i="5"/>
  <c r="F80" i="5"/>
  <c r="F71" i="5"/>
  <c r="F73" i="5"/>
  <c r="F72" i="5"/>
  <c r="F18" i="5"/>
  <c r="N11" i="9" s="1"/>
  <c r="F45" i="5"/>
  <c r="F44" i="5"/>
  <c r="F43" i="5"/>
  <c r="F42" i="5"/>
  <c r="F41" i="5"/>
  <c r="F15" i="5"/>
  <c r="F17" i="5"/>
  <c r="M11" i="9" s="1"/>
  <c r="F16" i="5"/>
  <c r="H11" i="9" s="1"/>
  <c r="F92" i="5"/>
  <c r="F129" i="5"/>
  <c r="F116" i="5"/>
  <c r="F142" i="5"/>
  <c r="F56" i="5"/>
  <c r="F70" i="5"/>
  <c r="F78" i="5"/>
  <c r="F39" i="5"/>
  <c r="F87" i="5"/>
  <c r="H851" i="5"/>
  <c r="H849" i="5"/>
  <c r="H848" i="5"/>
  <c r="H846" i="5"/>
  <c r="H844" i="5"/>
  <c r="H842" i="5"/>
  <c r="H838" i="5"/>
  <c r="H289" i="5"/>
  <c r="H283" i="5"/>
  <c r="H276" i="5"/>
  <c r="H267" i="5"/>
  <c r="F848" i="5" l="1"/>
  <c r="F276" i="5"/>
  <c r="F849" i="5"/>
  <c r="F851" i="5"/>
  <c r="F838" i="5"/>
  <c r="F846" i="5"/>
  <c r="F283" i="5"/>
  <c r="F289" i="5"/>
  <c r="F842" i="5"/>
  <c r="F844" i="5"/>
  <c r="J16" i="12"/>
  <c r="K16" i="12"/>
  <c r="L17" i="12" s="1"/>
  <c r="H16" i="12"/>
  <c r="I16" i="12"/>
  <c r="G16" i="12"/>
  <c r="M16" i="12"/>
  <c r="N16" i="12"/>
  <c r="F182" i="5"/>
  <c r="F183" i="5"/>
  <c r="F174" i="5"/>
  <c r="F162" i="5"/>
  <c r="F164" i="5"/>
  <c r="F163" i="5"/>
  <c r="F156" i="5"/>
  <c r="F157" i="5"/>
  <c r="F151" i="5"/>
  <c r="F153" i="5"/>
  <c r="F152" i="5"/>
  <c r="F145" i="5"/>
  <c r="F147" i="5"/>
  <c r="F148" i="5"/>
  <c r="F146" i="5"/>
  <c r="F141" i="5"/>
  <c r="F143" i="5"/>
  <c r="F144" i="5"/>
  <c r="F137" i="5"/>
  <c r="F140" i="5"/>
  <c r="F139" i="5"/>
  <c r="F138" i="5"/>
  <c r="F133" i="5"/>
  <c r="F134" i="5"/>
  <c r="F135" i="5"/>
  <c r="F136" i="5"/>
  <c r="F132" i="5"/>
  <c r="F131" i="5"/>
  <c r="F130" i="5"/>
  <c r="F128" i="5"/>
  <c r="F120" i="5"/>
  <c r="F122" i="5"/>
  <c r="F123" i="5"/>
  <c r="F121" i="5"/>
  <c r="F115" i="5"/>
  <c r="F117" i="5"/>
  <c r="F119" i="5"/>
  <c r="F118" i="5"/>
  <c r="F106" i="5"/>
  <c r="F110" i="5"/>
  <c r="F109" i="5"/>
  <c r="F107" i="5"/>
  <c r="F108" i="5"/>
  <c r="F98" i="5"/>
  <c r="F97" i="5"/>
  <c r="F101" i="5"/>
  <c r="F100" i="5"/>
  <c r="F94" i="5"/>
  <c r="F99" i="5"/>
  <c r="F96" i="5"/>
  <c r="F95" i="5"/>
  <c r="F93" i="5"/>
  <c r="F89" i="5"/>
  <c r="F91" i="5"/>
  <c r="F90" i="5"/>
  <c r="F88" i="5"/>
  <c r="F85" i="5"/>
  <c r="F86" i="5"/>
  <c r="F79" i="5"/>
  <c r="F75" i="5"/>
  <c r="F77" i="5"/>
  <c r="F76" i="5"/>
  <c r="F67" i="5"/>
  <c r="F69" i="5"/>
  <c r="F66" i="5"/>
  <c r="F68" i="5"/>
  <c r="F50" i="5"/>
  <c r="F64" i="5"/>
  <c r="F65" i="5"/>
  <c r="F63" i="5"/>
  <c r="F62" i="5"/>
  <c r="F60" i="5"/>
  <c r="F61" i="5"/>
  <c r="F59" i="5"/>
  <c r="F57" i="5"/>
  <c r="F52" i="5"/>
  <c r="F55" i="5"/>
  <c r="F54" i="5"/>
  <c r="F53" i="5"/>
  <c r="F51" i="5"/>
  <c r="F46" i="5"/>
  <c r="F49" i="5"/>
  <c r="F48" i="5"/>
  <c r="F47" i="5"/>
  <c r="F40" i="5"/>
  <c r="F36" i="5"/>
  <c r="F38" i="5"/>
  <c r="F37" i="5"/>
  <c r="F32" i="5"/>
  <c r="F34" i="5"/>
  <c r="F33" i="5"/>
  <c r="F35" i="5"/>
  <c r="F28" i="5"/>
  <c r="F31" i="5"/>
  <c r="F27" i="5"/>
  <c r="F30" i="5"/>
  <c r="F29" i="5"/>
  <c r="F25" i="5"/>
  <c r="F26" i="5"/>
  <c r="F23" i="5"/>
  <c r="F24" i="5"/>
  <c r="F22" i="5"/>
  <c r="F19" i="5"/>
  <c r="F21" i="5"/>
  <c r="F20" i="5"/>
  <c r="G11" i="9"/>
  <c r="I12" i="9" s="1"/>
  <c r="R838" i="5"/>
  <c r="K838" i="5" s="1"/>
  <c r="R846" i="5"/>
  <c r="Q846" i="5" s="1"/>
  <c r="R849" i="5"/>
  <c r="P849" i="5" s="1"/>
  <c r="R848" i="5"/>
  <c r="J848" i="5" s="1"/>
  <c r="R267" i="5"/>
  <c r="K267" i="5" s="1"/>
  <c r="R276" i="5"/>
  <c r="Q276" i="5" s="1"/>
  <c r="R851" i="5"/>
  <c r="Q851" i="5" s="1"/>
  <c r="R289" i="5"/>
  <c r="Q289" i="5" s="1"/>
  <c r="R283" i="5"/>
  <c r="Q283" i="5" s="1"/>
  <c r="R842" i="5"/>
  <c r="Q842" i="5" s="1"/>
  <c r="R844" i="5"/>
  <c r="K844" i="5" s="1"/>
  <c r="P844" i="5" l="1"/>
  <c r="Q849" i="5"/>
  <c r="Q844" i="5"/>
  <c r="P283" i="5"/>
  <c r="P838" i="5"/>
  <c r="Q838" i="5"/>
  <c r="P276" i="5"/>
  <c r="P842" i="5"/>
  <c r="P267" i="5"/>
  <c r="P851" i="5"/>
  <c r="Q267" i="5"/>
  <c r="P848" i="5"/>
  <c r="P289" i="5"/>
  <c r="P846" i="5"/>
  <c r="Q848" i="5"/>
  <c r="N17" i="12"/>
  <c r="M17" i="12"/>
  <c r="J17" i="12"/>
  <c r="G17" i="12"/>
  <c r="H17" i="12"/>
  <c r="I17" i="12"/>
  <c r="K17" i="12"/>
  <c r="L18" i="12" s="1"/>
  <c r="J12" i="9"/>
  <c r="K12" i="9"/>
  <c r="L13" i="9" s="1"/>
  <c r="M12" i="9"/>
  <c r="G12" i="9"/>
  <c r="H12" i="9"/>
  <c r="N12" i="9"/>
  <c r="O11" i="9"/>
  <c r="K849" i="5"/>
  <c r="K842" i="5"/>
  <c r="J283" i="5"/>
  <c r="K283" i="5"/>
  <c r="K276" i="5"/>
  <c r="J846" i="5"/>
  <c r="K846" i="5"/>
  <c r="J842" i="5"/>
  <c r="J849" i="5"/>
  <c r="J289" i="5"/>
  <c r="K289" i="5"/>
  <c r="J276" i="5"/>
  <c r="K848" i="5"/>
  <c r="K851" i="5"/>
  <c r="J851" i="5"/>
  <c r="J838" i="5"/>
  <c r="J267" i="5"/>
  <c r="J844" i="5"/>
  <c r="O11" i="12"/>
  <c r="N267" i="5" l="1"/>
  <c r="J18" i="12"/>
  <c r="M18" i="12"/>
  <c r="H18" i="12"/>
  <c r="K18" i="12"/>
  <c r="L19" i="12" s="1"/>
  <c r="I18" i="12"/>
  <c r="G18" i="12"/>
  <c r="N18" i="12"/>
  <c r="I13" i="9"/>
  <c r="O12" i="9"/>
  <c r="K13" i="9"/>
  <c r="L14" i="9" s="1"/>
  <c r="H13" i="9"/>
  <c r="J13" i="9"/>
  <c r="M13" i="9"/>
  <c r="G13" i="9"/>
  <c r="N13" i="9"/>
  <c r="O10" i="9"/>
  <c r="D8" i="20"/>
  <c r="J19" i="12" l="1"/>
  <c r="H19" i="12"/>
  <c r="K19" i="12"/>
  <c r="L20" i="12" s="1"/>
  <c r="G19" i="12"/>
  <c r="N19" i="12"/>
  <c r="M19" i="12"/>
  <c r="I19" i="12"/>
  <c r="F267" i="5"/>
  <c r="F268" i="5"/>
  <c r="F266" i="5"/>
  <c r="J14" i="9"/>
  <c r="K14" i="9"/>
  <c r="L15" i="9" s="1"/>
  <c r="I14" i="9"/>
  <c r="H14" i="9"/>
  <c r="N14" i="9"/>
  <c r="O13" i="9"/>
  <c r="G14" i="9"/>
  <c r="M14" i="9"/>
  <c r="N10" i="20"/>
  <c r="H20" i="12" l="1"/>
  <c r="G20" i="12"/>
  <c r="M20" i="12"/>
  <c r="N20" i="12"/>
  <c r="J20" i="12"/>
  <c r="I20" i="12"/>
  <c r="K20" i="12"/>
  <c r="L21" i="12" s="1"/>
  <c r="O14" i="9"/>
  <c r="I15" i="9"/>
  <c r="G15" i="9"/>
  <c r="N15" i="9"/>
  <c r="M15" i="9"/>
  <c r="K15" i="9"/>
  <c r="L16" i="9" s="1"/>
  <c r="J15" i="9"/>
  <c r="R9" i="5"/>
  <c r="R8" i="5"/>
  <c r="J21" i="12" l="1"/>
  <c r="H21" i="12"/>
  <c r="N21" i="12"/>
  <c r="I21" i="12"/>
  <c r="K21" i="12"/>
  <c r="L22" i="12" s="1"/>
  <c r="G21" i="12"/>
  <c r="M21" i="12"/>
  <c r="G13" i="1"/>
  <c r="G22" i="12" l="1"/>
  <c r="I22" i="12"/>
  <c r="N22" i="12"/>
  <c r="K22" i="12"/>
  <c r="L23" i="12" s="1"/>
  <c r="M22" i="12"/>
  <c r="H22" i="12"/>
  <c r="J22" i="12"/>
  <c r="E10" i="26"/>
  <c r="F10" i="26"/>
  <c r="G10" i="26"/>
  <c r="I10" i="26"/>
  <c r="J23" i="12" l="1"/>
  <c r="G23" i="12"/>
  <c r="M23" i="12"/>
  <c r="H23" i="12"/>
  <c r="K23" i="12"/>
  <c r="L24" i="12" s="1"/>
  <c r="N23" i="12"/>
  <c r="I23" i="12"/>
  <c r="G35" i="25"/>
  <c r="F35" i="25"/>
  <c r="E35" i="25"/>
  <c r="D35" i="25"/>
  <c r="N24" i="12" l="1"/>
  <c r="M24" i="12"/>
  <c r="C40" i="25" a="1"/>
  <c r="K41" i="25" l="1"/>
  <c r="K49" i="25"/>
  <c r="K57" i="25"/>
  <c r="K65" i="25"/>
  <c r="K73" i="25"/>
  <c r="K81" i="25"/>
  <c r="K89" i="25"/>
  <c r="K97" i="25"/>
  <c r="K105" i="25"/>
  <c r="K113" i="25"/>
  <c r="K121" i="25"/>
  <c r="K129" i="25"/>
  <c r="K137" i="25"/>
  <c r="K145" i="25"/>
  <c r="K153" i="25"/>
  <c r="K161" i="25"/>
  <c r="K169" i="25"/>
  <c r="K177" i="25"/>
  <c r="K185" i="25"/>
  <c r="K193" i="25"/>
  <c r="K201" i="25"/>
  <c r="K209" i="25"/>
  <c r="K217" i="25"/>
  <c r="K225" i="25"/>
  <c r="K233" i="25"/>
  <c r="K241" i="25"/>
  <c r="K249" i="25"/>
  <c r="K257" i="25"/>
  <c r="K265" i="25"/>
  <c r="K273" i="25"/>
  <c r="K281" i="25"/>
  <c r="K289" i="25"/>
  <c r="K297" i="25"/>
  <c r="K305" i="25"/>
  <c r="K313" i="25"/>
  <c r="K321" i="25"/>
  <c r="K329" i="25"/>
  <c r="K337" i="25"/>
  <c r="K345" i="25"/>
  <c r="K353" i="25"/>
  <c r="K361" i="25"/>
  <c r="K369" i="25"/>
  <c r="K377" i="25"/>
  <c r="K385" i="25"/>
  <c r="K393" i="25"/>
  <c r="K401" i="25"/>
  <c r="K409" i="25"/>
  <c r="K417" i="25"/>
  <c r="K425" i="25"/>
  <c r="K42" i="25"/>
  <c r="K50" i="25"/>
  <c r="K58" i="25"/>
  <c r="K66" i="25"/>
  <c r="K74" i="25"/>
  <c r="K82" i="25"/>
  <c r="K90" i="25"/>
  <c r="K98" i="25"/>
  <c r="K106" i="25"/>
  <c r="K114" i="25"/>
  <c r="K122" i="25"/>
  <c r="K130" i="25"/>
  <c r="K138" i="25"/>
  <c r="K146" i="25"/>
  <c r="K154" i="25"/>
  <c r="K162" i="25"/>
  <c r="K170" i="25"/>
  <c r="K178" i="25"/>
  <c r="K186" i="25"/>
  <c r="K194" i="25"/>
  <c r="K202" i="25"/>
  <c r="K210" i="25"/>
  <c r="K218" i="25"/>
  <c r="K226" i="25"/>
  <c r="K234" i="25"/>
  <c r="K242" i="25"/>
  <c r="K250" i="25"/>
  <c r="K258" i="25"/>
  <c r="K266" i="25"/>
  <c r="K274" i="25"/>
  <c r="K282" i="25"/>
  <c r="K290" i="25"/>
  <c r="K298" i="25"/>
  <c r="K306" i="25"/>
  <c r="K314" i="25"/>
  <c r="K322" i="25"/>
  <c r="K330" i="25"/>
  <c r="K338" i="25"/>
  <c r="K346" i="25"/>
  <c r="K354" i="25"/>
  <c r="K362" i="25"/>
  <c r="K370" i="25"/>
  <c r="K378" i="25"/>
  <c r="K386" i="25"/>
  <c r="K394" i="25"/>
  <c r="K402" i="25"/>
  <c r="K410" i="25"/>
  <c r="K418" i="25"/>
  <c r="K426" i="25"/>
  <c r="K434" i="25"/>
  <c r="K442" i="25"/>
  <c r="K450" i="25"/>
  <c r="K458" i="25"/>
  <c r="K466" i="25"/>
  <c r="K474" i="25"/>
  <c r="K482" i="25"/>
  <c r="K490" i="25"/>
  <c r="K498" i="25"/>
  <c r="K506" i="25"/>
  <c r="K514" i="25"/>
  <c r="K522" i="25"/>
  <c r="K530" i="25"/>
  <c r="K538" i="25"/>
  <c r="K546" i="25"/>
  <c r="K554" i="25"/>
  <c r="K562" i="25"/>
  <c r="K570" i="25"/>
  <c r="K578" i="25"/>
  <c r="K586" i="25"/>
  <c r="K594" i="25"/>
  <c r="K602" i="25"/>
  <c r="K610" i="25"/>
  <c r="K618" i="25"/>
  <c r="K626" i="25"/>
  <c r="K634" i="25"/>
  <c r="K642" i="25"/>
  <c r="K650" i="25"/>
  <c r="K658" i="25"/>
  <c r="K666" i="25"/>
  <c r="K674" i="25"/>
  <c r="K682" i="25"/>
  <c r="K690" i="25"/>
  <c r="K698" i="25"/>
  <c r="K706" i="25"/>
  <c r="K714" i="25"/>
  <c r="K43" i="25"/>
  <c r="K51" i="25"/>
  <c r="K59" i="25"/>
  <c r="K67" i="25"/>
  <c r="K75" i="25"/>
  <c r="K83" i="25"/>
  <c r="K91" i="25"/>
  <c r="K99" i="25"/>
  <c r="K107" i="25"/>
  <c r="K115" i="25"/>
  <c r="K123" i="25"/>
  <c r="K131" i="25"/>
  <c r="K139" i="25"/>
  <c r="K147" i="25"/>
  <c r="K155" i="25"/>
  <c r="K163" i="25"/>
  <c r="K171" i="25"/>
  <c r="K179" i="25"/>
  <c r="K187" i="25"/>
  <c r="K195" i="25"/>
  <c r="K203" i="25"/>
  <c r="K211" i="25"/>
  <c r="K219" i="25"/>
  <c r="K227" i="25"/>
  <c r="K235" i="25"/>
  <c r="K243" i="25"/>
  <c r="K251" i="25"/>
  <c r="K259" i="25"/>
  <c r="K267" i="25"/>
  <c r="K275" i="25"/>
  <c r="K283" i="25"/>
  <c r="K291" i="25"/>
  <c r="K299" i="25"/>
  <c r="K307" i="25"/>
  <c r="K315" i="25"/>
  <c r="K323" i="25"/>
  <c r="K331" i="25"/>
  <c r="K339" i="25"/>
  <c r="K347" i="25"/>
  <c r="K355" i="25"/>
  <c r="K363" i="25"/>
  <c r="K371" i="25"/>
  <c r="K379" i="25"/>
  <c r="K387" i="25"/>
  <c r="K395" i="25"/>
  <c r="K403" i="25"/>
  <c r="K411" i="25"/>
  <c r="K419" i="25"/>
  <c r="K427" i="25"/>
  <c r="K435" i="25"/>
  <c r="K44" i="25"/>
  <c r="K52" i="25"/>
  <c r="K60" i="25"/>
  <c r="K68" i="25"/>
  <c r="K76" i="25"/>
  <c r="K84" i="25"/>
  <c r="K92" i="25"/>
  <c r="K100" i="25"/>
  <c r="K108" i="25"/>
  <c r="K116" i="25"/>
  <c r="K124" i="25"/>
  <c r="K132" i="25"/>
  <c r="K140" i="25"/>
  <c r="K148" i="25"/>
  <c r="K156" i="25"/>
  <c r="K164" i="25"/>
  <c r="K172" i="25"/>
  <c r="K180" i="25"/>
  <c r="K188" i="25"/>
  <c r="K196" i="25"/>
  <c r="K204" i="25"/>
  <c r="K212" i="25"/>
  <c r="K220" i="25"/>
  <c r="K228" i="25"/>
  <c r="K236" i="25"/>
  <c r="K244" i="25"/>
  <c r="K252" i="25"/>
  <c r="K260" i="25"/>
  <c r="K268" i="25"/>
  <c r="K276" i="25"/>
  <c r="K284" i="25"/>
  <c r="K292" i="25"/>
  <c r="K300" i="25"/>
  <c r="K308" i="25"/>
  <c r="K316" i="25"/>
  <c r="K324" i="25"/>
  <c r="K332" i="25"/>
  <c r="K340" i="25"/>
  <c r="K348" i="25"/>
  <c r="K356" i="25"/>
  <c r="K364" i="25"/>
  <c r="K372" i="25"/>
  <c r="K380" i="25"/>
  <c r="K388" i="25"/>
  <c r="K396" i="25"/>
  <c r="K404" i="25"/>
  <c r="K412" i="25"/>
  <c r="K420" i="25"/>
  <c r="K428" i="25"/>
  <c r="K436" i="25"/>
  <c r="K444" i="25"/>
  <c r="K452" i="25"/>
  <c r="K460" i="25"/>
  <c r="K468" i="25"/>
  <c r="K476" i="25"/>
  <c r="K484" i="25"/>
  <c r="K492" i="25"/>
  <c r="K500" i="25"/>
  <c r="K508" i="25"/>
  <c r="K516" i="25"/>
  <c r="K524" i="25"/>
  <c r="K532" i="25"/>
  <c r="K540" i="25"/>
  <c r="K548" i="25"/>
  <c r="K556" i="25"/>
  <c r="K564" i="25"/>
  <c r="K572" i="25"/>
  <c r="K580" i="25"/>
  <c r="K588" i="25"/>
  <c r="K596" i="25"/>
  <c r="K604" i="25"/>
  <c r="K612" i="25"/>
  <c r="K620" i="25"/>
  <c r="K628" i="25"/>
  <c r="K636" i="25"/>
  <c r="K644" i="25"/>
  <c r="K652" i="25"/>
  <c r="K660" i="25"/>
  <c r="K668" i="25"/>
  <c r="K676" i="25"/>
  <c r="K684" i="25"/>
  <c r="K692" i="25"/>
  <c r="K700" i="25"/>
  <c r="K708" i="25"/>
  <c r="K45" i="25"/>
  <c r="K53" i="25"/>
  <c r="K61" i="25"/>
  <c r="K69" i="25"/>
  <c r="K77" i="25"/>
  <c r="K85" i="25"/>
  <c r="K93" i="25"/>
  <c r="K101" i="25"/>
  <c r="K109" i="25"/>
  <c r="K117" i="25"/>
  <c r="K125" i="25"/>
  <c r="K133" i="25"/>
  <c r="K141" i="25"/>
  <c r="K149" i="25"/>
  <c r="K157" i="25"/>
  <c r="K165" i="25"/>
  <c r="K173" i="25"/>
  <c r="K181" i="25"/>
  <c r="K189" i="25"/>
  <c r="K197" i="25"/>
  <c r="K205" i="25"/>
  <c r="K213" i="25"/>
  <c r="K221" i="25"/>
  <c r="K229" i="25"/>
  <c r="K237" i="25"/>
  <c r="K245" i="25"/>
  <c r="K253" i="25"/>
  <c r="K261" i="25"/>
  <c r="K269" i="25"/>
  <c r="K277" i="25"/>
  <c r="K285" i="25"/>
  <c r="K293" i="25"/>
  <c r="K301" i="25"/>
  <c r="K309" i="25"/>
  <c r="K317" i="25"/>
  <c r="K325" i="25"/>
  <c r="K333" i="25"/>
  <c r="K341" i="25"/>
  <c r="K349" i="25"/>
  <c r="K357" i="25"/>
  <c r="K365" i="25"/>
  <c r="K373" i="25"/>
  <c r="K381" i="25"/>
  <c r="K389" i="25"/>
  <c r="K397" i="25"/>
  <c r="K405" i="25"/>
  <c r="K413" i="25"/>
  <c r="K421" i="25"/>
  <c r="K429" i="25"/>
  <c r="K437" i="25"/>
  <c r="K445" i="25"/>
  <c r="K453" i="25"/>
  <c r="K461" i="25"/>
  <c r="K469" i="25"/>
  <c r="K477" i="25"/>
  <c r="K485" i="25"/>
  <c r="K493" i="25"/>
  <c r="K501" i="25"/>
  <c r="K509" i="25"/>
  <c r="K517" i="25"/>
  <c r="K525" i="25"/>
  <c r="K533" i="25"/>
  <c r="K541" i="25"/>
  <c r="K549" i="25"/>
  <c r="K557" i="25"/>
  <c r="K565" i="25"/>
  <c r="K573" i="25"/>
  <c r="K581" i="25"/>
  <c r="K589" i="25"/>
  <c r="K597" i="25"/>
  <c r="K605" i="25"/>
  <c r="K613" i="25"/>
  <c r="K621" i="25"/>
  <c r="K629" i="25"/>
  <c r="K637" i="25"/>
  <c r="K645" i="25"/>
  <c r="K653" i="25"/>
  <c r="K661" i="25"/>
  <c r="K669" i="25"/>
  <c r="K677" i="25"/>
  <c r="K685" i="25"/>
  <c r="K46" i="25"/>
  <c r="K54" i="25"/>
  <c r="K62" i="25"/>
  <c r="K70" i="25"/>
  <c r="K78" i="25"/>
  <c r="K86" i="25"/>
  <c r="K94" i="25"/>
  <c r="K102" i="25"/>
  <c r="K110" i="25"/>
  <c r="K118" i="25"/>
  <c r="K126" i="25"/>
  <c r="K134" i="25"/>
  <c r="K142" i="25"/>
  <c r="K150" i="25"/>
  <c r="K158" i="25"/>
  <c r="K166" i="25"/>
  <c r="K174" i="25"/>
  <c r="K182" i="25"/>
  <c r="K190" i="25"/>
  <c r="K198" i="25"/>
  <c r="K206" i="25"/>
  <c r="K214" i="25"/>
  <c r="K222" i="25"/>
  <c r="K230" i="25"/>
  <c r="K238" i="25"/>
  <c r="K246" i="25"/>
  <c r="K254" i="25"/>
  <c r="K262" i="25"/>
  <c r="K270" i="25"/>
  <c r="K278" i="25"/>
  <c r="K286" i="25"/>
  <c r="K294" i="25"/>
  <c r="K302" i="25"/>
  <c r="K310" i="25"/>
  <c r="K318" i="25"/>
  <c r="K326" i="25"/>
  <c r="K334" i="25"/>
  <c r="K342" i="25"/>
  <c r="K350" i="25"/>
  <c r="K358" i="25"/>
  <c r="K366" i="25"/>
  <c r="K374" i="25"/>
  <c r="K382" i="25"/>
  <c r="K390" i="25"/>
  <c r="K398" i="25"/>
  <c r="K406" i="25"/>
  <c r="K414" i="25"/>
  <c r="K422" i="25"/>
  <c r="K430" i="25"/>
  <c r="K438" i="25"/>
  <c r="K446" i="25"/>
  <c r="K454" i="25"/>
  <c r="K462" i="25"/>
  <c r="K470" i="25"/>
  <c r="K478" i="25"/>
  <c r="K486" i="25"/>
  <c r="K494" i="25"/>
  <c r="K502" i="25"/>
  <c r="K510" i="25"/>
  <c r="K518" i="25"/>
  <c r="K526" i="25"/>
  <c r="K534" i="25"/>
  <c r="K542" i="25"/>
  <c r="K550" i="25"/>
  <c r="K558" i="25"/>
  <c r="K566" i="25"/>
  <c r="K574" i="25"/>
  <c r="K582" i="25"/>
  <c r="K590" i="25"/>
  <c r="K598" i="25"/>
  <c r="K606" i="25"/>
  <c r="K614" i="25"/>
  <c r="K622" i="25"/>
  <c r="K630" i="25"/>
  <c r="K638" i="25"/>
  <c r="K646" i="25"/>
  <c r="K654" i="25"/>
  <c r="K662" i="25"/>
  <c r="K670" i="25"/>
  <c r="K678" i="25"/>
  <c r="K686" i="25"/>
  <c r="K694" i="25"/>
  <c r="K702" i="25"/>
  <c r="K710" i="25"/>
  <c r="K718" i="25"/>
  <c r="K47" i="25"/>
  <c r="K79" i="25"/>
  <c r="K111" i="25"/>
  <c r="K143" i="25"/>
  <c r="K175" i="25"/>
  <c r="K207" i="25"/>
  <c r="K239" i="25"/>
  <c r="K271" i="25"/>
  <c r="K303" i="25"/>
  <c r="K335" i="25"/>
  <c r="K367" i="25"/>
  <c r="K399" i="25"/>
  <c r="K431" i="25"/>
  <c r="K448" i="25"/>
  <c r="K464" i="25"/>
  <c r="K480" i="25"/>
  <c r="K496" i="25"/>
  <c r="K512" i="25"/>
  <c r="K528" i="25"/>
  <c r="K544" i="25"/>
  <c r="K560" i="25"/>
  <c r="K576" i="25"/>
  <c r="K592" i="25"/>
  <c r="K608" i="25"/>
  <c r="K624" i="25"/>
  <c r="K640" i="25"/>
  <c r="K656" i="25"/>
  <c r="K672" i="25"/>
  <c r="K688" i="25"/>
  <c r="K701" i="25"/>
  <c r="K713" i="25"/>
  <c r="K723" i="25"/>
  <c r="K731" i="25"/>
  <c r="K739" i="25"/>
  <c r="K747" i="25"/>
  <c r="K755" i="25"/>
  <c r="K763" i="25"/>
  <c r="K771" i="25"/>
  <c r="K48" i="25"/>
  <c r="K80" i="25"/>
  <c r="K112" i="25"/>
  <c r="K144" i="25"/>
  <c r="K176" i="25"/>
  <c r="K208" i="25"/>
  <c r="K240" i="25"/>
  <c r="K272" i="25"/>
  <c r="K304" i="25"/>
  <c r="K336" i="25"/>
  <c r="K368" i="25"/>
  <c r="K400" i="25"/>
  <c r="K432" i="25"/>
  <c r="K449" i="25"/>
  <c r="K465" i="25"/>
  <c r="K481" i="25"/>
  <c r="K497" i="25"/>
  <c r="K513" i="25"/>
  <c r="K529" i="25"/>
  <c r="K545" i="25"/>
  <c r="K561" i="25"/>
  <c r="K577" i="25"/>
  <c r="K593" i="25"/>
  <c r="K609" i="25"/>
  <c r="K625" i="25"/>
  <c r="K641" i="25"/>
  <c r="K657" i="25"/>
  <c r="K673" i="25"/>
  <c r="K689" i="25"/>
  <c r="K703" i="25"/>
  <c r="K715" i="25"/>
  <c r="K724" i="25"/>
  <c r="K732" i="25"/>
  <c r="K740" i="25"/>
  <c r="K748" i="25"/>
  <c r="K756" i="25"/>
  <c r="K764" i="25"/>
  <c r="K772" i="25"/>
  <c r="K780" i="25"/>
  <c r="K788" i="25"/>
  <c r="K796" i="25"/>
  <c r="K804" i="25"/>
  <c r="K812" i="25"/>
  <c r="K820" i="25"/>
  <c r="K828" i="25"/>
  <c r="K836" i="25"/>
  <c r="K844" i="25"/>
  <c r="K852" i="25"/>
  <c r="K860" i="25"/>
  <c r="K868" i="25"/>
  <c r="K876" i="25"/>
  <c r="K884" i="25"/>
  <c r="K892" i="25"/>
  <c r="K900" i="25"/>
  <c r="K908" i="25"/>
  <c r="K916" i="25"/>
  <c r="K924" i="25"/>
  <c r="K932" i="25"/>
  <c r="K940" i="25"/>
  <c r="K948" i="25"/>
  <c r="K956" i="25"/>
  <c r="K964" i="25"/>
  <c r="K972" i="25"/>
  <c r="K980" i="25"/>
  <c r="K988" i="25"/>
  <c r="K996" i="25"/>
  <c r="K1004" i="25"/>
  <c r="K1012" i="25"/>
  <c r="K1020" i="25"/>
  <c r="K1028" i="25"/>
  <c r="K1036" i="25"/>
  <c r="J45" i="25"/>
  <c r="J53" i="25"/>
  <c r="J61" i="25"/>
  <c r="J69" i="25"/>
  <c r="J77" i="25"/>
  <c r="J85" i="25"/>
  <c r="J93" i="25"/>
  <c r="J101" i="25"/>
  <c r="J109" i="25"/>
  <c r="J117" i="25"/>
  <c r="J125" i="25"/>
  <c r="J133" i="25"/>
  <c r="J141" i="25"/>
  <c r="J149" i="25"/>
  <c r="K55" i="25"/>
  <c r="K87" i="25"/>
  <c r="K119" i="25"/>
  <c r="K151" i="25"/>
  <c r="K183" i="25"/>
  <c r="K215" i="25"/>
  <c r="K247" i="25"/>
  <c r="K279" i="25"/>
  <c r="K311" i="25"/>
  <c r="K343" i="25"/>
  <c r="K375" i="25"/>
  <c r="K407" i="25"/>
  <c r="K433" i="25"/>
  <c r="K451" i="25"/>
  <c r="K467" i="25"/>
  <c r="K483" i="25"/>
  <c r="K499" i="25"/>
  <c r="K515" i="25"/>
  <c r="K531" i="25"/>
  <c r="K547" i="25"/>
  <c r="K563" i="25"/>
  <c r="K579" i="25"/>
  <c r="K595" i="25"/>
  <c r="K611" i="25"/>
  <c r="K627" i="25"/>
  <c r="K643" i="25"/>
  <c r="K659" i="25"/>
  <c r="K675" i="25"/>
  <c r="K691" i="25"/>
  <c r="K704" i="25"/>
  <c r="K716" i="25"/>
  <c r="K725" i="25"/>
  <c r="K733" i="25"/>
  <c r="K741" i="25"/>
  <c r="K749" i="25"/>
  <c r="K757" i="25"/>
  <c r="K765" i="25"/>
  <c r="K773" i="25"/>
  <c r="K781" i="25"/>
  <c r="K789" i="25"/>
  <c r="K797" i="25"/>
  <c r="K805" i="25"/>
  <c r="K813" i="25"/>
  <c r="K821" i="25"/>
  <c r="K829" i="25"/>
  <c r="K837" i="25"/>
  <c r="K845" i="25"/>
  <c r="K853" i="25"/>
  <c r="K861" i="25"/>
  <c r="K869" i="25"/>
  <c r="K877" i="25"/>
  <c r="K885" i="25"/>
  <c r="K893" i="25"/>
  <c r="K901" i="25"/>
  <c r="K909" i="25"/>
  <c r="K917" i="25"/>
  <c r="K925" i="25"/>
  <c r="K933" i="25"/>
  <c r="K941" i="25"/>
  <c r="K949" i="25"/>
  <c r="K957" i="25"/>
  <c r="K965" i="25"/>
  <c r="K973" i="25"/>
  <c r="K981" i="25"/>
  <c r="K989" i="25"/>
  <c r="K997" i="25"/>
  <c r="K1005" i="25"/>
  <c r="K1013" i="25"/>
  <c r="K1021" i="25"/>
  <c r="K1029" i="25"/>
  <c r="K1037" i="25"/>
  <c r="J46" i="25"/>
  <c r="J54" i="25"/>
  <c r="J62" i="25"/>
  <c r="J70" i="25"/>
  <c r="J78" i="25"/>
  <c r="J86" i="25"/>
  <c r="J94" i="25"/>
  <c r="J102" i="25"/>
  <c r="J110" i="25"/>
  <c r="J118" i="25"/>
  <c r="J126" i="25"/>
  <c r="J134" i="25"/>
  <c r="J142" i="25"/>
  <c r="J150" i="25"/>
  <c r="K56" i="25"/>
  <c r="K88" i="25"/>
  <c r="K120" i="25"/>
  <c r="K152" i="25"/>
  <c r="K184" i="25"/>
  <c r="K216" i="25"/>
  <c r="K248" i="25"/>
  <c r="K280" i="25"/>
  <c r="K312" i="25"/>
  <c r="K344" i="25"/>
  <c r="K376" i="25"/>
  <c r="K408" i="25"/>
  <c r="K439" i="25"/>
  <c r="K455" i="25"/>
  <c r="K471" i="25"/>
  <c r="K487" i="25"/>
  <c r="K503" i="25"/>
  <c r="K519" i="25"/>
  <c r="K535" i="25"/>
  <c r="K551" i="25"/>
  <c r="K567" i="25"/>
  <c r="K583" i="25"/>
  <c r="K599" i="25"/>
  <c r="K615" i="25"/>
  <c r="K631" i="25"/>
  <c r="K647" i="25"/>
  <c r="K663" i="25"/>
  <c r="K679" i="25"/>
  <c r="K693" i="25"/>
  <c r="K705" i="25"/>
  <c r="K717" i="25"/>
  <c r="K726" i="25"/>
  <c r="K734" i="25"/>
  <c r="K742" i="25"/>
  <c r="K750" i="25"/>
  <c r="K758" i="25"/>
  <c r="K766" i="25"/>
  <c r="K774" i="25"/>
  <c r="K782" i="25"/>
  <c r="K790" i="25"/>
  <c r="K798" i="25"/>
  <c r="K806" i="25"/>
  <c r="K814" i="25"/>
  <c r="K822" i="25"/>
  <c r="K830" i="25"/>
  <c r="K838" i="25"/>
  <c r="K846" i="25"/>
  <c r="K854" i="25"/>
  <c r="K862" i="25"/>
  <c r="K870" i="25"/>
  <c r="K878" i="25"/>
  <c r="K886" i="25"/>
  <c r="K894" i="25"/>
  <c r="K902" i="25"/>
  <c r="K910" i="25"/>
  <c r="K918" i="25"/>
  <c r="K926" i="25"/>
  <c r="K934" i="25"/>
  <c r="K942" i="25"/>
  <c r="K950" i="25"/>
  <c r="K958" i="25"/>
  <c r="K966" i="25"/>
  <c r="K974" i="25"/>
  <c r="K982" i="25"/>
  <c r="K990" i="25"/>
  <c r="K998" i="25"/>
  <c r="K1006" i="25"/>
  <c r="K1014" i="25"/>
  <c r="K1022" i="25"/>
  <c r="K1030" i="25"/>
  <c r="K1038" i="25"/>
  <c r="J47" i="25"/>
  <c r="J55" i="25"/>
  <c r="J63" i="25"/>
  <c r="J71" i="25"/>
  <c r="J79" i="25"/>
  <c r="J87" i="25"/>
  <c r="J95" i="25"/>
  <c r="J103" i="25"/>
  <c r="J111" i="25"/>
  <c r="J119" i="25"/>
  <c r="K63" i="25"/>
  <c r="K95" i="25"/>
  <c r="K127" i="25"/>
  <c r="K159" i="25"/>
  <c r="K191" i="25"/>
  <c r="K223" i="25"/>
  <c r="K255" i="25"/>
  <c r="K287" i="25"/>
  <c r="K319" i="25"/>
  <c r="K351" i="25"/>
  <c r="K383" i="25"/>
  <c r="K415" i="25"/>
  <c r="K440" i="25"/>
  <c r="K456" i="25"/>
  <c r="K472" i="25"/>
  <c r="K488" i="25"/>
  <c r="K504" i="25"/>
  <c r="K520" i="25"/>
  <c r="K536" i="25"/>
  <c r="K552" i="25"/>
  <c r="K568" i="25"/>
  <c r="K584" i="25"/>
  <c r="K600" i="25"/>
  <c r="K616" i="25"/>
  <c r="K632" i="25"/>
  <c r="K648" i="25"/>
  <c r="K664" i="25"/>
  <c r="K680" i="25"/>
  <c r="K695" i="25"/>
  <c r="K707" i="25"/>
  <c r="K719" i="25"/>
  <c r="K727" i="25"/>
  <c r="K735" i="25"/>
  <c r="K743" i="25"/>
  <c r="K751" i="25"/>
  <c r="K759" i="25"/>
  <c r="K767" i="25"/>
  <c r="K775" i="25"/>
  <c r="K71" i="25"/>
  <c r="K103" i="25"/>
  <c r="K135" i="25"/>
  <c r="K167" i="25"/>
  <c r="K199" i="25"/>
  <c r="K231" i="25"/>
  <c r="K263" i="25"/>
  <c r="K295" i="25"/>
  <c r="K327" i="25"/>
  <c r="K359" i="25"/>
  <c r="K391" i="25"/>
  <c r="K423" i="25"/>
  <c r="K443" i="25"/>
  <c r="K459" i="25"/>
  <c r="K475" i="25"/>
  <c r="K491" i="25"/>
  <c r="K507" i="25"/>
  <c r="K523" i="25"/>
  <c r="K539" i="25"/>
  <c r="K555" i="25"/>
  <c r="K571" i="25"/>
  <c r="K587" i="25"/>
  <c r="K603" i="25"/>
  <c r="K619" i="25"/>
  <c r="K635" i="25"/>
  <c r="K651" i="25"/>
  <c r="K667" i="25"/>
  <c r="K683" i="25"/>
  <c r="K697" i="25"/>
  <c r="K711" i="25"/>
  <c r="K721" i="25"/>
  <c r="K729" i="25"/>
  <c r="K737" i="25"/>
  <c r="K745" i="25"/>
  <c r="K753" i="25"/>
  <c r="K761" i="25"/>
  <c r="K769" i="25"/>
  <c r="K777" i="25"/>
  <c r="K785" i="25"/>
  <c r="K793" i="25"/>
  <c r="K801" i="25"/>
  <c r="K809" i="25"/>
  <c r="K817" i="25"/>
  <c r="K825" i="25"/>
  <c r="K833" i="25"/>
  <c r="K841" i="25"/>
  <c r="K849" i="25"/>
  <c r="K857" i="25"/>
  <c r="K865" i="25"/>
  <c r="K873" i="25"/>
  <c r="K881" i="25"/>
  <c r="K889" i="25"/>
  <c r="K897" i="25"/>
  <c r="K905" i="25"/>
  <c r="K913" i="25"/>
  <c r="K921" i="25"/>
  <c r="K929" i="25"/>
  <c r="K937" i="25"/>
  <c r="K945" i="25"/>
  <c r="K953" i="25"/>
  <c r="K961" i="25"/>
  <c r="K969" i="25"/>
  <c r="K977" i="25"/>
  <c r="K985" i="25"/>
  <c r="K993" i="25"/>
  <c r="K1001" i="25"/>
  <c r="K1009" i="25"/>
  <c r="K1017" i="25"/>
  <c r="K1025" i="25"/>
  <c r="K1033" i="25"/>
  <c r="J42" i="25"/>
  <c r="J50" i="25"/>
  <c r="J58" i="25"/>
  <c r="J66" i="25"/>
  <c r="J74" i="25"/>
  <c r="J82" i="25"/>
  <c r="J90" i="25"/>
  <c r="J98" i="25"/>
  <c r="J106" i="25"/>
  <c r="J114" i="25"/>
  <c r="J122" i="25"/>
  <c r="J130" i="25"/>
  <c r="J138" i="25"/>
  <c r="J146" i="25"/>
  <c r="K72" i="25"/>
  <c r="K200" i="25"/>
  <c r="K328" i="25"/>
  <c r="K447" i="25"/>
  <c r="K511" i="25"/>
  <c r="K575" i="25"/>
  <c r="K639" i="25"/>
  <c r="K699" i="25"/>
  <c r="K738" i="25"/>
  <c r="K770" i="25"/>
  <c r="K791" i="25"/>
  <c r="K807" i="25"/>
  <c r="K823" i="25"/>
  <c r="K839" i="25"/>
  <c r="K855" i="25"/>
  <c r="K871" i="25"/>
  <c r="K887" i="25"/>
  <c r="K903" i="25"/>
  <c r="K919" i="25"/>
  <c r="K935" i="25"/>
  <c r="K951" i="25"/>
  <c r="K967" i="25"/>
  <c r="K983" i="25"/>
  <c r="K999" i="25"/>
  <c r="K1015" i="25"/>
  <c r="K1031" i="25"/>
  <c r="J48" i="25"/>
  <c r="J64" i="25"/>
  <c r="J80" i="25"/>
  <c r="J96" i="25"/>
  <c r="J112" i="25"/>
  <c r="J127" i="25"/>
  <c r="J139" i="25"/>
  <c r="J152" i="25"/>
  <c r="J160" i="25"/>
  <c r="J168" i="25"/>
  <c r="J176" i="25"/>
  <c r="J184" i="25"/>
  <c r="J192" i="25"/>
  <c r="J200" i="25"/>
  <c r="J208" i="25"/>
  <c r="J216" i="25"/>
  <c r="J224" i="25"/>
  <c r="J232" i="25"/>
  <c r="J240" i="25"/>
  <c r="J248" i="25"/>
  <c r="J256" i="25"/>
  <c r="J264" i="25"/>
  <c r="J272" i="25"/>
  <c r="J280" i="25"/>
  <c r="J288" i="25"/>
  <c r="J296" i="25"/>
  <c r="J304" i="25"/>
  <c r="J312" i="25"/>
  <c r="J320" i="25"/>
  <c r="J328" i="25"/>
  <c r="J336" i="25"/>
  <c r="J344" i="25"/>
  <c r="J352" i="25"/>
  <c r="J360" i="25"/>
  <c r="J368" i="25"/>
  <c r="J376" i="25"/>
  <c r="J384" i="25"/>
  <c r="J392" i="25"/>
  <c r="J400" i="25"/>
  <c r="J408" i="25"/>
  <c r="J416" i="25"/>
  <c r="J424" i="25"/>
  <c r="J432" i="25"/>
  <c r="J440" i="25"/>
  <c r="J448" i="25"/>
  <c r="J456" i="25"/>
  <c r="J464" i="25"/>
  <c r="J472" i="25"/>
  <c r="J480" i="25"/>
  <c r="J488" i="25"/>
  <c r="J496" i="25"/>
  <c r="J504" i="25"/>
  <c r="J512" i="25"/>
  <c r="J520" i="25"/>
  <c r="J528" i="25"/>
  <c r="J536" i="25"/>
  <c r="J544" i="25"/>
  <c r="J552" i="25"/>
  <c r="J560" i="25"/>
  <c r="J568" i="25"/>
  <c r="K96" i="25"/>
  <c r="K224" i="25"/>
  <c r="K352" i="25"/>
  <c r="K457" i="25"/>
  <c r="K521" i="25"/>
  <c r="K585" i="25"/>
  <c r="K649" i="25"/>
  <c r="K709" i="25"/>
  <c r="K744" i="25"/>
  <c r="K776" i="25"/>
  <c r="K792" i="25"/>
  <c r="K808" i="25"/>
  <c r="K824" i="25"/>
  <c r="K840" i="25"/>
  <c r="K856" i="25"/>
  <c r="K872" i="25"/>
  <c r="K888" i="25"/>
  <c r="K904" i="25"/>
  <c r="K920" i="25"/>
  <c r="K936" i="25"/>
  <c r="K952" i="25"/>
  <c r="K968" i="25"/>
  <c r="K984" i="25"/>
  <c r="K1000" i="25"/>
  <c r="K1016" i="25"/>
  <c r="K1032" i="25"/>
  <c r="J49" i="25"/>
  <c r="J65" i="25"/>
  <c r="J81" i="25"/>
  <c r="J97" i="25"/>
  <c r="J113" i="25"/>
  <c r="J128" i="25"/>
  <c r="J140" i="25"/>
  <c r="J153" i="25"/>
  <c r="J161" i="25"/>
  <c r="J169" i="25"/>
  <c r="J177" i="25"/>
  <c r="J185" i="25"/>
  <c r="J193" i="25"/>
  <c r="J201" i="25"/>
  <c r="J209" i="25"/>
  <c r="J217" i="25"/>
  <c r="J225" i="25"/>
  <c r="J233" i="25"/>
  <c r="J241" i="25"/>
  <c r="J249" i="25"/>
  <c r="J257" i="25"/>
  <c r="J265" i="25"/>
  <c r="J273" i="25"/>
  <c r="J281" i="25"/>
  <c r="J289" i="25"/>
  <c r="J297" i="25"/>
  <c r="J305" i="25"/>
  <c r="K104" i="25"/>
  <c r="K232" i="25"/>
  <c r="K360" i="25"/>
  <c r="K463" i="25"/>
  <c r="K527" i="25"/>
  <c r="K591" i="25"/>
  <c r="K655" i="25"/>
  <c r="K712" i="25"/>
  <c r="K746" i="25"/>
  <c r="K778" i="25"/>
  <c r="K794" i="25"/>
  <c r="K810" i="25"/>
  <c r="K826" i="25"/>
  <c r="K842" i="25"/>
  <c r="K858" i="25"/>
  <c r="K874" i="25"/>
  <c r="K890" i="25"/>
  <c r="K906" i="25"/>
  <c r="K922" i="25"/>
  <c r="K938" i="25"/>
  <c r="K954" i="25"/>
  <c r="K970" i="25"/>
  <c r="K986" i="25"/>
  <c r="K1002" i="25"/>
  <c r="K1018" i="25"/>
  <c r="K1034" i="25"/>
  <c r="J51" i="25"/>
  <c r="J67" i="25"/>
  <c r="J83" i="25"/>
  <c r="J99" i="25"/>
  <c r="J115" i="25"/>
  <c r="J129" i="25"/>
  <c r="J143" i="25"/>
  <c r="J154" i="25"/>
  <c r="J162" i="25"/>
  <c r="J170" i="25"/>
  <c r="J178" i="25"/>
  <c r="J186" i="25"/>
  <c r="J194" i="25"/>
  <c r="J202" i="25"/>
  <c r="J210" i="25"/>
  <c r="J218" i="25"/>
  <c r="J226" i="25"/>
  <c r="J234" i="25"/>
  <c r="J242" i="25"/>
  <c r="J250" i="25"/>
  <c r="J258" i="25"/>
  <c r="J266" i="25"/>
  <c r="J274" i="25"/>
  <c r="J282" i="25"/>
  <c r="J290" i="25"/>
  <c r="J298" i="25"/>
  <c r="J306" i="25"/>
  <c r="J314" i="25"/>
  <c r="J322" i="25"/>
  <c r="J330" i="25"/>
  <c r="J338" i="25"/>
  <c r="J346" i="25"/>
  <c r="J354" i="25"/>
  <c r="J362" i="25"/>
  <c r="J370" i="25"/>
  <c r="J378" i="25"/>
  <c r="J386" i="25"/>
  <c r="J394" i="25"/>
  <c r="J402" i="25"/>
  <c r="J410" i="25"/>
  <c r="J418" i="25"/>
  <c r="J426" i="25"/>
  <c r="J434" i="25"/>
  <c r="J442" i="25"/>
  <c r="J450" i="25"/>
  <c r="J458" i="25"/>
  <c r="J466" i="25"/>
  <c r="J474" i="25"/>
  <c r="J482" i="25"/>
  <c r="J490" i="25"/>
  <c r="J498" i="25"/>
  <c r="J506" i="25"/>
  <c r="J514" i="25"/>
  <c r="J522" i="25"/>
  <c r="J530" i="25"/>
  <c r="J538" i="25"/>
  <c r="J546" i="25"/>
  <c r="J554" i="25"/>
  <c r="J562" i="25"/>
  <c r="K128" i="25"/>
  <c r="K256" i="25"/>
  <c r="K384" i="25"/>
  <c r="K473" i="25"/>
  <c r="K537" i="25"/>
  <c r="K601" i="25"/>
  <c r="K665" i="25"/>
  <c r="K720" i="25"/>
  <c r="K752" i="25"/>
  <c r="K779" i="25"/>
  <c r="K795" i="25"/>
  <c r="K811" i="25"/>
  <c r="K827" i="25"/>
  <c r="K843" i="25"/>
  <c r="K859" i="25"/>
  <c r="K875" i="25"/>
  <c r="K891" i="25"/>
  <c r="K907" i="25"/>
  <c r="K923" i="25"/>
  <c r="K939" i="25"/>
  <c r="K955" i="25"/>
  <c r="K971" i="25"/>
  <c r="K987" i="25"/>
  <c r="K1003" i="25"/>
  <c r="K1019" i="25"/>
  <c r="K1035" i="25"/>
  <c r="J52" i="25"/>
  <c r="J68" i="25"/>
  <c r="J84" i="25"/>
  <c r="J100" i="25"/>
  <c r="J116" i="25"/>
  <c r="J131" i="25"/>
  <c r="J144" i="25"/>
  <c r="J155" i="25"/>
  <c r="J163" i="25"/>
  <c r="J171" i="25"/>
  <c r="J179" i="25"/>
  <c r="J187" i="25"/>
  <c r="J195" i="25"/>
  <c r="J203" i="25"/>
  <c r="J211" i="25"/>
  <c r="J219" i="25"/>
  <c r="J227" i="25"/>
  <c r="J235" i="25"/>
  <c r="J243" i="25"/>
  <c r="J251" i="25"/>
  <c r="J259" i="25"/>
  <c r="J267" i="25"/>
  <c r="J275" i="25"/>
  <c r="J283" i="25"/>
  <c r="J291" i="25"/>
  <c r="J299" i="25"/>
  <c r="J307" i="25"/>
  <c r="J315" i="25"/>
  <c r="J323" i="25"/>
  <c r="J331" i="25"/>
  <c r="J339" i="25"/>
  <c r="J347" i="25"/>
  <c r="J355" i="25"/>
  <c r="J363" i="25"/>
  <c r="J371" i="25"/>
  <c r="J379" i="25"/>
  <c r="J387" i="25"/>
  <c r="J395" i="25"/>
  <c r="J403" i="25"/>
  <c r="J411" i="25"/>
  <c r="J419" i="25"/>
  <c r="J427" i="25"/>
  <c r="J435" i="25"/>
  <c r="J443" i="25"/>
  <c r="J451" i="25"/>
  <c r="J459" i="25"/>
  <c r="J467" i="25"/>
  <c r="J475" i="25"/>
  <c r="J483" i="25"/>
  <c r="J491" i="25"/>
  <c r="J499" i="25"/>
  <c r="J507" i="25"/>
  <c r="J515" i="25"/>
  <c r="J523" i="25"/>
  <c r="J531" i="25"/>
  <c r="J539" i="25"/>
  <c r="J547" i="25"/>
  <c r="J555" i="25"/>
  <c r="J563" i="25"/>
  <c r="K136" i="25"/>
  <c r="K264" i="25"/>
  <c r="K392" i="25"/>
  <c r="K479" i="25"/>
  <c r="K543" i="25"/>
  <c r="K607" i="25"/>
  <c r="K671" i="25"/>
  <c r="K722" i="25"/>
  <c r="K754" i="25"/>
  <c r="K783" i="25"/>
  <c r="K799" i="25"/>
  <c r="K815" i="25"/>
  <c r="K831" i="25"/>
  <c r="K847" i="25"/>
  <c r="K863" i="25"/>
  <c r="K879" i="25"/>
  <c r="K895" i="25"/>
  <c r="K911" i="25"/>
  <c r="K927" i="25"/>
  <c r="K943" i="25"/>
  <c r="K959" i="25"/>
  <c r="K975" i="25"/>
  <c r="K991" i="25"/>
  <c r="K1007" i="25"/>
  <c r="K1023" i="25"/>
  <c r="K1039" i="25"/>
  <c r="J56" i="25"/>
  <c r="J72" i="25"/>
  <c r="J88" i="25"/>
  <c r="J104" i="25"/>
  <c r="J120" i="25"/>
  <c r="J132" i="25"/>
  <c r="J145" i="25"/>
  <c r="J156" i="25"/>
  <c r="J164" i="25"/>
  <c r="J172" i="25"/>
  <c r="J180" i="25"/>
  <c r="J188" i="25"/>
  <c r="J196" i="25"/>
  <c r="J204" i="25"/>
  <c r="J212" i="25"/>
  <c r="J220" i="25"/>
  <c r="J228" i="25"/>
  <c r="J236" i="25"/>
  <c r="J244" i="25"/>
  <c r="J252" i="25"/>
  <c r="J260" i="25"/>
  <c r="J268" i="25"/>
  <c r="J276" i="25"/>
  <c r="J284" i="25"/>
  <c r="J292" i="25"/>
  <c r="J300" i="25"/>
  <c r="J308" i="25"/>
  <c r="J316" i="25"/>
  <c r="J324" i="25"/>
  <c r="J332" i="25"/>
  <c r="J340" i="25"/>
  <c r="J348" i="25"/>
  <c r="J356" i="25"/>
  <c r="J364" i="25"/>
  <c r="J372" i="25"/>
  <c r="J380" i="25"/>
  <c r="J388" i="25"/>
  <c r="J396" i="25"/>
  <c r="J404" i="25"/>
  <c r="J412" i="25"/>
  <c r="J420" i="25"/>
  <c r="J428" i="25"/>
  <c r="J436" i="25"/>
  <c r="J444" i="25"/>
  <c r="J452" i="25"/>
  <c r="J460" i="25"/>
  <c r="J468" i="25"/>
  <c r="J476" i="25"/>
  <c r="J484" i="25"/>
  <c r="J492" i="25"/>
  <c r="J500" i="25"/>
  <c r="J508" i="25"/>
  <c r="J516" i="25"/>
  <c r="J524" i="25"/>
  <c r="J532" i="25"/>
  <c r="J540" i="25"/>
  <c r="J548" i="25"/>
  <c r="J556" i="25"/>
  <c r="J564" i="25"/>
  <c r="K64" i="25"/>
  <c r="K424" i="25"/>
  <c r="K617" i="25"/>
  <c r="K736" i="25"/>
  <c r="K802" i="25"/>
  <c r="K848" i="25"/>
  <c r="K883" i="25"/>
  <c r="K930" i="25"/>
  <c r="K976" i="25"/>
  <c r="K1011" i="25"/>
  <c r="J59" i="25"/>
  <c r="J105" i="25"/>
  <c r="J137" i="25"/>
  <c r="J166" i="25"/>
  <c r="J189" i="25"/>
  <c r="J207" i="25"/>
  <c r="J230" i="25"/>
  <c r="J253" i="25"/>
  <c r="J271" i="25"/>
  <c r="J294" i="25"/>
  <c r="J313" i="25"/>
  <c r="J329" i="25"/>
  <c r="J345" i="25"/>
  <c r="J361" i="25"/>
  <c r="J377" i="25"/>
  <c r="J393" i="25"/>
  <c r="J409" i="25"/>
  <c r="J425" i="25"/>
  <c r="J441" i="25"/>
  <c r="J457" i="25"/>
  <c r="J473" i="25"/>
  <c r="J489" i="25"/>
  <c r="J505" i="25"/>
  <c r="J521" i="25"/>
  <c r="J537" i="25"/>
  <c r="J553" i="25"/>
  <c r="J569" i="25"/>
  <c r="J577" i="25"/>
  <c r="J585" i="25"/>
  <c r="J593" i="25"/>
  <c r="J601" i="25"/>
  <c r="J609" i="25"/>
  <c r="J617" i="25"/>
  <c r="J625" i="25"/>
  <c r="J633" i="25"/>
  <c r="J641" i="25"/>
  <c r="J649" i="25"/>
  <c r="J657" i="25"/>
  <c r="J665" i="25"/>
  <c r="J673" i="25"/>
  <c r="J681" i="25"/>
  <c r="J689" i="25"/>
  <c r="J697" i="25"/>
  <c r="J705" i="25"/>
  <c r="J713" i="25"/>
  <c r="J721" i="25"/>
  <c r="J729" i="25"/>
  <c r="J737" i="25"/>
  <c r="J745" i="25"/>
  <c r="J753" i="25"/>
  <c r="J761" i="25"/>
  <c r="J769" i="25"/>
  <c r="J777" i="25"/>
  <c r="J785" i="25"/>
  <c r="J793" i="25"/>
  <c r="J801" i="25"/>
  <c r="J809" i="25"/>
  <c r="J817" i="25"/>
  <c r="J825" i="25"/>
  <c r="J833" i="25"/>
  <c r="J841" i="25"/>
  <c r="J849" i="25"/>
  <c r="J857" i="25"/>
  <c r="J865" i="25"/>
  <c r="J873" i="25"/>
  <c r="J881" i="25"/>
  <c r="J889" i="25"/>
  <c r="J897" i="25"/>
  <c r="J905" i="25"/>
  <c r="J913" i="25"/>
  <c r="J921" i="25"/>
  <c r="J929" i="25"/>
  <c r="J937" i="25"/>
  <c r="J945" i="25"/>
  <c r="J953" i="25"/>
  <c r="K160" i="25"/>
  <c r="K441" i="25"/>
  <c r="K623" i="25"/>
  <c r="K760" i="25"/>
  <c r="K803" i="25"/>
  <c r="K850" i="25"/>
  <c r="K896" i="25"/>
  <c r="K931" i="25"/>
  <c r="K978" i="25"/>
  <c r="K1024" i="25"/>
  <c r="J60" i="25"/>
  <c r="J107" i="25"/>
  <c r="J147" i="25"/>
  <c r="J167" i="25"/>
  <c r="J190" i="25"/>
  <c r="J213" i="25"/>
  <c r="J231" i="25"/>
  <c r="J254" i="25"/>
  <c r="J277" i="25"/>
  <c r="J295" i="25"/>
  <c r="J317" i="25"/>
  <c r="J333" i="25"/>
  <c r="J349" i="25"/>
  <c r="J365" i="25"/>
  <c r="J381" i="25"/>
  <c r="J397" i="25"/>
  <c r="J413" i="25"/>
  <c r="J429" i="25"/>
  <c r="J445" i="25"/>
  <c r="J461" i="25"/>
  <c r="J477" i="25"/>
  <c r="J493" i="25"/>
  <c r="J509" i="25"/>
  <c r="J525" i="25"/>
  <c r="J541" i="25"/>
  <c r="J557" i="25"/>
  <c r="J570" i="25"/>
  <c r="J578" i="25"/>
  <c r="J586" i="25"/>
  <c r="J594" i="25"/>
  <c r="J602" i="25"/>
  <c r="J610" i="25"/>
  <c r="J618" i="25"/>
  <c r="J626" i="25"/>
  <c r="J634" i="25"/>
  <c r="J642" i="25"/>
  <c r="J650" i="25"/>
  <c r="J658" i="25"/>
  <c r="J666" i="25"/>
  <c r="J674" i="25"/>
  <c r="J682" i="25"/>
  <c r="J690" i="25"/>
  <c r="J698" i="25"/>
  <c r="J706" i="25"/>
  <c r="J714" i="25"/>
  <c r="J722" i="25"/>
  <c r="J730" i="25"/>
  <c r="J738" i="25"/>
  <c r="J746" i="25"/>
  <c r="J754" i="25"/>
  <c r="J762" i="25"/>
  <c r="J770" i="25"/>
  <c r="J778" i="25"/>
  <c r="J786" i="25"/>
  <c r="J794" i="25"/>
  <c r="J802" i="25"/>
  <c r="K168" i="25"/>
  <c r="K489" i="25"/>
  <c r="K633" i="25"/>
  <c r="K762" i="25"/>
  <c r="K816" i="25"/>
  <c r="K851" i="25"/>
  <c r="K898" i="25"/>
  <c r="K944" i="25"/>
  <c r="K979" i="25"/>
  <c r="K1026" i="25"/>
  <c r="J73" i="25"/>
  <c r="J108" i="25"/>
  <c r="J148" i="25"/>
  <c r="J173" i="25"/>
  <c r="J191" i="25"/>
  <c r="J214" i="25"/>
  <c r="J237" i="25"/>
  <c r="J255" i="25"/>
  <c r="J278" i="25"/>
  <c r="J301" i="25"/>
  <c r="J318" i="25"/>
  <c r="J334" i="25"/>
  <c r="J350" i="25"/>
  <c r="J366" i="25"/>
  <c r="J382" i="25"/>
  <c r="J398" i="25"/>
  <c r="K288" i="25"/>
  <c r="K505" i="25"/>
  <c r="K687" i="25"/>
  <c r="K784" i="25"/>
  <c r="K819" i="25"/>
  <c r="K866" i="25"/>
  <c r="K912" i="25"/>
  <c r="K947" i="25"/>
  <c r="K994" i="25"/>
  <c r="J41" i="25"/>
  <c r="J76" i="25"/>
  <c r="J123" i="25"/>
  <c r="J157" i="25"/>
  <c r="J175" i="25"/>
  <c r="J198" i="25"/>
  <c r="J221" i="25"/>
  <c r="J239" i="25"/>
  <c r="J262" i="25"/>
  <c r="J285" i="25"/>
  <c r="J303" i="25"/>
  <c r="J321" i="25"/>
  <c r="J337" i="25"/>
  <c r="J353" i="25"/>
  <c r="J369" i="25"/>
  <c r="J385" i="25"/>
  <c r="J401" i="25"/>
  <c r="J417" i="25"/>
  <c r="J433" i="25"/>
  <c r="J449" i="25"/>
  <c r="J465" i="25"/>
  <c r="J481" i="25"/>
  <c r="J497" i="25"/>
  <c r="J513" i="25"/>
  <c r="J529" i="25"/>
  <c r="J545" i="25"/>
  <c r="J561" i="25"/>
  <c r="J573" i="25"/>
  <c r="J581" i="25"/>
  <c r="J589" i="25"/>
  <c r="J597" i="25"/>
  <c r="J605" i="25"/>
  <c r="J613" i="25"/>
  <c r="J621" i="25"/>
  <c r="J629" i="25"/>
  <c r="J637" i="25"/>
  <c r="J645" i="25"/>
  <c r="J653" i="25"/>
  <c r="J661" i="25"/>
  <c r="J669" i="25"/>
  <c r="J677" i="25"/>
  <c r="J685" i="25"/>
  <c r="J693" i="25"/>
  <c r="J701" i="25"/>
  <c r="J709" i="25"/>
  <c r="J717" i="25"/>
  <c r="J725" i="25"/>
  <c r="J733" i="25"/>
  <c r="J741" i="25"/>
  <c r="J749" i="25"/>
  <c r="J757" i="25"/>
  <c r="J765" i="25"/>
  <c r="J773" i="25"/>
  <c r="J781" i="25"/>
  <c r="J789" i="25"/>
  <c r="J797" i="25"/>
  <c r="J805" i="25"/>
  <c r="J813" i="25"/>
  <c r="K192" i="25"/>
  <c r="K681" i="25"/>
  <c r="K818" i="25"/>
  <c r="K899" i="25"/>
  <c r="K992" i="25"/>
  <c r="J75" i="25"/>
  <c r="J151" i="25"/>
  <c r="J197" i="25"/>
  <c r="J238" i="25"/>
  <c r="J279" i="25"/>
  <c r="J319" i="25"/>
  <c r="J351" i="25"/>
  <c r="J383" i="25"/>
  <c r="J414" i="25"/>
  <c r="J438" i="25"/>
  <c r="J463" i="25"/>
  <c r="J487" i="25"/>
  <c r="J517" i="25"/>
  <c r="J542" i="25"/>
  <c r="J566" i="25"/>
  <c r="J580" i="25"/>
  <c r="J592" i="25"/>
  <c r="J606" i="25"/>
  <c r="J619" i="25"/>
  <c r="J631" i="25"/>
  <c r="J644" i="25"/>
  <c r="J656" i="25"/>
  <c r="J670" i="25"/>
  <c r="J683" i="25"/>
  <c r="J695" i="25"/>
  <c r="J708" i="25"/>
  <c r="J720" i="25"/>
  <c r="J734" i="25"/>
  <c r="J747" i="25"/>
  <c r="J759" i="25"/>
  <c r="J772" i="25"/>
  <c r="J784" i="25"/>
  <c r="J798" i="25"/>
  <c r="J810" i="25"/>
  <c r="J820" i="25"/>
  <c r="J829" i="25"/>
  <c r="J838" i="25"/>
  <c r="J847" i="25"/>
  <c r="J856" i="25"/>
  <c r="J866" i="25"/>
  <c r="J875" i="25"/>
  <c r="J884" i="25"/>
  <c r="J893" i="25"/>
  <c r="J902" i="25"/>
  <c r="J911" i="25"/>
  <c r="J920" i="25"/>
  <c r="J930" i="25"/>
  <c r="J939" i="25"/>
  <c r="J948" i="25"/>
  <c r="J957" i="25"/>
  <c r="J965" i="25"/>
  <c r="J973" i="25"/>
  <c r="J981" i="25"/>
  <c r="J989" i="25"/>
  <c r="J997" i="25"/>
  <c r="J1005" i="25"/>
  <c r="J1013" i="25"/>
  <c r="J1021" i="25"/>
  <c r="J1029" i="25"/>
  <c r="J1037" i="25"/>
  <c r="J183" i="25"/>
  <c r="J579" i="25"/>
  <c r="J732" i="25"/>
  <c r="J837" i="25"/>
  <c r="J919" i="25"/>
  <c r="J988" i="25"/>
  <c r="K296" i="25"/>
  <c r="K696" i="25"/>
  <c r="K832" i="25"/>
  <c r="K914" i="25"/>
  <c r="K995" i="25"/>
  <c r="J89" i="25"/>
  <c r="J158" i="25"/>
  <c r="J199" i="25"/>
  <c r="J245" i="25"/>
  <c r="J286" i="25"/>
  <c r="J325" i="25"/>
  <c r="J357" i="25"/>
  <c r="J389" i="25"/>
  <c r="J415" i="25"/>
  <c r="J439" i="25"/>
  <c r="J469" i="25"/>
  <c r="J494" i="25"/>
  <c r="J518" i="25"/>
  <c r="J543" i="25"/>
  <c r="J567" i="25"/>
  <c r="J582" i="25"/>
  <c r="J595" i="25"/>
  <c r="J607" i="25"/>
  <c r="J620" i="25"/>
  <c r="J632" i="25"/>
  <c r="J646" i="25"/>
  <c r="J659" i="25"/>
  <c r="J671" i="25"/>
  <c r="J684" i="25"/>
  <c r="J696" i="25"/>
  <c r="J710" i="25"/>
  <c r="J723" i="25"/>
  <c r="J735" i="25"/>
  <c r="J748" i="25"/>
  <c r="J760" i="25"/>
  <c r="J774" i="25"/>
  <c r="J787" i="25"/>
  <c r="J799" i="25"/>
  <c r="J811" i="25"/>
  <c r="J821" i="25"/>
  <c r="J830" i="25"/>
  <c r="J839" i="25"/>
  <c r="J848" i="25"/>
  <c r="J858" i="25"/>
  <c r="J867" i="25"/>
  <c r="J876" i="25"/>
  <c r="J885" i="25"/>
  <c r="J894" i="25"/>
  <c r="J903" i="25"/>
  <c r="J912" i="25"/>
  <c r="J922" i="25"/>
  <c r="J931" i="25"/>
  <c r="J940" i="25"/>
  <c r="J949" i="25"/>
  <c r="J958" i="25"/>
  <c r="J966" i="25"/>
  <c r="J974" i="25"/>
  <c r="J982" i="25"/>
  <c r="J990" i="25"/>
  <c r="J998" i="25"/>
  <c r="J1006" i="25"/>
  <c r="J1014" i="25"/>
  <c r="J1022" i="25"/>
  <c r="J1030" i="25"/>
  <c r="J1038" i="25"/>
  <c r="J136" i="25"/>
  <c r="J604" i="25"/>
  <c r="J744" i="25"/>
  <c r="J846" i="25"/>
  <c r="J928" i="25"/>
  <c r="J980" i="25"/>
  <c r="K320" i="25"/>
  <c r="K728" i="25"/>
  <c r="K834" i="25"/>
  <c r="K915" i="25"/>
  <c r="K1008" i="25"/>
  <c r="J91" i="25"/>
  <c r="J159" i="25"/>
  <c r="J205" i="25"/>
  <c r="J246" i="25"/>
  <c r="J287" i="25"/>
  <c r="J326" i="25"/>
  <c r="J358" i="25"/>
  <c r="J390" i="25"/>
  <c r="J421" i="25"/>
  <c r="J446" i="25"/>
  <c r="J470" i="25"/>
  <c r="J495" i="25"/>
  <c r="J519" i="25"/>
  <c r="J549" i="25"/>
  <c r="J571" i="25"/>
  <c r="J583" i="25"/>
  <c r="J596" i="25"/>
  <c r="J608" i="25"/>
  <c r="J622" i="25"/>
  <c r="J635" i="25"/>
  <c r="J647" i="25"/>
  <c r="J660" i="25"/>
  <c r="J672" i="25"/>
  <c r="J686" i="25"/>
  <c r="J699" i="25"/>
  <c r="J711" i="25"/>
  <c r="J724" i="25"/>
  <c r="J736" i="25"/>
  <c r="J750" i="25"/>
  <c r="J763" i="25"/>
  <c r="J775" i="25"/>
  <c r="J788" i="25"/>
  <c r="J800" i="25"/>
  <c r="J812" i="25"/>
  <c r="J822" i="25"/>
  <c r="J831" i="25"/>
  <c r="J840" i="25"/>
  <c r="J850" i="25"/>
  <c r="J859" i="25"/>
  <c r="J868" i="25"/>
  <c r="J877" i="25"/>
  <c r="J886" i="25"/>
  <c r="J895" i="25"/>
  <c r="J904" i="25"/>
  <c r="J914" i="25"/>
  <c r="J923" i="25"/>
  <c r="J932" i="25"/>
  <c r="J941" i="25"/>
  <c r="J950" i="25"/>
  <c r="J959" i="25"/>
  <c r="J967" i="25"/>
  <c r="J975" i="25"/>
  <c r="J983" i="25"/>
  <c r="J991" i="25"/>
  <c r="J999" i="25"/>
  <c r="J1007" i="25"/>
  <c r="J1015" i="25"/>
  <c r="J1023" i="25"/>
  <c r="J1031" i="25"/>
  <c r="J1039" i="25"/>
  <c r="J57" i="25"/>
  <c r="J229" i="25"/>
  <c r="J311" i="25"/>
  <c r="J375" i="25"/>
  <c r="J407" i="25"/>
  <c r="J462" i="25"/>
  <c r="J511" i="25"/>
  <c r="J565" i="25"/>
  <c r="J616" i="25"/>
  <c r="J680" i="25"/>
  <c r="J719" i="25"/>
  <c r="J771" i="25"/>
  <c r="J819" i="25"/>
  <c r="J855" i="25"/>
  <c r="J901" i="25"/>
  <c r="J956" i="25"/>
  <c r="J1028" i="25"/>
  <c r="K416" i="25"/>
  <c r="K730" i="25"/>
  <c r="K835" i="25"/>
  <c r="K928" i="25"/>
  <c r="K1010" i="25"/>
  <c r="J92" i="25"/>
  <c r="J165" i="25"/>
  <c r="J206" i="25"/>
  <c r="J247" i="25"/>
  <c r="J293" i="25"/>
  <c r="J327" i="25"/>
  <c r="J359" i="25"/>
  <c r="J391" i="25"/>
  <c r="J422" i="25"/>
  <c r="J447" i="25"/>
  <c r="J471" i="25"/>
  <c r="J501" i="25"/>
  <c r="J526" i="25"/>
  <c r="J550" i="25"/>
  <c r="J572" i="25"/>
  <c r="J584" i="25"/>
  <c r="J598" i="25"/>
  <c r="J611" i="25"/>
  <c r="J623" i="25"/>
  <c r="J636" i="25"/>
  <c r="J648" i="25"/>
  <c r="J662" i="25"/>
  <c r="J675" i="25"/>
  <c r="J687" i="25"/>
  <c r="J700" i="25"/>
  <c r="J712" i="25"/>
  <c r="J726" i="25"/>
  <c r="J739" i="25"/>
  <c r="J751" i="25"/>
  <c r="J764" i="25"/>
  <c r="J776" i="25"/>
  <c r="J790" i="25"/>
  <c r="J803" i="25"/>
  <c r="J814" i="25"/>
  <c r="J823" i="25"/>
  <c r="J832" i="25"/>
  <c r="J842" i="25"/>
  <c r="J851" i="25"/>
  <c r="J860" i="25"/>
  <c r="J869" i="25"/>
  <c r="J878" i="25"/>
  <c r="J887" i="25"/>
  <c r="J896" i="25"/>
  <c r="J906" i="25"/>
  <c r="J915" i="25"/>
  <c r="J924" i="25"/>
  <c r="J933" i="25"/>
  <c r="J942" i="25"/>
  <c r="J951" i="25"/>
  <c r="J960" i="25"/>
  <c r="J968" i="25"/>
  <c r="J976" i="25"/>
  <c r="J984" i="25"/>
  <c r="J992" i="25"/>
  <c r="J1000" i="25"/>
  <c r="J1008" i="25"/>
  <c r="J1016" i="25"/>
  <c r="J1024" i="25"/>
  <c r="J1032" i="25"/>
  <c r="K963" i="25"/>
  <c r="J630" i="25"/>
  <c r="J796" i="25"/>
  <c r="J892" i="25"/>
  <c r="J964" i="25"/>
  <c r="J1036" i="25"/>
  <c r="K495" i="25"/>
  <c r="K768" i="25"/>
  <c r="K864" i="25"/>
  <c r="K946" i="25"/>
  <c r="K1027" i="25"/>
  <c r="J121" i="25"/>
  <c r="J174" i="25"/>
  <c r="J215" i="25"/>
  <c r="J261" i="25"/>
  <c r="J302" i="25"/>
  <c r="J335" i="25"/>
  <c r="J367" i="25"/>
  <c r="J399" i="25"/>
  <c r="J423" i="25"/>
  <c r="J453" i="25"/>
  <c r="J478" i="25"/>
  <c r="J502" i="25"/>
  <c r="J527" i="25"/>
  <c r="J551" i="25"/>
  <c r="J574" i="25"/>
  <c r="J587" i="25"/>
  <c r="J599" i="25"/>
  <c r="J612" i="25"/>
  <c r="J624" i="25"/>
  <c r="J638" i="25"/>
  <c r="J651" i="25"/>
  <c r="J663" i="25"/>
  <c r="J676" i="25"/>
  <c r="J688" i="25"/>
  <c r="J702" i="25"/>
  <c r="J715" i="25"/>
  <c r="J727" i="25"/>
  <c r="J740" i="25"/>
  <c r="J752" i="25"/>
  <c r="J766" i="25"/>
  <c r="J779" i="25"/>
  <c r="J791" i="25"/>
  <c r="J804" i="25"/>
  <c r="J815" i="25"/>
  <c r="J824" i="25"/>
  <c r="J834" i="25"/>
  <c r="J843" i="25"/>
  <c r="J852" i="25"/>
  <c r="J861" i="25"/>
  <c r="J870" i="25"/>
  <c r="J879" i="25"/>
  <c r="J888" i="25"/>
  <c r="J898" i="25"/>
  <c r="J907" i="25"/>
  <c r="J916" i="25"/>
  <c r="J925" i="25"/>
  <c r="J934" i="25"/>
  <c r="J943" i="25"/>
  <c r="J952" i="25"/>
  <c r="J961" i="25"/>
  <c r="J969" i="25"/>
  <c r="J977" i="25"/>
  <c r="J985" i="25"/>
  <c r="J993" i="25"/>
  <c r="J1001" i="25"/>
  <c r="J1009" i="25"/>
  <c r="J1017" i="25"/>
  <c r="J1025" i="25"/>
  <c r="J1033" i="25"/>
  <c r="K882" i="25"/>
  <c r="J655" i="25"/>
  <c r="J783" i="25"/>
  <c r="J874" i="25"/>
  <c r="J938" i="25"/>
  <c r="J996" i="25"/>
  <c r="J1020" i="25"/>
  <c r="K553" i="25"/>
  <c r="K786" i="25"/>
  <c r="K867" i="25"/>
  <c r="K960" i="25"/>
  <c r="J43" i="25"/>
  <c r="J124" i="25"/>
  <c r="J181" i="25"/>
  <c r="J222" i="25"/>
  <c r="J263" i="25"/>
  <c r="J309" i="25"/>
  <c r="J341" i="25"/>
  <c r="J373" i="25"/>
  <c r="J405" i="25"/>
  <c r="J430" i="25"/>
  <c r="J454" i="25"/>
  <c r="J479" i="25"/>
  <c r="J503" i="25"/>
  <c r="J533" i="25"/>
  <c r="J558" i="25"/>
  <c r="J575" i="25"/>
  <c r="J588" i="25"/>
  <c r="J600" i="25"/>
  <c r="J614" i="25"/>
  <c r="J627" i="25"/>
  <c r="J639" i="25"/>
  <c r="J652" i="25"/>
  <c r="J664" i="25"/>
  <c r="J678" i="25"/>
  <c r="J691" i="25"/>
  <c r="J703" i="25"/>
  <c r="J716" i="25"/>
  <c r="J728" i="25"/>
  <c r="J742" i="25"/>
  <c r="J755" i="25"/>
  <c r="J767" i="25"/>
  <c r="J780" i="25"/>
  <c r="J792" i="25"/>
  <c r="J806" i="25"/>
  <c r="J816" i="25"/>
  <c r="J826" i="25"/>
  <c r="J835" i="25"/>
  <c r="J844" i="25"/>
  <c r="J853" i="25"/>
  <c r="J862" i="25"/>
  <c r="J871" i="25"/>
  <c r="J880" i="25"/>
  <c r="J890" i="25"/>
  <c r="J899" i="25"/>
  <c r="J908" i="25"/>
  <c r="J917" i="25"/>
  <c r="J926" i="25"/>
  <c r="J935" i="25"/>
  <c r="J944" i="25"/>
  <c r="J954" i="25"/>
  <c r="J962" i="25"/>
  <c r="J970" i="25"/>
  <c r="J978" i="25"/>
  <c r="J986" i="25"/>
  <c r="J994" i="25"/>
  <c r="J1002" i="25"/>
  <c r="J1010" i="25"/>
  <c r="J1018" i="25"/>
  <c r="J1026" i="25"/>
  <c r="J1034" i="25"/>
  <c r="K800" i="25"/>
  <c r="J668" i="25"/>
  <c r="J808" i="25"/>
  <c r="J883" i="25"/>
  <c r="J947" i="25"/>
  <c r="J1004" i="25"/>
  <c r="K559" i="25"/>
  <c r="K787" i="25"/>
  <c r="K880" i="25"/>
  <c r="K962" i="25"/>
  <c r="J44" i="25"/>
  <c r="J135" i="25"/>
  <c r="J182" i="25"/>
  <c r="J223" i="25"/>
  <c r="J269" i="25"/>
  <c r="J310" i="25"/>
  <c r="J342" i="25"/>
  <c r="J374" i="25"/>
  <c r="J406" i="25"/>
  <c r="J431" i="25"/>
  <c r="J455" i="25"/>
  <c r="J485" i="25"/>
  <c r="J510" i="25"/>
  <c r="J534" i="25"/>
  <c r="J559" i="25"/>
  <c r="J576" i="25"/>
  <c r="J590" i="25"/>
  <c r="J603" i="25"/>
  <c r="J615" i="25"/>
  <c r="J628" i="25"/>
  <c r="J640" i="25"/>
  <c r="J654" i="25"/>
  <c r="J667" i="25"/>
  <c r="J679" i="25"/>
  <c r="J692" i="25"/>
  <c r="J704" i="25"/>
  <c r="J718" i="25"/>
  <c r="J731" i="25"/>
  <c r="J743" i="25"/>
  <c r="J756" i="25"/>
  <c r="J768" i="25"/>
  <c r="J782" i="25"/>
  <c r="J795" i="25"/>
  <c r="J807" i="25"/>
  <c r="J818" i="25"/>
  <c r="J827" i="25"/>
  <c r="J836" i="25"/>
  <c r="J845" i="25"/>
  <c r="J854" i="25"/>
  <c r="J863" i="25"/>
  <c r="J872" i="25"/>
  <c r="J882" i="25"/>
  <c r="J891" i="25"/>
  <c r="J900" i="25"/>
  <c r="J909" i="25"/>
  <c r="J918" i="25"/>
  <c r="J927" i="25"/>
  <c r="J936" i="25"/>
  <c r="J946" i="25"/>
  <c r="J955" i="25"/>
  <c r="J963" i="25"/>
  <c r="J971" i="25"/>
  <c r="J979" i="25"/>
  <c r="J987" i="25"/>
  <c r="J995" i="25"/>
  <c r="J1003" i="25"/>
  <c r="J1011" i="25"/>
  <c r="J1019" i="25"/>
  <c r="J1027" i="25"/>
  <c r="J1035" i="25"/>
  <c r="K569" i="25"/>
  <c r="J270" i="25"/>
  <c r="J343" i="25"/>
  <c r="J437" i="25"/>
  <c r="J486" i="25"/>
  <c r="J535" i="25"/>
  <c r="J591" i="25"/>
  <c r="J643" i="25"/>
  <c r="J694" i="25"/>
  <c r="J707" i="25"/>
  <c r="J758" i="25"/>
  <c r="J828" i="25"/>
  <c r="J864" i="25"/>
  <c r="J910" i="25"/>
  <c r="J972" i="25"/>
  <c r="J1012" i="25"/>
  <c r="I1039" i="25"/>
  <c r="H1039" i="25"/>
  <c r="C40" i="25"/>
  <c r="I42" i="25"/>
  <c r="I50" i="25"/>
  <c r="I58" i="25"/>
  <c r="I66" i="25"/>
  <c r="I74" i="25"/>
  <c r="I82" i="25"/>
  <c r="I43" i="25"/>
  <c r="I51" i="25"/>
  <c r="I59" i="25"/>
  <c r="I67" i="25"/>
  <c r="I75" i="25"/>
  <c r="I83" i="25"/>
  <c r="I44" i="25"/>
  <c r="I52" i="25"/>
  <c r="I60" i="25"/>
  <c r="I68" i="25"/>
  <c r="I76" i="25"/>
  <c r="I45" i="25"/>
  <c r="I53" i="25"/>
  <c r="I61" i="25"/>
  <c r="I69" i="25"/>
  <c r="I77" i="25"/>
  <c r="I46" i="25"/>
  <c r="I54" i="25"/>
  <c r="I62" i="25"/>
  <c r="I70" i="25"/>
  <c r="I78" i="25"/>
  <c r="I47" i="25"/>
  <c r="I55" i="25"/>
  <c r="I63" i="25"/>
  <c r="I71" i="25"/>
  <c r="I79" i="25"/>
  <c r="I48" i="25"/>
  <c r="I56" i="25"/>
  <c r="I64" i="25"/>
  <c r="I72" i="25"/>
  <c r="I80" i="25"/>
  <c r="I41" i="25"/>
  <c r="I49" i="25"/>
  <c r="I57" i="25"/>
  <c r="I65" i="25"/>
  <c r="I73" i="25"/>
  <c r="I81" i="25"/>
  <c r="I84" i="25"/>
  <c r="I92" i="25"/>
  <c r="I100" i="25"/>
  <c r="I108" i="25"/>
  <c r="I116" i="25"/>
  <c r="I124" i="25"/>
  <c r="I132" i="25"/>
  <c r="I140" i="25"/>
  <c r="I148" i="25"/>
  <c r="I156" i="25"/>
  <c r="I164" i="25"/>
  <c r="I172" i="25"/>
  <c r="I180" i="25"/>
  <c r="I188" i="25"/>
  <c r="I196" i="25"/>
  <c r="I204" i="25"/>
  <c r="I212" i="25"/>
  <c r="I220" i="25"/>
  <c r="I228" i="25"/>
  <c r="I236" i="25"/>
  <c r="I244" i="25"/>
  <c r="I252" i="25"/>
  <c r="I260" i="25"/>
  <c r="I268" i="25"/>
  <c r="I276" i="25"/>
  <c r="I284" i="25"/>
  <c r="I292" i="25"/>
  <c r="I300" i="25"/>
  <c r="I308" i="25"/>
  <c r="I316" i="25"/>
  <c r="I324" i="25"/>
  <c r="I332" i="25"/>
  <c r="I340" i="25"/>
  <c r="I348" i="25"/>
  <c r="I356" i="25"/>
  <c r="I364" i="25"/>
  <c r="I372" i="25"/>
  <c r="I380" i="25"/>
  <c r="I388" i="25"/>
  <c r="I396" i="25"/>
  <c r="I404" i="25"/>
  <c r="I412" i="25"/>
  <c r="I420" i="25"/>
  <c r="I428" i="25"/>
  <c r="I436" i="25"/>
  <c r="I444" i="25"/>
  <c r="I452" i="25"/>
  <c r="I460" i="25"/>
  <c r="I468" i="25"/>
  <c r="I476" i="25"/>
  <c r="I484" i="25"/>
  <c r="I492" i="25"/>
  <c r="I500" i="25"/>
  <c r="I508" i="25"/>
  <c r="I516" i="25"/>
  <c r="I524" i="25"/>
  <c r="I532" i="25"/>
  <c r="I540" i="25"/>
  <c r="I548" i="25"/>
  <c r="I556" i="25"/>
  <c r="I564" i="25"/>
  <c r="I572" i="25"/>
  <c r="I580" i="25"/>
  <c r="I588" i="25"/>
  <c r="I596" i="25"/>
  <c r="I604" i="25"/>
  <c r="I612" i="25"/>
  <c r="I620" i="25"/>
  <c r="I628" i="25"/>
  <c r="I636" i="25"/>
  <c r="I644" i="25"/>
  <c r="I652" i="25"/>
  <c r="I660" i="25"/>
  <c r="I668" i="25"/>
  <c r="I676" i="25"/>
  <c r="I684" i="25"/>
  <c r="I692" i="25"/>
  <c r="I700" i="25"/>
  <c r="I708" i="25"/>
  <c r="I716" i="25"/>
  <c r="I724" i="25"/>
  <c r="I732" i="25"/>
  <c r="I85" i="25"/>
  <c r="I93" i="25"/>
  <c r="I101" i="25"/>
  <c r="I109" i="25"/>
  <c r="I117" i="25"/>
  <c r="I125" i="25"/>
  <c r="I133" i="25"/>
  <c r="I141" i="25"/>
  <c r="I149" i="25"/>
  <c r="I157" i="25"/>
  <c r="I165" i="25"/>
  <c r="I173" i="25"/>
  <c r="I181" i="25"/>
  <c r="I189" i="25"/>
  <c r="I197" i="25"/>
  <c r="I205" i="25"/>
  <c r="I213" i="25"/>
  <c r="I221" i="25"/>
  <c r="I229" i="25"/>
  <c r="I237" i="25"/>
  <c r="I245" i="25"/>
  <c r="I253" i="25"/>
  <c r="I261" i="25"/>
  <c r="I269" i="25"/>
  <c r="I277" i="25"/>
  <c r="I285" i="25"/>
  <c r="I293" i="25"/>
  <c r="I301" i="25"/>
  <c r="I309" i="25"/>
  <c r="I317" i="25"/>
  <c r="I325" i="25"/>
  <c r="I333" i="25"/>
  <c r="I341" i="25"/>
  <c r="I349" i="25"/>
  <c r="I357" i="25"/>
  <c r="I365" i="25"/>
  <c r="I373" i="25"/>
  <c r="I381" i="25"/>
  <c r="I389" i="25"/>
  <c r="I397" i="25"/>
  <c r="I405" i="25"/>
  <c r="I413" i="25"/>
  <c r="I421" i="25"/>
  <c r="I429" i="25"/>
  <c r="I437" i="25"/>
  <c r="I445" i="25"/>
  <c r="I453" i="25"/>
  <c r="I461" i="25"/>
  <c r="I469" i="25"/>
  <c r="I477" i="25"/>
  <c r="I485" i="25"/>
  <c r="I493" i="25"/>
  <c r="I501" i="25"/>
  <c r="I509" i="25"/>
  <c r="I517" i="25"/>
  <c r="I525" i="25"/>
  <c r="I533" i="25"/>
  <c r="I541" i="25"/>
  <c r="I549" i="25"/>
  <c r="I557" i="25"/>
  <c r="I565" i="25"/>
  <c r="I573" i="25"/>
  <c r="I581" i="25"/>
  <c r="I589" i="25"/>
  <c r="I597" i="25"/>
  <c r="I605" i="25"/>
  <c r="I613" i="25"/>
  <c r="I621" i="25"/>
  <c r="I629" i="25"/>
  <c r="I637" i="25"/>
  <c r="I645" i="25"/>
  <c r="I653" i="25"/>
  <c r="I661" i="25"/>
  <c r="I669" i="25"/>
  <c r="I677" i="25"/>
  <c r="I685" i="25"/>
  <c r="I693" i="25"/>
  <c r="I701" i="25"/>
  <c r="I709" i="25"/>
  <c r="I717" i="25"/>
  <c r="I725" i="25"/>
  <c r="I733" i="25"/>
  <c r="I741" i="25"/>
  <c r="I749" i="25"/>
  <c r="I757" i="25"/>
  <c r="I765" i="25"/>
  <c r="I86" i="25"/>
  <c r="I94" i="25"/>
  <c r="I102" i="25"/>
  <c r="I110" i="25"/>
  <c r="I118" i="25"/>
  <c r="I126" i="25"/>
  <c r="I134" i="25"/>
  <c r="I142" i="25"/>
  <c r="I150" i="25"/>
  <c r="I158" i="25"/>
  <c r="I166" i="25"/>
  <c r="I174" i="25"/>
  <c r="I182" i="25"/>
  <c r="I190" i="25"/>
  <c r="I198" i="25"/>
  <c r="I206" i="25"/>
  <c r="I214" i="25"/>
  <c r="I222" i="25"/>
  <c r="I230" i="25"/>
  <c r="I238" i="25"/>
  <c r="I246" i="25"/>
  <c r="I254" i="25"/>
  <c r="I262" i="25"/>
  <c r="I270" i="25"/>
  <c r="I278" i="25"/>
  <c r="I286" i="25"/>
  <c r="I294" i="25"/>
  <c r="I302" i="25"/>
  <c r="I310" i="25"/>
  <c r="I318" i="25"/>
  <c r="I326" i="25"/>
  <c r="I334" i="25"/>
  <c r="I342" i="25"/>
  <c r="I350" i="25"/>
  <c r="I358" i="25"/>
  <c r="I366" i="25"/>
  <c r="I374" i="25"/>
  <c r="I382" i="25"/>
  <c r="I390" i="25"/>
  <c r="I398" i="25"/>
  <c r="I406" i="25"/>
  <c r="I414" i="25"/>
  <c r="I422" i="25"/>
  <c r="I430" i="25"/>
  <c r="I438" i="25"/>
  <c r="I446" i="25"/>
  <c r="I454" i="25"/>
  <c r="I462" i="25"/>
  <c r="I470" i="25"/>
  <c r="I478" i="25"/>
  <c r="I486" i="25"/>
  <c r="I494" i="25"/>
  <c r="I502" i="25"/>
  <c r="I510" i="25"/>
  <c r="I518" i="25"/>
  <c r="I526" i="25"/>
  <c r="I534" i="25"/>
  <c r="I542" i="25"/>
  <c r="I550" i="25"/>
  <c r="I558" i="25"/>
  <c r="I566" i="25"/>
  <c r="I574" i="25"/>
  <c r="I582" i="25"/>
  <c r="I590" i="25"/>
  <c r="I598" i="25"/>
  <c r="I606" i="25"/>
  <c r="I614" i="25"/>
  <c r="I622" i="25"/>
  <c r="I630" i="25"/>
  <c r="I638" i="25"/>
  <c r="I646" i="25"/>
  <c r="I654" i="25"/>
  <c r="I662" i="25"/>
  <c r="I670" i="25"/>
  <c r="I678" i="25"/>
  <c r="I686" i="25"/>
  <c r="I694" i="25"/>
  <c r="I702" i="25"/>
  <c r="I710" i="25"/>
  <c r="I718" i="25"/>
  <c r="I726" i="25"/>
  <c r="I87" i="25"/>
  <c r="I95" i="25"/>
  <c r="I103" i="25"/>
  <c r="I111" i="25"/>
  <c r="I119" i="25"/>
  <c r="I127" i="25"/>
  <c r="I135" i="25"/>
  <c r="I143" i="25"/>
  <c r="I151" i="25"/>
  <c r="I159" i="25"/>
  <c r="I167" i="25"/>
  <c r="I175" i="25"/>
  <c r="I183" i="25"/>
  <c r="I191" i="25"/>
  <c r="I199" i="25"/>
  <c r="I207" i="25"/>
  <c r="I215" i="25"/>
  <c r="I223" i="25"/>
  <c r="I231" i="25"/>
  <c r="I239" i="25"/>
  <c r="I247" i="25"/>
  <c r="I255" i="25"/>
  <c r="I263" i="25"/>
  <c r="I271" i="25"/>
  <c r="I279" i="25"/>
  <c r="I287" i="25"/>
  <c r="I295" i="25"/>
  <c r="I303" i="25"/>
  <c r="I311" i="25"/>
  <c r="I319" i="25"/>
  <c r="I327" i="25"/>
  <c r="I335" i="25"/>
  <c r="I343" i="25"/>
  <c r="I351" i="25"/>
  <c r="I359" i="25"/>
  <c r="I367" i="25"/>
  <c r="I375" i="25"/>
  <c r="I383" i="25"/>
  <c r="I391" i="25"/>
  <c r="I399" i="25"/>
  <c r="I407" i="25"/>
  <c r="I415" i="25"/>
  <c r="I423" i="25"/>
  <c r="I431" i="25"/>
  <c r="I439" i="25"/>
  <c r="I447" i="25"/>
  <c r="I455" i="25"/>
  <c r="I463" i="25"/>
  <c r="I471" i="25"/>
  <c r="I479" i="25"/>
  <c r="I487" i="25"/>
  <c r="I495" i="25"/>
  <c r="I503" i="25"/>
  <c r="I511" i="25"/>
  <c r="I519" i="25"/>
  <c r="I527" i="25"/>
  <c r="I535" i="25"/>
  <c r="I543" i="25"/>
  <c r="I551" i="25"/>
  <c r="I559" i="25"/>
  <c r="I567" i="25"/>
  <c r="I575" i="25"/>
  <c r="I583" i="25"/>
  <c r="I591" i="25"/>
  <c r="I599" i="25"/>
  <c r="I607" i="25"/>
  <c r="I615" i="25"/>
  <c r="I623" i="25"/>
  <c r="I631" i="25"/>
  <c r="I639" i="25"/>
  <c r="I647" i="25"/>
  <c r="I655" i="25"/>
  <c r="I663" i="25"/>
  <c r="I671" i="25"/>
  <c r="I679" i="25"/>
  <c r="I687" i="25"/>
  <c r="I695" i="25"/>
  <c r="I703" i="25"/>
  <c r="I711" i="25"/>
  <c r="I719" i="25"/>
  <c r="I727" i="25"/>
  <c r="I88" i="25"/>
  <c r="I96" i="25"/>
  <c r="I104" i="25"/>
  <c r="I112" i="25"/>
  <c r="I120" i="25"/>
  <c r="I128" i="25"/>
  <c r="I136" i="25"/>
  <c r="I144" i="25"/>
  <c r="I152" i="25"/>
  <c r="I160" i="25"/>
  <c r="I168" i="25"/>
  <c r="I176" i="25"/>
  <c r="I184" i="25"/>
  <c r="I192" i="25"/>
  <c r="I200" i="25"/>
  <c r="I208" i="25"/>
  <c r="I216" i="25"/>
  <c r="I224" i="25"/>
  <c r="I232" i="25"/>
  <c r="I240" i="25"/>
  <c r="I248" i="25"/>
  <c r="I256" i="25"/>
  <c r="I264" i="25"/>
  <c r="I272" i="25"/>
  <c r="I280" i="25"/>
  <c r="I288" i="25"/>
  <c r="I296" i="25"/>
  <c r="I304" i="25"/>
  <c r="I312" i="25"/>
  <c r="I320" i="25"/>
  <c r="I328" i="25"/>
  <c r="I336" i="25"/>
  <c r="I344" i="25"/>
  <c r="I352" i="25"/>
  <c r="I360" i="25"/>
  <c r="I368" i="25"/>
  <c r="I376" i="25"/>
  <c r="I384" i="25"/>
  <c r="I392" i="25"/>
  <c r="I400" i="25"/>
  <c r="I408" i="25"/>
  <c r="I416" i="25"/>
  <c r="I424" i="25"/>
  <c r="I432" i="25"/>
  <c r="I440" i="25"/>
  <c r="I448" i="25"/>
  <c r="I456" i="25"/>
  <c r="I464" i="25"/>
  <c r="I472" i="25"/>
  <c r="I480" i="25"/>
  <c r="I488" i="25"/>
  <c r="I496" i="25"/>
  <c r="I504" i="25"/>
  <c r="I512" i="25"/>
  <c r="I520" i="25"/>
  <c r="I528" i="25"/>
  <c r="I536" i="25"/>
  <c r="I544" i="25"/>
  <c r="I552" i="25"/>
  <c r="I560" i="25"/>
  <c r="I568" i="25"/>
  <c r="I576" i="25"/>
  <c r="I584" i="25"/>
  <c r="I592" i="25"/>
  <c r="I600" i="25"/>
  <c r="I608" i="25"/>
  <c r="I616" i="25"/>
  <c r="I624" i="25"/>
  <c r="I632" i="25"/>
  <c r="I640" i="25"/>
  <c r="I648" i="25"/>
  <c r="I656" i="25"/>
  <c r="I664" i="25"/>
  <c r="I672" i="25"/>
  <c r="I680" i="25"/>
  <c r="I688" i="25"/>
  <c r="I696" i="25"/>
  <c r="I704" i="25"/>
  <c r="I712" i="25"/>
  <c r="I720" i="25"/>
  <c r="I728" i="25"/>
  <c r="I736" i="25"/>
  <c r="I744" i="25"/>
  <c r="I752" i="25"/>
  <c r="I760" i="25"/>
  <c r="I89" i="25"/>
  <c r="I97" i="25"/>
  <c r="I105" i="25"/>
  <c r="I113" i="25"/>
  <c r="I121" i="25"/>
  <c r="I129" i="25"/>
  <c r="I137" i="25"/>
  <c r="I145" i="25"/>
  <c r="I153" i="25"/>
  <c r="I161" i="25"/>
  <c r="I169" i="25"/>
  <c r="I177" i="25"/>
  <c r="I185" i="25"/>
  <c r="I193" i="25"/>
  <c r="I201" i="25"/>
  <c r="I209" i="25"/>
  <c r="I217" i="25"/>
  <c r="I225" i="25"/>
  <c r="I233" i="25"/>
  <c r="I241" i="25"/>
  <c r="I249" i="25"/>
  <c r="I257" i="25"/>
  <c r="I265" i="25"/>
  <c r="I273" i="25"/>
  <c r="I281" i="25"/>
  <c r="I289" i="25"/>
  <c r="I297" i="25"/>
  <c r="I305" i="25"/>
  <c r="I313" i="25"/>
  <c r="I321" i="25"/>
  <c r="I329" i="25"/>
  <c r="I337" i="25"/>
  <c r="I345" i="25"/>
  <c r="I353" i="25"/>
  <c r="I361" i="25"/>
  <c r="I369" i="25"/>
  <c r="I377" i="25"/>
  <c r="I385" i="25"/>
  <c r="I393" i="25"/>
  <c r="I401" i="25"/>
  <c r="I409" i="25"/>
  <c r="I417" i="25"/>
  <c r="I425" i="25"/>
  <c r="I433" i="25"/>
  <c r="I441" i="25"/>
  <c r="I449" i="25"/>
  <c r="I457" i="25"/>
  <c r="I465" i="25"/>
  <c r="I473" i="25"/>
  <c r="I481" i="25"/>
  <c r="I489" i="25"/>
  <c r="I497" i="25"/>
  <c r="I505" i="25"/>
  <c r="I513" i="25"/>
  <c r="I521" i="25"/>
  <c r="I529" i="25"/>
  <c r="I537" i="25"/>
  <c r="I545" i="25"/>
  <c r="I553" i="25"/>
  <c r="I561" i="25"/>
  <c r="I569" i="25"/>
  <c r="I577" i="25"/>
  <c r="I585" i="25"/>
  <c r="I593" i="25"/>
  <c r="I601" i="25"/>
  <c r="I609" i="25"/>
  <c r="I617" i="25"/>
  <c r="I625" i="25"/>
  <c r="I633" i="25"/>
  <c r="I641" i="25"/>
  <c r="I649" i="25"/>
  <c r="I657" i="25"/>
  <c r="I665" i="25"/>
  <c r="I673" i="25"/>
  <c r="I681" i="25"/>
  <c r="I689" i="25"/>
  <c r="I697" i="25"/>
  <c r="I705" i="25"/>
  <c r="I713" i="25"/>
  <c r="I721" i="25"/>
  <c r="I729" i="25"/>
  <c r="I90" i="25"/>
  <c r="I98" i="25"/>
  <c r="I106" i="25"/>
  <c r="I114" i="25"/>
  <c r="I122" i="25"/>
  <c r="I130" i="25"/>
  <c r="I138" i="25"/>
  <c r="I146" i="25"/>
  <c r="I154" i="25"/>
  <c r="I162" i="25"/>
  <c r="I170" i="25"/>
  <c r="I178" i="25"/>
  <c r="I186" i="25"/>
  <c r="I194" i="25"/>
  <c r="I202" i="25"/>
  <c r="I210" i="25"/>
  <c r="I218" i="25"/>
  <c r="I226" i="25"/>
  <c r="I234" i="25"/>
  <c r="I242" i="25"/>
  <c r="I250" i="25"/>
  <c r="I258" i="25"/>
  <c r="I266" i="25"/>
  <c r="I274" i="25"/>
  <c r="I282" i="25"/>
  <c r="I290" i="25"/>
  <c r="I298" i="25"/>
  <c r="I306" i="25"/>
  <c r="I314" i="25"/>
  <c r="I322" i="25"/>
  <c r="I330" i="25"/>
  <c r="I338" i="25"/>
  <c r="I346" i="25"/>
  <c r="I354" i="25"/>
  <c r="I362" i="25"/>
  <c r="I370" i="25"/>
  <c r="I378" i="25"/>
  <c r="I386" i="25"/>
  <c r="I394" i="25"/>
  <c r="I402" i="25"/>
  <c r="I410" i="25"/>
  <c r="I418" i="25"/>
  <c r="I426" i="25"/>
  <c r="I434" i="25"/>
  <c r="I442" i="25"/>
  <c r="I450" i="25"/>
  <c r="I458" i="25"/>
  <c r="I466" i="25"/>
  <c r="I474" i="25"/>
  <c r="I482" i="25"/>
  <c r="I490" i="25"/>
  <c r="I498" i="25"/>
  <c r="I506" i="25"/>
  <c r="I514" i="25"/>
  <c r="I522" i="25"/>
  <c r="I530" i="25"/>
  <c r="I538" i="25"/>
  <c r="I546" i="25"/>
  <c r="I554" i="25"/>
  <c r="I562" i="25"/>
  <c r="I570" i="25"/>
  <c r="I578" i="25"/>
  <c r="I586" i="25"/>
  <c r="I594" i="25"/>
  <c r="I602" i="25"/>
  <c r="I610" i="25"/>
  <c r="I618" i="25"/>
  <c r="I626" i="25"/>
  <c r="I634" i="25"/>
  <c r="I642" i="25"/>
  <c r="I650" i="25"/>
  <c r="I658" i="25"/>
  <c r="I666" i="25"/>
  <c r="I674" i="25"/>
  <c r="I682" i="25"/>
  <c r="I690" i="25"/>
  <c r="I698" i="25"/>
  <c r="I706" i="25"/>
  <c r="I714" i="25"/>
  <c r="I722" i="25"/>
  <c r="I730" i="25"/>
  <c r="I91" i="25"/>
  <c r="I99" i="25"/>
  <c r="I107" i="25"/>
  <c r="I115" i="25"/>
  <c r="I123" i="25"/>
  <c r="I131" i="25"/>
  <c r="I139" i="25"/>
  <c r="I147" i="25"/>
  <c r="I155" i="25"/>
  <c r="I163" i="25"/>
  <c r="I171" i="25"/>
  <c r="I179" i="25"/>
  <c r="I187" i="25"/>
  <c r="I195" i="25"/>
  <c r="I203" i="25"/>
  <c r="I211" i="25"/>
  <c r="I219" i="25"/>
  <c r="I227" i="25"/>
  <c r="I235" i="25"/>
  <c r="I243" i="25"/>
  <c r="I251" i="25"/>
  <c r="I259" i="25"/>
  <c r="I267" i="25"/>
  <c r="I275" i="25"/>
  <c r="I283" i="25"/>
  <c r="I291" i="25"/>
  <c r="I299" i="25"/>
  <c r="I307" i="25"/>
  <c r="I315" i="25"/>
  <c r="I323" i="25"/>
  <c r="I331" i="25"/>
  <c r="I339" i="25"/>
  <c r="I347" i="25"/>
  <c r="I355" i="25"/>
  <c r="I363" i="25"/>
  <c r="I371" i="25"/>
  <c r="I379" i="25"/>
  <c r="I387" i="25"/>
  <c r="I395" i="25"/>
  <c r="I403" i="25"/>
  <c r="I411" i="25"/>
  <c r="I419" i="25"/>
  <c r="I427" i="25"/>
  <c r="I435" i="25"/>
  <c r="I443" i="25"/>
  <c r="I451" i="25"/>
  <c r="I459" i="25"/>
  <c r="I467" i="25"/>
  <c r="I475" i="25"/>
  <c r="I483" i="25"/>
  <c r="I491" i="25"/>
  <c r="I499" i="25"/>
  <c r="I507" i="25"/>
  <c r="I515" i="25"/>
  <c r="I523" i="25"/>
  <c r="I531" i="25"/>
  <c r="I539" i="25"/>
  <c r="I547" i="25"/>
  <c r="I555" i="25"/>
  <c r="I563" i="25"/>
  <c r="I571" i="25"/>
  <c r="I579" i="25"/>
  <c r="I587" i="25"/>
  <c r="I595" i="25"/>
  <c r="I603" i="25"/>
  <c r="I611" i="25"/>
  <c r="I619" i="25"/>
  <c r="I627" i="25"/>
  <c r="I635" i="25"/>
  <c r="I643" i="25"/>
  <c r="I651" i="25"/>
  <c r="I659" i="25"/>
  <c r="I667" i="25"/>
  <c r="I675" i="25"/>
  <c r="I683" i="25"/>
  <c r="I691" i="25"/>
  <c r="I699" i="25"/>
  <c r="I707" i="25"/>
  <c r="I715" i="25"/>
  <c r="I723" i="25"/>
  <c r="I731" i="25"/>
  <c r="I734" i="25"/>
  <c r="I745" i="25"/>
  <c r="I755" i="25"/>
  <c r="I766" i="25"/>
  <c r="I774" i="25"/>
  <c r="I782" i="25"/>
  <c r="I790" i="25"/>
  <c r="I798" i="25"/>
  <c r="I806" i="25"/>
  <c r="I814" i="25"/>
  <c r="I822" i="25"/>
  <c r="I830" i="25"/>
  <c r="I838" i="25"/>
  <c r="I846" i="25"/>
  <c r="I854" i="25"/>
  <c r="I862" i="25"/>
  <c r="I870" i="25"/>
  <c r="I878" i="25"/>
  <c r="I886" i="25"/>
  <c r="I894" i="25"/>
  <c r="I902" i="25"/>
  <c r="I910" i="25"/>
  <c r="I918" i="25"/>
  <c r="I926" i="25"/>
  <c r="I934" i="25"/>
  <c r="I942" i="25"/>
  <c r="I950" i="25"/>
  <c r="I958" i="25"/>
  <c r="I966" i="25"/>
  <c r="I974" i="25"/>
  <c r="I982" i="25"/>
  <c r="I990" i="25"/>
  <c r="I998" i="25"/>
  <c r="I1006" i="25"/>
  <c r="I1014" i="25"/>
  <c r="I1022" i="25"/>
  <c r="I1030" i="25"/>
  <c r="I1038" i="25"/>
  <c r="H46" i="25"/>
  <c r="H54" i="25"/>
  <c r="H62" i="25"/>
  <c r="H70" i="25"/>
  <c r="H78" i="25"/>
  <c r="H86" i="25"/>
  <c r="H94" i="25"/>
  <c r="H102" i="25"/>
  <c r="H110" i="25"/>
  <c r="H118" i="25"/>
  <c r="H126" i="25"/>
  <c r="H134" i="25"/>
  <c r="H142" i="25"/>
  <c r="H150" i="25"/>
  <c r="H158" i="25"/>
  <c r="H166" i="25"/>
  <c r="H174" i="25"/>
  <c r="H182" i="25"/>
  <c r="H190" i="25"/>
  <c r="H198" i="25"/>
  <c r="H206" i="25"/>
  <c r="H214" i="25"/>
  <c r="H222" i="25"/>
  <c r="H230" i="25"/>
  <c r="H238" i="25"/>
  <c r="H246" i="25"/>
  <c r="H254" i="25"/>
  <c r="H262" i="25"/>
  <c r="H270" i="25"/>
  <c r="H278" i="25"/>
  <c r="H286" i="25"/>
  <c r="H294" i="25"/>
  <c r="H302" i="25"/>
  <c r="H310" i="25"/>
  <c r="H318" i="25"/>
  <c r="H326" i="25"/>
  <c r="H334" i="25"/>
  <c r="H342" i="25"/>
  <c r="H350" i="25"/>
  <c r="H358" i="25"/>
  <c r="H366" i="25"/>
  <c r="H374" i="25"/>
  <c r="H382" i="25"/>
  <c r="H390" i="25"/>
  <c r="H398" i="25"/>
  <c r="H406" i="25"/>
  <c r="H414" i="25"/>
  <c r="H422" i="25"/>
  <c r="I735" i="25"/>
  <c r="I746" i="25"/>
  <c r="I756" i="25"/>
  <c r="I767" i="25"/>
  <c r="I775" i="25"/>
  <c r="I783" i="25"/>
  <c r="I791" i="25"/>
  <c r="I799" i="25"/>
  <c r="I807" i="25"/>
  <c r="I815" i="25"/>
  <c r="I823" i="25"/>
  <c r="I831" i="25"/>
  <c r="I839" i="25"/>
  <c r="I847" i="25"/>
  <c r="I855" i="25"/>
  <c r="I863" i="25"/>
  <c r="I871" i="25"/>
  <c r="I879" i="25"/>
  <c r="I887" i="25"/>
  <c r="I895" i="25"/>
  <c r="I903" i="25"/>
  <c r="I911" i="25"/>
  <c r="I919" i="25"/>
  <c r="I927" i="25"/>
  <c r="I935" i="25"/>
  <c r="I943" i="25"/>
  <c r="I951" i="25"/>
  <c r="I959" i="25"/>
  <c r="I967" i="25"/>
  <c r="I975" i="25"/>
  <c r="I983" i="25"/>
  <c r="I991" i="25"/>
  <c r="I999" i="25"/>
  <c r="I1007" i="25"/>
  <c r="I1015" i="25"/>
  <c r="I1023" i="25"/>
  <c r="I1031" i="25"/>
  <c r="H47" i="25"/>
  <c r="H55" i="25"/>
  <c r="H63" i="25"/>
  <c r="H71" i="25"/>
  <c r="H79" i="25"/>
  <c r="H87" i="25"/>
  <c r="H95" i="25"/>
  <c r="H103" i="25"/>
  <c r="H111" i="25"/>
  <c r="H119" i="25"/>
  <c r="H127" i="25"/>
  <c r="H135" i="25"/>
  <c r="H143" i="25"/>
  <c r="H151" i="25"/>
  <c r="H159" i="25"/>
  <c r="H167" i="25"/>
  <c r="H175" i="25"/>
  <c r="H183" i="25"/>
  <c r="H191" i="25"/>
  <c r="H199" i="25"/>
  <c r="H207" i="25"/>
  <c r="H215" i="25"/>
  <c r="H223" i="25"/>
  <c r="H231" i="25"/>
  <c r="H239" i="25"/>
  <c r="H247" i="25"/>
  <c r="H255" i="25"/>
  <c r="H263" i="25"/>
  <c r="H271" i="25"/>
  <c r="H279" i="25"/>
  <c r="H287" i="25"/>
  <c r="H295" i="25"/>
  <c r="H303" i="25"/>
  <c r="H311" i="25"/>
  <c r="H319" i="25"/>
  <c r="H327" i="25"/>
  <c r="H335" i="25"/>
  <c r="H343" i="25"/>
  <c r="H351" i="25"/>
  <c r="H359" i="25"/>
  <c r="H367" i="25"/>
  <c r="H375" i="25"/>
  <c r="H383" i="25"/>
  <c r="H391" i="25"/>
  <c r="H399" i="25"/>
  <c r="H407" i="25"/>
  <c r="H415" i="25"/>
  <c r="H423" i="25"/>
  <c r="I737" i="25"/>
  <c r="I747" i="25"/>
  <c r="I758" i="25"/>
  <c r="I768" i="25"/>
  <c r="I776" i="25"/>
  <c r="I784" i="25"/>
  <c r="I792" i="25"/>
  <c r="I800" i="25"/>
  <c r="I808" i="25"/>
  <c r="I816" i="25"/>
  <c r="I824" i="25"/>
  <c r="I832" i="25"/>
  <c r="I840" i="25"/>
  <c r="I848" i="25"/>
  <c r="I856" i="25"/>
  <c r="I864" i="25"/>
  <c r="I872" i="25"/>
  <c r="I880" i="25"/>
  <c r="I888" i="25"/>
  <c r="I896" i="25"/>
  <c r="I904" i="25"/>
  <c r="I912" i="25"/>
  <c r="I920" i="25"/>
  <c r="I928" i="25"/>
  <c r="I936" i="25"/>
  <c r="I944" i="25"/>
  <c r="I952" i="25"/>
  <c r="I960" i="25"/>
  <c r="I968" i="25"/>
  <c r="I976" i="25"/>
  <c r="I984" i="25"/>
  <c r="I992" i="25"/>
  <c r="I1000" i="25"/>
  <c r="I1008" i="25"/>
  <c r="I1016" i="25"/>
  <c r="I1024" i="25"/>
  <c r="I1032" i="25"/>
  <c r="H48" i="25"/>
  <c r="H56" i="25"/>
  <c r="H64" i="25"/>
  <c r="H72" i="25"/>
  <c r="H80" i="25"/>
  <c r="H88" i="25"/>
  <c r="H96" i="25"/>
  <c r="H104" i="25"/>
  <c r="H112" i="25"/>
  <c r="H120" i="25"/>
  <c r="H128" i="25"/>
  <c r="H136" i="25"/>
  <c r="H144" i="25"/>
  <c r="H152" i="25"/>
  <c r="H160" i="25"/>
  <c r="H168" i="25"/>
  <c r="H176" i="25"/>
  <c r="H184" i="25"/>
  <c r="H192" i="25"/>
  <c r="H200" i="25"/>
  <c r="H208" i="25"/>
  <c r="H216" i="25"/>
  <c r="H224" i="25"/>
  <c r="H232" i="25"/>
  <c r="H240" i="25"/>
  <c r="H248" i="25"/>
  <c r="H256" i="25"/>
  <c r="H264" i="25"/>
  <c r="H272" i="25"/>
  <c r="H280" i="25"/>
  <c r="H288" i="25"/>
  <c r="H296" i="25"/>
  <c r="H304" i="25"/>
  <c r="H312" i="25"/>
  <c r="H320" i="25"/>
  <c r="H328" i="25"/>
  <c r="H336" i="25"/>
  <c r="H344" i="25"/>
  <c r="H352" i="25"/>
  <c r="H360" i="25"/>
  <c r="H368" i="25"/>
  <c r="H376" i="25"/>
  <c r="H384" i="25"/>
  <c r="H392" i="25"/>
  <c r="H400" i="25"/>
  <c r="H408" i="25"/>
  <c r="H416" i="25"/>
  <c r="H424" i="25"/>
  <c r="I738" i="25"/>
  <c r="I748" i="25"/>
  <c r="I759" i="25"/>
  <c r="I769" i="25"/>
  <c r="I777" i="25"/>
  <c r="I785" i="25"/>
  <c r="I793" i="25"/>
  <c r="I801" i="25"/>
  <c r="I809" i="25"/>
  <c r="I817" i="25"/>
  <c r="I825" i="25"/>
  <c r="I833" i="25"/>
  <c r="I841" i="25"/>
  <c r="I849" i="25"/>
  <c r="I857" i="25"/>
  <c r="I865" i="25"/>
  <c r="I873" i="25"/>
  <c r="I881" i="25"/>
  <c r="I889" i="25"/>
  <c r="I897" i="25"/>
  <c r="I905" i="25"/>
  <c r="I913" i="25"/>
  <c r="I921" i="25"/>
  <c r="I929" i="25"/>
  <c r="I937" i="25"/>
  <c r="I945" i="25"/>
  <c r="I953" i="25"/>
  <c r="I961" i="25"/>
  <c r="I969" i="25"/>
  <c r="I977" i="25"/>
  <c r="I985" i="25"/>
  <c r="I993" i="25"/>
  <c r="I1001" i="25"/>
  <c r="I1009" i="25"/>
  <c r="I1017" i="25"/>
  <c r="I1025" i="25"/>
  <c r="I1033" i="25"/>
  <c r="H41" i="25"/>
  <c r="H49" i="25"/>
  <c r="H57" i="25"/>
  <c r="H65" i="25"/>
  <c r="H73" i="25"/>
  <c r="H81" i="25"/>
  <c r="H89" i="25"/>
  <c r="H97" i="25"/>
  <c r="H105" i="25"/>
  <c r="H113" i="25"/>
  <c r="H121" i="25"/>
  <c r="H129" i="25"/>
  <c r="H137" i="25"/>
  <c r="H145" i="25"/>
  <c r="H153" i="25"/>
  <c r="H161" i="25"/>
  <c r="H169" i="25"/>
  <c r="H177" i="25"/>
  <c r="H185" i="25"/>
  <c r="H193" i="25"/>
  <c r="H201" i="25"/>
  <c r="H209" i="25"/>
  <c r="H217" i="25"/>
  <c r="H225" i="25"/>
  <c r="H233" i="25"/>
  <c r="H241" i="25"/>
  <c r="H249" i="25"/>
  <c r="H257" i="25"/>
  <c r="H265" i="25"/>
  <c r="H273" i="25"/>
  <c r="H281" i="25"/>
  <c r="H289" i="25"/>
  <c r="H297" i="25"/>
  <c r="H305" i="25"/>
  <c r="H313" i="25"/>
  <c r="H321" i="25"/>
  <c r="H329" i="25"/>
  <c r="H337" i="25"/>
  <c r="H345" i="25"/>
  <c r="H353" i="25"/>
  <c r="H361" i="25"/>
  <c r="H369" i="25"/>
  <c r="H377" i="25"/>
  <c r="H385" i="25"/>
  <c r="H393" i="25"/>
  <c r="H401" i="25"/>
  <c r="H409" i="25"/>
  <c r="H417" i="25"/>
  <c r="I739" i="25"/>
  <c r="I750" i="25"/>
  <c r="I761" i="25"/>
  <c r="I770" i="25"/>
  <c r="I778" i="25"/>
  <c r="I786" i="25"/>
  <c r="I794" i="25"/>
  <c r="I802" i="25"/>
  <c r="I810" i="25"/>
  <c r="I818" i="25"/>
  <c r="I826" i="25"/>
  <c r="I834" i="25"/>
  <c r="I842" i="25"/>
  <c r="I850" i="25"/>
  <c r="I858" i="25"/>
  <c r="I866" i="25"/>
  <c r="I874" i="25"/>
  <c r="I882" i="25"/>
  <c r="I890" i="25"/>
  <c r="I898" i="25"/>
  <c r="I906" i="25"/>
  <c r="I914" i="25"/>
  <c r="I922" i="25"/>
  <c r="I930" i="25"/>
  <c r="I938" i="25"/>
  <c r="I946" i="25"/>
  <c r="I954" i="25"/>
  <c r="I962" i="25"/>
  <c r="I970" i="25"/>
  <c r="I978" i="25"/>
  <c r="I986" i="25"/>
  <c r="I994" i="25"/>
  <c r="I1002" i="25"/>
  <c r="I1010" i="25"/>
  <c r="I1018" i="25"/>
  <c r="I1026" i="25"/>
  <c r="I1034" i="25"/>
  <c r="H42" i="25"/>
  <c r="H50" i="25"/>
  <c r="H58" i="25"/>
  <c r="H66" i="25"/>
  <c r="H74" i="25"/>
  <c r="H82" i="25"/>
  <c r="H90" i="25"/>
  <c r="H98" i="25"/>
  <c r="H106" i="25"/>
  <c r="H114" i="25"/>
  <c r="H122" i="25"/>
  <c r="H130" i="25"/>
  <c r="H138" i="25"/>
  <c r="H146" i="25"/>
  <c r="H154" i="25"/>
  <c r="H162" i="25"/>
  <c r="H170" i="25"/>
  <c r="H178" i="25"/>
  <c r="H186" i="25"/>
  <c r="H194" i="25"/>
  <c r="H202" i="25"/>
  <c r="H210" i="25"/>
  <c r="H218" i="25"/>
  <c r="H226" i="25"/>
  <c r="H234" i="25"/>
  <c r="H242" i="25"/>
  <c r="H250" i="25"/>
  <c r="H258" i="25"/>
  <c r="H266" i="25"/>
  <c r="H274" i="25"/>
  <c r="H282" i="25"/>
  <c r="H290" i="25"/>
  <c r="H298" i="25"/>
  <c r="H306" i="25"/>
  <c r="H314" i="25"/>
  <c r="H322" i="25"/>
  <c r="H330" i="25"/>
  <c r="H338" i="25"/>
  <c r="H346" i="25"/>
  <c r="H354" i="25"/>
  <c r="H362" i="25"/>
  <c r="H370" i="25"/>
  <c r="H378" i="25"/>
  <c r="H386" i="25"/>
  <c r="H394" i="25"/>
  <c r="H402" i="25"/>
  <c r="H410" i="25"/>
  <c r="H418" i="25"/>
  <c r="I740" i="25"/>
  <c r="I751" i="25"/>
  <c r="I762" i="25"/>
  <c r="I771" i="25"/>
  <c r="I779" i="25"/>
  <c r="I787" i="25"/>
  <c r="I795" i="25"/>
  <c r="I803" i="25"/>
  <c r="I811" i="25"/>
  <c r="I819" i="25"/>
  <c r="I827" i="25"/>
  <c r="I835" i="25"/>
  <c r="I843" i="25"/>
  <c r="I851" i="25"/>
  <c r="I859" i="25"/>
  <c r="I867" i="25"/>
  <c r="I875" i="25"/>
  <c r="I883" i="25"/>
  <c r="I891" i="25"/>
  <c r="I899" i="25"/>
  <c r="I907" i="25"/>
  <c r="I915" i="25"/>
  <c r="I923" i="25"/>
  <c r="I931" i="25"/>
  <c r="I939" i="25"/>
  <c r="I947" i="25"/>
  <c r="I955" i="25"/>
  <c r="I963" i="25"/>
  <c r="I971" i="25"/>
  <c r="I979" i="25"/>
  <c r="I987" i="25"/>
  <c r="I995" i="25"/>
  <c r="I1003" i="25"/>
  <c r="I1011" i="25"/>
  <c r="I1019" i="25"/>
  <c r="I1027" i="25"/>
  <c r="I1035" i="25"/>
  <c r="H43" i="25"/>
  <c r="H51" i="25"/>
  <c r="H59" i="25"/>
  <c r="H67" i="25"/>
  <c r="H75" i="25"/>
  <c r="H83" i="25"/>
  <c r="H91" i="25"/>
  <c r="H99" i="25"/>
  <c r="H107" i="25"/>
  <c r="H115" i="25"/>
  <c r="H123" i="25"/>
  <c r="H131" i="25"/>
  <c r="H139" i="25"/>
  <c r="H147" i="25"/>
  <c r="H155" i="25"/>
  <c r="H163" i="25"/>
  <c r="H171" i="25"/>
  <c r="H179" i="25"/>
  <c r="H187" i="25"/>
  <c r="H195" i="25"/>
  <c r="H203" i="25"/>
  <c r="H211" i="25"/>
  <c r="H219" i="25"/>
  <c r="H227" i="25"/>
  <c r="H235" i="25"/>
  <c r="H243" i="25"/>
  <c r="H251" i="25"/>
  <c r="H259" i="25"/>
  <c r="H267" i="25"/>
  <c r="H275" i="25"/>
  <c r="H283" i="25"/>
  <c r="H291" i="25"/>
  <c r="H299" i="25"/>
  <c r="H307" i="25"/>
  <c r="H315" i="25"/>
  <c r="H323" i="25"/>
  <c r="H331" i="25"/>
  <c r="H339" i="25"/>
  <c r="H347" i="25"/>
  <c r="H355" i="25"/>
  <c r="H363" i="25"/>
  <c r="H371" i="25"/>
  <c r="H379" i="25"/>
  <c r="H387" i="25"/>
  <c r="H395" i="25"/>
  <c r="H403" i="25"/>
  <c r="H411" i="25"/>
  <c r="H419" i="25"/>
  <c r="I742" i="25"/>
  <c r="I753" i="25"/>
  <c r="I763" i="25"/>
  <c r="I772" i="25"/>
  <c r="I780" i="25"/>
  <c r="I788" i="25"/>
  <c r="I796" i="25"/>
  <c r="I804" i="25"/>
  <c r="I812" i="25"/>
  <c r="I820" i="25"/>
  <c r="I828" i="25"/>
  <c r="I836" i="25"/>
  <c r="I844" i="25"/>
  <c r="I852" i="25"/>
  <c r="I860" i="25"/>
  <c r="I868" i="25"/>
  <c r="I876" i="25"/>
  <c r="I884" i="25"/>
  <c r="I892" i="25"/>
  <c r="I900" i="25"/>
  <c r="I908" i="25"/>
  <c r="I916" i="25"/>
  <c r="I924" i="25"/>
  <c r="I932" i="25"/>
  <c r="I940" i="25"/>
  <c r="I948" i="25"/>
  <c r="I956" i="25"/>
  <c r="I964" i="25"/>
  <c r="I972" i="25"/>
  <c r="I980" i="25"/>
  <c r="I988" i="25"/>
  <c r="I996" i="25"/>
  <c r="I1004" i="25"/>
  <c r="I1012" i="25"/>
  <c r="I1020" i="25"/>
  <c r="I1028" i="25"/>
  <c r="I1036" i="25"/>
  <c r="H44" i="25"/>
  <c r="H52" i="25"/>
  <c r="H60" i="25"/>
  <c r="H68" i="25"/>
  <c r="H76" i="25"/>
  <c r="H84" i="25"/>
  <c r="H92" i="25"/>
  <c r="H100" i="25"/>
  <c r="H108" i="25"/>
  <c r="H116" i="25"/>
  <c r="H124" i="25"/>
  <c r="H132" i="25"/>
  <c r="H140" i="25"/>
  <c r="H148" i="25"/>
  <c r="H156" i="25"/>
  <c r="H164" i="25"/>
  <c r="H172" i="25"/>
  <c r="H180" i="25"/>
  <c r="H188" i="25"/>
  <c r="H196" i="25"/>
  <c r="H204" i="25"/>
  <c r="H212" i="25"/>
  <c r="H220" i="25"/>
  <c r="H228" i="25"/>
  <c r="H236" i="25"/>
  <c r="H244" i="25"/>
  <c r="H252" i="25"/>
  <c r="H260" i="25"/>
  <c r="H268" i="25"/>
  <c r="H276" i="25"/>
  <c r="H284" i="25"/>
  <c r="H292" i="25"/>
  <c r="H300" i="25"/>
  <c r="H308" i="25"/>
  <c r="H316" i="25"/>
  <c r="H324" i="25"/>
  <c r="H332" i="25"/>
  <c r="H340" i="25"/>
  <c r="H348" i="25"/>
  <c r="H356" i="25"/>
  <c r="H364" i="25"/>
  <c r="H372" i="25"/>
  <c r="H380" i="25"/>
  <c r="H388" i="25"/>
  <c r="H396" i="25"/>
  <c r="H404" i="25"/>
  <c r="H412" i="25"/>
  <c r="H420" i="25"/>
  <c r="I743" i="25"/>
  <c r="I754" i="25"/>
  <c r="I764" i="25"/>
  <c r="I773" i="25"/>
  <c r="I781" i="25"/>
  <c r="I789" i="25"/>
  <c r="I797" i="25"/>
  <c r="I805" i="25"/>
  <c r="I813" i="25"/>
  <c r="I821" i="25"/>
  <c r="I829" i="25"/>
  <c r="I837" i="25"/>
  <c r="I845" i="25"/>
  <c r="I853" i="25"/>
  <c r="I861" i="25"/>
  <c r="I869" i="25"/>
  <c r="I877" i="25"/>
  <c r="I885" i="25"/>
  <c r="I893" i="25"/>
  <c r="I901" i="25"/>
  <c r="I909" i="25"/>
  <c r="I917" i="25"/>
  <c r="I925" i="25"/>
  <c r="I933" i="25"/>
  <c r="I941" i="25"/>
  <c r="I949" i="25"/>
  <c r="I957" i="25"/>
  <c r="I965" i="25"/>
  <c r="I973" i="25"/>
  <c r="I981" i="25"/>
  <c r="I989" i="25"/>
  <c r="I997" i="25"/>
  <c r="I1005" i="25"/>
  <c r="I1013" i="25"/>
  <c r="I1021" i="25"/>
  <c r="I1029" i="25"/>
  <c r="I1037" i="25"/>
  <c r="H45" i="25"/>
  <c r="H53" i="25"/>
  <c r="H61" i="25"/>
  <c r="H69" i="25"/>
  <c r="H77" i="25"/>
  <c r="H85" i="25"/>
  <c r="H93" i="25"/>
  <c r="H101" i="25"/>
  <c r="H109" i="25"/>
  <c r="H117" i="25"/>
  <c r="H125" i="25"/>
  <c r="H133" i="25"/>
  <c r="H141" i="25"/>
  <c r="H149" i="25"/>
  <c r="H157" i="25"/>
  <c r="H165" i="25"/>
  <c r="H173" i="25"/>
  <c r="H181" i="25"/>
  <c r="H189" i="25"/>
  <c r="H197" i="25"/>
  <c r="H205" i="25"/>
  <c r="H213" i="25"/>
  <c r="H221" i="25"/>
  <c r="H229" i="25"/>
  <c r="H237" i="25"/>
  <c r="H245" i="25"/>
  <c r="H253" i="25"/>
  <c r="H261" i="25"/>
  <c r="H269" i="25"/>
  <c r="H277" i="25"/>
  <c r="H285" i="25"/>
  <c r="H293" i="25"/>
  <c r="H301" i="25"/>
  <c r="H309" i="25"/>
  <c r="H317" i="25"/>
  <c r="H325" i="25"/>
  <c r="H333" i="25"/>
  <c r="H341" i="25"/>
  <c r="H349" i="25"/>
  <c r="H357" i="25"/>
  <c r="H365" i="25"/>
  <c r="H373" i="25"/>
  <c r="H381" i="25"/>
  <c r="H389" i="25"/>
  <c r="H397" i="25"/>
  <c r="H405" i="25"/>
  <c r="H413" i="25"/>
  <c r="H421" i="25"/>
  <c r="H425" i="25"/>
  <c r="H433" i="25"/>
  <c r="H441" i="25"/>
  <c r="H449" i="25"/>
  <c r="H457" i="25"/>
  <c r="H465" i="25"/>
  <c r="H473" i="25"/>
  <c r="H481" i="25"/>
  <c r="H489" i="25"/>
  <c r="H497" i="25"/>
  <c r="H505" i="25"/>
  <c r="H513" i="25"/>
  <c r="H521" i="25"/>
  <c r="H529" i="25"/>
  <c r="H537" i="25"/>
  <c r="H545" i="25"/>
  <c r="H553" i="25"/>
  <c r="H561" i="25"/>
  <c r="H569" i="25"/>
  <c r="H577" i="25"/>
  <c r="H585" i="25"/>
  <c r="H593" i="25"/>
  <c r="H601" i="25"/>
  <c r="H609" i="25"/>
  <c r="H617" i="25"/>
  <c r="H625" i="25"/>
  <c r="H633" i="25"/>
  <c r="H641" i="25"/>
  <c r="H649" i="25"/>
  <c r="H657" i="25"/>
  <c r="H665" i="25"/>
  <c r="H673" i="25"/>
  <c r="H681" i="25"/>
  <c r="H689" i="25"/>
  <c r="H697" i="25"/>
  <c r="H705" i="25"/>
  <c r="H713" i="25"/>
  <c r="H721" i="25"/>
  <c r="H729" i="25"/>
  <c r="H737" i="25"/>
  <c r="H745" i="25"/>
  <c r="H753" i="25"/>
  <c r="H761" i="25"/>
  <c r="H769" i="25"/>
  <c r="H777" i="25"/>
  <c r="H785" i="25"/>
  <c r="H793" i="25"/>
  <c r="H801" i="25"/>
  <c r="H809" i="25"/>
  <c r="H817" i="25"/>
  <c r="H825" i="25"/>
  <c r="H833" i="25"/>
  <c r="H841" i="25"/>
  <c r="H849" i="25"/>
  <c r="H857" i="25"/>
  <c r="H865" i="25"/>
  <c r="H873" i="25"/>
  <c r="H881" i="25"/>
  <c r="H889" i="25"/>
  <c r="H897" i="25"/>
  <c r="H905" i="25"/>
  <c r="H913" i="25"/>
  <c r="H921" i="25"/>
  <c r="H929" i="25"/>
  <c r="H937" i="25"/>
  <c r="H945" i="25"/>
  <c r="H953" i="25"/>
  <c r="H961" i="25"/>
  <c r="H969" i="25"/>
  <c r="H977" i="25"/>
  <c r="H985" i="25"/>
  <c r="H993" i="25"/>
  <c r="H1001" i="25"/>
  <c r="H1009" i="25"/>
  <c r="H1017" i="25"/>
  <c r="H1025" i="25"/>
  <c r="H1033" i="25"/>
  <c r="H426" i="25"/>
  <c r="H434" i="25"/>
  <c r="H442" i="25"/>
  <c r="H450" i="25"/>
  <c r="H458" i="25"/>
  <c r="H466" i="25"/>
  <c r="H474" i="25"/>
  <c r="H482" i="25"/>
  <c r="H490" i="25"/>
  <c r="H498" i="25"/>
  <c r="H506" i="25"/>
  <c r="H514" i="25"/>
  <c r="H522" i="25"/>
  <c r="H530" i="25"/>
  <c r="H538" i="25"/>
  <c r="H546" i="25"/>
  <c r="H554" i="25"/>
  <c r="H562" i="25"/>
  <c r="H570" i="25"/>
  <c r="H578" i="25"/>
  <c r="H586" i="25"/>
  <c r="H594" i="25"/>
  <c r="H602" i="25"/>
  <c r="H610" i="25"/>
  <c r="H618" i="25"/>
  <c r="H626" i="25"/>
  <c r="H634" i="25"/>
  <c r="H642" i="25"/>
  <c r="H650" i="25"/>
  <c r="H658" i="25"/>
  <c r="H666" i="25"/>
  <c r="H674" i="25"/>
  <c r="H682" i="25"/>
  <c r="H690" i="25"/>
  <c r="H698" i="25"/>
  <c r="H706" i="25"/>
  <c r="H714" i="25"/>
  <c r="H722" i="25"/>
  <c r="H730" i="25"/>
  <c r="H738" i="25"/>
  <c r="H746" i="25"/>
  <c r="H754" i="25"/>
  <c r="H762" i="25"/>
  <c r="H770" i="25"/>
  <c r="H778" i="25"/>
  <c r="H786" i="25"/>
  <c r="H794" i="25"/>
  <c r="H802" i="25"/>
  <c r="H810" i="25"/>
  <c r="H818" i="25"/>
  <c r="H826" i="25"/>
  <c r="H834" i="25"/>
  <c r="H842" i="25"/>
  <c r="H850" i="25"/>
  <c r="H858" i="25"/>
  <c r="H866" i="25"/>
  <c r="H874" i="25"/>
  <c r="H882" i="25"/>
  <c r="H890" i="25"/>
  <c r="H898" i="25"/>
  <c r="H906" i="25"/>
  <c r="H914" i="25"/>
  <c r="H922" i="25"/>
  <c r="H930" i="25"/>
  <c r="H938" i="25"/>
  <c r="H946" i="25"/>
  <c r="H954" i="25"/>
  <c r="H962" i="25"/>
  <c r="H970" i="25"/>
  <c r="H978" i="25"/>
  <c r="H986" i="25"/>
  <c r="H994" i="25"/>
  <c r="H1002" i="25"/>
  <c r="H1010" i="25"/>
  <c r="H1018" i="25"/>
  <c r="H1026" i="25"/>
  <c r="H1034" i="25"/>
  <c r="H427" i="25"/>
  <c r="H435" i="25"/>
  <c r="H443" i="25"/>
  <c r="H451" i="25"/>
  <c r="H459" i="25"/>
  <c r="H467" i="25"/>
  <c r="H475" i="25"/>
  <c r="H483" i="25"/>
  <c r="H491" i="25"/>
  <c r="H499" i="25"/>
  <c r="H507" i="25"/>
  <c r="H515" i="25"/>
  <c r="H523" i="25"/>
  <c r="H531" i="25"/>
  <c r="H539" i="25"/>
  <c r="H547" i="25"/>
  <c r="H555" i="25"/>
  <c r="H563" i="25"/>
  <c r="H571" i="25"/>
  <c r="H579" i="25"/>
  <c r="H587" i="25"/>
  <c r="H595" i="25"/>
  <c r="H603" i="25"/>
  <c r="H611" i="25"/>
  <c r="H619" i="25"/>
  <c r="H627" i="25"/>
  <c r="H635" i="25"/>
  <c r="H643" i="25"/>
  <c r="H651" i="25"/>
  <c r="H659" i="25"/>
  <c r="H667" i="25"/>
  <c r="H675" i="25"/>
  <c r="H683" i="25"/>
  <c r="H691" i="25"/>
  <c r="H699" i="25"/>
  <c r="H707" i="25"/>
  <c r="H715" i="25"/>
  <c r="H723" i="25"/>
  <c r="H731" i="25"/>
  <c r="H739" i="25"/>
  <c r="H747" i="25"/>
  <c r="H755" i="25"/>
  <c r="H763" i="25"/>
  <c r="H771" i="25"/>
  <c r="H779" i="25"/>
  <c r="H787" i="25"/>
  <c r="H795" i="25"/>
  <c r="H803" i="25"/>
  <c r="H811" i="25"/>
  <c r="H819" i="25"/>
  <c r="H827" i="25"/>
  <c r="H835" i="25"/>
  <c r="H843" i="25"/>
  <c r="H851" i="25"/>
  <c r="H859" i="25"/>
  <c r="H867" i="25"/>
  <c r="H875" i="25"/>
  <c r="H883" i="25"/>
  <c r="H891" i="25"/>
  <c r="H899" i="25"/>
  <c r="H907" i="25"/>
  <c r="H915" i="25"/>
  <c r="H923" i="25"/>
  <c r="H931" i="25"/>
  <c r="H939" i="25"/>
  <c r="H947" i="25"/>
  <c r="H955" i="25"/>
  <c r="H963" i="25"/>
  <c r="H971" i="25"/>
  <c r="H979" i="25"/>
  <c r="H987" i="25"/>
  <c r="H995" i="25"/>
  <c r="H1003" i="25"/>
  <c r="H1011" i="25"/>
  <c r="H1019" i="25"/>
  <c r="H1027" i="25"/>
  <c r="H1035" i="25"/>
  <c r="H428" i="25"/>
  <c r="H436" i="25"/>
  <c r="H444" i="25"/>
  <c r="H452" i="25"/>
  <c r="H460" i="25"/>
  <c r="H468" i="25"/>
  <c r="H476" i="25"/>
  <c r="H484" i="25"/>
  <c r="H492" i="25"/>
  <c r="H500" i="25"/>
  <c r="H508" i="25"/>
  <c r="H516" i="25"/>
  <c r="H524" i="25"/>
  <c r="H532" i="25"/>
  <c r="H540" i="25"/>
  <c r="H548" i="25"/>
  <c r="H556" i="25"/>
  <c r="H564" i="25"/>
  <c r="H572" i="25"/>
  <c r="H580" i="25"/>
  <c r="H588" i="25"/>
  <c r="H596" i="25"/>
  <c r="H604" i="25"/>
  <c r="H612" i="25"/>
  <c r="H620" i="25"/>
  <c r="H628" i="25"/>
  <c r="H636" i="25"/>
  <c r="H644" i="25"/>
  <c r="H652" i="25"/>
  <c r="H660" i="25"/>
  <c r="H668" i="25"/>
  <c r="H676" i="25"/>
  <c r="H684" i="25"/>
  <c r="H692" i="25"/>
  <c r="H700" i="25"/>
  <c r="H708" i="25"/>
  <c r="H716" i="25"/>
  <c r="H724" i="25"/>
  <c r="H732" i="25"/>
  <c r="H740" i="25"/>
  <c r="H748" i="25"/>
  <c r="H756" i="25"/>
  <c r="H764" i="25"/>
  <c r="H772" i="25"/>
  <c r="H780" i="25"/>
  <c r="H788" i="25"/>
  <c r="H796" i="25"/>
  <c r="H804" i="25"/>
  <c r="H812" i="25"/>
  <c r="H820" i="25"/>
  <c r="H828" i="25"/>
  <c r="H836" i="25"/>
  <c r="H844" i="25"/>
  <c r="H852" i="25"/>
  <c r="H860" i="25"/>
  <c r="H868" i="25"/>
  <c r="H876" i="25"/>
  <c r="H884" i="25"/>
  <c r="H892" i="25"/>
  <c r="H900" i="25"/>
  <c r="H908" i="25"/>
  <c r="H916" i="25"/>
  <c r="H924" i="25"/>
  <c r="H932" i="25"/>
  <c r="H940" i="25"/>
  <c r="H948" i="25"/>
  <c r="H956" i="25"/>
  <c r="H964" i="25"/>
  <c r="H972" i="25"/>
  <c r="H980" i="25"/>
  <c r="H988" i="25"/>
  <c r="H996" i="25"/>
  <c r="H1004" i="25"/>
  <c r="H1012" i="25"/>
  <c r="H1020" i="25"/>
  <c r="H1028" i="25"/>
  <c r="H1036" i="25"/>
  <c r="H429" i="25"/>
  <c r="H437" i="25"/>
  <c r="H445" i="25"/>
  <c r="H453" i="25"/>
  <c r="H461" i="25"/>
  <c r="H469" i="25"/>
  <c r="H477" i="25"/>
  <c r="H485" i="25"/>
  <c r="H493" i="25"/>
  <c r="H501" i="25"/>
  <c r="H509" i="25"/>
  <c r="H517" i="25"/>
  <c r="H525" i="25"/>
  <c r="H533" i="25"/>
  <c r="H541" i="25"/>
  <c r="H549" i="25"/>
  <c r="H557" i="25"/>
  <c r="H565" i="25"/>
  <c r="H573" i="25"/>
  <c r="H581" i="25"/>
  <c r="H589" i="25"/>
  <c r="H597" i="25"/>
  <c r="H605" i="25"/>
  <c r="H613" i="25"/>
  <c r="H621" i="25"/>
  <c r="H629" i="25"/>
  <c r="H637" i="25"/>
  <c r="H645" i="25"/>
  <c r="H653" i="25"/>
  <c r="H661" i="25"/>
  <c r="H669" i="25"/>
  <c r="H677" i="25"/>
  <c r="H685" i="25"/>
  <c r="H693" i="25"/>
  <c r="H701" i="25"/>
  <c r="H709" i="25"/>
  <c r="H717" i="25"/>
  <c r="H725" i="25"/>
  <c r="H733" i="25"/>
  <c r="H741" i="25"/>
  <c r="H749" i="25"/>
  <c r="H757" i="25"/>
  <c r="H765" i="25"/>
  <c r="H773" i="25"/>
  <c r="H781" i="25"/>
  <c r="H789" i="25"/>
  <c r="H797" i="25"/>
  <c r="H805" i="25"/>
  <c r="H813" i="25"/>
  <c r="H821" i="25"/>
  <c r="H829" i="25"/>
  <c r="H837" i="25"/>
  <c r="H845" i="25"/>
  <c r="H853" i="25"/>
  <c r="H861" i="25"/>
  <c r="H869" i="25"/>
  <c r="H877" i="25"/>
  <c r="H885" i="25"/>
  <c r="H893" i="25"/>
  <c r="H901" i="25"/>
  <c r="H909" i="25"/>
  <c r="H917" i="25"/>
  <c r="H925" i="25"/>
  <c r="H933" i="25"/>
  <c r="H941" i="25"/>
  <c r="H949" i="25"/>
  <c r="H957" i="25"/>
  <c r="H965" i="25"/>
  <c r="H973" i="25"/>
  <c r="H981" i="25"/>
  <c r="H989" i="25"/>
  <c r="H997" i="25"/>
  <c r="H1005" i="25"/>
  <c r="H1013" i="25"/>
  <c r="H1021" i="25"/>
  <c r="H1029" i="25"/>
  <c r="H1037" i="25"/>
  <c r="H430" i="25"/>
  <c r="H438" i="25"/>
  <c r="H446" i="25"/>
  <c r="H454" i="25"/>
  <c r="H462" i="25"/>
  <c r="H470" i="25"/>
  <c r="H478" i="25"/>
  <c r="H486" i="25"/>
  <c r="H494" i="25"/>
  <c r="H502" i="25"/>
  <c r="H510" i="25"/>
  <c r="H518" i="25"/>
  <c r="H526" i="25"/>
  <c r="H534" i="25"/>
  <c r="H542" i="25"/>
  <c r="H550" i="25"/>
  <c r="H558" i="25"/>
  <c r="H566" i="25"/>
  <c r="H574" i="25"/>
  <c r="H582" i="25"/>
  <c r="H590" i="25"/>
  <c r="H598" i="25"/>
  <c r="H606" i="25"/>
  <c r="H614" i="25"/>
  <c r="H622" i="25"/>
  <c r="H630" i="25"/>
  <c r="H638" i="25"/>
  <c r="H646" i="25"/>
  <c r="H654" i="25"/>
  <c r="H662" i="25"/>
  <c r="H670" i="25"/>
  <c r="H678" i="25"/>
  <c r="H686" i="25"/>
  <c r="H694" i="25"/>
  <c r="H702" i="25"/>
  <c r="H710" i="25"/>
  <c r="H718" i="25"/>
  <c r="H726" i="25"/>
  <c r="H734" i="25"/>
  <c r="H742" i="25"/>
  <c r="H750" i="25"/>
  <c r="H758" i="25"/>
  <c r="H766" i="25"/>
  <c r="H774" i="25"/>
  <c r="H782" i="25"/>
  <c r="H790" i="25"/>
  <c r="H798" i="25"/>
  <c r="H806" i="25"/>
  <c r="H814" i="25"/>
  <c r="H822" i="25"/>
  <c r="H830" i="25"/>
  <c r="H838" i="25"/>
  <c r="H846" i="25"/>
  <c r="H854" i="25"/>
  <c r="H862" i="25"/>
  <c r="H870" i="25"/>
  <c r="H878" i="25"/>
  <c r="H886" i="25"/>
  <c r="H894" i="25"/>
  <c r="H902" i="25"/>
  <c r="H910" i="25"/>
  <c r="H918" i="25"/>
  <c r="H926" i="25"/>
  <c r="H934" i="25"/>
  <c r="H942" i="25"/>
  <c r="H950" i="25"/>
  <c r="H958" i="25"/>
  <c r="H966" i="25"/>
  <c r="H974" i="25"/>
  <c r="H982" i="25"/>
  <c r="H990" i="25"/>
  <c r="H998" i="25"/>
  <c r="H1006" i="25"/>
  <c r="H1014" i="25"/>
  <c r="H1022" i="25"/>
  <c r="H1030" i="25"/>
  <c r="H1038" i="25"/>
  <c r="H431" i="25"/>
  <c r="H439" i="25"/>
  <c r="H447" i="25"/>
  <c r="H455" i="25"/>
  <c r="H463" i="25"/>
  <c r="H471" i="25"/>
  <c r="H479" i="25"/>
  <c r="H487" i="25"/>
  <c r="H495" i="25"/>
  <c r="H503" i="25"/>
  <c r="H511" i="25"/>
  <c r="H519" i="25"/>
  <c r="H527" i="25"/>
  <c r="H535" i="25"/>
  <c r="H543" i="25"/>
  <c r="H551" i="25"/>
  <c r="H559" i="25"/>
  <c r="H567" i="25"/>
  <c r="H575" i="25"/>
  <c r="H583" i="25"/>
  <c r="H591" i="25"/>
  <c r="H599" i="25"/>
  <c r="H607" i="25"/>
  <c r="H615" i="25"/>
  <c r="H623" i="25"/>
  <c r="H631" i="25"/>
  <c r="H639" i="25"/>
  <c r="H647" i="25"/>
  <c r="H655" i="25"/>
  <c r="H663" i="25"/>
  <c r="H671" i="25"/>
  <c r="H679" i="25"/>
  <c r="H687" i="25"/>
  <c r="H695" i="25"/>
  <c r="H703" i="25"/>
  <c r="H711" i="25"/>
  <c r="H719" i="25"/>
  <c r="H727" i="25"/>
  <c r="H735" i="25"/>
  <c r="H743" i="25"/>
  <c r="H751" i="25"/>
  <c r="H759" i="25"/>
  <c r="H767" i="25"/>
  <c r="H775" i="25"/>
  <c r="H783" i="25"/>
  <c r="H791" i="25"/>
  <c r="H799" i="25"/>
  <c r="H807" i="25"/>
  <c r="H815" i="25"/>
  <c r="H823" i="25"/>
  <c r="H831" i="25"/>
  <c r="H839" i="25"/>
  <c r="H847" i="25"/>
  <c r="H855" i="25"/>
  <c r="H863" i="25"/>
  <c r="H871" i="25"/>
  <c r="H879" i="25"/>
  <c r="H887" i="25"/>
  <c r="H895" i="25"/>
  <c r="H903" i="25"/>
  <c r="H911" i="25"/>
  <c r="H919" i="25"/>
  <c r="H927" i="25"/>
  <c r="H935" i="25"/>
  <c r="H943" i="25"/>
  <c r="H951" i="25"/>
  <c r="H959" i="25"/>
  <c r="H967" i="25"/>
  <c r="H975" i="25"/>
  <c r="H983" i="25"/>
  <c r="H991" i="25"/>
  <c r="H999" i="25"/>
  <c r="H1007" i="25"/>
  <c r="H1015" i="25"/>
  <c r="H1023" i="25"/>
  <c r="H1031" i="25"/>
  <c r="H432" i="25"/>
  <c r="H440" i="25"/>
  <c r="H448" i="25"/>
  <c r="H456" i="25"/>
  <c r="H464" i="25"/>
  <c r="H472" i="25"/>
  <c r="H480" i="25"/>
  <c r="H488" i="25"/>
  <c r="H496" i="25"/>
  <c r="H504" i="25"/>
  <c r="H512" i="25"/>
  <c r="H520" i="25"/>
  <c r="H528" i="25"/>
  <c r="H536" i="25"/>
  <c r="H544" i="25"/>
  <c r="H552" i="25"/>
  <c r="H560" i="25"/>
  <c r="H568" i="25"/>
  <c r="H576" i="25"/>
  <c r="H584" i="25"/>
  <c r="H592" i="25"/>
  <c r="H600" i="25"/>
  <c r="H608" i="25"/>
  <c r="H616" i="25"/>
  <c r="H624" i="25"/>
  <c r="H632" i="25"/>
  <c r="H640" i="25"/>
  <c r="H648" i="25"/>
  <c r="H656" i="25"/>
  <c r="H664" i="25"/>
  <c r="H672" i="25"/>
  <c r="H680" i="25"/>
  <c r="H688" i="25"/>
  <c r="H696" i="25"/>
  <c r="H704" i="25"/>
  <c r="H712" i="25"/>
  <c r="H720" i="25"/>
  <c r="H728" i="25"/>
  <c r="H736" i="25"/>
  <c r="H744" i="25"/>
  <c r="H752" i="25"/>
  <c r="H760" i="25"/>
  <c r="H768" i="25"/>
  <c r="H776" i="25"/>
  <c r="H784" i="25"/>
  <c r="H792" i="25"/>
  <c r="H800" i="25"/>
  <c r="H808" i="25"/>
  <c r="H816" i="25"/>
  <c r="H824" i="25"/>
  <c r="H832" i="25"/>
  <c r="H840" i="25"/>
  <c r="H848" i="25"/>
  <c r="H856" i="25"/>
  <c r="H864" i="25"/>
  <c r="H872" i="25"/>
  <c r="H880" i="25"/>
  <c r="H888" i="25"/>
  <c r="H896" i="25"/>
  <c r="H904" i="25"/>
  <c r="H912" i="25"/>
  <c r="H920" i="25"/>
  <c r="H928" i="25"/>
  <c r="H936" i="25"/>
  <c r="H944" i="25"/>
  <c r="H952" i="25"/>
  <c r="H960" i="25"/>
  <c r="H968" i="25"/>
  <c r="H976" i="25"/>
  <c r="H984" i="25"/>
  <c r="H992" i="25"/>
  <c r="H1000" i="25"/>
  <c r="H1008" i="25"/>
  <c r="H1016" i="25"/>
  <c r="H1024" i="25"/>
  <c r="H1032" i="25"/>
  <c r="G17" i="1"/>
  <c r="H15" i="9"/>
  <c r="M16" i="9" l="1"/>
  <c r="G16" i="9"/>
  <c r="J16" i="9"/>
  <c r="K16" i="9"/>
  <c r="H16" i="9"/>
  <c r="O15" i="9"/>
  <c r="N16" i="9"/>
  <c r="I16" i="9"/>
  <c r="K40" i="25"/>
  <c r="J40" i="25"/>
  <c r="I40" i="25"/>
  <c r="H40" i="25"/>
  <c r="L17" i="9" l="1"/>
  <c r="M17" i="9"/>
  <c r="J17" i="9"/>
  <c r="O16" i="9"/>
  <c r="I17" i="9"/>
  <c r="G17" i="9"/>
  <c r="N17" i="9"/>
  <c r="H17" i="9"/>
  <c r="K17" i="9"/>
  <c r="H35" i="25"/>
  <c r="I35" i="25"/>
  <c r="L18" i="9" l="1"/>
  <c r="K18" i="9"/>
  <c r="H18" i="9"/>
  <c r="M18" i="9"/>
  <c r="J18" i="9"/>
  <c r="I18" i="9"/>
  <c r="G18" i="9"/>
  <c r="N18" i="9"/>
  <c r="O17" i="9"/>
  <c r="D9" i="20"/>
  <c r="N19" i="9" l="1"/>
  <c r="H19" i="9"/>
  <c r="K19" i="9"/>
  <c r="M19" i="9"/>
  <c r="I19" i="9"/>
  <c r="J19" i="9"/>
  <c r="O18" i="9"/>
  <c r="G19" i="9"/>
  <c r="L19" i="9"/>
  <c r="H2172" i="5"/>
  <c r="H2171" i="5"/>
  <c r="K10" i="20"/>
  <c r="L20" i="9" l="1"/>
  <c r="O19" i="9"/>
  <c r="H20" i="9"/>
  <c r="M20" i="9"/>
  <c r="G20" i="9"/>
  <c r="N20" i="9"/>
  <c r="K20" i="9"/>
  <c r="J20" i="9"/>
  <c r="I20" i="9"/>
  <c r="R2171" i="5"/>
  <c r="Q2171" i="5" s="1"/>
  <c r="P2171" i="5" s="1"/>
  <c r="R2172" i="5"/>
  <c r="H2170" i="5"/>
  <c r="H2169" i="5"/>
  <c r="H2176" i="5"/>
  <c r="H2177" i="5"/>
  <c r="H2178" i="5"/>
  <c r="H2179" i="5"/>
  <c r="H2174" i="5"/>
  <c r="H2175" i="5"/>
  <c r="H2173" i="5"/>
  <c r="O20" i="9" l="1"/>
  <c r="G21" i="9"/>
  <c r="M21" i="9"/>
  <c r="K21" i="9"/>
  <c r="I21" i="9"/>
  <c r="N21" i="9"/>
  <c r="H21" i="9"/>
  <c r="J21" i="9"/>
  <c r="L21" i="9"/>
  <c r="J2172" i="5"/>
  <c r="Q2172" i="5"/>
  <c r="P2172" i="5" s="1"/>
  <c r="N2171" i="5"/>
  <c r="F2171" i="5" s="1"/>
  <c r="K2171" i="5"/>
  <c r="R2173" i="5"/>
  <c r="Q2173" i="5" s="1"/>
  <c r="P2173" i="5" s="1"/>
  <c r="J2171" i="5"/>
  <c r="R2178" i="5"/>
  <c r="Q2178" i="5" s="1"/>
  <c r="P2178" i="5" s="1"/>
  <c r="R2174" i="5"/>
  <c r="Q2174" i="5" s="1"/>
  <c r="P2174" i="5" s="1"/>
  <c r="K2172" i="5"/>
  <c r="L22" i="9" l="1"/>
  <c r="N22" i="9"/>
  <c r="O21" i="9"/>
  <c r="K22" i="9"/>
  <c r="M22" i="9"/>
  <c r="H22" i="9"/>
  <c r="I22" i="9"/>
  <c r="J22" i="9"/>
  <c r="G22" i="9"/>
  <c r="J2173" i="5"/>
  <c r="N2172" i="5"/>
  <c r="F2172" i="5" s="1"/>
  <c r="J2178" i="5"/>
  <c r="L466" i="20" s="1"/>
  <c r="K2178" i="5"/>
  <c r="M466" i="20" s="1"/>
  <c r="N2173" i="5"/>
  <c r="F2173" i="5" s="1"/>
  <c r="N2178" i="5"/>
  <c r="F2178" i="5" s="1"/>
  <c r="K2174" i="5"/>
  <c r="K2173" i="5"/>
  <c r="N2174" i="5"/>
  <c r="F2174" i="5" s="1"/>
  <c r="J2174" i="5"/>
  <c r="L23" i="9" l="1"/>
  <c r="G23" i="9"/>
  <c r="O22" i="9"/>
  <c r="N23" i="9"/>
  <c r="M23" i="9"/>
  <c r="K23" i="9"/>
  <c r="J23" i="9"/>
  <c r="I23" i="9"/>
  <c r="H23" i="9"/>
  <c r="K466" i="20"/>
  <c r="L24" i="9" l="1"/>
  <c r="O23" i="9"/>
  <c r="I24" i="9"/>
  <c r="G24" i="9"/>
  <c r="H24" i="9"/>
  <c r="N24" i="9"/>
  <c r="K24" i="9"/>
  <c r="J24" i="9"/>
  <c r="M24" i="9"/>
  <c r="H11" i="14"/>
  <c r="O24" i="9" l="1"/>
  <c r="H25" i="9"/>
  <c r="G25" i="9"/>
  <c r="M25" i="9"/>
  <c r="J25" i="9"/>
  <c r="N25" i="9"/>
  <c r="K25" i="9"/>
  <c r="I25" i="9"/>
  <c r="L25" i="9"/>
  <c r="L26" i="9" l="1"/>
  <c r="O25" i="9"/>
  <c r="G26" i="9"/>
  <c r="H26" i="9"/>
  <c r="K26" i="9"/>
  <c r="I26" i="9"/>
  <c r="M26" i="9"/>
  <c r="N26" i="9"/>
  <c r="J26" i="9"/>
  <c r="L27" i="9" l="1"/>
  <c r="I27" i="9"/>
  <c r="K27" i="9"/>
  <c r="J27" i="9"/>
  <c r="H27" i="9"/>
  <c r="O26" i="9"/>
  <c r="G27" i="9"/>
  <c r="N27" i="9"/>
  <c r="M27" i="9"/>
  <c r="W9" i="12"/>
  <c r="W8" i="9"/>
  <c r="V9" i="12"/>
  <c r="V8" i="9"/>
  <c r="U9" i="12"/>
  <c r="U8" i="9"/>
  <c r="T9" i="12"/>
  <c r="T8" i="9"/>
  <c r="S9" i="12"/>
  <c r="S8" i="9"/>
  <c r="F24" i="14"/>
  <c r="F11" i="14"/>
  <c r="D11" i="14"/>
  <c r="L28" i="9" l="1"/>
  <c r="I28" i="9"/>
  <c r="J28" i="9"/>
  <c r="G28" i="9"/>
  <c r="K28" i="9"/>
  <c r="N28" i="9"/>
  <c r="H28" i="9"/>
  <c r="O27" i="9"/>
  <c r="M28" i="9"/>
  <c r="L29" i="9" l="1"/>
  <c r="O28" i="9"/>
  <c r="G29" i="9"/>
  <c r="I29" i="9"/>
  <c r="H29" i="9"/>
  <c r="N29" i="9"/>
  <c r="M29" i="9"/>
  <c r="J29" i="9"/>
  <c r="K29" i="9"/>
  <c r="O29" i="9" l="1"/>
  <c r="J30" i="9"/>
  <c r="I30" i="9"/>
  <c r="G30" i="9"/>
  <c r="H30" i="9"/>
  <c r="K30" i="9"/>
  <c r="N30" i="9"/>
  <c r="M30" i="9"/>
  <c r="L30" i="9"/>
  <c r="L31" i="9" l="1"/>
  <c r="I31" i="9"/>
  <c r="G31" i="9"/>
  <c r="O30" i="9"/>
  <c r="H31" i="9"/>
  <c r="M31" i="9"/>
  <c r="N31" i="9"/>
  <c r="J31" i="9"/>
  <c r="K31" i="9"/>
  <c r="O31" i="9" l="1"/>
  <c r="I32" i="9"/>
  <c r="H32" i="9"/>
  <c r="G32" i="9"/>
  <c r="N32" i="9"/>
  <c r="M32" i="9"/>
  <c r="J32" i="9"/>
  <c r="K32" i="9"/>
  <c r="L32" i="9"/>
  <c r="O32" i="9" l="1"/>
  <c r="G33" i="9"/>
  <c r="H33" i="9"/>
  <c r="M33" i="9"/>
  <c r="N33" i="9"/>
  <c r="I33" i="9"/>
  <c r="J33" i="9"/>
  <c r="K33" i="9"/>
  <c r="L33" i="9"/>
  <c r="O33" i="9" l="1"/>
  <c r="I34" i="9"/>
  <c r="K34" i="9"/>
  <c r="H34" i="9"/>
  <c r="G34" i="9"/>
  <c r="M34" i="9"/>
  <c r="N34" i="9"/>
  <c r="J34" i="9"/>
  <c r="L34" i="9"/>
  <c r="O12" i="12"/>
  <c r="O34" i="9" l="1"/>
  <c r="I35" i="9"/>
  <c r="G35" i="9"/>
  <c r="H35" i="9"/>
  <c r="M35" i="9"/>
  <c r="N35" i="9"/>
  <c r="J35" i="9"/>
  <c r="K35" i="9"/>
  <c r="L35" i="9"/>
  <c r="O13" i="12"/>
  <c r="I36" i="9" l="1"/>
  <c r="K36" i="9"/>
  <c r="H36" i="9"/>
  <c r="G36" i="9"/>
  <c r="O35" i="9"/>
  <c r="J36" i="9"/>
  <c r="M36" i="9"/>
  <c r="N36" i="9"/>
  <c r="L36" i="9"/>
  <c r="O14" i="12"/>
  <c r="O36" i="9" l="1"/>
  <c r="G37" i="9"/>
  <c r="I37" i="9"/>
  <c r="H37" i="9"/>
  <c r="M37" i="9"/>
  <c r="N37" i="9"/>
  <c r="J37" i="9"/>
  <c r="K37" i="9"/>
  <c r="L37" i="9"/>
  <c r="O15" i="12"/>
  <c r="Q11" i="12"/>
  <c r="P11" i="12"/>
  <c r="Q10" i="9"/>
  <c r="P10" i="9"/>
  <c r="C11" i="9"/>
  <c r="C12" i="9" s="1"/>
  <c r="C13" i="9" s="1"/>
  <c r="C14" i="9" s="1"/>
  <c r="C15" i="9" s="1"/>
  <c r="C16" i="9" s="1"/>
  <c r="C17" i="9" s="1"/>
  <c r="C18" i="9" s="1"/>
  <c r="C19" i="9" s="1"/>
  <c r="C20" i="9" s="1"/>
  <c r="C21" i="9" s="1"/>
  <c r="C22" i="9" s="1"/>
  <c r="C23" i="9" s="1"/>
  <c r="C24" i="9" s="1"/>
  <c r="C25" i="9" s="1"/>
  <c r="C26" i="9" s="1"/>
  <c r="C27" i="9" s="1"/>
  <c r="C28" i="9" s="1"/>
  <c r="C29" i="9" s="1"/>
  <c r="C30" i="9" s="1"/>
  <c r="C31" i="9" s="1"/>
  <c r="C32" i="9" s="1"/>
  <c r="C33" i="9" s="1"/>
  <c r="C34" i="9" s="1"/>
  <c r="C35" i="9" s="1"/>
  <c r="C36" i="9" s="1"/>
  <c r="C37" i="9" s="1"/>
  <c r="C38" i="9" s="1"/>
  <c r="C39" i="9" s="1"/>
  <c r="C40" i="9" s="1"/>
  <c r="I38" i="9" l="1"/>
  <c r="H38" i="9"/>
  <c r="G38" i="9"/>
  <c r="K38" i="9"/>
  <c r="J38" i="9"/>
  <c r="M38" i="9"/>
  <c r="O37" i="9"/>
  <c r="N38" i="9"/>
  <c r="L38" i="9"/>
  <c r="O16" i="12"/>
  <c r="Q12" i="12"/>
  <c r="D12" i="12"/>
  <c r="C12" i="12"/>
  <c r="C13" i="12" s="1"/>
  <c r="C14" i="12" s="1"/>
  <c r="C15" i="12" s="1"/>
  <c r="C16" i="12" s="1"/>
  <c r="C17" i="12" s="1"/>
  <c r="C18" i="12" s="1"/>
  <c r="C19" i="12" s="1"/>
  <c r="C20" i="12" s="1"/>
  <c r="C21" i="12" s="1"/>
  <c r="C22" i="12" s="1"/>
  <c r="C23" i="12" s="1"/>
  <c r="C24" i="12" s="1"/>
  <c r="C25" i="12" s="1"/>
  <c r="C26" i="12" s="1"/>
  <c r="C27" i="12" s="1"/>
  <c r="C28" i="12" s="1"/>
  <c r="C29" i="12" s="1"/>
  <c r="C30" i="12" s="1"/>
  <c r="C31" i="12" s="1"/>
  <c r="C32" i="12" s="1"/>
  <c r="C33" i="12" s="1"/>
  <c r="C34" i="12" s="1"/>
  <c r="C35" i="12" s="1"/>
  <c r="C36" i="12" s="1"/>
  <c r="C37" i="12" s="1"/>
  <c r="C38" i="12" s="1"/>
  <c r="C39" i="12" s="1"/>
  <c r="C40" i="12" s="1"/>
  <c r="C41" i="12" s="1"/>
  <c r="F11" i="12"/>
  <c r="F12" i="12" s="1"/>
  <c r="E11" i="12"/>
  <c r="L39" i="9" l="1"/>
  <c r="J39" i="9"/>
  <c r="K39" i="9"/>
  <c r="I39" i="9"/>
  <c r="G39" i="9"/>
  <c r="N39" i="9"/>
  <c r="H39" i="9"/>
  <c r="O38" i="9"/>
  <c r="M39" i="9"/>
  <c r="O17" i="12"/>
  <c r="P12" i="12"/>
  <c r="R11" i="12"/>
  <c r="F13" i="12"/>
  <c r="D13" i="12"/>
  <c r="E12" i="12"/>
  <c r="I40" i="9" l="1"/>
  <c r="M40" i="9"/>
  <c r="H40" i="9"/>
  <c r="K40" i="9"/>
  <c r="G40" i="9"/>
  <c r="O39" i="9"/>
  <c r="J40" i="9"/>
  <c r="N40" i="9"/>
  <c r="L40" i="9"/>
  <c r="O18" i="12"/>
  <c r="Q13" i="12"/>
  <c r="R12" i="12"/>
  <c r="F14" i="12"/>
  <c r="E13" i="12"/>
  <c r="D14" i="12"/>
  <c r="O40" i="9" l="1"/>
  <c r="K24" i="12"/>
  <c r="L25" i="12" s="1"/>
  <c r="P13" i="12"/>
  <c r="P14" i="12"/>
  <c r="Q14" i="12"/>
  <c r="F15" i="12"/>
  <c r="E14" i="12"/>
  <c r="D15" i="12"/>
  <c r="I24" i="12" l="1"/>
  <c r="J24" i="12"/>
  <c r="H24" i="12"/>
  <c r="G24" i="12"/>
  <c r="P15" i="12"/>
  <c r="R13" i="12"/>
  <c r="Q15" i="12"/>
  <c r="F16" i="12"/>
  <c r="D16" i="12"/>
  <c r="E15" i="12"/>
  <c r="N25" i="12" l="1"/>
  <c r="M25" i="12"/>
  <c r="P16" i="12"/>
  <c r="R14" i="12"/>
  <c r="F17" i="12"/>
  <c r="E16" i="12"/>
  <c r="D17" i="12"/>
  <c r="Q17" i="12" l="1"/>
  <c r="Q16" i="12"/>
  <c r="R15" i="12"/>
  <c r="E17" i="12"/>
  <c r="D18" i="12"/>
  <c r="F18" i="12"/>
  <c r="K25" i="12" l="1"/>
  <c r="L26" i="12" s="1"/>
  <c r="P17" i="12"/>
  <c r="Q18" i="12"/>
  <c r="R16" i="12"/>
  <c r="D19" i="12"/>
  <c r="E18" i="12"/>
  <c r="F19" i="12"/>
  <c r="G25" i="12" l="1"/>
  <c r="J25" i="12"/>
  <c r="I25" i="12"/>
  <c r="H25" i="12"/>
  <c r="O19" i="12"/>
  <c r="Q19" i="12"/>
  <c r="P18" i="12"/>
  <c r="R17" i="12"/>
  <c r="F20" i="12"/>
  <c r="E19" i="12"/>
  <c r="D20" i="12"/>
  <c r="M26" i="12" l="1"/>
  <c r="N26" i="12"/>
  <c r="K26" i="12"/>
  <c r="L27" i="12" s="1"/>
  <c r="H26" i="12"/>
  <c r="J26" i="12"/>
  <c r="I26" i="12"/>
  <c r="G26" i="12"/>
  <c r="O20" i="12"/>
  <c r="Q20" i="12"/>
  <c r="P19" i="12"/>
  <c r="R18" i="12"/>
  <c r="F21" i="12"/>
  <c r="D21" i="12"/>
  <c r="E20" i="12"/>
  <c r="K27" i="12" l="1"/>
  <c r="L28" i="12" s="1"/>
  <c r="N27" i="12"/>
  <c r="M27" i="12"/>
  <c r="G27" i="12"/>
  <c r="J27" i="12"/>
  <c r="I27" i="12"/>
  <c r="H27" i="12"/>
  <c r="O21" i="12"/>
  <c r="Q21" i="12"/>
  <c r="P20" i="12"/>
  <c r="R19" i="12"/>
  <c r="F22" i="12"/>
  <c r="E21" i="12"/>
  <c r="D22" i="12"/>
  <c r="I28" i="12" l="1"/>
  <c r="M28" i="12"/>
  <c r="N28" i="12"/>
  <c r="K28" i="12"/>
  <c r="L29" i="12" s="1"/>
  <c r="J28" i="12"/>
  <c r="G28" i="12"/>
  <c r="H28" i="12"/>
  <c r="Q22" i="12"/>
  <c r="P21" i="12"/>
  <c r="R20" i="12"/>
  <c r="D23" i="12"/>
  <c r="E22" i="12"/>
  <c r="F23" i="12"/>
  <c r="H29" i="12" l="1"/>
  <c r="N29" i="12"/>
  <c r="M29" i="12"/>
  <c r="K29" i="12"/>
  <c r="L30" i="12" s="1"/>
  <c r="J29" i="12"/>
  <c r="I29" i="12"/>
  <c r="G29" i="12"/>
  <c r="O22" i="12"/>
  <c r="P22" i="12"/>
  <c r="R21" i="12"/>
  <c r="E23" i="12"/>
  <c r="D24" i="12"/>
  <c r="F24" i="12"/>
  <c r="M30" i="12" l="1"/>
  <c r="N30" i="12"/>
  <c r="Q23" i="12"/>
  <c r="Q24" i="12"/>
  <c r="O23" i="12"/>
  <c r="P23" i="12"/>
  <c r="R22" i="12"/>
  <c r="D25" i="12"/>
  <c r="E24" i="12"/>
  <c r="F25" i="12"/>
  <c r="Q25" i="12" l="1"/>
  <c r="O24" i="12"/>
  <c r="P24" i="12"/>
  <c r="R23" i="12"/>
  <c r="E25" i="12"/>
  <c r="D26" i="12"/>
  <c r="F26" i="12"/>
  <c r="K30" i="12" l="1"/>
  <c r="L31" i="12" s="1"/>
  <c r="Q26" i="12"/>
  <c r="O25" i="12"/>
  <c r="P25" i="12"/>
  <c r="R24" i="12"/>
  <c r="F27" i="12"/>
  <c r="D27" i="12"/>
  <c r="E26" i="12"/>
  <c r="I30" i="12" l="1"/>
  <c r="J30" i="12"/>
  <c r="H30" i="12"/>
  <c r="G30" i="12"/>
  <c r="O26" i="12"/>
  <c r="P26" i="12"/>
  <c r="R26" i="12" s="1"/>
  <c r="R25" i="12"/>
  <c r="E27" i="12"/>
  <c r="D28" i="12"/>
  <c r="F28" i="12"/>
  <c r="N31" i="12" l="1"/>
  <c r="M31" i="12"/>
  <c r="J31" i="12"/>
  <c r="O27" i="12"/>
  <c r="P27" i="12"/>
  <c r="Q27" i="12"/>
  <c r="F29" i="12"/>
  <c r="D29" i="12"/>
  <c r="E28" i="12"/>
  <c r="K31" i="12" l="1"/>
  <c r="L32" i="12" s="1"/>
  <c r="G31" i="12"/>
  <c r="I31" i="12"/>
  <c r="H31" i="12"/>
  <c r="Q29" i="12"/>
  <c r="Q28" i="12"/>
  <c r="O28" i="12"/>
  <c r="R27" i="12"/>
  <c r="P28" i="12"/>
  <c r="E29" i="12"/>
  <c r="D30" i="12"/>
  <c r="F30" i="12"/>
  <c r="M32" i="12" l="1"/>
  <c r="N32" i="12"/>
  <c r="J32" i="12"/>
  <c r="Q30" i="12"/>
  <c r="R28" i="12"/>
  <c r="O29" i="12"/>
  <c r="P29" i="12"/>
  <c r="R29" i="12" s="1"/>
  <c r="D31" i="12"/>
  <c r="E30" i="12"/>
  <c r="F31" i="12"/>
  <c r="K32" i="12" l="1"/>
  <c r="L33" i="12" s="1"/>
  <c r="I32" i="12"/>
  <c r="H32" i="12"/>
  <c r="Q31" i="12"/>
  <c r="O30" i="12"/>
  <c r="P30" i="12"/>
  <c r="E31" i="12"/>
  <c r="D32" i="12"/>
  <c r="F32" i="12"/>
  <c r="G32" i="12" l="1"/>
  <c r="O31" i="12"/>
  <c r="P31" i="12"/>
  <c r="R30" i="12"/>
  <c r="F33" i="12"/>
  <c r="D33" i="12"/>
  <c r="E32" i="12"/>
  <c r="K33" i="12" l="1"/>
  <c r="L34" i="12" s="1"/>
  <c r="M33" i="12"/>
  <c r="N33" i="12"/>
  <c r="I33" i="12"/>
  <c r="J33" i="12"/>
  <c r="Q33" i="12" s="1"/>
  <c r="H33" i="12"/>
  <c r="G33" i="12"/>
  <c r="Q32" i="12"/>
  <c r="O32" i="12"/>
  <c r="P32" i="12"/>
  <c r="R31" i="12"/>
  <c r="F34" i="12"/>
  <c r="E33" i="12"/>
  <c r="D34" i="12"/>
  <c r="N34" i="12" l="1"/>
  <c r="M34" i="12"/>
  <c r="J34" i="12"/>
  <c r="K34" i="12"/>
  <c r="L35" i="12" s="1"/>
  <c r="I34" i="12"/>
  <c r="H34" i="12"/>
  <c r="G34" i="12"/>
  <c r="O33" i="12"/>
  <c r="P33" i="12"/>
  <c r="R32" i="12"/>
  <c r="D35" i="12"/>
  <c r="E34" i="12"/>
  <c r="F35" i="12"/>
  <c r="K35" i="12" l="1"/>
  <c r="L36" i="12" s="1"/>
  <c r="M35" i="12"/>
  <c r="N35" i="12"/>
  <c r="I35" i="12"/>
  <c r="J35" i="12"/>
  <c r="Q35" i="12" s="1"/>
  <c r="H35" i="12"/>
  <c r="G35" i="12"/>
  <c r="Q34" i="12"/>
  <c r="O34" i="12"/>
  <c r="P34" i="12"/>
  <c r="R33" i="12"/>
  <c r="F36" i="12"/>
  <c r="E35" i="12"/>
  <c r="D36" i="12"/>
  <c r="K36" i="12" l="1"/>
  <c r="L37" i="12" s="1"/>
  <c r="N36" i="12"/>
  <c r="M36" i="12"/>
  <c r="I36" i="12"/>
  <c r="J36" i="12"/>
  <c r="Q36" i="12" s="1"/>
  <c r="H36" i="12"/>
  <c r="G36" i="12"/>
  <c r="O35" i="12"/>
  <c r="P35" i="12"/>
  <c r="R35" i="12" s="1"/>
  <c r="R34" i="12"/>
  <c r="F37" i="12"/>
  <c r="D37" i="12"/>
  <c r="E36" i="12"/>
  <c r="M37" i="12" l="1"/>
  <c r="N37" i="12"/>
  <c r="K37" i="12"/>
  <c r="L38" i="12" s="1"/>
  <c r="J37" i="12"/>
  <c r="Q37" i="12" s="1"/>
  <c r="I37" i="12"/>
  <c r="H37" i="12"/>
  <c r="G37" i="12"/>
  <c r="O36" i="12"/>
  <c r="P36" i="12"/>
  <c r="R36" i="12" s="1"/>
  <c r="F38" i="12"/>
  <c r="D38" i="12"/>
  <c r="E37" i="12"/>
  <c r="K38" i="12" l="1"/>
  <c r="L39" i="12" s="1"/>
  <c r="N38" i="12"/>
  <c r="M38" i="12"/>
  <c r="I38" i="12"/>
  <c r="J38" i="12"/>
  <c r="H38" i="12"/>
  <c r="G38" i="12"/>
  <c r="O37" i="12"/>
  <c r="P37" i="12"/>
  <c r="D39" i="12"/>
  <c r="E38" i="12"/>
  <c r="F39" i="12"/>
  <c r="K39" i="12" l="1"/>
  <c r="L40" i="12" s="1"/>
  <c r="M39" i="12"/>
  <c r="N39" i="12"/>
  <c r="I39" i="12"/>
  <c r="J39" i="12"/>
  <c r="Q39" i="12" s="1"/>
  <c r="H39" i="12"/>
  <c r="G39" i="12"/>
  <c r="Q38" i="12"/>
  <c r="O38" i="12"/>
  <c r="P38" i="12"/>
  <c r="R37" i="12"/>
  <c r="D40" i="12"/>
  <c r="E39" i="12"/>
  <c r="F40" i="12"/>
  <c r="N40" i="12" l="1"/>
  <c r="M40" i="12"/>
  <c r="J40" i="12"/>
  <c r="Q40" i="12" s="1"/>
  <c r="K40" i="12"/>
  <c r="L41" i="12" s="1"/>
  <c r="I40" i="12"/>
  <c r="H40" i="12"/>
  <c r="G40" i="12"/>
  <c r="O39" i="12"/>
  <c r="P39" i="12"/>
  <c r="R38" i="12"/>
  <c r="D41" i="12"/>
  <c r="E40" i="12"/>
  <c r="F41" i="12"/>
  <c r="K41" i="12" l="1"/>
  <c r="M41" i="12"/>
  <c r="N41" i="12"/>
  <c r="I41" i="12"/>
  <c r="J41" i="12"/>
  <c r="Q41" i="12" s="1"/>
  <c r="H41" i="12"/>
  <c r="G41" i="12"/>
  <c r="O40" i="12"/>
  <c r="P40" i="12"/>
  <c r="R40" i="12" s="1"/>
  <c r="R39" i="12"/>
  <c r="E41" i="12"/>
  <c r="O41" i="12" l="1"/>
  <c r="P41" i="12"/>
  <c r="R41" i="12" s="1"/>
  <c r="Q10" i="12" l="1"/>
  <c r="P10" i="12" l="1"/>
  <c r="R7" i="12" l="1"/>
  <c r="R10" i="12" l="1"/>
  <c r="D19" i="14" s="1"/>
  <c r="E13" i="14" s="1"/>
  <c r="G38" i="25" l="1"/>
  <c r="R10" i="9" l="1"/>
  <c r="D11" i="9"/>
  <c r="F10" i="9"/>
  <c r="F11" i="9" s="1"/>
  <c r="F12" i="9" s="1"/>
  <c r="E10" i="9"/>
  <c r="O14" i="5"/>
  <c r="P11" i="9" l="1"/>
  <c r="E11" i="9"/>
  <c r="D12" i="9"/>
  <c r="Q11" i="9"/>
  <c r="F13" i="9"/>
  <c r="D13" i="9" l="1"/>
  <c r="E13" i="9" s="1"/>
  <c r="E12" i="9"/>
  <c r="P12" i="9"/>
  <c r="Q12" i="9"/>
  <c r="F14" i="9"/>
  <c r="R11" i="9" l="1"/>
  <c r="D14" i="9"/>
  <c r="P13" i="9"/>
  <c r="Q13" i="9"/>
  <c r="F15" i="9"/>
  <c r="H14" i="5"/>
  <c r="F14" i="5" s="1"/>
  <c r="R14" i="5" l="1"/>
  <c r="N14" i="5" s="1"/>
  <c r="R12" i="9"/>
  <c r="D15" i="9"/>
  <c r="E14" i="9"/>
  <c r="P14" i="9"/>
  <c r="Q14" i="9"/>
  <c r="F16" i="9"/>
  <c r="R13" i="9" l="1"/>
  <c r="D16" i="9"/>
  <c r="E15" i="9"/>
  <c r="P15" i="9"/>
  <c r="Q15" i="9"/>
  <c r="F17" i="9"/>
  <c r="R14" i="9" l="1"/>
  <c r="D17" i="9"/>
  <c r="E16" i="9"/>
  <c r="P16" i="9"/>
  <c r="Q16" i="9"/>
  <c r="F18" i="9"/>
  <c r="R7" i="5" l="1"/>
  <c r="R2179" i="5"/>
  <c r="Q2179" i="5" s="1"/>
  <c r="P2179" i="5" s="1"/>
  <c r="R2175" i="5"/>
  <c r="Q2175" i="5" s="1"/>
  <c r="P2175" i="5" s="1"/>
  <c r="R15" i="9"/>
  <c r="E17" i="9"/>
  <c r="D18" i="9"/>
  <c r="P17" i="9"/>
  <c r="Q17" i="9"/>
  <c r="F19" i="9"/>
  <c r="K2175" i="5" l="1"/>
  <c r="J2175" i="5"/>
  <c r="R2177" i="5"/>
  <c r="Q2177" i="5" s="1"/>
  <c r="P2177" i="5" s="1"/>
  <c r="K2179" i="5"/>
  <c r="M469" i="20" s="1"/>
  <c r="J2179" i="5"/>
  <c r="L469" i="20" s="1"/>
  <c r="R2170" i="5"/>
  <c r="Q2170" i="5" s="1"/>
  <c r="P2170" i="5" s="1"/>
  <c r="R2176" i="5"/>
  <c r="Q2176" i="5" s="1"/>
  <c r="P2176" i="5" s="1"/>
  <c r="R16" i="9"/>
  <c r="E18" i="9"/>
  <c r="D19" i="9"/>
  <c r="P18" i="9"/>
  <c r="Q18" i="9"/>
  <c r="F20" i="9"/>
  <c r="N2175" i="5" l="1"/>
  <c r="F2175" i="5" s="1"/>
  <c r="N2179" i="5"/>
  <c r="F2179" i="5" s="1"/>
  <c r="J2170" i="5"/>
  <c r="J2177" i="5"/>
  <c r="L465" i="20" s="1"/>
  <c r="K2177" i="5"/>
  <c r="M465" i="20" s="1"/>
  <c r="J2176" i="5"/>
  <c r="L462" i="20" s="1"/>
  <c r="K2176" i="5"/>
  <c r="M462" i="20" s="1"/>
  <c r="K2170" i="5"/>
  <c r="R2169" i="5"/>
  <c r="Q2169" i="5" s="1"/>
  <c r="P2169" i="5" s="1"/>
  <c r="N2169" i="5" s="1"/>
  <c r="R17" i="9"/>
  <c r="D20" i="9"/>
  <c r="E19" i="9"/>
  <c r="P19" i="9"/>
  <c r="Q19" i="9"/>
  <c r="F21" i="9"/>
  <c r="I11" i="26" l="1"/>
  <c r="K469" i="20"/>
  <c r="N2170" i="5"/>
  <c r="F2170" i="5" s="1"/>
  <c r="K2169" i="5"/>
  <c r="N2176" i="5"/>
  <c r="F2176" i="5" s="1"/>
  <c r="N2177" i="5"/>
  <c r="F2177" i="5" s="1"/>
  <c r="J2169" i="5"/>
  <c r="R18" i="9"/>
  <c r="D21" i="9"/>
  <c r="E20" i="9"/>
  <c r="Q20" i="9"/>
  <c r="F22" i="9"/>
  <c r="F2169" i="5" l="1"/>
  <c r="E11" i="26" s="1"/>
  <c r="J11" i="26"/>
  <c r="V15" i="12"/>
  <c r="V23" i="12"/>
  <c r="V31" i="12"/>
  <c r="V39" i="12"/>
  <c r="V11" i="9"/>
  <c r="V19" i="9"/>
  <c r="V27" i="9"/>
  <c r="V35" i="9"/>
  <c r="V12" i="12"/>
  <c r="V28" i="12"/>
  <c r="V36" i="12"/>
  <c r="V21" i="12"/>
  <c r="V17" i="9"/>
  <c r="V30" i="12"/>
  <c r="V18" i="9"/>
  <c r="V16" i="12"/>
  <c r="V24" i="12"/>
  <c r="V32" i="12"/>
  <c r="V40" i="12"/>
  <c r="V12" i="9"/>
  <c r="V20" i="9"/>
  <c r="V28" i="9"/>
  <c r="V36" i="9"/>
  <c r="V32" i="9"/>
  <c r="V25" i="9"/>
  <c r="V14" i="12"/>
  <c r="V17" i="12"/>
  <c r="V25" i="12"/>
  <c r="V33" i="12"/>
  <c r="V41" i="12"/>
  <c r="V13" i="9"/>
  <c r="V21" i="9"/>
  <c r="V29" i="9"/>
  <c r="V37" i="9"/>
  <c r="V24" i="9"/>
  <c r="V33" i="9"/>
  <c r="V34" i="9"/>
  <c r="V18" i="12"/>
  <c r="V26" i="12"/>
  <c r="V34" i="12"/>
  <c r="V11" i="12"/>
  <c r="V14" i="9"/>
  <c r="V22" i="9"/>
  <c r="V30" i="9"/>
  <c r="V38" i="9"/>
  <c r="V20" i="12"/>
  <c r="V16" i="9"/>
  <c r="V29" i="12"/>
  <c r="V37" i="12"/>
  <c r="V10" i="9"/>
  <c r="V19" i="12"/>
  <c r="V27" i="12"/>
  <c r="V35" i="12"/>
  <c r="V15" i="9"/>
  <c r="V23" i="9"/>
  <c r="V31" i="9"/>
  <c r="V39" i="9"/>
  <c r="V13" i="12"/>
  <c r="V22" i="12"/>
  <c r="V26" i="9"/>
  <c r="V38" i="12"/>
  <c r="G11" i="26"/>
  <c r="H11" i="26"/>
  <c r="K465" i="20"/>
  <c r="F11" i="26"/>
  <c r="K462" i="20"/>
  <c r="P20" i="9"/>
  <c r="R19" i="9"/>
  <c r="D22" i="9"/>
  <c r="E21" i="9"/>
  <c r="Q21" i="9"/>
  <c r="F23" i="9"/>
  <c r="S14" i="12" l="1"/>
  <c r="S30" i="12"/>
  <c r="S35" i="12"/>
  <c r="S25" i="12"/>
  <c r="S22" i="12"/>
  <c r="S27" i="12"/>
  <c r="S20" i="12"/>
  <c r="S40" i="12"/>
  <c r="S37" i="12"/>
  <c r="S16" i="12"/>
  <c r="S24" i="12"/>
  <c r="S39" i="12"/>
  <c r="S29" i="12"/>
  <c r="S34" i="12"/>
  <c r="S12" i="12"/>
  <c r="S32" i="12"/>
  <c r="S21" i="12"/>
  <c r="S26" i="12"/>
  <c r="S15" i="12"/>
  <c r="S31" i="12"/>
  <c r="S36" i="12"/>
  <c r="S13" i="12"/>
  <c r="S19" i="12"/>
  <c r="S23" i="12"/>
  <c r="S28" i="12"/>
  <c r="S41" i="12"/>
  <c r="S11" i="12"/>
  <c r="S38" i="12"/>
  <c r="S17" i="12"/>
  <c r="S33" i="12"/>
  <c r="S18" i="12"/>
  <c r="E12" i="26"/>
  <c r="W10" i="9"/>
  <c r="W40" i="12"/>
  <c r="W41" i="12"/>
  <c r="W11" i="9"/>
  <c r="W11" i="12"/>
  <c r="W12" i="12"/>
  <c r="W13" i="12"/>
  <c r="W14" i="12"/>
  <c r="W15" i="12"/>
  <c r="W12" i="9"/>
  <c r="W16" i="12"/>
  <c r="W13" i="9"/>
  <c r="W17" i="12"/>
  <c r="W14" i="9"/>
  <c r="W15" i="9"/>
  <c r="W18" i="12"/>
  <c r="W19" i="12"/>
  <c r="W16" i="9"/>
  <c r="W17" i="9"/>
  <c r="W18" i="9"/>
  <c r="W19" i="9"/>
  <c r="W20" i="9"/>
  <c r="W21" i="9"/>
  <c r="W22" i="9"/>
  <c r="W23" i="9"/>
  <c r="W24" i="9"/>
  <c r="W25" i="9"/>
  <c r="W26" i="9"/>
  <c r="W27" i="9"/>
  <c r="W28" i="9"/>
  <c r="W29" i="9"/>
  <c r="W30" i="9"/>
  <c r="W31" i="9"/>
  <c r="W32" i="9"/>
  <c r="W33" i="9"/>
  <c r="W34" i="9"/>
  <c r="W35" i="9"/>
  <c r="W36" i="9"/>
  <c r="W37" i="9"/>
  <c r="W38" i="9"/>
  <c r="W39" i="9"/>
  <c r="W20" i="12"/>
  <c r="W21" i="12"/>
  <c r="W22" i="12"/>
  <c r="W23" i="12"/>
  <c r="W24" i="12"/>
  <c r="W25" i="12"/>
  <c r="W26" i="12"/>
  <c r="W27" i="12"/>
  <c r="W28" i="12"/>
  <c r="W29" i="12"/>
  <c r="W30" i="12"/>
  <c r="W31" i="12"/>
  <c r="W32" i="12"/>
  <c r="W33" i="12"/>
  <c r="W34" i="12"/>
  <c r="W35" i="12"/>
  <c r="W36" i="12"/>
  <c r="W37" i="12"/>
  <c r="W38" i="12"/>
  <c r="W39" i="12"/>
  <c r="U16" i="12"/>
  <c r="U24" i="12"/>
  <c r="U32" i="12"/>
  <c r="U40" i="12"/>
  <c r="U12" i="9"/>
  <c r="U20" i="9"/>
  <c r="U28" i="9"/>
  <c r="U36" i="9"/>
  <c r="U13" i="12"/>
  <c r="U29" i="12"/>
  <c r="U25" i="9"/>
  <c r="U14" i="12"/>
  <c r="U38" i="12"/>
  <c r="U18" i="9"/>
  <c r="U23" i="12"/>
  <c r="U19" i="9"/>
  <c r="U17" i="12"/>
  <c r="U25" i="12"/>
  <c r="U33" i="12"/>
  <c r="U41" i="12"/>
  <c r="U13" i="9"/>
  <c r="U21" i="9"/>
  <c r="U29" i="9"/>
  <c r="U37" i="9"/>
  <c r="U26" i="9"/>
  <c r="U18" i="12"/>
  <c r="U26" i="12"/>
  <c r="U34" i="12"/>
  <c r="U11" i="12"/>
  <c r="U14" i="9"/>
  <c r="U22" i="9"/>
  <c r="U30" i="9"/>
  <c r="U38" i="9"/>
  <c r="U37" i="12"/>
  <c r="U10" i="9"/>
  <c r="U30" i="12"/>
  <c r="U34" i="9"/>
  <c r="U39" i="12"/>
  <c r="U19" i="12"/>
  <c r="U27" i="12"/>
  <c r="U35" i="12"/>
  <c r="U15" i="9"/>
  <c r="U23" i="9"/>
  <c r="U31" i="9"/>
  <c r="U21" i="12"/>
  <c r="U17" i="9"/>
  <c r="U33" i="9"/>
  <c r="U22" i="12"/>
  <c r="U31" i="12"/>
  <c r="U11" i="9"/>
  <c r="U35" i="9"/>
  <c r="U12" i="12"/>
  <c r="U20" i="12"/>
  <c r="U28" i="12"/>
  <c r="U36" i="12"/>
  <c r="U16" i="9"/>
  <c r="U24" i="9"/>
  <c r="U32" i="9"/>
  <c r="U15" i="12"/>
  <c r="U27" i="9"/>
  <c r="T17" i="12"/>
  <c r="T25" i="12"/>
  <c r="T33" i="12"/>
  <c r="T41" i="12"/>
  <c r="T12" i="9"/>
  <c r="T20" i="9"/>
  <c r="T28" i="9"/>
  <c r="T36" i="9"/>
  <c r="T14" i="12"/>
  <c r="T38" i="12"/>
  <c r="T25" i="9"/>
  <c r="T31" i="12"/>
  <c r="T16" i="12"/>
  <c r="T40" i="12"/>
  <c r="T27" i="9"/>
  <c r="T18" i="12"/>
  <c r="T26" i="12"/>
  <c r="T34" i="12"/>
  <c r="T11" i="12"/>
  <c r="T13" i="9"/>
  <c r="T21" i="9"/>
  <c r="T29" i="9"/>
  <c r="T37" i="9"/>
  <c r="T22" i="12"/>
  <c r="T17" i="9"/>
  <c r="T10" i="9"/>
  <c r="T23" i="12"/>
  <c r="T18" i="9"/>
  <c r="T19" i="9"/>
  <c r="T19" i="12"/>
  <c r="T27" i="12"/>
  <c r="T35" i="12"/>
  <c r="T14" i="9"/>
  <c r="T22" i="9"/>
  <c r="T30" i="9"/>
  <c r="T38" i="9"/>
  <c r="T39" i="12"/>
  <c r="T34" i="9"/>
  <c r="T11" i="9"/>
  <c r="T12" i="12"/>
  <c r="T20" i="12"/>
  <c r="T28" i="12"/>
  <c r="T36" i="12"/>
  <c r="T15" i="9"/>
  <c r="T23" i="9"/>
  <c r="T31" i="9"/>
  <c r="T39" i="9"/>
  <c r="T30" i="12"/>
  <c r="T33" i="9"/>
  <c r="T15" i="12"/>
  <c r="T26" i="9"/>
  <c r="T13" i="12"/>
  <c r="T21" i="12"/>
  <c r="T29" i="12"/>
  <c r="T37" i="12"/>
  <c r="T16" i="9"/>
  <c r="T24" i="9"/>
  <c r="T32" i="9"/>
  <c r="T24" i="12"/>
  <c r="T32" i="12"/>
  <c r="T35" i="9"/>
  <c r="V10" i="12"/>
  <c r="E28" i="14" s="1"/>
  <c r="P21" i="9"/>
  <c r="R20" i="9"/>
  <c r="D23" i="9"/>
  <c r="E22" i="9"/>
  <c r="Q22" i="9"/>
  <c r="F24" i="9"/>
  <c r="S10" i="12" l="1"/>
  <c r="E26" i="14" s="1"/>
  <c r="W10" i="12"/>
  <c r="E30" i="14" s="1"/>
  <c r="S10" i="9"/>
  <c r="S11" i="9"/>
  <c r="X11" i="9" s="1"/>
  <c r="S12" i="9"/>
  <c r="X12" i="9" s="1"/>
  <c r="S13" i="9"/>
  <c r="X13" i="9" s="1"/>
  <c r="S14" i="9"/>
  <c r="X14" i="9" s="1"/>
  <c r="S15" i="9"/>
  <c r="X15" i="9" s="1"/>
  <c r="S16" i="9"/>
  <c r="X16" i="9" s="1"/>
  <c r="S17" i="9"/>
  <c r="X17" i="9" s="1"/>
  <c r="S18" i="9"/>
  <c r="X18" i="9" s="1"/>
  <c r="S19" i="9"/>
  <c r="X19" i="9" s="1"/>
  <c r="S20" i="9"/>
  <c r="X20" i="9" s="1"/>
  <c r="S21" i="9"/>
  <c r="X21" i="9" s="1"/>
  <c r="S22" i="9"/>
  <c r="X22" i="9" s="1"/>
  <c r="S23" i="9"/>
  <c r="S24" i="9"/>
  <c r="S25" i="9"/>
  <c r="S26" i="9"/>
  <c r="S27" i="9"/>
  <c r="S28" i="9"/>
  <c r="S29" i="9"/>
  <c r="S30" i="9"/>
  <c r="S31" i="9"/>
  <c r="S32" i="9"/>
  <c r="S33" i="9"/>
  <c r="S34" i="9"/>
  <c r="S35" i="9"/>
  <c r="S36" i="9"/>
  <c r="S37" i="9"/>
  <c r="S38" i="9"/>
  <c r="S39" i="9"/>
  <c r="X32" i="12"/>
  <c r="X31" i="12"/>
  <c r="X30" i="12"/>
  <c r="X33" i="12"/>
  <c r="X20" i="12"/>
  <c r="X28" i="12"/>
  <c r="X26" i="12"/>
  <c r="X15" i="12"/>
  <c r="X29" i="12"/>
  <c r="X23" i="12"/>
  <c r="X13" i="12"/>
  <c r="X25" i="12"/>
  <c r="X17" i="12"/>
  <c r="X19" i="12"/>
  <c r="X21" i="12"/>
  <c r="X18" i="12"/>
  <c r="X27" i="12"/>
  <c r="X16" i="12"/>
  <c r="U10" i="12"/>
  <c r="E29" i="14" s="1"/>
  <c r="X40" i="12"/>
  <c r="X14" i="12"/>
  <c r="X39" i="12"/>
  <c r="X22" i="12"/>
  <c r="X38" i="12"/>
  <c r="X41" i="12"/>
  <c r="X36" i="12"/>
  <c r="X35" i="12"/>
  <c r="X12" i="12"/>
  <c r="X34" i="12"/>
  <c r="T10" i="12"/>
  <c r="E27" i="14" s="1"/>
  <c r="X11" i="12"/>
  <c r="X37" i="12"/>
  <c r="X24" i="12"/>
  <c r="P22" i="9"/>
  <c r="R21" i="9"/>
  <c r="D24" i="9"/>
  <c r="E23" i="9"/>
  <c r="Q23" i="9"/>
  <c r="F25" i="9"/>
  <c r="X10" i="12" l="1"/>
  <c r="X23" i="9"/>
  <c r="P23" i="9"/>
  <c r="R23" i="9" s="1"/>
  <c r="R22" i="9"/>
  <c r="D25" i="9"/>
  <c r="E24" i="9"/>
  <c r="F26" i="9"/>
  <c r="E25" i="14" l="1"/>
  <c r="D13" i="14" s="1"/>
  <c r="F38" i="25"/>
  <c r="K38" i="25" s="1"/>
  <c r="X24" i="9"/>
  <c r="Q24" i="9"/>
  <c r="P24" i="9"/>
  <c r="E25" i="9"/>
  <c r="D26" i="9"/>
  <c r="F27" i="9"/>
  <c r="X25" i="9" l="1"/>
  <c r="Q25" i="9"/>
  <c r="Q26" i="9"/>
  <c r="R24" i="9"/>
  <c r="P25" i="9"/>
  <c r="D27" i="9"/>
  <c r="E26" i="9"/>
  <c r="F28" i="9"/>
  <c r="X26" i="9" l="1"/>
  <c r="Q27" i="9"/>
  <c r="P26" i="9"/>
  <c r="R25" i="9"/>
  <c r="E27" i="9"/>
  <c r="D28" i="9"/>
  <c r="F29" i="9"/>
  <c r="X27" i="9" l="1"/>
  <c r="P27" i="9"/>
  <c r="R26" i="9"/>
  <c r="D29" i="9"/>
  <c r="E28" i="9"/>
  <c r="F30" i="9"/>
  <c r="Q28" i="9" l="1"/>
  <c r="Q29" i="9"/>
  <c r="P28" i="9"/>
  <c r="R27" i="9"/>
  <c r="E29" i="9"/>
  <c r="D30" i="9"/>
  <c r="F31" i="9"/>
  <c r="X28" i="9" l="1"/>
  <c r="Q30" i="9"/>
  <c r="P29" i="9"/>
  <c r="R29" i="9" s="1"/>
  <c r="R28" i="9"/>
  <c r="E30" i="9"/>
  <c r="D31" i="9"/>
  <c r="F32" i="9"/>
  <c r="X29" i="9" l="1"/>
  <c r="P30" i="9"/>
  <c r="D32" i="9"/>
  <c r="E31" i="9"/>
  <c r="F33" i="9"/>
  <c r="Q31" i="9" l="1"/>
  <c r="X30" i="9"/>
  <c r="P31" i="9"/>
  <c r="R30" i="9"/>
  <c r="D33" i="9"/>
  <c r="E32" i="9"/>
  <c r="F34" i="9"/>
  <c r="R31" i="9" l="1"/>
  <c r="X31" i="9"/>
  <c r="Q32" i="9"/>
  <c r="P32" i="9"/>
  <c r="E33" i="9"/>
  <c r="D34" i="9"/>
  <c r="F35" i="9"/>
  <c r="Q33" i="9" l="1"/>
  <c r="X32" i="9"/>
  <c r="P33" i="9"/>
  <c r="R32" i="9"/>
  <c r="D35" i="9"/>
  <c r="E34" i="9"/>
  <c r="F36" i="9"/>
  <c r="X33" i="9" l="1"/>
  <c r="Q34" i="9"/>
  <c r="P34" i="9"/>
  <c r="R33" i="9"/>
  <c r="D36" i="9"/>
  <c r="E35" i="9"/>
  <c r="F37" i="9"/>
  <c r="Q36" i="9" l="1"/>
  <c r="X34" i="9"/>
  <c r="Q35" i="9"/>
  <c r="P35" i="9"/>
  <c r="R34" i="9"/>
  <c r="E36" i="9"/>
  <c r="D37" i="9"/>
  <c r="F38" i="9"/>
  <c r="W40" i="9" l="1"/>
  <c r="U39" i="9"/>
  <c r="Q37" i="9"/>
  <c r="X35" i="9"/>
  <c r="P36" i="9"/>
  <c r="R35" i="9"/>
  <c r="E37" i="9"/>
  <c r="D38" i="9"/>
  <c r="F39" i="9"/>
  <c r="S40" i="9" l="1"/>
  <c r="V40" i="9"/>
  <c r="T40" i="9"/>
  <c r="U40" i="9"/>
  <c r="Q38" i="9"/>
  <c r="X36" i="9"/>
  <c r="P37" i="9"/>
  <c r="R36" i="9"/>
  <c r="D39" i="9"/>
  <c r="E38" i="9"/>
  <c r="F40" i="9"/>
  <c r="X37" i="9" l="1"/>
  <c r="Q39" i="9"/>
  <c r="P38" i="9"/>
  <c r="R37" i="9"/>
  <c r="D40" i="9"/>
  <c r="E39" i="9"/>
  <c r="X38" i="9" l="1"/>
  <c r="P39" i="9"/>
  <c r="R38" i="9"/>
  <c r="E40" i="9"/>
  <c r="X39" i="9" l="1"/>
  <c r="Q40" i="9"/>
  <c r="P40" i="9"/>
  <c r="R39" i="9"/>
  <c r="X40" i="9" l="1"/>
  <c r="R40" i="9"/>
  <c r="X10" i="9" l="1"/>
  <c r="S9" i="9" l="1"/>
  <c r="D26" i="14" s="1"/>
  <c r="F26" i="14" s="1"/>
  <c r="T9" i="9"/>
  <c r="V9" i="9"/>
  <c r="D28" i="14" s="1"/>
  <c r="F28" i="14" s="1"/>
  <c r="P9" i="9"/>
  <c r="Q9" i="9"/>
  <c r="W9" i="9"/>
  <c r="D30" i="14" s="1"/>
  <c r="F30" i="14" s="1"/>
  <c r="D27" i="14" l="1"/>
  <c r="F27" i="14" s="1"/>
  <c r="U9" i="9"/>
  <c r="D29" i="14" s="1"/>
  <c r="F29" i="14" s="1"/>
  <c r="G29" i="14" l="1"/>
  <c r="G30" i="14"/>
  <c r="G28" i="14"/>
  <c r="G26" i="14"/>
  <c r="G27" i="14"/>
  <c r="R9" i="9"/>
  <c r="D18" i="14" s="1"/>
  <c r="E12" i="14" s="1"/>
  <c r="G13" i="14" s="1"/>
  <c r="D25" i="14"/>
  <c r="D12" i="14" s="1"/>
  <c r="F13" i="14" s="1"/>
  <c r="X9" i="9"/>
  <c r="D38" i="25" s="1"/>
  <c r="H13" i="14" l="1"/>
  <c r="E38" i="25"/>
  <c r="F32" i="33"/>
  <c r="H38" i="25"/>
  <c r="I38" i="25" l="1"/>
  <c r="J38" i="25"/>
  <c r="E32" i="33"/>
  <c r="G32" i="3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<sst xmlns="http://schemas.openxmlformats.org/spreadsheetml/2006/main" count="6979" uniqueCount="271">
  <si>
    <t>Name of Publication</t>
  </si>
  <si>
    <t>Model Version:</t>
  </si>
  <si>
    <t>Version 1</t>
  </si>
  <si>
    <t>Date of Model:</t>
  </si>
  <si>
    <t>Objectives</t>
  </si>
  <si>
    <t>Population</t>
  </si>
  <si>
    <t>Intervention</t>
  </si>
  <si>
    <t>Comparators</t>
  </si>
  <si>
    <t>Outcomes</t>
  </si>
  <si>
    <t>Data sources</t>
  </si>
  <si>
    <t>Patient data was collected from CLEAN database.</t>
  </si>
  <si>
    <t>Cost data</t>
  </si>
  <si>
    <t>The following cost categories are included in the model:</t>
  </si>
  <si>
    <t xml:space="preserve">Drug acquisition cost </t>
  </si>
  <si>
    <t>Treatment Cost</t>
  </si>
  <si>
    <t>ICU Cost</t>
  </si>
  <si>
    <t>Resource Cost</t>
  </si>
  <si>
    <t>Cell Key</t>
  </si>
  <si>
    <t>Model Background</t>
  </si>
  <si>
    <t>Model Input</t>
  </si>
  <si>
    <t>Model Calculation</t>
  </si>
  <si>
    <t>General  Settings</t>
  </si>
  <si>
    <t>Currency</t>
  </si>
  <si>
    <t>€</t>
  </si>
  <si>
    <t>Country</t>
  </si>
  <si>
    <t>Age</t>
  </si>
  <si>
    <t>Yes</t>
  </si>
  <si>
    <t>Include Adverse events?</t>
  </si>
  <si>
    <t>Summary</t>
  </si>
  <si>
    <t>Regimens</t>
  </si>
  <si>
    <t>Treatment cycle  (days)</t>
  </si>
  <si>
    <t>Total</t>
  </si>
  <si>
    <t>Drug Acquisition</t>
  </si>
  <si>
    <t>Semipermeable transparent dressing</t>
  </si>
  <si>
    <t>Number of days</t>
  </si>
  <si>
    <t>Total Cost</t>
  </si>
  <si>
    <t xml:space="preserve">Direct cost of treating CRBSI </t>
  </si>
  <si>
    <t>Patients without CRBSI</t>
  </si>
  <si>
    <t>Additional ICU Length of stay (LOS) due to CRBSI</t>
  </si>
  <si>
    <t>Resource Used Cost</t>
  </si>
  <si>
    <t>Adverse Event (Dermatitis)</t>
  </si>
  <si>
    <t>Catheter removal</t>
  </si>
  <si>
    <t>State 3</t>
  </si>
  <si>
    <t>State 4</t>
  </si>
  <si>
    <t>Parameters</t>
  </si>
  <si>
    <t>This sheet contains all model parameters, along with their associated bounds of uncertainty.</t>
  </si>
  <si>
    <t>Assumed for SE where uncertainty unreported</t>
  </si>
  <si>
    <t>of the mean value.</t>
  </si>
  <si>
    <t>Param count</t>
  </si>
  <si>
    <t>Parameter name</t>
  </si>
  <si>
    <t>SE</t>
  </si>
  <si>
    <t>RAND</t>
  </si>
  <si>
    <t>Dist</t>
  </si>
  <si>
    <t>Lower</t>
  </si>
  <si>
    <t>Upper</t>
  </si>
  <si>
    <t>Control</t>
  </si>
  <si>
    <t>Use in OWSA?</t>
  </si>
  <si>
    <t>Patient characteristics (All Patient)</t>
  </si>
  <si>
    <t>No</t>
  </si>
  <si>
    <t xml:space="preserve"> Antiseptic solutions cost</t>
  </si>
  <si>
    <t>Adverse event cost</t>
  </si>
  <si>
    <t>Resource Use cost</t>
  </si>
  <si>
    <t>Cost for Catheres charged</t>
  </si>
  <si>
    <t>Pairwise cost -effectiveness results (intervention vs. each comparator)</t>
  </si>
  <si>
    <t>Treatment arm</t>
  </si>
  <si>
    <t xml:space="preserve">CRBSI </t>
  </si>
  <si>
    <t>Incremental CRBSI Avoided</t>
  </si>
  <si>
    <t>Disaggregate results - costs</t>
  </si>
  <si>
    <t>CGH T1 vs PVI T1</t>
  </si>
  <si>
    <t>% increment</t>
  </si>
  <si>
    <t>Drug acquisition cost</t>
  </si>
  <si>
    <t>Adverse Event Cost</t>
  </si>
  <si>
    <t>CRBSI Patient</t>
  </si>
  <si>
    <t>Costs</t>
  </si>
  <si>
    <t>Cycle</t>
  </si>
  <si>
    <t>Days</t>
  </si>
  <si>
    <t>Year</t>
  </si>
  <si>
    <t>noAE/noCRBSI/noCTnew</t>
  </si>
  <si>
    <t>noAE/noCRBSI/Ctnew</t>
  </si>
  <si>
    <t>noAE/CRBSI/noCTnew</t>
  </si>
  <si>
    <t>noAE/CRBSI/Ctnew</t>
  </si>
  <si>
    <t>AE/noCRBSI/noCTnew</t>
  </si>
  <si>
    <t>G+S</t>
  </si>
  <si>
    <t>Discharge</t>
  </si>
  <si>
    <t>Death</t>
  </si>
  <si>
    <t>Check</t>
  </si>
  <si>
    <t>Total CRBSI Patient</t>
  </si>
  <si>
    <t>Tp</t>
  </si>
  <si>
    <t>France</t>
  </si>
  <si>
    <t>Perspective</t>
  </si>
  <si>
    <t>Health State Occupancy</t>
  </si>
  <si>
    <t>Results</t>
  </si>
  <si>
    <t>Disaggregate results - CRBSI</t>
  </si>
  <si>
    <t>Sheet Key</t>
  </si>
  <si>
    <t>Reference</t>
  </si>
  <si>
    <t>Assumptions</t>
  </si>
  <si>
    <t>Rank</t>
  </si>
  <si>
    <t>Parameter</t>
  </si>
  <si>
    <t>ICU Cost without CRBSI</t>
  </si>
  <si>
    <t xml:space="preserve">The cost of a CRBSI event is independent from the outcome (survival or death or discharge): Statistical unit is the “global” patient. </t>
  </si>
  <si>
    <t xml:space="preserve">Catheter colonization had no costs (after the diagnosis) or adverse outcomes (colonization has been initially excluded from the model because it is not a “health-state”). The costs for diagnosis are negligible compared to costs related to additional ICU LOS due to CRBSI. The related costs to replace a catheter suspected to be colonized (and causing CRBSI) will be absorbed in the health-states CT new. </t>
  </si>
  <si>
    <t>The estimated cost per ICU day at the University Hospital of Poitiers is estimated for each compared intervention.</t>
  </si>
  <si>
    <t xml:space="preserve"> If AE is dermatitis, the G+S (semipermeable transparent dressing) unit cost for CHG T1/T4 groups is identical to PVI T1/T4 groups.</t>
  </si>
  <si>
    <t>Censored data for the "ICU Discharge" state, if the infection is observed two days after discharge from the ICU, we consider that this infection occurred the day of discharge from the ICU.</t>
  </si>
  <si>
    <t>"G+S” State: Ability to integrate a potentially observable output "AE/no CRBSI/no CT New" (with probability for semipermeable transparent dressing). The considered AE is contact dermatitis.</t>
  </si>
  <si>
    <t>User Value</t>
  </si>
  <si>
    <t>Default Value</t>
  </si>
  <si>
    <t>Country Name</t>
  </si>
  <si>
    <t>Date</t>
  </si>
  <si>
    <t>Input Name</t>
  </si>
  <si>
    <t>Input Value</t>
  </si>
  <si>
    <t>Lower Value</t>
  </si>
  <si>
    <t>Upper Value</t>
  </si>
  <si>
    <t>Transition Probabilities</t>
  </si>
  <si>
    <t>OWSA Base case most significant variable</t>
  </si>
  <si>
    <t>Compared to CHG T1</t>
  </si>
  <si>
    <t>Hospital Setting</t>
  </si>
  <si>
    <t>An eight-health state semi-Markov state transition model which is majorly divided into three states for understanding purposes:-</t>
  </si>
  <si>
    <t>Dissolving States</t>
  </si>
  <si>
    <t>1)</t>
  </si>
  <si>
    <t>2)</t>
  </si>
  <si>
    <t>3)</t>
  </si>
  <si>
    <t>In hospital setting there are six states:-</t>
  </si>
  <si>
    <t>State1.</t>
  </si>
  <si>
    <t xml:space="preserve"> noAE/noCRBSI/noCTnew</t>
  </si>
  <si>
    <t xml:space="preserve"> noAE/CRBSI/Ctnew</t>
  </si>
  <si>
    <t>State4.</t>
  </si>
  <si>
    <t>State5.</t>
  </si>
  <si>
    <t xml:space="preserve"> AE/noCRBSI/noCTnew</t>
  </si>
  <si>
    <t>State6.</t>
  </si>
  <si>
    <t xml:space="preserve"> G+S</t>
  </si>
  <si>
    <t>State2.</t>
  </si>
  <si>
    <t>State3.</t>
  </si>
  <si>
    <t>*</t>
  </si>
  <si>
    <t>Use in PSA</t>
  </si>
  <si>
    <t>PSA</t>
  </si>
  <si>
    <t>Willingness to Pay</t>
  </si>
  <si>
    <t>No of iterations</t>
  </si>
  <si>
    <t>Live result</t>
  </si>
  <si>
    <t>Total CRBSI</t>
  </si>
  <si>
    <t>Incremental Cost</t>
  </si>
  <si>
    <t>CRBSI Avoided</t>
  </si>
  <si>
    <t>Sl no</t>
  </si>
  <si>
    <t>NMB</t>
  </si>
  <si>
    <t>α</t>
  </si>
  <si>
    <t>β</t>
  </si>
  <si>
    <t>No of parameters in PSA</t>
  </si>
  <si>
    <t>No of parameters in OWSA</t>
  </si>
  <si>
    <t>Gamma</t>
  </si>
  <si>
    <t xml:space="preserve">Note :- </t>
  </si>
  <si>
    <t>Transition between the states within the hospital setting</t>
  </si>
  <si>
    <t>User-modifiable Input</t>
  </si>
  <si>
    <t>Input Used/Calculations</t>
  </si>
  <si>
    <t>Model Output</t>
  </si>
  <si>
    <t>Model Details</t>
  </si>
  <si>
    <t>Model Overview</t>
  </si>
  <si>
    <t>Costs(€)</t>
  </si>
  <si>
    <t>Incremental Costs(€)</t>
  </si>
  <si>
    <t>ICER(€/CRBSI Avoided)</t>
  </si>
  <si>
    <t>Incremental(€)</t>
  </si>
  <si>
    <t>Model structure</t>
  </si>
  <si>
    <t>Model Settings</t>
  </si>
  <si>
    <t xml:space="preserve"> Cost</t>
  </si>
  <si>
    <t>Input Used</t>
  </si>
  <si>
    <t>Adverse Event</t>
  </si>
  <si>
    <t>[Prof Olivier Mimoz et al.]</t>
  </si>
  <si>
    <t>[Carole  Schwebel et al.]</t>
  </si>
  <si>
    <t>[reported by University Hospital of Poitiers]</t>
  </si>
  <si>
    <t>Patient Flow CHG T1</t>
  </si>
  <si>
    <t>Patient Flow PVI T1</t>
  </si>
  <si>
    <t>Calculation</t>
  </si>
  <si>
    <t>Base Case</t>
  </si>
  <si>
    <t>Catheter insertion</t>
  </si>
  <si>
    <t>Time Horizon and Cycle Length</t>
  </si>
  <si>
    <t>Year of Analysis</t>
  </si>
  <si>
    <t>Report Export</t>
  </si>
  <si>
    <t>Version Control</t>
  </si>
  <si>
    <t>Version No.</t>
  </si>
  <si>
    <t xml:space="preserve">Date </t>
  </si>
  <si>
    <t>Description</t>
  </si>
  <si>
    <t>We assumed all catheters were inserted or removed within the ICU.</t>
  </si>
  <si>
    <t>Healthcare perspective is used in the model.</t>
  </si>
  <si>
    <t>Health states including CRBSIs were assumed to last a single day because it was not technically possible to identify the termination of a CRBSI in the patient database. However, the costs of treating the complete episode, as well as the total costs associated with the extra length of stay due to the CRBSI were accounted on the day when the CRBSI was diagnosed.</t>
  </si>
  <si>
    <t>State 1 to 1</t>
  </si>
  <si>
    <t>State 1 to 2</t>
  </si>
  <si>
    <t>State 1 to 3</t>
  </si>
  <si>
    <t>State 1 to 5</t>
  </si>
  <si>
    <t>State 1 to 4</t>
  </si>
  <si>
    <t>State 1 to 7</t>
  </si>
  <si>
    <t>State 1 to 8</t>
  </si>
  <si>
    <t>State 2 to 1</t>
  </si>
  <si>
    <t>State 3 to 1</t>
  </si>
  <si>
    <t>State 4 to 1</t>
  </si>
  <si>
    <t>State 6 to 1</t>
  </si>
  <si>
    <t>State 2 to 2</t>
  </si>
  <si>
    <t>State 3 to 2</t>
  </si>
  <si>
    <t>State 4 to 2</t>
  </si>
  <si>
    <t>State 6 to 2</t>
  </si>
  <si>
    <t>State 2 to 3</t>
  </si>
  <si>
    <t>State 3 to 3</t>
  </si>
  <si>
    <t>State 4 to 3</t>
  </si>
  <si>
    <t>State 6 to 3</t>
  </si>
  <si>
    <t>State 2 to 4</t>
  </si>
  <si>
    <t>State 3 to 4</t>
  </si>
  <si>
    <t>State 4 to 4</t>
  </si>
  <si>
    <t>State 6 to 4</t>
  </si>
  <si>
    <t>State 2 to 5</t>
  </si>
  <si>
    <t>State 3 to 5</t>
  </si>
  <si>
    <t>State 4 to 5</t>
  </si>
  <si>
    <t>State 6 to 5</t>
  </si>
  <si>
    <t>State 5 to 6</t>
  </si>
  <si>
    <t>State 2 to 7</t>
  </si>
  <si>
    <t>State 3 to 7</t>
  </si>
  <si>
    <t>State 4 to 7</t>
  </si>
  <si>
    <t>State 6 to 7</t>
  </si>
  <si>
    <t>State 2 to 8</t>
  </si>
  <si>
    <t>State 3 to 8</t>
  </si>
  <si>
    <t>State 4 to 8</t>
  </si>
  <si>
    <t>State 6 to 8</t>
  </si>
  <si>
    <t>Four gauze and tape dressings</t>
  </si>
  <si>
    <t>Non CHG Dressing</t>
  </si>
  <si>
    <t>CHG Dressing</t>
  </si>
  <si>
    <t>CHG Dressing vs Non CHG Dressing</t>
  </si>
  <si>
    <t>Normal</t>
  </si>
  <si>
    <t>Deterministic Senstivity Analysis</t>
  </si>
  <si>
    <t>Please select how you wish to present the results of the DSA</t>
  </si>
  <si>
    <t>Note: Re-run the DSA when select different DSA output from dropdown</t>
  </si>
  <si>
    <t>Summary of most influential parameters</t>
  </si>
  <si>
    <t xml:space="preserve">Parameter </t>
  </si>
  <si>
    <t xml:space="preserve">Lower Bound </t>
  </si>
  <si>
    <t xml:space="preserve">Upper Bound </t>
  </si>
  <si>
    <t>Difference</t>
  </si>
  <si>
    <t xml:space="preserve">Live Results: </t>
  </si>
  <si>
    <t>Lower Bound</t>
  </si>
  <si>
    <t>Upper Bound</t>
  </si>
  <si>
    <t>S.No.</t>
  </si>
  <si>
    <t xml:space="preserve">Incremental Cost </t>
  </si>
  <si>
    <t>Semipermeable Non CHG Dressing</t>
  </si>
  <si>
    <t>Semipermeable CHG Dressing</t>
  </si>
  <si>
    <t>Cost-Effectiveness Analysis of a Transparent Antimicrobial Dressing for Managing Central Venous and Arterial Catheters in Intensive Care Units</t>
  </si>
  <si>
    <t xml:space="preserve">Economic Evaluation of Transparent Antimicrobial Dressing for patient treated with Catheter-related bloodstream infection </t>
  </si>
  <si>
    <t>A global model with a France base case has been developed to perform a cost-effectiveness analysis of antimicrobial chlorhexidine gluconate versus non-antimicrobial</t>
  </si>
  <si>
    <t xml:space="preserve"> transparent dressing for the prevention of intravascularcatheter-related bloodstream infections (CRBSI) in intensive care unit (ICU).</t>
  </si>
  <si>
    <t>1000 patients per group simulated based on the source randomized controlled trial</t>
  </si>
  <si>
    <t xml:space="preserve">Chlorhexidine Gluconate-containing securement dressing </t>
  </si>
  <si>
    <t>Non-antimicrobial transparent dressings</t>
  </si>
  <si>
    <t>Thirty days and one day respectively.</t>
  </si>
  <si>
    <t xml:space="preserve">The chlorhexidine gluconate dressing prevents 11.8 infections /1,000 patients. The incremental cost-effectiveness ratio is of €12,046 per catheter-related </t>
  </si>
  <si>
    <t>blood_x0002_stream infection prevented.</t>
  </si>
  <si>
    <t>CHG</t>
  </si>
  <si>
    <t>Non CHG</t>
  </si>
  <si>
    <t xml:space="preserve">CHG vs Non CHG </t>
  </si>
  <si>
    <t xml:space="preserve"> </t>
  </si>
  <si>
    <t xml:space="preserve">The straight arrow coming down from state 6 that is G+S represents that transition is possible to any other state from this. </t>
  </si>
  <si>
    <t>Deterministic Results</t>
  </si>
  <si>
    <t>PSA Results - Mean</t>
  </si>
  <si>
    <t>Dressing costs per ICU patient per day(€)</t>
  </si>
  <si>
    <t>Semipermeable transparent dressing(€)</t>
  </si>
  <si>
    <t>Direct Cost of treating CRBSI  (mean/episode)(€)</t>
  </si>
  <si>
    <t>Cost per ICU patient per day(€)</t>
  </si>
  <si>
    <t>Cost per catheter charge(€)</t>
  </si>
  <si>
    <t>Adverse Event Cost(€)</t>
  </si>
  <si>
    <t>CHG Dressing(€)</t>
  </si>
  <si>
    <t>Non CHG Dressing(€)</t>
  </si>
  <si>
    <t>Transition Probabilities(CHG)</t>
  </si>
  <si>
    <t>Transition Probabilities(Non CHG)</t>
  </si>
  <si>
    <t>Beta</t>
  </si>
  <si>
    <t>Transition Probability for CHG Dressing</t>
  </si>
  <si>
    <t>Transition Probability for Non CHG Dressing</t>
  </si>
  <si>
    <t>[Franck Maunoury et al.2015]</t>
  </si>
  <si>
    <t>Cost for Catheter charged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</si>
</sst>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0.00_);_(* \(#,##0.00\);_(* &quot;-&quot;??_);_(@_)"/>
    <numFmt numFmtId="164" formatCode="#,##0.000"/>
    <numFmt numFmtId="165" formatCode="0.00000"/>
    <numFmt numFmtId="166" formatCode="0.0000000"/>
    <numFmt numFmtId="167" formatCode="0.000000"/>
    <numFmt numFmtId="168" formatCode="0.000"/>
    <numFmt numFmtId="169" formatCode="[$-409]mmmm\ d\,\ yyyy;@"/>
    <numFmt numFmtId="170" formatCode="#,##0.00000"/>
    <numFmt numFmtId="171" formatCode="#,##0.0000"/>
    <numFmt numFmtId="172" formatCode="0.0000000000"/>
    <numFmt numFmtId="173" formatCode="0.00000000000"/>
    <numFmt numFmtId="174" formatCode="0.000000000000"/>
    <numFmt numFmtId="175" formatCode="[$$-409]#,##0.00"/>
    <numFmt numFmtId="176" formatCode="&quot;£&quot;#,##0.00"/>
    <numFmt numFmtId="177" formatCode="0.00000000"/>
    <numFmt numFmtId="178" formatCode="0.0000000000000"/>
    <numFmt numFmtId="179" formatCode="#,##0.000000"/>
    <numFmt numFmtId="180" formatCode="0.00000000000000000000"/>
    <numFmt numFmtId="181" formatCode="0.00000000000000000000000"/>
  </numFmts>
  <fonts count="31" x14ac:knownFonts="1">
    <font>
      <sz val="11"/>
      <color theme="1"/>
      <name val="Calibri"/>
      <family val="2"/>
      <scheme val="minor"/>
    </font>
    <font>
      <b/>
      <sz val="14"/>
      <color theme="1"/>
      <name val="Calibri"/>
      <family val="2"/>
      <scheme val="minor"/>
    </font>
    <font>
      <sz val="8"/>
      <name val="Calibri"/>
      <family val="2"/>
      <scheme val="minor"/>
    </font>
    <font>
      <sz val="11"/>
      <color theme="1"/>
      <name val="Arial"/>
      <family val="2"/>
    </font>
    <font>
      <sz val="10"/>
      <name val="Arial"/>
      <family val="2"/>
    </font>
    <font>
      <sz val="11"/>
      <color theme="1"/>
      <name val="Calibri"/>
      <family val="2"/>
      <scheme val="minor"/>
    </font>
    <font>
      <b/>
      <sz val="16"/>
      <color theme="1"/>
      <name val="Arial"/>
      <family val="2"/>
    </font>
    <font>
      <sz val="11"/>
      <color rgb="FFFF6600"/>
      <name val="Arial"/>
      <family val="2"/>
    </font>
    <font>
      <b/>
      <sz val="11"/>
      <color theme="1"/>
      <name val="Calibri"/>
      <family val="2"/>
      <scheme val="minor"/>
    </font>
    <font>
      <sz val="11"/>
      <name val="Calibri"/>
      <family val="2"/>
      <scheme val="minor"/>
    </font>
    <font>
      <b/>
      <sz val="16"/>
      <color theme="1"/>
      <name val="Calibri"/>
      <family val="2"/>
      <scheme val="minor"/>
    </font>
    <font>
      <b/>
      <sz val="12"/>
      <color theme="1"/>
      <name val="Calibri"/>
      <family val="2"/>
      <scheme val="minor"/>
    </font>
    <font>
      <sz val="11"/>
      <color theme="0"/>
      <name val="Calibri"/>
      <family val="2"/>
      <scheme val="minor"/>
    </font>
    <font>
      <sz val="9"/>
      <color theme="1"/>
      <name val="Arial Rounded MT Bold"/>
      <family val="2"/>
    </font>
    <font>
      <b/>
      <sz val="15"/>
      <color theme="1"/>
      <name val="Calibri"/>
      <family val="2"/>
      <scheme val="minor"/>
    </font>
    <font>
      <b/>
      <sz val="28"/>
      <color theme="1"/>
      <name val="Calibri"/>
      <family val="2"/>
      <scheme val="minor"/>
    </font>
    <font>
      <b/>
      <sz val="9"/>
      <color theme="0"/>
      <name val="Arial Rounded MT Bold"/>
      <family val="2"/>
    </font>
    <font>
      <b/>
      <sz val="11"/>
      <name val="Calibri"/>
      <family val="2"/>
      <scheme val="minor"/>
    </font>
    <font>
      <b/>
      <sz val="10"/>
      <name val="Calibri"/>
      <family val="2"/>
      <scheme val="minor"/>
    </font>
    <font>
      <sz val="11"/>
      <color rgb="FF000000"/>
      <name val="Calibri"/>
      <family val="2"/>
      <scheme val="minor"/>
    </font>
    <font>
      <b/>
      <sz val="11"/>
      <color rgb="FF000000"/>
      <name val="Calibri"/>
      <family val="2"/>
      <scheme val="minor"/>
    </font>
    <font>
      <b/>
      <sz val="18"/>
      <color theme="1"/>
      <name val="Calibri"/>
      <family val="2"/>
      <scheme val="minor"/>
    </font>
    <font>
      <b/>
      <sz val="20"/>
      <color theme="1"/>
      <name val="Calibri"/>
      <family val="2"/>
      <scheme val="minor"/>
    </font>
    <font>
      <i/>
      <sz val="9"/>
      <color theme="1"/>
      <name val="Calibri"/>
      <family val="2"/>
      <scheme val="minor"/>
    </font>
    <font>
      <sz val="11"/>
      <color rgb="FF000000"/>
      <name val="Calibri"/>
      <family val="2"/>
    </font>
    <font>
      <b/>
      <sz val="16"/>
      <color rgb="FF000000"/>
      <name val="Calibri"/>
      <family val="2"/>
    </font>
    <font>
      <b/>
      <sz val="12"/>
      <color rgb="FF000000"/>
      <name val="Calibri"/>
      <family val="2"/>
      <scheme val="minor"/>
    </font>
    <font>
      <b/>
      <u/>
      <sz val="14"/>
      <color theme="1"/>
      <name val="Calibri"/>
      <family val="2"/>
      <scheme val="minor"/>
    </font>
    <font>
      <b/>
      <u/>
      <sz val="11"/>
      <color theme="1"/>
      <name val="Arial"/>
      <family val="2"/>
    </font>
    <font>
      <b/>
      <sz val="11"/>
      <color theme="1"/>
      <name val="Arial"/>
      <family val="2"/>
    </font>
    <font>
      <b/>
      <sz val="24"/>
      <color theme="5"/>
      <name val="Calibri"/>
      <family val="2"/>
      <scheme val="minor"/>
    </font>
  </fonts>
  <fills count="15">
    <fill>
      <patternFill patternType="none"/>
    </fill>
    <fill>
      <patternFill patternType="gray125"/>
    </fill>
    <fill>
      <patternFill patternType="solid">
        <fgColor theme="0"/>
        <bgColor indexed="64"/>
      </patternFill>
    </fill>
    <fill>
      <patternFill patternType="solid">
        <fgColor theme="4"/>
        <bgColor indexed="64"/>
      </patternFill>
    </fill>
    <fill>
      <patternFill patternType="solid">
        <fgColor theme="8" tint="-0.249977111117893"/>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9"/>
        <bgColor indexed="64"/>
      </patternFill>
    </fill>
    <fill>
      <patternFill patternType="solid">
        <fgColor theme="6" tint="-0.249977111117893"/>
        <bgColor indexed="64"/>
      </patternFill>
    </fill>
    <fill>
      <patternFill patternType="solid">
        <fgColor rgb="FFCC6600"/>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rgb="FFEE7E32"/>
        <bgColor indexed="64"/>
      </patternFill>
    </fill>
    <fill>
      <patternFill patternType="solid">
        <fgColor theme="5"/>
        <bgColor indexed="64"/>
      </patternFill>
    </fill>
    <fill>
      <patternFill patternType="solid">
        <fgColor rgb="FFFFFF00"/>
        <bgColor indexed="64"/>
      </patternFill>
    </fill>
  </fills>
  <borders count="6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auto="1"/>
      </left>
      <right style="thin">
        <color auto="1"/>
      </right>
      <top/>
      <bottom style="thin">
        <color indexed="64"/>
      </bottom>
      <diagonal/>
    </border>
    <border>
      <left style="thin">
        <color auto="1"/>
      </left>
      <right style="thin">
        <color auto="1"/>
      </right>
      <top/>
      <bottom/>
      <diagonal/>
    </border>
    <border>
      <left/>
      <right/>
      <top/>
      <bottom style="hair">
        <color indexed="64"/>
      </bottom>
      <diagonal/>
    </border>
    <border>
      <left style="thin">
        <color indexed="64"/>
      </left>
      <right style="thin">
        <color indexed="64"/>
      </right>
      <top/>
      <bottom style="hair">
        <color indexed="64"/>
      </bottom>
      <diagonal/>
    </border>
    <border>
      <left/>
      <right/>
      <top/>
      <bottom style="thin">
        <color indexed="64"/>
      </bottom>
      <diagonal/>
    </border>
    <border>
      <left/>
      <right/>
      <top/>
      <bottom style="medium">
        <color theme="5"/>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right style="thin">
        <color indexed="64"/>
      </right>
      <top style="thin">
        <color indexed="64"/>
      </top>
      <bottom/>
      <diagonal/>
    </border>
    <border>
      <left style="thin">
        <color rgb="FF000000"/>
      </left>
      <right style="thin">
        <color indexed="64"/>
      </right>
      <top style="thin">
        <color rgb="FF000000"/>
      </top>
      <bottom style="hair">
        <color indexed="64"/>
      </bottom>
      <diagonal/>
    </border>
    <border>
      <left style="thin">
        <color rgb="FF000000"/>
      </left>
      <right style="thin">
        <color indexed="64"/>
      </right>
      <top style="hair">
        <color indexed="64"/>
      </top>
      <bottom style="hair">
        <color indexed="64"/>
      </bottom>
      <diagonal/>
    </border>
    <border>
      <left style="double">
        <color indexed="64"/>
      </left>
      <right style="double">
        <color indexed="64"/>
      </right>
      <top style="double">
        <color indexed="64"/>
      </top>
      <bottom style="double">
        <color indexed="64"/>
      </bottom>
      <diagonal/>
    </border>
    <border>
      <left style="double">
        <color theme="5" tint="-0.249977111117893"/>
      </left>
      <right style="double">
        <color theme="5" tint="-0.249977111117893"/>
      </right>
      <top style="double">
        <color theme="5" tint="-0.249977111117893"/>
      </top>
      <bottom style="double">
        <color theme="5" tint="-0.249977111117893"/>
      </bottom>
      <diagonal/>
    </border>
    <border>
      <left style="medium">
        <color theme="5" tint="-0.249977111117893"/>
      </left>
      <right/>
      <top style="medium">
        <color theme="5" tint="-0.249977111117893"/>
      </top>
      <bottom style="medium">
        <color theme="5" tint="-0.249977111117893"/>
      </bottom>
      <diagonal/>
    </border>
    <border>
      <left/>
      <right/>
      <top style="medium">
        <color theme="5" tint="-0.249977111117893"/>
      </top>
      <bottom style="medium">
        <color theme="5" tint="-0.249977111117893"/>
      </bottom>
      <diagonal/>
    </border>
    <border>
      <left/>
      <right style="medium">
        <color theme="5" tint="-0.249977111117893"/>
      </right>
      <top style="medium">
        <color theme="5" tint="-0.249977111117893"/>
      </top>
      <bottom style="medium">
        <color theme="5" tint="-0.249977111117893"/>
      </bottom>
      <diagonal/>
    </border>
    <border>
      <left/>
      <right style="medium">
        <color theme="5" tint="-0.249977111117893"/>
      </right>
      <top/>
      <bottom/>
      <diagonal/>
    </border>
    <border>
      <left style="medium">
        <color theme="5" tint="-0.249977111117893"/>
      </left>
      <right/>
      <top/>
      <bottom/>
      <diagonal/>
    </border>
    <border>
      <left/>
      <right/>
      <top/>
      <bottom style="medium">
        <color theme="5" tint="-0.249977111117893"/>
      </bottom>
      <diagonal/>
    </border>
    <border>
      <left style="medium">
        <color theme="5" tint="-0.249977111117893"/>
      </left>
      <right/>
      <top/>
      <bottom style="medium">
        <color theme="5" tint="-0.249977111117893"/>
      </bottom>
      <diagonal/>
    </border>
    <border>
      <left style="double">
        <color theme="1"/>
      </left>
      <right/>
      <top/>
      <bottom/>
      <diagonal/>
    </border>
    <border>
      <left/>
      <right style="medium">
        <color indexed="64"/>
      </right>
      <top style="thin">
        <color indexed="64"/>
      </top>
      <bottom style="medium">
        <color indexed="64"/>
      </bottom>
      <diagonal/>
    </border>
    <border>
      <left style="medium">
        <color theme="5" tint="-0.249977111117893"/>
      </left>
      <right/>
      <top style="medium">
        <color theme="5" tint="-0.249977111117893"/>
      </top>
      <bottom/>
      <diagonal/>
    </border>
    <border>
      <left/>
      <right/>
      <top style="medium">
        <color theme="5" tint="-0.249977111117893"/>
      </top>
      <bottom/>
      <diagonal/>
    </border>
    <border>
      <left/>
      <right style="medium">
        <color theme="5" tint="-0.249977111117893"/>
      </right>
      <top style="medium">
        <color theme="5" tint="-0.249977111117893"/>
      </top>
      <bottom/>
      <diagonal/>
    </border>
    <border>
      <left style="medium">
        <color indexed="64"/>
      </left>
      <right style="medium">
        <color indexed="64"/>
      </right>
      <top/>
      <bottom style="thin">
        <color auto="1"/>
      </bottom>
      <diagonal/>
    </border>
    <border>
      <left/>
      <right style="medium">
        <color indexed="64"/>
      </right>
      <top/>
      <bottom style="thin">
        <color indexed="64"/>
      </bottom>
      <diagonal/>
    </border>
    <border>
      <left style="medium">
        <color indexed="64"/>
      </left>
      <right style="medium">
        <color indexed="64"/>
      </right>
      <top style="thin">
        <color auto="1"/>
      </top>
      <bottom style="thin">
        <color auto="1"/>
      </bottom>
      <diagonal/>
    </border>
    <border>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style="medium">
        <color theme="5" tint="-0.249977111117893"/>
      </right>
      <top/>
      <bottom style="medium">
        <color theme="5" tint="-0.249977111117893"/>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double">
        <color indexed="64"/>
      </right>
      <top style="thin">
        <color indexed="64"/>
      </top>
      <bottom style="thin">
        <color indexed="64"/>
      </bottom>
      <diagonal/>
    </border>
    <border>
      <left style="medium">
        <color theme="5"/>
      </left>
      <right/>
      <top style="medium">
        <color theme="5"/>
      </top>
      <bottom style="medium">
        <color theme="5"/>
      </bottom>
      <diagonal/>
    </border>
    <border>
      <left/>
      <right/>
      <top style="medium">
        <color theme="5"/>
      </top>
      <bottom style="medium">
        <color theme="5"/>
      </bottom>
      <diagonal/>
    </border>
    <border>
      <left/>
      <right style="medium">
        <color theme="5"/>
      </right>
      <top style="medium">
        <color theme="5"/>
      </top>
      <bottom style="medium">
        <color theme="5"/>
      </bottom>
      <diagonal/>
    </border>
    <border>
      <left style="medium">
        <color theme="5"/>
      </left>
      <right/>
      <top/>
      <bottom/>
      <diagonal/>
    </border>
    <border>
      <left/>
      <right style="medium">
        <color theme="5"/>
      </right>
      <top/>
      <bottom/>
      <diagonal/>
    </border>
    <border>
      <left style="medium">
        <color theme="5"/>
      </left>
      <right/>
      <top/>
      <bottom style="medium">
        <color theme="5"/>
      </bottom>
      <diagonal/>
    </border>
    <border>
      <left/>
      <right style="medium">
        <color theme="5"/>
      </right>
      <top/>
      <bottom style="medium">
        <color theme="5"/>
      </bottom>
      <diagonal/>
    </border>
    <border>
      <left style="double">
        <color indexed="64"/>
      </left>
      <right style="double">
        <color indexed="64"/>
      </right>
      <top/>
      <bottom style="double">
        <color indexed="64"/>
      </bottom>
      <diagonal/>
    </border>
    <border>
      <left/>
      <right style="double">
        <color indexed="64"/>
      </right>
      <top/>
      <bottom style="double">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s>
  <cellStyleXfs count="5">
    <xf numFmtId="0" fontId="0" fillId="0" borderId="0"/>
    <xf numFmtId="0" fontId="4" fillId="0" borderId="0"/>
    <xf numFmtId="9" fontId="5" fillId="0" borderId="0" applyFont="0" applyFill="0" applyBorder="0" applyAlignment="0" applyProtection="0"/>
    <xf numFmtId="43" fontId="5" fillId="0" borderId="0" applyFont="0" applyFill="0" applyBorder="0" applyAlignment="0" applyProtection="0"/>
    <xf numFmtId="0" fontId="16" fillId="4" borderId="1">
      <alignment horizontal="center" vertical="center"/>
      <protection locked="0"/>
    </xf>
  </cellStyleXfs>
  <cellXfs count="266">
    <xf numFmtId="0" fontId="0" fillId="0" borderId="0" xfId="0"/>
    <xf numFmtId="0" fontId="0" fillId="2" borderId="0" xfId="0" applyFill="1"/>
    <xf numFmtId="0" fontId="0" fillId="2" borderId="1" xfId="0" applyFill="1" applyBorder="1"/>
    <xf numFmtId="0" fontId="3" fillId="0" borderId="0" xfId="0" applyFont="1" applyAlignment="1">
      <alignment horizontal="left"/>
    </xf>
    <xf numFmtId="0" fontId="3" fillId="0" borderId="0" xfId="0" applyFont="1" applyAlignment="1">
      <alignment horizontal="center" vertical="center"/>
    </xf>
    <xf numFmtId="0" fontId="3" fillId="0" borderId="0" xfId="0" applyFont="1"/>
    <xf numFmtId="1" fontId="3" fillId="0" borderId="0" xfId="0" applyNumberFormat="1" applyFont="1"/>
    <xf numFmtId="0" fontId="7" fillId="0" borderId="0" xfId="0" applyFont="1"/>
    <xf numFmtId="0" fontId="3" fillId="0" borderId="11" xfId="0" applyFont="1" applyBorder="1"/>
    <xf numFmtId="0" fontId="0" fillId="0" borderId="0" xfId="0" applyAlignment="1">
      <alignment horizontal="left"/>
    </xf>
    <xf numFmtId="0" fontId="8" fillId="2" borderId="1" xfId="0" applyFont="1" applyFill="1" applyBorder="1"/>
    <xf numFmtId="165" fontId="0" fillId="2" borderId="1" xfId="0" applyNumberFormat="1" applyFill="1" applyBorder="1"/>
    <xf numFmtId="0" fontId="10" fillId="2" borderId="0" xfId="0" applyFont="1" applyFill="1"/>
    <xf numFmtId="0" fontId="0" fillId="2" borderId="1" xfId="0" applyFill="1" applyBorder="1" applyAlignment="1">
      <alignment horizontal="center" vertical="center"/>
    </xf>
    <xf numFmtId="0" fontId="1" fillId="2" borderId="0" xfId="0" applyFont="1" applyFill="1"/>
    <xf numFmtId="0" fontId="15" fillId="2" borderId="0" xfId="0" applyFont="1" applyFill="1"/>
    <xf numFmtId="0" fontId="8" fillId="2" borderId="0" xfId="0" applyFont="1" applyFill="1"/>
    <xf numFmtId="0" fontId="9" fillId="2" borderId="0" xfId="0" applyFont="1" applyFill="1"/>
    <xf numFmtId="166" fontId="0" fillId="2" borderId="0" xfId="0" applyNumberFormat="1" applyFill="1"/>
    <xf numFmtId="0" fontId="17" fillId="2" borderId="0" xfId="0" applyFont="1" applyFill="1"/>
    <xf numFmtId="2" fontId="9" fillId="2" borderId="0" xfId="0" applyNumberFormat="1" applyFont="1" applyFill="1" applyAlignment="1">
      <alignment horizontal="center"/>
    </xf>
    <xf numFmtId="0" fontId="9" fillId="2" borderId="0" xfId="0" applyFont="1" applyFill="1" applyAlignment="1">
      <alignment vertical="top"/>
    </xf>
    <xf numFmtId="43" fontId="9" fillId="2" borderId="0" xfId="3" applyFont="1" applyFill="1" applyBorder="1" applyAlignment="1">
      <alignment vertical="top"/>
    </xf>
    <xf numFmtId="0" fontId="17" fillId="2" borderId="1" xfId="0" applyFont="1" applyFill="1" applyBorder="1"/>
    <xf numFmtId="0" fontId="18" fillId="2" borderId="10" xfId="0" applyFont="1" applyFill="1" applyBorder="1" applyAlignment="1">
      <alignment horizontal="left" wrapText="1"/>
    </xf>
    <xf numFmtId="0" fontId="0" fillId="2" borderId="1" xfId="0" applyFill="1" applyBorder="1" applyAlignment="1">
      <alignment horizontal="left" vertical="center" wrapText="1"/>
    </xf>
    <xf numFmtId="0" fontId="17" fillId="2" borderId="11" xfId="0" applyFont="1" applyFill="1" applyBorder="1"/>
    <xf numFmtId="1" fontId="6" fillId="2" borderId="0" xfId="0" applyNumberFormat="1" applyFont="1" applyFill="1"/>
    <xf numFmtId="0" fontId="3" fillId="2" borderId="0" xfId="0" applyFont="1" applyFill="1" applyAlignment="1">
      <alignment horizontal="left"/>
    </xf>
    <xf numFmtId="0" fontId="3" fillId="2" borderId="0" xfId="0" applyFont="1" applyFill="1" applyAlignment="1">
      <alignment horizontal="center" vertical="center"/>
    </xf>
    <xf numFmtId="1" fontId="0" fillId="2" borderId="0" xfId="0" applyNumberFormat="1" applyFill="1"/>
    <xf numFmtId="0" fontId="0" fillId="2" borderId="0" xfId="0" applyFill="1" applyAlignment="1">
      <alignment horizontal="left"/>
    </xf>
    <xf numFmtId="0" fontId="0" fillId="2" borderId="0" xfId="0" applyFill="1" applyAlignment="1">
      <alignment horizontal="center" vertical="center"/>
    </xf>
    <xf numFmtId="1" fontId="0" fillId="2" borderId="9" xfId="0" applyNumberFormat="1" applyFill="1" applyBorder="1"/>
    <xf numFmtId="0" fontId="0" fillId="2" borderId="0" xfId="0" applyFill="1" applyAlignment="1">
      <alignment horizontal="left" vertical="center"/>
    </xf>
    <xf numFmtId="9" fontId="0" fillId="2" borderId="0" xfId="2" applyFont="1" applyFill="1" applyBorder="1" applyAlignment="1">
      <alignment horizontal="center" vertical="center"/>
    </xf>
    <xf numFmtId="3" fontId="3" fillId="2" borderId="1" xfId="0" applyNumberFormat="1" applyFont="1" applyFill="1" applyBorder="1" applyAlignment="1">
      <alignment horizontal="center" vertical="center" wrapText="1"/>
    </xf>
    <xf numFmtId="0" fontId="0" fillId="2" borderId="11" xfId="0" applyFill="1" applyBorder="1"/>
    <xf numFmtId="1" fontId="8" fillId="2" borderId="0" xfId="0" applyNumberFormat="1" applyFont="1" applyFill="1" applyAlignment="1">
      <alignment horizontal="center" vertical="center" wrapText="1"/>
    </xf>
    <xf numFmtId="1" fontId="8" fillId="2" borderId="1" xfId="0" applyNumberFormat="1" applyFont="1" applyFill="1" applyBorder="1" applyAlignment="1">
      <alignment horizontal="center" vertical="center" wrapText="1"/>
    </xf>
    <xf numFmtId="164" fontId="0" fillId="2" borderId="1" xfId="0" applyNumberFormat="1" applyFill="1" applyBorder="1" applyAlignment="1">
      <alignment horizontal="center" vertical="center" wrapText="1"/>
    </xf>
    <xf numFmtId="0" fontId="11" fillId="2" borderId="0" xfId="0" applyFont="1" applyFill="1"/>
    <xf numFmtId="0" fontId="12" fillId="2" borderId="12" xfId="0" applyFont="1" applyFill="1" applyBorder="1"/>
    <xf numFmtId="0" fontId="14" fillId="2" borderId="12" xfId="0" applyFont="1" applyFill="1" applyBorder="1"/>
    <xf numFmtId="0" fontId="0" fillId="2" borderId="12" xfId="0" applyFill="1" applyBorder="1"/>
    <xf numFmtId="0" fontId="12" fillId="2" borderId="0" xfId="0" applyFont="1" applyFill="1"/>
    <xf numFmtId="0" fontId="14" fillId="2" borderId="0" xfId="0" applyFont="1" applyFill="1"/>
    <xf numFmtId="0" fontId="11" fillId="2" borderId="0" xfId="0" quotePrefix="1" applyFont="1" applyFill="1"/>
    <xf numFmtId="0" fontId="12" fillId="2" borderId="0" xfId="0" applyFont="1" applyFill="1" applyAlignment="1">
      <alignment wrapText="1"/>
    </xf>
    <xf numFmtId="0" fontId="11" fillId="2" borderId="12" xfId="0" applyFont="1" applyFill="1" applyBorder="1"/>
    <xf numFmtId="3" fontId="9" fillId="2" borderId="1" xfId="0" applyNumberFormat="1" applyFont="1" applyFill="1" applyBorder="1" applyAlignment="1">
      <alignment horizontal="center" vertical="center" wrapText="1"/>
    </xf>
    <xf numFmtId="164" fontId="9" fillId="2" borderId="1" xfId="0" applyNumberFormat="1" applyFont="1" applyFill="1" applyBorder="1" applyAlignment="1">
      <alignment horizontal="center" vertical="center" wrapText="1"/>
    </xf>
    <xf numFmtId="2" fontId="0" fillId="2" borderId="1" xfId="0" applyNumberFormat="1" applyFill="1" applyBorder="1"/>
    <xf numFmtId="0" fontId="9" fillId="2" borderId="16" xfId="0" applyFont="1" applyFill="1" applyBorder="1" applyAlignment="1">
      <alignment wrapText="1"/>
    </xf>
    <xf numFmtId="0" fontId="9" fillId="2" borderId="17" xfId="0" applyFont="1" applyFill="1" applyBorder="1" applyAlignment="1">
      <alignment wrapText="1"/>
    </xf>
    <xf numFmtId="2" fontId="8" fillId="2" borderId="1" xfId="0" applyNumberFormat="1" applyFont="1" applyFill="1" applyBorder="1"/>
    <xf numFmtId="0" fontId="0" fillId="0" borderId="1" xfId="0" applyBorder="1"/>
    <xf numFmtId="0" fontId="0" fillId="0" borderId="6" xfId="0" applyBorder="1"/>
    <xf numFmtId="0" fontId="0" fillId="2" borderId="1" xfId="0" applyFill="1" applyBorder="1" applyAlignment="1">
      <alignment vertical="center" wrapText="1"/>
    </xf>
    <xf numFmtId="0" fontId="0" fillId="2" borderId="1" xfId="0" applyFill="1" applyBorder="1" applyAlignment="1">
      <alignment horizontal="center"/>
    </xf>
    <xf numFmtId="0" fontId="0" fillId="2" borderId="0" xfId="0" applyFill="1" applyAlignment="1">
      <alignment horizontal="center"/>
    </xf>
    <xf numFmtId="0" fontId="0" fillId="5" borderId="18" xfId="0" applyFill="1" applyBorder="1"/>
    <xf numFmtId="0" fontId="0" fillId="5" borderId="18" xfId="0" applyFill="1" applyBorder="1" applyAlignment="1">
      <alignment horizontal="center"/>
    </xf>
    <xf numFmtId="2" fontId="0" fillId="2" borderId="1" xfId="0" applyNumberFormat="1" applyFill="1" applyBorder="1" applyAlignment="1">
      <alignment horizontal="center"/>
    </xf>
    <xf numFmtId="0" fontId="15" fillId="0" borderId="0" xfId="0" applyFont="1"/>
    <xf numFmtId="0" fontId="17" fillId="2" borderId="1" xfId="0" applyFont="1" applyFill="1" applyBorder="1" applyAlignment="1">
      <alignment horizontal="center" vertical="center" wrapText="1"/>
    </xf>
    <xf numFmtId="0" fontId="9" fillId="2" borderId="1" xfId="0" applyFont="1" applyFill="1" applyBorder="1" applyAlignment="1">
      <alignment wrapText="1"/>
    </xf>
    <xf numFmtId="0" fontId="21" fillId="0" borderId="0" xfId="0" applyFont="1"/>
    <xf numFmtId="0" fontId="0" fillId="0" borderId="0" xfId="0" applyAlignment="1">
      <alignment horizontal="right"/>
    </xf>
    <xf numFmtId="0" fontId="0" fillId="2" borderId="0" xfId="0" applyFill="1" applyAlignment="1">
      <alignment horizontal="right"/>
    </xf>
    <xf numFmtId="167" fontId="0" fillId="2" borderId="1" xfId="0" applyNumberFormat="1" applyFill="1" applyBorder="1"/>
    <xf numFmtId="0" fontId="0" fillId="0" borderId="2" xfId="0" applyBorder="1"/>
    <xf numFmtId="0" fontId="0" fillId="6" borderId="18" xfId="0" applyFill="1" applyBorder="1"/>
    <xf numFmtId="0" fontId="0" fillId="2" borderId="18" xfId="0" applyFill="1" applyBorder="1"/>
    <xf numFmtId="0" fontId="0" fillId="3" borderId="18" xfId="0" applyFill="1" applyBorder="1"/>
    <xf numFmtId="0" fontId="0" fillId="7" borderId="18" xfId="0" applyFill="1" applyBorder="1"/>
    <xf numFmtId="0" fontId="0" fillId="8" borderId="18" xfId="0" applyFill="1" applyBorder="1"/>
    <xf numFmtId="9" fontId="0" fillId="0" borderId="19" xfId="0" applyNumberFormat="1" applyBorder="1" applyAlignment="1">
      <alignment horizontal="center" vertical="center"/>
    </xf>
    <xf numFmtId="0" fontId="0" fillId="9" borderId="18" xfId="0" applyFill="1" applyBorder="1"/>
    <xf numFmtId="0" fontId="13" fillId="10" borderId="20" xfId="0" applyFont="1" applyFill="1" applyBorder="1"/>
    <xf numFmtId="0" fontId="13" fillId="10" borderId="21" xfId="0" applyFont="1" applyFill="1" applyBorder="1"/>
    <xf numFmtId="0" fontId="13" fillId="10" borderId="22" xfId="0" applyFont="1" applyFill="1" applyBorder="1"/>
    <xf numFmtId="0" fontId="0" fillId="0" borderId="23" xfId="0" applyBorder="1"/>
    <xf numFmtId="0" fontId="0" fillId="0" borderId="24" xfId="0" applyBorder="1"/>
    <xf numFmtId="0" fontId="0" fillId="0" borderId="25" xfId="0" applyBorder="1"/>
    <xf numFmtId="0" fontId="22" fillId="0" borderId="0" xfId="0" applyFont="1"/>
    <xf numFmtId="0" fontId="19" fillId="0" borderId="0" xfId="0" applyFont="1" applyAlignment="1">
      <alignment vertical="top"/>
    </xf>
    <xf numFmtId="0" fontId="0" fillId="0" borderId="26" xfId="0" applyBorder="1"/>
    <xf numFmtId="0" fontId="8" fillId="2" borderId="1" xfId="0" applyFont="1" applyFill="1" applyBorder="1" applyAlignment="1">
      <alignment horizontal="center" vertical="center" wrapText="1"/>
    </xf>
    <xf numFmtId="0" fontId="8" fillId="2" borderId="1" xfId="0" applyFont="1" applyFill="1" applyBorder="1" applyAlignment="1">
      <alignment horizontal="center" vertical="center"/>
    </xf>
    <xf numFmtId="0" fontId="8" fillId="2" borderId="1" xfId="0" applyFont="1" applyFill="1" applyBorder="1" applyAlignment="1">
      <alignment horizontal="center"/>
    </xf>
    <xf numFmtId="0" fontId="0" fillId="6" borderId="18" xfId="0" applyFill="1" applyBorder="1" applyAlignment="1">
      <alignment horizontal="center" vertical="center"/>
    </xf>
    <xf numFmtId="0" fontId="0" fillId="2" borderId="18" xfId="0" applyFill="1" applyBorder="1" applyAlignment="1">
      <alignment horizontal="center"/>
    </xf>
    <xf numFmtId="0" fontId="0" fillId="2" borderId="18" xfId="0" applyFill="1" applyBorder="1" applyAlignment="1">
      <alignment horizontal="right"/>
    </xf>
    <xf numFmtId="168" fontId="0" fillId="11" borderId="18" xfId="0" applyNumberFormat="1" applyFill="1" applyBorder="1"/>
    <xf numFmtId="1" fontId="0" fillId="11" borderId="18" xfId="0" applyNumberFormat="1" applyFill="1" applyBorder="1"/>
    <xf numFmtId="0" fontId="17" fillId="2" borderId="6" xfId="0" applyFont="1" applyFill="1" applyBorder="1" applyAlignment="1">
      <alignment horizontal="center" vertical="center" wrapText="1"/>
    </xf>
    <xf numFmtId="0" fontId="17" fillId="2" borderId="15" xfId="0" applyFont="1" applyFill="1" applyBorder="1" applyAlignment="1">
      <alignment horizontal="center" vertical="center"/>
    </xf>
    <xf numFmtId="0" fontId="17" fillId="2" borderId="4" xfId="0" applyFont="1" applyFill="1" applyBorder="1" applyAlignment="1">
      <alignment horizontal="center" vertical="center"/>
    </xf>
    <xf numFmtId="4" fontId="8" fillId="2" borderId="1" xfId="0" applyNumberFormat="1" applyFont="1" applyFill="1" applyBorder="1" applyAlignment="1">
      <alignment horizontal="center" vertical="center" wrapText="1"/>
    </xf>
    <xf numFmtId="1" fontId="0" fillId="2" borderId="6" xfId="0" applyNumberFormat="1" applyFill="1" applyBorder="1" applyAlignment="1">
      <alignment horizontal="center" vertical="center" textRotation="90" wrapText="1"/>
    </xf>
    <xf numFmtId="1" fontId="0" fillId="2" borderId="1" xfId="0" applyNumberFormat="1" applyFill="1" applyBorder="1" applyAlignment="1">
      <alignment horizontal="center" vertical="center" textRotation="90" wrapText="1"/>
    </xf>
    <xf numFmtId="0" fontId="13" fillId="2" borderId="0" xfId="0" applyFont="1" applyFill="1"/>
    <xf numFmtId="0" fontId="12" fillId="0" borderId="24" xfId="0" applyFont="1" applyBorder="1"/>
    <xf numFmtId="1" fontId="22" fillId="2" borderId="0" xfId="0" applyNumberFormat="1" applyFont="1" applyFill="1"/>
    <xf numFmtId="0" fontId="3" fillId="2" borderId="0" xfId="0" applyFont="1" applyFill="1" applyAlignment="1">
      <alignment horizontal="right" vertical="center"/>
    </xf>
    <xf numFmtId="169" fontId="0" fillId="0" borderId="0" xfId="0" applyNumberFormat="1" applyAlignment="1">
      <alignment horizontal="left"/>
    </xf>
    <xf numFmtId="0" fontId="1" fillId="2" borderId="12" xfId="0" applyFont="1" applyFill="1" applyBorder="1" applyAlignment="1">
      <alignment horizontal="left"/>
    </xf>
    <xf numFmtId="0" fontId="1" fillId="2" borderId="0" xfId="0" applyFont="1" applyFill="1" applyAlignment="1">
      <alignment horizontal="left"/>
    </xf>
    <xf numFmtId="0" fontId="22" fillId="0" borderId="0" xfId="0" applyFont="1" applyAlignment="1">
      <alignment vertical="center"/>
    </xf>
    <xf numFmtId="0" fontId="23" fillId="2" borderId="27" xfId="0" applyFont="1" applyFill="1" applyBorder="1"/>
    <xf numFmtId="0" fontId="0" fillId="2" borderId="13" xfId="0" applyFill="1" applyBorder="1" applyAlignment="1">
      <alignment horizontal="center"/>
    </xf>
    <xf numFmtId="1" fontId="3" fillId="0" borderId="0" xfId="0" applyNumberFormat="1" applyFont="1" applyAlignment="1">
      <alignment horizontal="right"/>
    </xf>
    <xf numFmtId="1" fontId="0" fillId="11" borderId="14" xfId="0" applyNumberFormat="1" applyFill="1" applyBorder="1"/>
    <xf numFmtId="168" fontId="0" fillId="11" borderId="14" xfId="0" applyNumberFormat="1" applyFill="1" applyBorder="1"/>
    <xf numFmtId="0" fontId="8" fillId="2" borderId="0" xfId="0" applyFont="1" applyFill="1" applyAlignment="1">
      <alignment horizontal="center" vertical="center" wrapText="1"/>
    </xf>
    <xf numFmtId="2" fontId="0" fillId="2" borderId="0" xfId="0" applyNumberFormat="1" applyFill="1" applyAlignment="1">
      <alignment horizontal="center" vertical="center"/>
    </xf>
    <xf numFmtId="2" fontId="0" fillId="2" borderId="0" xfId="0" applyNumberFormat="1" applyFill="1" applyAlignment="1">
      <alignment horizontal="center"/>
    </xf>
    <xf numFmtId="170" fontId="0" fillId="2" borderId="1" xfId="0" applyNumberFormat="1" applyFill="1" applyBorder="1" applyAlignment="1">
      <alignment horizontal="center" vertical="center" wrapText="1"/>
    </xf>
    <xf numFmtId="1" fontId="0" fillId="2" borderId="1" xfId="0" applyNumberFormat="1" applyFill="1" applyBorder="1" applyAlignment="1">
      <alignment horizontal="center" vertical="center" wrapText="1"/>
    </xf>
    <xf numFmtId="170" fontId="9" fillId="2" borderId="1" xfId="0" applyNumberFormat="1" applyFont="1" applyFill="1" applyBorder="1" applyAlignment="1">
      <alignment horizontal="center" vertical="center" wrapText="1"/>
    </xf>
    <xf numFmtId="0" fontId="0" fillId="0" borderId="29" xfId="0" applyBorder="1"/>
    <xf numFmtId="0" fontId="0" fillId="0" borderId="30" xfId="0" applyBorder="1"/>
    <xf numFmtId="0" fontId="0" fillId="0" borderId="31" xfId="0" applyBorder="1"/>
    <xf numFmtId="0" fontId="14" fillId="0" borderId="25" xfId="0" applyFont="1" applyBorder="1"/>
    <xf numFmtId="0" fontId="8" fillId="0" borderId="5" xfId="0" applyFont="1" applyBorder="1" applyAlignment="1">
      <alignment horizontal="center"/>
    </xf>
    <xf numFmtId="0" fontId="0" fillId="0" borderId="32" xfId="0" applyBorder="1" applyAlignment="1">
      <alignment horizontal="center" vertical="center"/>
    </xf>
    <xf numFmtId="0" fontId="0" fillId="0" borderId="34" xfId="0" applyBorder="1" applyAlignment="1">
      <alignment horizontal="center" vertical="center"/>
    </xf>
    <xf numFmtId="15" fontId="0" fillId="0" borderId="34" xfId="0" applyNumberFormat="1" applyBorder="1" applyAlignment="1">
      <alignment horizontal="center" vertical="center"/>
    </xf>
    <xf numFmtId="0" fontId="0" fillId="0" borderId="35" xfId="0" applyBorder="1" applyAlignment="1">
      <alignment wrapText="1"/>
    </xf>
    <xf numFmtId="0" fontId="0" fillId="0" borderId="34" xfId="0" applyBorder="1"/>
    <xf numFmtId="0" fontId="0" fillId="0" borderId="35" xfId="0" applyBorder="1"/>
    <xf numFmtId="0" fontId="0" fillId="0" borderId="36" xfId="0" applyBorder="1"/>
    <xf numFmtId="0" fontId="0" fillId="0" borderId="28" xfId="0" applyBorder="1"/>
    <xf numFmtId="0" fontId="0" fillId="0" borderId="37" xfId="0" applyBorder="1"/>
    <xf numFmtId="0" fontId="0" fillId="0" borderId="39" xfId="0" applyBorder="1" applyAlignment="1">
      <alignment wrapText="1"/>
    </xf>
    <xf numFmtId="0" fontId="0" fillId="0" borderId="40" xfId="0" applyBorder="1"/>
    <xf numFmtId="0" fontId="0" fillId="0" borderId="7" xfId="0" applyBorder="1" applyAlignment="1">
      <alignment horizontal="center"/>
    </xf>
    <xf numFmtId="0" fontId="0" fillId="0" borderId="41" xfId="0" applyBorder="1" applyAlignment="1">
      <alignment wrapText="1"/>
    </xf>
    <xf numFmtId="0" fontId="20" fillId="2" borderId="1" xfId="0" applyFont="1" applyFill="1" applyBorder="1" applyAlignment="1">
      <alignment wrapText="1"/>
    </xf>
    <xf numFmtId="0" fontId="0" fillId="0" borderId="47" xfId="0" applyBorder="1" applyAlignment="1">
      <alignment wrapText="1"/>
    </xf>
    <xf numFmtId="0" fontId="20" fillId="2" borderId="38" xfId="0" applyFont="1" applyFill="1" applyBorder="1" applyAlignment="1">
      <alignment wrapText="1"/>
    </xf>
    <xf numFmtId="0" fontId="20" fillId="2" borderId="39" xfId="0" applyFont="1" applyFill="1" applyBorder="1" applyAlignment="1">
      <alignment wrapText="1"/>
    </xf>
    <xf numFmtId="172" fontId="0" fillId="0" borderId="0" xfId="0" applyNumberFormat="1"/>
    <xf numFmtId="173" fontId="0" fillId="0" borderId="0" xfId="0" applyNumberFormat="1"/>
    <xf numFmtId="165" fontId="0" fillId="0" borderId="0" xfId="0" applyNumberFormat="1"/>
    <xf numFmtId="167" fontId="0" fillId="0" borderId="0" xfId="0" applyNumberFormat="1"/>
    <xf numFmtId="171" fontId="9" fillId="2" borderId="1" xfId="0" applyNumberFormat="1" applyFont="1" applyFill="1" applyBorder="1" applyAlignment="1">
      <alignment horizontal="center" vertical="center" wrapText="1"/>
    </xf>
    <xf numFmtId="174" fontId="0" fillId="0" borderId="0" xfId="0" applyNumberFormat="1"/>
    <xf numFmtId="0" fontId="12" fillId="0" borderId="0" xfId="0" applyFont="1"/>
    <xf numFmtId="0" fontId="0" fillId="5" borderId="14" xfId="0" applyFill="1" applyBorder="1"/>
    <xf numFmtId="0" fontId="0" fillId="6" borderId="18" xfId="0" applyFill="1" applyBorder="1" applyAlignment="1">
      <alignment horizontal="right" vertical="center"/>
    </xf>
    <xf numFmtId="0" fontId="0" fillId="0" borderId="48" xfId="0" applyBorder="1"/>
    <xf numFmtId="1" fontId="0" fillId="6" borderId="18" xfId="0" applyNumberFormat="1" applyFill="1" applyBorder="1" applyAlignment="1">
      <alignment horizontal="right" vertical="center"/>
    </xf>
    <xf numFmtId="0" fontId="0" fillId="0" borderId="0" xfId="0" applyAlignment="1">
      <alignment horizontal="center"/>
    </xf>
    <xf numFmtId="2" fontId="0" fillId="2" borderId="0" xfId="0" applyNumberFormat="1" applyFill="1"/>
    <xf numFmtId="3" fontId="0" fillId="2" borderId="1" xfId="0" applyNumberFormat="1" applyFill="1" applyBorder="1" applyAlignment="1">
      <alignment horizontal="center" vertical="center" wrapText="1"/>
    </xf>
    <xf numFmtId="0" fontId="0" fillId="10" borderId="49" xfId="0" applyFill="1" applyBorder="1"/>
    <xf numFmtId="0" fontId="0" fillId="10" borderId="50" xfId="0" applyFill="1" applyBorder="1"/>
    <xf numFmtId="0" fontId="0" fillId="10" borderId="51" xfId="0" applyFill="1" applyBorder="1"/>
    <xf numFmtId="0" fontId="0" fillId="0" borderId="52" xfId="0" applyBorder="1"/>
    <xf numFmtId="0" fontId="0" fillId="0" borderId="53" xfId="0" applyBorder="1"/>
    <xf numFmtId="0" fontId="8" fillId="0" borderId="9" xfId="0" applyFont="1" applyBorder="1"/>
    <xf numFmtId="0" fontId="3" fillId="0" borderId="9" xfId="0" applyFont="1" applyBorder="1"/>
    <xf numFmtId="0" fontId="26" fillId="13" borderId="1" xfId="0" applyFont="1" applyFill="1" applyBorder="1" applyAlignment="1">
      <alignment horizontal="center" vertical="top" wrapText="1"/>
    </xf>
    <xf numFmtId="0" fontId="27" fillId="0" borderId="0" xfId="0" applyFont="1"/>
    <xf numFmtId="0" fontId="3" fillId="2" borderId="0" xfId="0" applyFont="1" applyFill="1"/>
    <xf numFmtId="0" fontId="8" fillId="0" borderId="0" xfId="0" applyFont="1"/>
    <xf numFmtId="0" fontId="8" fillId="0" borderId="1" xfId="0" applyFont="1" applyBorder="1" applyAlignment="1">
      <alignment horizontal="center" vertical="center" wrapText="1"/>
    </xf>
    <xf numFmtId="0" fontId="8" fillId="0" borderId="2" xfId="0" applyFont="1" applyBorder="1" applyAlignment="1">
      <alignment vertical="center" wrapText="1"/>
    </xf>
    <xf numFmtId="0" fontId="0" fillId="0" borderId="2" xfId="0" applyBorder="1" applyAlignment="1">
      <alignment vertical="center"/>
    </xf>
    <xf numFmtId="2" fontId="0" fillId="0" borderId="1" xfId="0" applyNumberFormat="1" applyBorder="1" applyAlignment="1">
      <alignment vertical="center"/>
    </xf>
    <xf numFmtId="0" fontId="29" fillId="0" borderId="0" xfId="0" applyFont="1" applyAlignment="1">
      <alignment horizontal="center" vertical="center"/>
    </xf>
    <xf numFmtId="0" fontId="0" fillId="0" borderId="1" xfId="0" applyBorder="1" applyAlignment="1">
      <alignment horizontal="center" vertical="center"/>
    </xf>
    <xf numFmtId="0" fontId="8" fillId="0" borderId="1" xfId="0" applyFont="1" applyBorder="1" applyAlignment="1">
      <alignment horizontal="center" vertical="center"/>
    </xf>
    <xf numFmtId="175" fontId="0" fillId="0" borderId="1" xfId="0" applyNumberFormat="1" applyBorder="1" applyAlignment="1">
      <alignment vertical="center"/>
    </xf>
    <xf numFmtId="2" fontId="0" fillId="0" borderId="1" xfId="0" applyNumberFormat="1" applyBorder="1"/>
    <xf numFmtId="2" fontId="3" fillId="0" borderId="0" xfId="0" applyNumberFormat="1" applyFont="1"/>
    <xf numFmtId="175" fontId="3" fillId="0" borderId="0" xfId="0" applyNumberFormat="1" applyFont="1" applyAlignment="1">
      <alignment vertical="center"/>
    </xf>
    <xf numFmtId="176" fontId="3" fillId="0" borderId="0" xfId="0" applyNumberFormat="1" applyFont="1"/>
    <xf numFmtId="0" fontId="11" fillId="0" borderId="1" xfId="0" applyFont="1" applyBorder="1"/>
    <xf numFmtId="0" fontId="0" fillId="0" borderId="54" xfId="0" applyBorder="1"/>
    <xf numFmtId="0" fontId="0" fillId="0" borderId="12" xfId="0" applyBorder="1"/>
    <xf numFmtId="0" fontId="0" fillId="0" borderId="55" xfId="0" applyBorder="1"/>
    <xf numFmtId="177" fontId="0" fillId="0" borderId="1" xfId="0" applyNumberFormat="1" applyBorder="1"/>
    <xf numFmtId="178" fontId="0" fillId="0" borderId="1" xfId="0" applyNumberFormat="1" applyBorder="1"/>
    <xf numFmtId="179" fontId="9" fillId="2" borderId="1" xfId="0" applyNumberFormat="1" applyFont="1" applyFill="1" applyBorder="1" applyAlignment="1">
      <alignment horizontal="center" vertical="center" wrapText="1"/>
    </xf>
    <xf numFmtId="0" fontId="23" fillId="0" borderId="0" xfId="0" applyFont="1"/>
    <xf numFmtId="0" fontId="0" fillId="12" borderId="18" xfId="0" applyFill="1" applyBorder="1" applyAlignment="1">
      <alignment horizontal="center"/>
    </xf>
    <xf numFmtId="180" fontId="0" fillId="0" borderId="24" xfId="0" applyNumberFormat="1" applyBorder="1"/>
    <xf numFmtId="179" fontId="0" fillId="2" borderId="1" xfId="0" applyNumberFormat="1" applyFill="1" applyBorder="1" applyAlignment="1">
      <alignment horizontal="center" vertical="center" wrapText="1"/>
    </xf>
    <xf numFmtId="181" fontId="0" fillId="0" borderId="24" xfId="0" applyNumberFormat="1" applyBorder="1"/>
    <xf numFmtId="0" fontId="23" fillId="2" borderId="0" xfId="0" applyFont="1" applyFill="1"/>
    <xf numFmtId="0" fontId="0" fillId="2" borderId="0" xfId="0" applyFill="1" applyAlignment="1">
      <alignment horizontal="left" wrapText="1"/>
    </xf>
    <xf numFmtId="0" fontId="0" fillId="2" borderId="25" xfId="0" applyFill="1" applyBorder="1"/>
    <xf numFmtId="0" fontId="0" fillId="0" borderId="7" xfId="0" applyBorder="1"/>
    <xf numFmtId="0" fontId="0" fillId="5" borderId="56" xfId="0" applyFill="1" applyBorder="1"/>
    <xf numFmtId="0" fontId="0" fillId="6" borderId="56" xfId="0" applyFill="1" applyBorder="1" applyAlignment="1">
      <alignment horizontal="right" vertical="center"/>
    </xf>
    <xf numFmtId="0" fontId="0" fillId="2" borderId="56" xfId="0" applyFill="1" applyBorder="1" applyAlignment="1">
      <alignment horizontal="right"/>
    </xf>
    <xf numFmtId="0" fontId="0" fillId="5" borderId="57" xfId="0" applyFill="1" applyBorder="1"/>
    <xf numFmtId="1" fontId="0" fillId="6" borderId="56" xfId="0" applyNumberFormat="1" applyFill="1" applyBorder="1" applyAlignment="1">
      <alignment horizontal="right" vertical="center"/>
    </xf>
    <xf numFmtId="0" fontId="0" fillId="14" borderId="1" xfId="0" applyFill="1" applyBorder="1" applyAlignment="1">
      <alignment horizontal="left" vertical="center" wrapText="1"/>
    </xf>
    <xf numFmtId="0" fontId="8" fillId="0" borderId="62" xfId="0" applyFont="1" applyBorder="1" applyAlignment="1">
      <alignment horizontal="center"/>
    </xf>
    <xf numFmtId="0" fontId="0" fillId="0" borderId="33" xfId="0" applyBorder="1" applyAlignment="1">
      <alignment wrapText="1"/>
    </xf>
    <xf numFmtId="0" fontId="0" fillId="0" borderId="63" xfId="0" applyBorder="1" applyAlignment="1">
      <alignment horizontal="left" wrapText="1"/>
    </xf>
    <xf numFmtId="0" fontId="12" fillId="0" borderId="24" xfId="0" applyFont="1" applyBorder="1" applyAlignment="1">
      <alignment wrapText="1"/>
    </xf>
    <xf numFmtId="0" fontId="0" fillId="0" borderId="0" xfId="0" applyAlignment="1">
      <alignment wrapText="1"/>
    </xf>
    <xf numFmtId="0" fontId="0" fillId="0" borderId="40" xfId="0" applyBorder="1" applyAlignment="1">
      <alignment wrapText="1"/>
    </xf>
    <xf numFmtId="165" fontId="0" fillId="0" borderId="7" xfId="0" applyNumberFormat="1" applyBorder="1" applyAlignment="1">
      <alignment horizontal="center" vertical="center" wrapText="1"/>
    </xf>
    <xf numFmtId="0" fontId="0" fillId="0" borderId="1" xfId="0" applyBorder="1" applyAlignment="1">
      <alignment wrapText="1"/>
    </xf>
    <xf numFmtId="1" fontId="0" fillId="0" borderId="1" xfId="0" applyNumberFormat="1" applyBorder="1" applyAlignment="1">
      <alignment wrapText="1"/>
    </xf>
    <xf numFmtId="0" fontId="17" fillId="2" borderId="1" xfId="0" applyFont="1" applyFill="1" applyBorder="1" applyAlignment="1">
      <alignment horizontal="center" vertical="center"/>
    </xf>
    <xf numFmtId="2" fontId="0" fillId="0" borderId="7" xfId="0" applyNumberFormat="1" applyBorder="1" applyAlignment="1">
      <alignment wrapText="1"/>
    </xf>
    <xf numFmtId="2" fontId="0" fillId="0" borderId="1" xfId="0" applyNumberFormat="1" applyBorder="1" applyAlignment="1">
      <alignment wrapText="1"/>
    </xf>
    <xf numFmtId="0" fontId="0" fillId="0" borderId="38" xfId="0" applyBorder="1" applyAlignment="1">
      <alignment wrapText="1"/>
    </xf>
    <xf numFmtId="0" fontId="0" fillId="0" borderId="45" xfId="0" applyBorder="1" applyAlignment="1">
      <alignment wrapText="1"/>
    </xf>
    <xf numFmtId="2" fontId="0" fillId="0" borderId="46" xfId="0" applyNumberFormat="1" applyBorder="1" applyAlignment="1">
      <alignment wrapText="1"/>
    </xf>
    <xf numFmtId="1" fontId="0" fillId="2" borderId="1" xfId="0" applyNumberFormat="1" applyFill="1" applyBorder="1"/>
    <xf numFmtId="0" fontId="30" fillId="0" borderId="1" xfId="0" applyFont="1" applyBorder="1"/>
    <xf numFmtId="0" fontId="0" fillId="0" borderId="2" xfId="0" applyBorder="1" applyAlignment="1">
      <alignment horizontal="left" vertical="top"/>
    </xf>
    <xf numFmtId="0" fontId="0" fillId="0" borderId="3" xfId="0" applyBorder="1" applyAlignment="1">
      <alignment horizontal="left" vertical="top"/>
    </xf>
    <xf numFmtId="0" fontId="0" fillId="0" borderId="4" xfId="0" applyBorder="1" applyAlignment="1">
      <alignment horizontal="left" vertical="top"/>
    </xf>
    <xf numFmtId="0" fontId="0" fillId="0" borderId="2"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0" fillId="0" borderId="2" xfId="0" applyBorder="1" applyAlignment="1">
      <alignment horizontal="left" wrapText="1"/>
    </xf>
    <xf numFmtId="0" fontId="0" fillId="0" borderId="3" xfId="0" applyBorder="1" applyAlignment="1">
      <alignment horizontal="left" wrapText="1"/>
    </xf>
    <xf numFmtId="0" fontId="0" fillId="0" borderId="4" xfId="0" applyBorder="1" applyAlignment="1">
      <alignment horizontal="left" wrapText="1"/>
    </xf>
    <xf numFmtId="0" fontId="0" fillId="0" borderId="2" xfId="0" applyBorder="1" applyAlignment="1">
      <alignment horizontal="left"/>
    </xf>
    <xf numFmtId="0" fontId="0" fillId="0" borderId="3" xfId="0" applyBorder="1" applyAlignment="1">
      <alignment horizontal="left"/>
    </xf>
    <xf numFmtId="0" fontId="0" fillId="0" borderId="4" xfId="0" applyBorder="1" applyAlignment="1">
      <alignment horizontal="left"/>
    </xf>
    <xf numFmtId="0" fontId="8" fillId="0" borderId="1" xfId="0" applyFont="1" applyBorder="1" applyAlignment="1">
      <alignment horizontal="center"/>
    </xf>
    <xf numFmtId="0" fontId="8" fillId="0" borderId="2" xfId="0" applyFont="1" applyBorder="1" applyAlignment="1">
      <alignment horizontal="center"/>
    </xf>
    <xf numFmtId="0" fontId="8" fillId="0" borderId="3" xfId="0" applyFont="1" applyBorder="1" applyAlignment="1">
      <alignment horizontal="center"/>
    </xf>
    <xf numFmtId="0" fontId="8" fillId="0" borderId="4" xfId="0" applyFont="1" applyBorder="1" applyAlignment="1">
      <alignment horizontal="center"/>
    </xf>
    <xf numFmtId="0" fontId="0" fillId="0" borderId="1" xfId="0" applyBorder="1" applyAlignment="1">
      <alignment horizontal="center"/>
    </xf>
    <xf numFmtId="0" fontId="17" fillId="2" borderId="2" xfId="0" applyFont="1" applyFill="1" applyBorder="1" applyAlignment="1">
      <alignment horizontal="center" vertical="top" wrapText="1"/>
    </xf>
    <xf numFmtId="0" fontId="17" fillId="2" borderId="4" xfId="0" applyFont="1" applyFill="1" applyBorder="1" applyAlignment="1">
      <alignment horizontal="center" vertical="top" wrapText="1"/>
    </xf>
    <xf numFmtId="0" fontId="22" fillId="0" borderId="0" xfId="0" applyFont="1" applyAlignment="1">
      <alignment horizontal="center"/>
    </xf>
    <xf numFmtId="0" fontId="28" fillId="0" borderId="0" xfId="0" applyFont="1" applyAlignment="1">
      <alignment horizontal="left"/>
    </xf>
    <xf numFmtId="0" fontId="29" fillId="0" borderId="0" xfId="0" applyFont="1" applyAlignment="1">
      <alignment horizontal="center" vertical="center"/>
    </xf>
    <xf numFmtId="0" fontId="11" fillId="0" borderId="1" xfId="0" applyFont="1" applyBorder="1" applyAlignment="1">
      <alignment horizontal="center"/>
    </xf>
    <xf numFmtId="0" fontId="11" fillId="0" borderId="1" xfId="0" applyFont="1" applyBorder="1" applyAlignment="1">
      <alignment horizontal="center" wrapText="1"/>
    </xf>
    <xf numFmtId="1" fontId="0" fillId="2" borderId="1" xfId="0" applyNumberFormat="1" applyFill="1" applyBorder="1" applyAlignment="1">
      <alignment horizontal="center" vertical="center" textRotation="90" wrapText="1"/>
    </xf>
    <xf numFmtId="1" fontId="0" fillId="2" borderId="6" xfId="0" applyNumberFormat="1" applyFill="1" applyBorder="1" applyAlignment="1">
      <alignment horizontal="center" vertical="center" textRotation="90" wrapText="1"/>
    </xf>
    <xf numFmtId="1" fontId="0" fillId="2" borderId="8" xfId="0" applyNumberFormat="1" applyFill="1" applyBorder="1" applyAlignment="1">
      <alignment horizontal="center" vertical="center" textRotation="90" wrapText="1"/>
    </xf>
    <xf numFmtId="1" fontId="0" fillId="2" borderId="7" xfId="0" applyNumberFormat="1" applyFill="1" applyBorder="1" applyAlignment="1">
      <alignment horizontal="center" vertical="center" textRotation="90" wrapText="1"/>
    </xf>
    <xf numFmtId="2" fontId="0" fillId="2" borderId="6" xfId="0" applyNumberFormat="1" applyFill="1" applyBorder="1" applyAlignment="1">
      <alignment horizontal="center" vertical="center"/>
    </xf>
    <xf numFmtId="2" fontId="0" fillId="2" borderId="7" xfId="0" applyNumberFormat="1" applyFill="1" applyBorder="1" applyAlignment="1">
      <alignment horizontal="center" vertical="center"/>
    </xf>
    <xf numFmtId="0" fontId="8" fillId="2" borderId="2" xfId="0" applyFont="1" applyFill="1" applyBorder="1" applyAlignment="1">
      <alignment horizontal="center" vertical="center" wrapText="1"/>
    </xf>
    <xf numFmtId="0" fontId="8" fillId="2" borderId="4" xfId="0" applyFont="1" applyFill="1" applyBorder="1" applyAlignment="1">
      <alignment horizontal="center" vertical="center" wrapText="1"/>
    </xf>
    <xf numFmtId="0" fontId="8" fillId="2" borderId="2" xfId="0" applyFont="1" applyFill="1" applyBorder="1" applyAlignment="1">
      <alignment horizontal="center"/>
    </xf>
    <xf numFmtId="0" fontId="8" fillId="2" borderId="4" xfId="0" applyFont="1" applyFill="1" applyBorder="1" applyAlignment="1">
      <alignment horizontal="center"/>
    </xf>
    <xf numFmtId="0" fontId="8" fillId="2" borderId="3" xfId="0" applyFont="1" applyFill="1" applyBorder="1" applyAlignment="1">
      <alignment horizontal="center"/>
    </xf>
    <xf numFmtId="0" fontId="20" fillId="2" borderId="38" xfId="0" applyFont="1" applyFill="1" applyBorder="1" applyAlignment="1">
      <alignment wrapText="1"/>
    </xf>
    <xf numFmtId="0" fontId="20" fillId="2" borderId="1" xfId="0" applyFont="1" applyFill="1" applyBorder="1" applyAlignment="1">
      <alignment wrapText="1"/>
    </xf>
    <xf numFmtId="0" fontId="20" fillId="2" borderId="39" xfId="0" applyFont="1" applyFill="1" applyBorder="1" applyAlignment="1">
      <alignment wrapText="1"/>
    </xf>
    <xf numFmtId="0" fontId="20" fillId="2" borderId="59" xfId="0" applyFont="1" applyFill="1" applyBorder="1" applyAlignment="1">
      <alignment horizontal="center" wrapText="1"/>
    </xf>
    <xf numFmtId="0" fontId="20" fillId="2" borderId="60" xfId="0" applyFont="1" applyFill="1" applyBorder="1" applyAlignment="1">
      <alignment horizontal="center" wrapText="1"/>
    </xf>
    <xf numFmtId="0" fontId="20" fillId="2" borderId="61" xfId="0" applyFont="1" applyFill="1" applyBorder="1" applyAlignment="1">
      <alignment horizontal="center" wrapText="1"/>
    </xf>
    <xf numFmtId="0" fontId="20" fillId="2" borderId="42" xfId="0" applyFont="1" applyFill="1" applyBorder="1" applyAlignment="1">
      <alignment horizontal="center" wrapText="1"/>
    </xf>
    <xf numFmtId="0" fontId="20" fillId="2" borderId="43" xfId="0" applyFont="1" applyFill="1" applyBorder="1" applyAlignment="1">
      <alignment horizontal="center" wrapText="1"/>
    </xf>
    <xf numFmtId="0" fontId="20" fillId="2" borderId="44" xfId="0" applyFont="1" applyFill="1" applyBorder="1" applyAlignment="1">
      <alignment horizontal="center" wrapText="1"/>
    </xf>
    <xf numFmtId="0" fontId="8" fillId="0" borderId="58" xfId="0" applyFont="1" applyBorder="1" applyAlignment="1">
      <alignment horizontal="center" wrapText="1"/>
    </xf>
    <xf numFmtId="0" fontId="8" fillId="0" borderId="3" xfId="0" applyFont="1" applyBorder="1" applyAlignment="1">
      <alignment horizontal="center" wrapText="1"/>
    </xf>
    <xf numFmtId="0" fontId="8" fillId="0" borderId="35" xfId="0" applyFont="1" applyBorder="1" applyAlignment="1">
      <alignment horizontal="center" wrapText="1"/>
    </xf>
  </cellXfs>
  <cellStyles count="5">
    <cellStyle name="Comma" xfId="3" builtinId="3"/>
    <cellStyle name="Normal" xfId="0" builtinId="0"/>
    <cellStyle name="Normal 3" xfId="1" xr:uid="{CD5AF61B-41C6-4BF7-925A-466BF177BF06}"/>
    <cellStyle name="Percent" xfId="2" builtinId="5"/>
    <cellStyle name="Table_header" xfId="4" xr:uid="{AF7B7E31-D10A-4988-A37F-8611A177B653}"/>
  </cellStyles>
  <dxfs count="6">
    <dxf>
      <font>
        <color auto="1"/>
      </font>
      <fill>
        <patternFill>
          <bgColor theme="5" tint="0.79998168889431442"/>
        </patternFill>
      </fill>
    </dxf>
    <dxf>
      <font>
        <color auto="1"/>
      </font>
      <fill>
        <patternFill>
          <bgColor theme="5" tint="0.79998168889431442"/>
        </patternFill>
      </fill>
    </dxf>
    <dxf>
      <font>
        <color auto="1"/>
      </font>
      <fill>
        <patternFill>
          <bgColor theme="5" tint="0.79998168889431442"/>
        </patternFill>
      </fill>
    </dxf>
    <dxf>
      <font>
        <color auto="1"/>
      </font>
      <fill>
        <patternFill>
          <bgColor theme="5" tint="0.79998168889431442"/>
        </patternFill>
      </fill>
    </dxf>
    <dxf>
      <font>
        <color auto="1"/>
      </font>
      <fill>
        <patternFill>
          <bgColor theme="5" tint="0.79998168889431442"/>
        </patternFill>
      </fill>
    </dxf>
    <dxf>
      <font>
        <color auto="1"/>
      </font>
      <fill>
        <patternFill>
          <bgColor theme="5" tint="0.79998168889431442"/>
        </patternFill>
      </fill>
    </dxf>
  </dxfs>
  <tableStyles count="0" defaultTableStyle="TableStyleMedium2" defaultPivotStyle="PivotStyleLight16"/>
  <colors>
    <mruColors>
      <color rgb="FFCC6600"/>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1726137725669155"/>
          <c:y val="0.1468626805115496"/>
          <c:w val="0.4778388390325724"/>
          <c:h val="0.72310077276197049"/>
        </c:manualLayout>
      </c:layout>
      <c:barChart>
        <c:barDir val="bar"/>
        <c:grouping val="clustered"/>
        <c:varyColors val="0"/>
        <c:ser>
          <c:idx val="0"/>
          <c:order val="0"/>
          <c:tx>
            <c:strRef>
              <c:f>DSA_Results!$E$18</c:f>
              <c:strCache>
                <c:ptCount val="1"/>
                <c:pt idx="0">
                  <c:v>Lower Bound </c:v>
                </c:pt>
              </c:strCache>
            </c:strRef>
          </c:tx>
          <c:spPr>
            <a:solidFill>
              <a:schemeClr val="accent1"/>
            </a:solidFill>
            <a:ln>
              <a:noFill/>
            </a:ln>
            <a:effectLst/>
          </c:spPr>
          <c:invertIfNegative val="0"/>
          <c:cat>
            <c:strRef>
              <c:f>DSA_Results!$D$19:$D$23</c:f>
              <c:strCache>
                <c:ptCount val="5"/>
                <c:pt idx="0">
                  <c:v>Additional ICU Length of stay (LOS) due to CRBSI</c:v>
                </c:pt>
                <c:pt idx="1">
                  <c:v>ICU Cost without CRBSI</c:v>
                </c:pt>
                <c:pt idx="2">
                  <c:v>CHG Dressing</c:v>
                </c:pt>
                <c:pt idx="3">
                  <c:v>Direct cost of treating CRBSI </c:v>
                </c:pt>
                <c:pt idx="4">
                  <c:v>Non CHG Dressing</c:v>
                </c:pt>
              </c:strCache>
            </c:strRef>
          </c:cat>
          <c:val>
            <c:numRef>
              <c:f>DSA_Results!$E$19:$E$23</c:f>
              <c:numCache>
                <c:formatCode>General</c:formatCode>
                <c:ptCount val="5"/>
                <c:pt idx="0">
                  <c:v>156.73121546046059</c:v>
                </c:pt>
                <c:pt idx="1">
                  <c:v>112.17605870652005</c:v>
                </c:pt>
                <c:pt idx="2">
                  <c:v>120.42524870487796</c:v>
                </c:pt>
                <c:pt idx="3">
                  <c:v>130.84219531378949</c:v>
                </c:pt>
                <c:pt idx="4">
                  <c:v>129.95285458948456</c:v>
                </c:pt>
              </c:numCache>
            </c:numRef>
          </c:val>
          <c:extLst>
            <c:ext xmlns:c16="http://schemas.microsoft.com/office/drawing/2014/chart" uri="{C3380CC4-5D6E-409C-BE32-E72D297353CC}">
              <c16:uniqueId val="{00000000-745C-483F-A375-81D51F198284}"/>
            </c:ext>
          </c:extLst>
        </c:ser>
        <c:ser>
          <c:idx val="1"/>
          <c:order val="1"/>
          <c:tx>
            <c:strRef>
              <c:f>DSA_Results!$F$18</c:f>
              <c:strCache>
                <c:ptCount val="1"/>
                <c:pt idx="0">
                  <c:v>Upper Bound </c:v>
                </c:pt>
              </c:strCache>
            </c:strRef>
          </c:tx>
          <c:spPr>
            <a:solidFill>
              <a:schemeClr val="accent2"/>
            </a:solidFill>
            <a:ln>
              <a:noFill/>
            </a:ln>
            <a:effectLst/>
          </c:spPr>
          <c:invertIfNegative val="0"/>
          <c:cat>
            <c:strRef>
              <c:f>DSA_Results!$D$19:$D$23</c:f>
              <c:strCache>
                <c:ptCount val="5"/>
                <c:pt idx="0">
                  <c:v>Additional ICU Length of stay (LOS) due to CRBSI</c:v>
                </c:pt>
                <c:pt idx="1">
                  <c:v>ICU Cost without CRBSI</c:v>
                </c:pt>
                <c:pt idx="2">
                  <c:v>CHG Dressing</c:v>
                </c:pt>
                <c:pt idx="3">
                  <c:v>Direct cost of treating CRBSI </c:v>
                </c:pt>
                <c:pt idx="4">
                  <c:v>Non CHG Dressing</c:v>
                </c:pt>
              </c:strCache>
            </c:strRef>
          </c:cat>
          <c:val>
            <c:numRef>
              <c:f>DSA_Results!$F$19:$F$23</c:f>
              <c:numCache>
                <c:formatCode>General</c:formatCode>
                <c:ptCount val="5"/>
                <c:pt idx="0">
                  <c:v>102.27798313358289</c:v>
                </c:pt>
                <c:pt idx="1">
                  <c:v>146.83313988751615</c:v>
                </c:pt>
                <c:pt idx="2">
                  <c:v>138.5839498891637</c:v>
                </c:pt>
                <c:pt idx="3">
                  <c:v>128.16700328025036</c:v>
                </c:pt>
                <c:pt idx="4">
                  <c:v>129.05634400455529</c:v>
                </c:pt>
              </c:numCache>
            </c:numRef>
          </c:val>
          <c:extLst>
            <c:ext xmlns:c16="http://schemas.microsoft.com/office/drawing/2014/chart" uri="{C3380CC4-5D6E-409C-BE32-E72D297353CC}">
              <c16:uniqueId val="{00000001-745C-483F-A375-81D51F198284}"/>
            </c:ext>
          </c:extLst>
        </c:ser>
        <c:dLbls>
          <c:showLegendKey val="0"/>
          <c:showVal val="0"/>
          <c:showCatName val="0"/>
          <c:showSerName val="0"/>
          <c:showPercent val="0"/>
          <c:showBubbleSize val="0"/>
        </c:dLbls>
        <c:gapWidth val="182"/>
        <c:axId val="130451328"/>
        <c:axId val="130452864"/>
      </c:barChart>
      <c:catAx>
        <c:axId val="13045132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452864"/>
        <c:crossesAt val="129.88862343278925"/>
        <c:auto val="1"/>
        <c:lblAlgn val="ctr"/>
        <c:lblOffset val="100"/>
        <c:noMultiLvlLbl val="0"/>
      </c:catAx>
      <c:valAx>
        <c:axId val="130452864"/>
        <c:scaling>
          <c:orientation val="minMax"/>
        </c:scaling>
        <c:delete val="0"/>
        <c:axPos val="t"/>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451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a:t>CE</a:t>
            </a:r>
            <a:r>
              <a:rPr lang="en-IN" sz="1200" baseline="0"/>
              <a:t> plane</a:t>
            </a:r>
            <a:endParaRPr lang="en-IN" sz="12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scatterChart>
        <c:scatterStyle val="smoothMarker"/>
        <c:varyColors val="0"/>
        <c:ser>
          <c:idx val="0"/>
          <c:order val="0"/>
          <c:tx>
            <c:strRef>
              <c:f>PSA_Results!$H$36</c:f>
              <c:strCache>
                <c:ptCount val="1"/>
                <c:pt idx="0">
                  <c:v>CHG vs Non CHG </c:v>
                </c:pt>
              </c:strCache>
            </c:strRef>
          </c:tx>
          <c:spPr>
            <a:ln w="25400" cap="rnd">
              <a:noFill/>
              <a:round/>
            </a:ln>
            <a:effectLst/>
          </c:spPr>
          <c:marker>
            <c:symbol val="circle"/>
            <c:size val="5"/>
            <c:spPr>
              <a:solidFill>
                <a:schemeClr val="accent1"/>
              </a:solidFill>
              <a:ln w="9525">
                <a:solidFill>
                  <a:schemeClr val="accent1"/>
                </a:solidFill>
              </a:ln>
              <a:effectLst/>
            </c:spPr>
          </c:marker>
          <c:xVal>
            <c:numRef>
              <c:f>PSA_Results!$I$40:$I$1039</c:f>
              <c:numCache>
                <c:formatCode>General</c:formatCode>
                <c:ptCount val="1000"/>
                <c:pt idx="0">
                  <c:v>-10.46581180421656</c:v>
                </c:pt>
                <c:pt idx="1">
                  <c:v>-16.096339770652133</c:v>
                </c:pt>
                <c:pt idx="2">
                  <c:v>-12.27615437325923</c:v>
                </c:pt>
                <c:pt idx="3">
                  <c:v>-14.640520101065224</c:v>
                </c:pt>
                <c:pt idx="4">
                  <c:v>-11.804468667050994</c:v>
                </c:pt>
                <c:pt idx="5">
                  <c:v>-6.1944684059189568</c:v>
                </c:pt>
                <c:pt idx="6">
                  <c:v>-5.8623453250819999</c:v>
                </c:pt>
                <c:pt idx="7">
                  <c:v>-17.066049740990231</c:v>
                </c:pt>
                <c:pt idx="8">
                  <c:v>-11.931781950223382</c:v>
                </c:pt>
                <c:pt idx="9">
                  <c:v>-5.2809402912466474</c:v>
                </c:pt>
                <c:pt idx="10">
                  <c:v>-10.257451675585314</c:v>
                </c:pt>
                <c:pt idx="11">
                  <c:v>-15.796268216219069</c:v>
                </c:pt>
                <c:pt idx="12">
                  <c:v>-10.209009216869594</c:v>
                </c:pt>
                <c:pt idx="13">
                  <c:v>-18.614263892293923</c:v>
                </c:pt>
                <c:pt idx="14">
                  <c:v>-12.591587259515801</c:v>
                </c:pt>
                <c:pt idx="15">
                  <c:v>-9.79826111260682</c:v>
                </c:pt>
                <c:pt idx="16">
                  <c:v>-19.9162461191464</c:v>
                </c:pt>
                <c:pt idx="17">
                  <c:v>-9.6666546034540062</c:v>
                </c:pt>
                <c:pt idx="18">
                  <c:v>-14.142767306251841</c:v>
                </c:pt>
                <c:pt idx="19">
                  <c:v>-14.037859323554351</c:v>
                </c:pt>
                <c:pt idx="20">
                  <c:v>-4.5683978726577603</c:v>
                </c:pt>
                <c:pt idx="21">
                  <c:v>-14.369451468724836</c:v>
                </c:pt>
                <c:pt idx="22">
                  <c:v>-4.6792997018264826</c:v>
                </c:pt>
                <c:pt idx="23">
                  <c:v>-10.303121448628179</c:v>
                </c:pt>
                <c:pt idx="24">
                  <c:v>-16.593217722158535</c:v>
                </c:pt>
                <c:pt idx="25">
                  <c:v>-5.3036285800820764</c:v>
                </c:pt>
                <c:pt idx="26">
                  <c:v>-18.010754898499478</c:v>
                </c:pt>
                <c:pt idx="27">
                  <c:v>-8.61821398118812</c:v>
                </c:pt>
                <c:pt idx="28">
                  <c:v>-6.3576478473579492</c:v>
                </c:pt>
                <c:pt idx="29">
                  <c:v>-13.706158645658826</c:v>
                </c:pt>
                <c:pt idx="30">
                  <c:v>-10.567764920278858</c:v>
                </c:pt>
                <c:pt idx="31">
                  <c:v>-10.545105454476071</c:v>
                </c:pt>
                <c:pt idx="32">
                  <c:v>-9.4434290362956403</c:v>
                </c:pt>
                <c:pt idx="33">
                  <c:v>-15.425456730456617</c:v>
                </c:pt>
                <c:pt idx="34">
                  <c:v>-12.051283841930571</c:v>
                </c:pt>
                <c:pt idx="35">
                  <c:v>-14.205251345503969</c:v>
                </c:pt>
                <c:pt idx="36">
                  <c:v>-11.192798215605034</c:v>
                </c:pt>
                <c:pt idx="37">
                  <c:v>-0.20346052348379429</c:v>
                </c:pt>
                <c:pt idx="38">
                  <c:v>-24.197116232820562</c:v>
                </c:pt>
                <c:pt idx="39">
                  <c:v>-14.921060488413021</c:v>
                </c:pt>
                <c:pt idx="40">
                  <c:v>-14.781269207033498</c:v>
                </c:pt>
                <c:pt idx="41">
                  <c:v>-17.769402221382009</c:v>
                </c:pt>
                <c:pt idx="42">
                  <c:v>-8.8152245321723885</c:v>
                </c:pt>
                <c:pt idx="43">
                  <c:v>-11.361515604003483</c:v>
                </c:pt>
                <c:pt idx="44">
                  <c:v>-12.552930190153971</c:v>
                </c:pt>
                <c:pt idx="45">
                  <c:v>-12.662952275914074</c:v>
                </c:pt>
                <c:pt idx="46">
                  <c:v>-0.84609807957996441</c:v>
                </c:pt>
                <c:pt idx="47">
                  <c:v>-14.679928015700176</c:v>
                </c:pt>
                <c:pt idx="48">
                  <c:v>-12.321281607492232</c:v>
                </c:pt>
                <c:pt idx="49">
                  <c:v>-5.4932963241059447</c:v>
                </c:pt>
                <c:pt idx="50">
                  <c:v>-19.713506228538584</c:v>
                </c:pt>
                <c:pt idx="51">
                  <c:v>-8.2112283226462424</c:v>
                </c:pt>
                <c:pt idx="52">
                  <c:v>-18.609870501040486</c:v>
                </c:pt>
                <c:pt idx="53">
                  <c:v>-14.491556268186431</c:v>
                </c:pt>
                <c:pt idx="54">
                  <c:v>-13.700163117584966</c:v>
                </c:pt>
                <c:pt idx="55">
                  <c:v>-10.478317134968787</c:v>
                </c:pt>
                <c:pt idx="56">
                  <c:v>-13.288715021127746</c:v>
                </c:pt>
                <c:pt idx="57">
                  <c:v>-7.3301440480089681</c:v>
                </c:pt>
                <c:pt idx="58">
                  <c:v>-7.1327611161191236</c:v>
                </c:pt>
                <c:pt idx="59">
                  <c:v>-13.828580414178049</c:v>
                </c:pt>
                <c:pt idx="60">
                  <c:v>-15.754648717645974</c:v>
                </c:pt>
                <c:pt idx="61">
                  <c:v>-12.438302541305067</c:v>
                </c:pt>
                <c:pt idx="62">
                  <c:v>-13.955094470247436</c:v>
                </c:pt>
                <c:pt idx="63">
                  <c:v>-10.566894212364321</c:v>
                </c:pt>
                <c:pt idx="64">
                  <c:v>-11.575320978798139</c:v>
                </c:pt>
                <c:pt idx="65">
                  <c:v>-10.577692081618411</c:v>
                </c:pt>
                <c:pt idx="66">
                  <c:v>-7.4386255859176913</c:v>
                </c:pt>
                <c:pt idx="67">
                  <c:v>-5.2597184887754818</c:v>
                </c:pt>
                <c:pt idx="68">
                  <c:v>-10.843058288889473</c:v>
                </c:pt>
                <c:pt idx="69">
                  <c:v>-9.5243760287423775</c:v>
                </c:pt>
                <c:pt idx="70">
                  <c:v>-14.773661500029426</c:v>
                </c:pt>
                <c:pt idx="71">
                  <c:v>-7.0135551692330971</c:v>
                </c:pt>
                <c:pt idx="72">
                  <c:v>-11.107649913700655</c:v>
                </c:pt>
                <c:pt idx="73">
                  <c:v>-10.92508590531363</c:v>
                </c:pt>
                <c:pt idx="74">
                  <c:v>-17.784858265044207</c:v>
                </c:pt>
                <c:pt idx="75">
                  <c:v>-17.478977748463798</c:v>
                </c:pt>
                <c:pt idx="76">
                  <c:v>-11.35049434269839</c:v>
                </c:pt>
                <c:pt idx="77">
                  <c:v>-12.770514722862345</c:v>
                </c:pt>
                <c:pt idx="78">
                  <c:v>-22.35030009402476</c:v>
                </c:pt>
                <c:pt idx="79">
                  <c:v>-7.5950866405794883</c:v>
                </c:pt>
                <c:pt idx="80">
                  <c:v>-13.241759877132452</c:v>
                </c:pt>
                <c:pt idx="81">
                  <c:v>-8.3986692001538668</c:v>
                </c:pt>
                <c:pt idx="82">
                  <c:v>-6.9545852471919227</c:v>
                </c:pt>
                <c:pt idx="83">
                  <c:v>-6.2720357040103609</c:v>
                </c:pt>
                <c:pt idx="84">
                  <c:v>-9.1202064662905524</c:v>
                </c:pt>
                <c:pt idx="85">
                  <c:v>-12.053722151116599</c:v>
                </c:pt>
                <c:pt idx="86">
                  <c:v>-9.5661807251788211</c:v>
                </c:pt>
                <c:pt idx="87">
                  <c:v>-3.4452129996818588</c:v>
                </c:pt>
                <c:pt idx="88">
                  <c:v>-8.4995516947434222</c:v>
                </c:pt>
                <c:pt idx="89">
                  <c:v>-18.180788674738025</c:v>
                </c:pt>
                <c:pt idx="90">
                  <c:v>-9.2768834585579611</c:v>
                </c:pt>
                <c:pt idx="91">
                  <c:v>-4.5087581734189346</c:v>
                </c:pt>
                <c:pt idx="92">
                  <c:v>-12.502057633056223</c:v>
                </c:pt>
                <c:pt idx="93">
                  <c:v>-8.2346577730639332</c:v>
                </c:pt>
                <c:pt idx="94">
                  <c:v>-13.672376754033404</c:v>
                </c:pt>
                <c:pt idx="95">
                  <c:v>-16.36415879887295</c:v>
                </c:pt>
                <c:pt idx="96">
                  <c:v>-9.3646774029632454</c:v>
                </c:pt>
                <c:pt idx="97">
                  <c:v>-17.462752187972072</c:v>
                </c:pt>
                <c:pt idx="98">
                  <c:v>-11.680422512978474</c:v>
                </c:pt>
                <c:pt idx="99">
                  <c:v>-10.644712059710589</c:v>
                </c:pt>
                <c:pt idx="100">
                  <c:v>-14.96464038091711</c:v>
                </c:pt>
                <c:pt idx="101">
                  <c:v>-10.146208394856682</c:v>
                </c:pt>
                <c:pt idx="102">
                  <c:v>-7.3337968313865609</c:v>
                </c:pt>
                <c:pt idx="103">
                  <c:v>-17.505136665044947</c:v>
                </c:pt>
                <c:pt idx="104">
                  <c:v>-18.982305044140183</c:v>
                </c:pt>
                <c:pt idx="105">
                  <c:v>-6.3191488372867424</c:v>
                </c:pt>
                <c:pt idx="106">
                  <c:v>-8.3808980961197772</c:v>
                </c:pt>
                <c:pt idx="107">
                  <c:v>-13.583481603621326</c:v>
                </c:pt>
                <c:pt idx="108">
                  <c:v>-15.194887143668973</c:v>
                </c:pt>
                <c:pt idx="109">
                  <c:v>-8.2699888045186931</c:v>
                </c:pt>
                <c:pt idx="110">
                  <c:v>-12.390134446227499</c:v>
                </c:pt>
                <c:pt idx="111">
                  <c:v>-14.622451161756805</c:v>
                </c:pt>
                <c:pt idx="112">
                  <c:v>-15.701026545288853</c:v>
                </c:pt>
                <c:pt idx="113">
                  <c:v>-18.023523233726603</c:v>
                </c:pt>
                <c:pt idx="114">
                  <c:v>-8.6898580706412965</c:v>
                </c:pt>
                <c:pt idx="115">
                  <c:v>-10.566266266986375</c:v>
                </c:pt>
                <c:pt idx="116">
                  <c:v>-14.882457957081426</c:v>
                </c:pt>
                <c:pt idx="117">
                  <c:v>-6.1380764258704197</c:v>
                </c:pt>
                <c:pt idx="118">
                  <c:v>-20.658213047524434</c:v>
                </c:pt>
                <c:pt idx="119">
                  <c:v>-0.95859599120102157</c:v>
                </c:pt>
                <c:pt idx="120">
                  <c:v>-5.9474249814558977</c:v>
                </c:pt>
                <c:pt idx="121">
                  <c:v>-13.111400657468584</c:v>
                </c:pt>
                <c:pt idx="122">
                  <c:v>-16.469604730668646</c:v>
                </c:pt>
                <c:pt idx="123">
                  <c:v>-14.478897369891595</c:v>
                </c:pt>
                <c:pt idx="124">
                  <c:v>-15.266704922896633</c:v>
                </c:pt>
                <c:pt idx="125">
                  <c:v>-4.2181550354995361</c:v>
                </c:pt>
                <c:pt idx="126">
                  <c:v>-18.894439653904989</c:v>
                </c:pt>
                <c:pt idx="127">
                  <c:v>-17.09354650396477</c:v>
                </c:pt>
                <c:pt idx="128">
                  <c:v>-12.797716256427771</c:v>
                </c:pt>
                <c:pt idx="129">
                  <c:v>-10.889624139462427</c:v>
                </c:pt>
                <c:pt idx="130">
                  <c:v>-14.007464205131534</c:v>
                </c:pt>
                <c:pt idx="131">
                  <c:v>-8.5884461833086458</c:v>
                </c:pt>
                <c:pt idx="132">
                  <c:v>-13.51437964115172</c:v>
                </c:pt>
                <c:pt idx="133">
                  <c:v>-11.479880613361008</c:v>
                </c:pt>
                <c:pt idx="134">
                  <c:v>-8.3055908542991297</c:v>
                </c:pt>
                <c:pt idx="135">
                  <c:v>-1.3845281078543987</c:v>
                </c:pt>
                <c:pt idx="136">
                  <c:v>-12.83172154964487</c:v>
                </c:pt>
                <c:pt idx="137">
                  <c:v>-13.437868361496243</c:v>
                </c:pt>
                <c:pt idx="138">
                  <c:v>-9.3993197177057226</c:v>
                </c:pt>
                <c:pt idx="139">
                  <c:v>-12.544478278755747</c:v>
                </c:pt>
                <c:pt idx="140">
                  <c:v>-12.220806453380025</c:v>
                </c:pt>
                <c:pt idx="141">
                  <c:v>-9.5710463197816757</c:v>
                </c:pt>
                <c:pt idx="142">
                  <c:v>-12.568447550592417</c:v>
                </c:pt>
                <c:pt idx="143">
                  <c:v>-5.0419647759773554</c:v>
                </c:pt>
                <c:pt idx="144">
                  <c:v>-15.408322005801434</c:v>
                </c:pt>
                <c:pt idx="145">
                  <c:v>-6.1949605912912169</c:v>
                </c:pt>
                <c:pt idx="146">
                  <c:v>-11.853072097105951</c:v>
                </c:pt>
                <c:pt idx="147">
                  <c:v>-19.66540353199683</c:v>
                </c:pt>
                <c:pt idx="148">
                  <c:v>-10.182349005364951</c:v>
                </c:pt>
                <c:pt idx="149">
                  <c:v>-24.100434325095446</c:v>
                </c:pt>
                <c:pt idx="150">
                  <c:v>-16.924628691834123</c:v>
                </c:pt>
                <c:pt idx="151">
                  <c:v>-6.1821068333147</c:v>
                </c:pt>
                <c:pt idx="152">
                  <c:v>-12.241217136002497</c:v>
                </c:pt>
                <c:pt idx="153">
                  <c:v>-7.7251579055935196</c:v>
                </c:pt>
                <c:pt idx="154">
                  <c:v>-10.44607084468416</c:v>
                </c:pt>
                <c:pt idx="155">
                  <c:v>-11.633016657281553</c:v>
                </c:pt>
                <c:pt idx="156">
                  <c:v>-18.284460741638082</c:v>
                </c:pt>
                <c:pt idx="157">
                  <c:v>-10.081809153288866</c:v>
                </c:pt>
                <c:pt idx="158">
                  <c:v>-4.4702682742303459</c:v>
                </c:pt>
                <c:pt idx="159">
                  <c:v>-9.2178486263812047</c:v>
                </c:pt>
                <c:pt idx="160">
                  <c:v>-8.0423370239597816</c:v>
                </c:pt>
                <c:pt idx="161">
                  <c:v>-9.3332659521510273</c:v>
                </c:pt>
                <c:pt idx="162">
                  <c:v>-11.80710559295056</c:v>
                </c:pt>
                <c:pt idx="163">
                  <c:v>-11.904483052879296</c:v>
                </c:pt>
                <c:pt idx="164">
                  <c:v>-9.614577692912933</c:v>
                </c:pt>
                <c:pt idx="165">
                  <c:v>-11.77225775011555</c:v>
                </c:pt>
                <c:pt idx="166">
                  <c:v>-15.395881934548797</c:v>
                </c:pt>
                <c:pt idx="167">
                  <c:v>-13.098808441168339</c:v>
                </c:pt>
                <c:pt idx="168">
                  <c:v>-10.951323357910777</c:v>
                </c:pt>
                <c:pt idx="169">
                  <c:v>-18.99630659814218</c:v>
                </c:pt>
                <c:pt idx="170">
                  <c:v>-13.080935502183765</c:v>
                </c:pt>
                <c:pt idx="171">
                  <c:v>-15.327782810660686</c:v>
                </c:pt>
                <c:pt idx="172">
                  <c:v>-12.110719716903287</c:v>
                </c:pt>
                <c:pt idx="173">
                  <c:v>-11.906834573871917</c:v>
                </c:pt>
                <c:pt idx="174">
                  <c:v>-15.105676709177313</c:v>
                </c:pt>
                <c:pt idx="175">
                  <c:v>-12.65924832871832</c:v>
                </c:pt>
                <c:pt idx="176">
                  <c:v>-7.092911809818375</c:v>
                </c:pt>
                <c:pt idx="177">
                  <c:v>-8.0456632315821039</c:v>
                </c:pt>
                <c:pt idx="178">
                  <c:v>-13.020420335139987</c:v>
                </c:pt>
                <c:pt idx="179">
                  <c:v>-13.344739378526302</c:v>
                </c:pt>
                <c:pt idx="180">
                  <c:v>-7.0515330217495356</c:v>
                </c:pt>
                <c:pt idx="181">
                  <c:v>-9.210259261143861</c:v>
                </c:pt>
                <c:pt idx="182">
                  <c:v>-9.9215890093480859</c:v>
                </c:pt>
                <c:pt idx="183">
                  <c:v>-15.699219926817186</c:v>
                </c:pt>
                <c:pt idx="184">
                  <c:v>-9.5322852022531936</c:v>
                </c:pt>
                <c:pt idx="185">
                  <c:v>-16.26425224832396</c:v>
                </c:pt>
                <c:pt idx="186">
                  <c:v>-4.4087084325437065</c:v>
                </c:pt>
                <c:pt idx="187">
                  <c:v>-15.610530983166646</c:v>
                </c:pt>
                <c:pt idx="188">
                  <c:v>-6.0566005902951403</c:v>
                </c:pt>
                <c:pt idx="189">
                  <c:v>-16.224676667335206</c:v>
                </c:pt>
                <c:pt idx="190">
                  <c:v>-2.7249760682221211</c:v>
                </c:pt>
                <c:pt idx="191">
                  <c:v>-10.132211336420418</c:v>
                </c:pt>
                <c:pt idx="192">
                  <c:v>-5.3583902023929921</c:v>
                </c:pt>
                <c:pt idx="193">
                  <c:v>-11.803875863193213</c:v>
                </c:pt>
                <c:pt idx="194">
                  <c:v>-10.982943909980213</c:v>
                </c:pt>
                <c:pt idx="195">
                  <c:v>-13.6807908971395</c:v>
                </c:pt>
                <c:pt idx="196">
                  <c:v>-8.1146917850619147</c:v>
                </c:pt>
                <c:pt idx="197">
                  <c:v>-9.7181105739193132</c:v>
                </c:pt>
                <c:pt idx="198">
                  <c:v>-19.348958413326059</c:v>
                </c:pt>
                <c:pt idx="199">
                  <c:v>-11.594157573703916</c:v>
                </c:pt>
                <c:pt idx="200">
                  <c:v>-17.507261415392477</c:v>
                </c:pt>
                <c:pt idx="201">
                  <c:v>-14.983994428649751</c:v>
                </c:pt>
                <c:pt idx="202">
                  <c:v>-5.8015055547780525</c:v>
                </c:pt>
                <c:pt idx="203">
                  <c:v>-14.061136292285651</c:v>
                </c:pt>
                <c:pt idx="204">
                  <c:v>-8.4601641996159191</c:v>
                </c:pt>
                <c:pt idx="205">
                  <c:v>-13.898373508597787</c:v>
                </c:pt>
                <c:pt idx="206">
                  <c:v>-16.477218350089377</c:v>
                </c:pt>
                <c:pt idx="207">
                  <c:v>-10.411807847940517</c:v>
                </c:pt>
                <c:pt idx="208">
                  <c:v>-18.387997872803791</c:v>
                </c:pt>
                <c:pt idx="209">
                  <c:v>-14.700561682924217</c:v>
                </c:pt>
                <c:pt idx="210">
                  <c:v>-9.0852350600662461</c:v>
                </c:pt>
                <c:pt idx="211">
                  <c:v>-7.0221461972189925</c:v>
                </c:pt>
                <c:pt idx="212">
                  <c:v>-6.2449351344447273</c:v>
                </c:pt>
                <c:pt idx="213">
                  <c:v>-7.2956213816434143</c:v>
                </c:pt>
                <c:pt idx="214">
                  <c:v>-13.82406529363077</c:v>
                </c:pt>
                <c:pt idx="215">
                  <c:v>-23.2407293512263</c:v>
                </c:pt>
                <c:pt idx="216">
                  <c:v>-6.3835186638372008</c:v>
                </c:pt>
                <c:pt idx="217">
                  <c:v>-14.620604077373137</c:v>
                </c:pt>
                <c:pt idx="218">
                  <c:v>-14.336285766481314</c:v>
                </c:pt>
                <c:pt idx="219">
                  <c:v>-10.405502244822202</c:v>
                </c:pt>
                <c:pt idx="220">
                  <c:v>-14.557430512241202</c:v>
                </c:pt>
                <c:pt idx="221">
                  <c:v>-14.627549180638612</c:v>
                </c:pt>
                <c:pt idx="222">
                  <c:v>-9.4805734953110452</c:v>
                </c:pt>
                <c:pt idx="223">
                  <c:v>-10.545150636828597</c:v>
                </c:pt>
                <c:pt idx="224">
                  <c:v>-11.229387325262739</c:v>
                </c:pt>
                <c:pt idx="225">
                  <c:v>-11.503308294283263</c:v>
                </c:pt>
                <c:pt idx="226">
                  <c:v>-9.3379616720628587</c:v>
                </c:pt>
                <c:pt idx="227">
                  <c:v>-18.313962509128235</c:v>
                </c:pt>
                <c:pt idx="228">
                  <c:v>-14.907957988465309</c:v>
                </c:pt>
                <c:pt idx="229">
                  <c:v>-17.705005029310701</c:v>
                </c:pt>
                <c:pt idx="230">
                  <c:v>-5.3937795058665019</c:v>
                </c:pt>
                <c:pt idx="231">
                  <c:v>-9.3315897251117796</c:v>
                </c:pt>
                <c:pt idx="232">
                  <c:v>-20.831232978904168</c:v>
                </c:pt>
                <c:pt idx="233">
                  <c:v>-6.1784599526640864</c:v>
                </c:pt>
                <c:pt idx="234">
                  <c:v>-9.1058352914953744</c:v>
                </c:pt>
                <c:pt idx="235">
                  <c:v>-10.903892632702753</c:v>
                </c:pt>
                <c:pt idx="236">
                  <c:v>-0.9533723887374963</c:v>
                </c:pt>
                <c:pt idx="237">
                  <c:v>-13.602045402063862</c:v>
                </c:pt>
                <c:pt idx="238">
                  <c:v>-13.518117928934583</c:v>
                </c:pt>
                <c:pt idx="239">
                  <c:v>-8.4592265327650082</c:v>
                </c:pt>
                <c:pt idx="240">
                  <c:v>-20.664221241255586</c:v>
                </c:pt>
                <c:pt idx="241">
                  <c:v>-10.362635195584424</c:v>
                </c:pt>
                <c:pt idx="242">
                  <c:v>-10.003898903967873</c:v>
                </c:pt>
                <c:pt idx="243">
                  <c:v>-15.594342149633279</c:v>
                </c:pt>
                <c:pt idx="244">
                  <c:v>-6.2523683522275473</c:v>
                </c:pt>
                <c:pt idx="245">
                  <c:v>-23.351946758166683</c:v>
                </c:pt>
                <c:pt idx="246">
                  <c:v>-19.818134711685509</c:v>
                </c:pt>
                <c:pt idx="247">
                  <c:v>-17.39015292804935</c:v>
                </c:pt>
                <c:pt idx="248">
                  <c:v>-19.472855125056974</c:v>
                </c:pt>
                <c:pt idx="249">
                  <c:v>-17.968776879510838</c:v>
                </c:pt>
                <c:pt idx="250">
                  <c:v>-8.6853712683025108</c:v>
                </c:pt>
                <c:pt idx="251">
                  <c:v>-14.206926667264353</c:v>
                </c:pt>
                <c:pt idx="252">
                  <c:v>-7.5935626380963299</c:v>
                </c:pt>
                <c:pt idx="253">
                  <c:v>-15.494733597213447</c:v>
                </c:pt>
                <c:pt idx="254">
                  <c:v>-19.078635970924356</c:v>
                </c:pt>
                <c:pt idx="255">
                  <c:v>-12.422156850013881</c:v>
                </c:pt>
                <c:pt idx="256">
                  <c:v>-9.9698525584804791</c:v>
                </c:pt>
                <c:pt idx="257">
                  <c:v>-7.908638546651356</c:v>
                </c:pt>
                <c:pt idx="258">
                  <c:v>-12.605165983917791</c:v>
                </c:pt>
                <c:pt idx="259">
                  <c:v>-9.2681419470476492</c:v>
                </c:pt>
                <c:pt idx="260">
                  <c:v>-8.3017926386750744</c:v>
                </c:pt>
                <c:pt idx="261">
                  <c:v>-21.27133563361982</c:v>
                </c:pt>
                <c:pt idx="262">
                  <c:v>-9.2864297194983436</c:v>
                </c:pt>
                <c:pt idx="263">
                  <c:v>-7.4226461595905757</c:v>
                </c:pt>
                <c:pt idx="264">
                  <c:v>-7.6734132105596764</c:v>
                </c:pt>
                <c:pt idx="265">
                  <c:v>-6.4753193122328714</c:v>
                </c:pt>
                <c:pt idx="266">
                  <c:v>-6.2100876096917181</c:v>
                </c:pt>
                <c:pt idx="267">
                  <c:v>-13.858043967587911</c:v>
                </c:pt>
                <c:pt idx="268">
                  <c:v>-14.076083272578884</c:v>
                </c:pt>
                <c:pt idx="269">
                  <c:v>-4.4789696810716766</c:v>
                </c:pt>
                <c:pt idx="270">
                  <c:v>-8.2091505811029464</c:v>
                </c:pt>
                <c:pt idx="271">
                  <c:v>-9.3196234162287031</c:v>
                </c:pt>
                <c:pt idx="272">
                  <c:v>-18.006483090229192</c:v>
                </c:pt>
                <c:pt idx="273">
                  <c:v>-4.5811703933347712</c:v>
                </c:pt>
                <c:pt idx="274">
                  <c:v>-9.9199794026394628</c:v>
                </c:pt>
                <c:pt idx="275">
                  <c:v>-15.21573926365123</c:v>
                </c:pt>
                <c:pt idx="276">
                  <c:v>-2.1230380203484955</c:v>
                </c:pt>
                <c:pt idx="277">
                  <c:v>-15.283873088893795</c:v>
                </c:pt>
                <c:pt idx="278">
                  <c:v>-7.7129212874217181</c:v>
                </c:pt>
                <c:pt idx="279">
                  <c:v>-20.080282083391666</c:v>
                </c:pt>
                <c:pt idx="280">
                  <c:v>-12.879904572589584</c:v>
                </c:pt>
                <c:pt idx="281">
                  <c:v>-6.5472387874005538</c:v>
                </c:pt>
                <c:pt idx="282">
                  <c:v>-13.311742373775971</c:v>
                </c:pt>
                <c:pt idx="283">
                  <c:v>-19.951373847921712</c:v>
                </c:pt>
                <c:pt idx="284">
                  <c:v>-9.4500323581187402</c:v>
                </c:pt>
                <c:pt idx="285">
                  <c:v>-15.464037974207093</c:v>
                </c:pt>
                <c:pt idx="286">
                  <c:v>-16.519705519224324</c:v>
                </c:pt>
                <c:pt idx="287">
                  <c:v>-8.2853922689873869</c:v>
                </c:pt>
                <c:pt idx="288">
                  <c:v>-12.903184309550589</c:v>
                </c:pt>
                <c:pt idx="289">
                  <c:v>-15.341458118395833</c:v>
                </c:pt>
                <c:pt idx="290">
                  <c:v>-5.9748966861428832</c:v>
                </c:pt>
                <c:pt idx="291">
                  <c:v>-14.220633707403758</c:v>
                </c:pt>
                <c:pt idx="292">
                  <c:v>-5.2994882375997214</c:v>
                </c:pt>
                <c:pt idx="293">
                  <c:v>-13.558600292898923</c:v>
                </c:pt>
                <c:pt idx="294">
                  <c:v>-14.345162239760043</c:v>
                </c:pt>
                <c:pt idx="295">
                  <c:v>-8.1357466085219468</c:v>
                </c:pt>
                <c:pt idx="296">
                  <c:v>-11.173793460024356</c:v>
                </c:pt>
                <c:pt idx="297">
                  <c:v>-9.9427149408240183</c:v>
                </c:pt>
                <c:pt idx="298">
                  <c:v>-14.392288099062549</c:v>
                </c:pt>
                <c:pt idx="299">
                  <c:v>-15.705707430417084</c:v>
                </c:pt>
                <c:pt idx="300">
                  <c:v>-5.5542758212274839</c:v>
                </c:pt>
                <c:pt idx="301">
                  <c:v>-18.939514729413574</c:v>
                </c:pt>
                <c:pt idx="302">
                  <c:v>-19.957905046702692</c:v>
                </c:pt>
                <c:pt idx="303">
                  <c:v>-18.71600938266128</c:v>
                </c:pt>
                <c:pt idx="304">
                  <c:v>-16.887236199287045</c:v>
                </c:pt>
                <c:pt idx="305">
                  <c:v>-8.6332808840200634</c:v>
                </c:pt>
                <c:pt idx="306">
                  <c:v>-6.1230819416704358</c:v>
                </c:pt>
                <c:pt idx="307">
                  <c:v>-10.845169721476431</c:v>
                </c:pt>
                <c:pt idx="308">
                  <c:v>-11.333912051440725</c:v>
                </c:pt>
                <c:pt idx="309">
                  <c:v>-7.0360038407366385</c:v>
                </c:pt>
                <c:pt idx="310">
                  <c:v>-11.766471551389497</c:v>
                </c:pt>
                <c:pt idx="311">
                  <c:v>-10.425632578822775</c:v>
                </c:pt>
                <c:pt idx="312">
                  <c:v>-21.829272096725127</c:v>
                </c:pt>
                <c:pt idx="313">
                  <c:v>-8.3185851174784027</c:v>
                </c:pt>
                <c:pt idx="314">
                  <c:v>-6.7752623915979076</c:v>
                </c:pt>
                <c:pt idx="315">
                  <c:v>-10.787840052805787</c:v>
                </c:pt>
                <c:pt idx="316">
                  <c:v>-11.940826649188658</c:v>
                </c:pt>
                <c:pt idx="317">
                  <c:v>-10.673066972893213</c:v>
                </c:pt>
                <c:pt idx="318">
                  <c:v>-11.483447862936568</c:v>
                </c:pt>
                <c:pt idx="319">
                  <c:v>-7.3940321726669662</c:v>
                </c:pt>
                <c:pt idx="320">
                  <c:v>-8.8876918217709289</c:v>
                </c:pt>
                <c:pt idx="321">
                  <c:v>-8.0550522574509777</c:v>
                </c:pt>
                <c:pt idx="322">
                  <c:v>-11.084794073498593</c:v>
                </c:pt>
                <c:pt idx="323">
                  <c:v>-15.573192272633785</c:v>
                </c:pt>
                <c:pt idx="324">
                  <c:v>-12.15375610501647</c:v>
                </c:pt>
                <c:pt idx="325">
                  <c:v>-17.241958111181205</c:v>
                </c:pt>
                <c:pt idx="326">
                  <c:v>-6.3159191066545421</c:v>
                </c:pt>
                <c:pt idx="327">
                  <c:v>-6.2703933788454105</c:v>
                </c:pt>
                <c:pt idx="328">
                  <c:v>-9.1008359497694631</c:v>
                </c:pt>
                <c:pt idx="329">
                  <c:v>-4.0939905511778143</c:v>
                </c:pt>
                <c:pt idx="330">
                  <c:v>-19.485264801890562</c:v>
                </c:pt>
                <c:pt idx="331">
                  <c:v>-5.5038256533161949</c:v>
                </c:pt>
                <c:pt idx="332">
                  <c:v>-7.744101371746515</c:v>
                </c:pt>
                <c:pt idx="333">
                  <c:v>-10.152301581573649</c:v>
                </c:pt>
                <c:pt idx="334">
                  <c:v>-11.299693765792128</c:v>
                </c:pt>
                <c:pt idx="335">
                  <c:v>-8.5571983555673903</c:v>
                </c:pt>
                <c:pt idx="336">
                  <c:v>-12.91496197629851</c:v>
                </c:pt>
                <c:pt idx="337">
                  <c:v>-24.451276030751913</c:v>
                </c:pt>
                <c:pt idx="338">
                  <c:v>-20.788990457522647</c:v>
                </c:pt>
                <c:pt idx="339">
                  <c:v>-6.590616397537449</c:v>
                </c:pt>
                <c:pt idx="340">
                  <c:v>-17.360558423752991</c:v>
                </c:pt>
                <c:pt idx="341">
                  <c:v>-8.1951662549494557</c:v>
                </c:pt>
                <c:pt idx="342">
                  <c:v>-12.973052588052594</c:v>
                </c:pt>
                <c:pt idx="343">
                  <c:v>-11.016193624620694</c:v>
                </c:pt>
                <c:pt idx="344">
                  <c:v>-16.022279573490113</c:v>
                </c:pt>
                <c:pt idx="345">
                  <c:v>-17.120205452402882</c:v>
                </c:pt>
                <c:pt idx="346">
                  <c:v>-11.132292512409109</c:v>
                </c:pt>
                <c:pt idx="347">
                  <c:v>-16.558531879718231</c:v>
                </c:pt>
                <c:pt idx="348">
                  <c:v>-14.235969514822159</c:v>
                </c:pt>
                <c:pt idx="349">
                  <c:v>-7.8140317312726424</c:v>
                </c:pt>
                <c:pt idx="350">
                  <c:v>-20.17464795377898</c:v>
                </c:pt>
                <c:pt idx="351">
                  <c:v>-6.096915117193026</c:v>
                </c:pt>
                <c:pt idx="352">
                  <c:v>-8.0182070890203789</c:v>
                </c:pt>
                <c:pt idx="353">
                  <c:v>-11.460714602896328</c:v>
                </c:pt>
                <c:pt idx="354">
                  <c:v>-17.74712345895399</c:v>
                </c:pt>
                <c:pt idx="355">
                  <c:v>-12.612912187883673</c:v>
                </c:pt>
                <c:pt idx="356">
                  <c:v>-20.972924928241813</c:v>
                </c:pt>
                <c:pt idx="357">
                  <c:v>-14.089438506138825</c:v>
                </c:pt>
                <c:pt idx="358">
                  <c:v>-14.450293429261514</c:v>
                </c:pt>
                <c:pt idx="359">
                  <c:v>-11.227974402953151</c:v>
                </c:pt>
                <c:pt idx="360">
                  <c:v>-19.096816803582396</c:v>
                </c:pt>
                <c:pt idx="361">
                  <c:v>-16.750208604375146</c:v>
                </c:pt>
                <c:pt idx="362">
                  <c:v>-13.474805280355444</c:v>
                </c:pt>
                <c:pt idx="363">
                  <c:v>-4.2740096738611459</c:v>
                </c:pt>
                <c:pt idx="364">
                  <c:v>-18.705076363575529</c:v>
                </c:pt>
                <c:pt idx="365">
                  <c:v>-11.303073051869905</c:v>
                </c:pt>
                <c:pt idx="366">
                  <c:v>-11.619490951948013</c:v>
                </c:pt>
                <c:pt idx="367">
                  <c:v>-22.29390007454549</c:v>
                </c:pt>
                <c:pt idx="368">
                  <c:v>-14.613776079586396</c:v>
                </c:pt>
                <c:pt idx="369">
                  <c:v>-20.01435207952494</c:v>
                </c:pt>
                <c:pt idx="370">
                  <c:v>-5.3557586839211977</c:v>
                </c:pt>
                <c:pt idx="371">
                  <c:v>-19.451269230925121</c:v>
                </c:pt>
                <c:pt idx="372">
                  <c:v>-16.328935026505782</c:v>
                </c:pt>
                <c:pt idx="373">
                  <c:v>-4.4060004204070653</c:v>
                </c:pt>
                <c:pt idx="374">
                  <c:v>-20.220177875567828</c:v>
                </c:pt>
                <c:pt idx="375">
                  <c:v>-12.828550810202586</c:v>
                </c:pt>
                <c:pt idx="376">
                  <c:v>-14.484589152197204</c:v>
                </c:pt>
                <c:pt idx="377">
                  <c:v>-11.195743171519204</c:v>
                </c:pt>
                <c:pt idx="378">
                  <c:v>-9.0729751424820329</c:v>
                </c:pt>
                <c:pt idx="379">
                  <c:v>-11.037099638895672</c:v>
                </c:pt>
                <c:pt idx="380">
                  <c:v>-13.517042002060812</c:v>
                </c:pt>
                <c:pt idx="381">
                  <c:v>-15.884644750050342</c:v>
                </c:pt>
                <c:pt idx="382">
                  <c:v>-13.562601219709675</c:v>
                </c:pt>
                <c:pt idx="383">
                  <c:v>-13.359414293816034</c:v>
                </c:pt>
                <c:pt idx="384">
                  <c:v>-20.314540883062278</c:v>
                </c:pt>
                <c:pt idx="385">
                  <c:v>-12.097073524366925</c:v>
                </c:pt>
                <c:pt idx="386">
                  <c:v>-4.3553274284215746</c:v>
                </c:pt>
                <c:pt idx="387">
                  <c:v>-8.5747483729487595</c:v>
                </c:pt>
                <c:pt idx="388">
                  <c:v>-9.2070999269455029</c:v>
                </c:pt>
                <c:pt idx="389">
                  <c:v>-17.243902009803975</c:v>
                </c:pt>
                <c:pt idx="390">
                  <c:v>-6.2486545439541263</c:v>
                </c:pt>
                <c:pt idx="391">
                  <c:v>-11.86809844721137</c:v>
                </c:pt>
                <c:pt idx="392">
                  <c:v>-11.091254397025128</c:v>
                </c:pt>
                <c:pt idx="393">
                  <c:v>-6.9717877083199191</c:v>
                </c:pt>
                <c:pt idx="394">
                  <c:v>-8.084006093533592</c:v>
                </c:pt>
                <c:pt idx="395">
                  <c:v>-3.092438626728697</c:v>
                </c:pt>
                <c:pt idx="396">
                  <c:v>-12.00746375945921</c:v>
                </c:pt>
                <c:pt idx="397">
                  <c:v>-16.863223759620567</c:v>
                </c:pt>
                <c:pt idx="398">
                  <c:v>-23.201992861436768</c:v>
                </c:pt>
                <c:pt idx="399">
                  <c:v>-16.961836354672784</c:v>
                </c:pt>
                <c:pt idx="400">
                  <c:v>-19.464063446180205</c:v>
                </c:pt>
                <c:pt idx="401">
                  <c:v>-18.53837771812843</c:v>
                </c:pt>
                <c:pt idx="402">
                  <c:v>-12.714037292718068</c:v>
                </c:pt>
                <c:pt idx="403">
                  <c:v>-8.9002730776905441</c:v>
                </c:pt>
                <c:pt idx="404">
                  <c:v>-8.1112052577188294</c:v>
                </c:pt>
                <c:pt idx="405">
                  <c:v>-7.9743809390375411</c:v>
                </c:pt>
                <c:pt idx="406">
                  <c:v>-7.8889671186985542</c:v>
                </c:pt>
                <c:pt idx="407">
                  <c:v>-15.579785365964455</c:v>
                </c:pt>
                <c:pt idx="408">
                  <c:v>-9.518325098744004</c:v>
                </c:pt>
                <c:pt idx="409">
                  <c:v>-9.8161111549671833</c:v>
                </c:pt>
                <c:pt idx="410">
                  <c:v>-12.611883354645075</c:v>
                </c:pt>
                <c:pt idx="411">
                  <c:v>-17.20307163241203</c:v>
                </c:pt>
                <c:pt idx="412">
                  <c:v>-6.3937144615642794</c:v>
                </c:pt>
                <c:pt idx="413">
                  <c:v>-12.998660359495171</c:v>
                </c:pt>
                <c:pt idx="414">
                  <c:v>-8.2762993495101433</c:v>
                </c:pt>
                <c:pt idx="415">
                  <c:v>-7.2952378571251231</c:v>
                </c:pt>
                <c:pt idx="416">
                  <c:v>-7.9013784138648111</c:v>
                </c:pt>
                <c:pt idx="417">
                  <c:v>-9.097550600340238</c:v>
                </c:pt>
                <c:pt idx="418">
                  <c:v>-14.592986400680196</c:v>
                </c:pt>
                <c:pt idx="419">
                  <c:v>-7.1480821574023938</c:v>
                </c:pt>
                <c:pt idx="420">
                  <c:v>-12.000712893451356</c:v>
                </c:pt>
                <c:pt idx="421">
                  <c:v>-10.040338164722867</c:v>
                </c:pt>
                <c:pt idx="422">
                  <c:v>-15.295389082527102</c:v>
                </c:pt>
                <c:pt idx="423">
                  <c:v>-15.088170315176372</c:v>
                </c:pt>
                <c:pt idx="424">
                  <c:v>-18.681532139735872</c:v>
                </c:pt>
                <c:pt idx="425">
                  <c:v>-7.8318357073088372</c:v>
                </c:pt>
                <c:pt idx="426">
                  <c:v>-11.592293413039735</c:v>
                </c:pt>
                <c:pt idx="427">
                  <c:v>-11.84026489261306</c:v>
                </c:pt>
                <c:pt idx="428">
                  <c:v>-10.830969935587641</c:v>
                </c:pt>
                <c:pt idx="429">
                  <c:v>-5.0350955950066112</c:v>
                </c:pt>
                <c:pt idx="430">
                  <c:v>-16.173477983305212</c:v>
                </c:pt>
                <c:pt idx="431">
                  <c:v>-14.658061820130197</c:v>
                </c:pt>
                <c:pt idx="432">
                  <c:v>-4.3095740388457635</c:v>
                </c:pt>
                <c:pt idx="433">
                  <c:v>-3.854992395638579</c:v>
                </c:pt>
                <c:pt idx="434">
                  <c:v>-13.600245531031316</c:v>
                </c:pt>
                <c:pt idx="435">
                  <c:v>-8.2972092992193147</c:v>
                </c:pt>
                <c:pt idx="436">
                  <c:v>-15.345947617028438</c:v>
                </c:pt>
                <c:pt idx="437">
                  <c:v>-14.769543833587026</c:v>
                </c:pt>
                <c:pt idx="438">
                  <c:v>-4.7714376792120854</c:v>
                </c:pt>
                <c:pt idx="439">
                  <c:v>-14.89865785444697</c:v>
                </c:pt>
                <c:pt idx="440">
                  <c:v>-6.7764490034107148</c:v>
                </c:pt>
                <c:pt idx="441">
                  <c:v>-9.2210969432666587</c:v>
                </c:pt>
                <c:pt idx="442">
                  <c:v>-12.616927527338259</c:v>
                </c:pt>
                <c:pt idx="443">
                  <c:v>-13.614936850934919</c:v>
                </c:pt>
                <c:pt idx="444">
                  <c:v>-13.653780535945439</c:v>
                </c:pt>
                <c:pt idx="445">
                  <c:v>-7.5678487206954603</c:v>
                </c:pt>
                <c:pt idx="446">
                  <c:v>-7.695151159479833</c:v>
                </c:pt>
                <c:pt idx="447">
                  <c:v>-15.498496103334849</c:v>
                </c:pt>
                <c:pt idx="448">
                  <c:v>-13.860631338513468</c:v>
                </c:pt>
                <c:pt idx="449">
                  <c:v>-9.4863156384278096</c:v>
                </c:pt>
                <c:pt idx="450">
                  <c:v>-8.9112680942914295</c:v>
                </c:pt>
                <c:pt idx="451">
                  <c:v>-5.5539221754599684</c:v>
                </c:pt>
                <c:pt idx="452">
                  <c:v>-8.7460312499498514</c:v>
                </c:pt>
                <c:pt idx="453">
                  <c:v>-8.33661501835285</c:v>
                </c:pt>
                <c:pt idx="454">
                  <c:v>-12.609132815422738</c:v>
                </c:pt>
                <c:pt idx="455">
                  <c:v>-7.6412842649110848</c:v>
                </c:pt>
                <c:pt idx="456">
                  <c:v>-6.33690489174995</c:v>
                </c:pt>
                <c:pt idx="457">
                  <c:v>-5.5942672007027303</c:v>
                </c:pt>
                <c:pt idx="458">
                  <c:v>-11.420640139774871</c:v>
                </c:pt>
                <c:pt idx="459">
                  <c:v>-9.0666540980414787</c:v>
                </c:pt>
                <c:pt idx="460">
                  <c:v>-13.330558922852008</c:v>
                </c:pt>
                <c:pt idx="461">
                  <c:v>-9.8463608433215306</c:v>
                </c:pt>
                <c:pt idx="462">
                  <c:v>-4.4736379362716994</c:v>
                </c:pt>
                <c:pt idx="463">
                  <c:v>-15.617327111070733</c:v>
                </c:pt>
                <c:pt idx="464">
                  <c:v>-9.6027693013805902</c:v>
                </c:pt>
                <c:pt idx="465">
                  <c:v>-8.7977403861162795</c:v>
                </c:pt>
                <c:pt idx="466">
                  <c:v>-16.604708183073821</c:v>
                </c:pt>
                <c:pt idx="467">
                  <c:v>-21.230728574254808</c:v>
                </c:pt>
                <c:pt idx="468">
                  <c:v>-11.870248656126014</c:v>
                </c:pt>
                <c:pt idx="469">
                  <c:v>-8.2238552022064813</c:v>
                </c:pt>
                <c:pt idx="470">
                  <c:v>-15.84479196937005</c:v>
                </c:pt>
                <c:pt idx="471">
                  <c:v>-6.1282839654822574</c:v>
                </c:pt>
                <c:pt idx="472">
                  <c:v>-14.295489720036738</c:v>
                </c:pt>
                <c:pt idx="473">
                  <c:v>-9.2456204719787412</c:v>
                </c:pt>
                <c:pt idx="474">
                  <c:v>-10.353045184582832</c:v>
                </c:pt>
                <c:pt idx="475">
                  <c:v>-7.4457483456851739</c:v>
                </c:pt>
                <c:pt idx="476">
                  <c:v>-3.6960585466155518</c:v>
                </c:pt>
                <c:pt idx="477">
                  <c:v>-14.333906189432597</c:v>
                </c:pt>
                <c:pt idx="478">
                  <c:v>-7.4084398305301731</c:v>
                </c:pt>
                <c:pt idx="479">
                  <c:v>-14.628360157298488</c:v>
                </c:pt>
                <c:pt idx="480">
                  <c:v>-7.2858634161926012</c:v>
                </c:pt>
                <c:pt idx="481">
                  <c:v>-15.400114878201281</c:v>
                </c:pt>
                <c:pt idx="482">
                  <c:v>-13.407509841263828</c:v>
                </c:pt>
                <c:pt idx="483">
                  <c:v>-7.9897472874690827</c:v>
                </c:pt>
                <c:pt idx="484">
                  <c:v>-19.409207702358202</c:v>
                </c:pt>
                <c:pt idx="485">
                  <c:v>-11.387908428273871</c:v>
                </c:pt>
                <c:pt idx="486">
                  <c:v>-8.6450986061637014</c:v>
                </c:pt>
                <c:pt idx="487">
                  <c:v>-9.0274689368011174</c:v>
                </c:pt>
                <c:pt idx="488">
                  <c:v>-7.4452674223820994</c:v>
                </c:pt>
                <c:pt idx="489">
                  <c:v>-10.692798486558926</c:v>
                </c:pt>
                <c:pt idx="490">
                  <c:v>-9.1556933080088054</c:v>
                </c:pt>
                <c:pt idx="491">
                  <c:v>-6.6628728632246377</c:v>
                </c:pt>
                <c:pt idx="492">
                  <c:v>-9.485468492416997</c:v>
                </c:pt>
                <c:pt idx="493">
                  <c:v>-4.0665489471899736</c:v>
                </c:pt>
                <c:pt idx="494">
                  <c:v>-17.460442974960557</c:v>
                </c:pt>
                <c:pt idx="495">
                  <c:v>-10.143065952925728</c:v>
                </c:pt>
                <c:pt idx="496">
                  <c:v>1.4747795860071462</c:v>
                </c:pt>
                <c:pt idx="497">
                  <c:v>-16.923476725409383</c:v>
                </c:pt>
                <c:pt idx="498">
                  <c:v>-12.358926701153232</c:v>
                </c:pt>
                <c:pt idx="499">
                  <c:v>-14.380453514559076</c:v>
                </c:pt>
                <c:pt idx="500">
                  <c:v>-18.23308877427921</c:v>
                </c:pt>
                <c:pt idx="501">
                  <c:v>-7.6582477645181317</c:v>
                </c:pt>
                <c:pt idx="502">
                  <c:v>-8.9062956638971862</c:v>
                </c:pt>
                <c:pt idx="503">
                  <c:v>-16.82320147339037</c:v>
                </c:pt>
                <c:pt idx="504">
                  <c:v>-5.9851710446378945</c:v>
                </c:pt>
                <c:pt idx="505">
                  <c:v>-14.665410685264817</c:v>
                </c:pt>
                <c:pt idx="506">
                  <c:v>-14.348561098164257</c:v>
                </c:pt>
                <c:pt idx="507">
                  <c:v>-13.925617820844149</c:v>
                </c:pt>
                <c:pt idx="508">
                  <c:v>-13.257996678195489</c:v>
                </c:pt>
                <c:pt idx="509">
                  <c:v>-15.203874150778324</c:v>
                </c:pt>
                <c:pt idx="510">
                  <c:v>-8.6517773685590651</c:v>
                </c:pt>
                <c:pt idx="511">
                  <c:v>-15.994224907351123</c:v>
                </c:pt>
                <c:pt idx="512">
                  <c:v>-17.315081746534382</c:v>
                </c:pt>
                <c:pt idx="513">
                  <c:v>-6.6912671204201528</c:v>
                </c:pt>
                <c:pt idx="514">
                  <c:v>-17.994236534217006</c:v>
                </c:pt>
                <c:pt idx="515">
                  <c:v>-17.047519966437054</c:v>
                </c:pt>
                <c:pt idx="516">
                  <c:v>-13.203824599947804</c:v>
                </c:pt>
                <c:pt idx="517">
                  <c:v>-8.5897587135154936</c:v>
                </c:pt>
                <c:pt idx="518">
                  <c:v>-15.506472952342417</c:v>
                </c:pt>
                <c:pt idx="519">
                  <c:v>-11.053911109297433</c:v>
                </c:pt>
                <c:pt idx="520">
                  <c:v>-11.935188230250571</c:v>
                </c:pt>
                <c:pt idx="521">
                  <c:v>-12.599305112171262</c:v>
                </c:pt>
                <c:pt idx="522">
                  <c:v>-15.714405881471583</c:v>
                </c:pt>
                <c:pt idx="523">
                  <c:v>-8.2040849050172202</c:v>
                </c:pt>
                <c:pt idx="524">
                  <c:v>-13.986341021340136</c:v>
                </c:pt>
                <c:pt idx="525">
                  <c:v>-10.446845155833929</c:v>
                </c:pt>
                <c:pt idx="526">
                  <c:v>-6.3396426772817609</c:v>
                </c:pt>
                <c:pt idx="527">
                  <c:v>-8.280558483561828</c:v>
                </c:pt>
                <c:pt idx="528">
                  <c:v>-15.601085481196442</c:v>
                </c:pt>
                <c:pt idx="529">
                  <c:v>-12.220783617872675</c:v>
                </c:pt>
                <c:pt idx="530">
                  <c:v>-14.684462015314489</c:v>
                </c:pt>
                <c:pt idx="531">
                  <c:v>-9.4160579802244584</c:v>
                </c:pt>
                <c:pt idx="532">
                  <c:v>-12.615252427273658</c:v>
                </c:pt>
                <c:pt idx="533">
                  <c:v>-7.2627247609534091</c:v>
                </c:pt>
                <c:pt idx="534">
                  <c:v>-12.976288704592552</c:v>
                </c:pt>
                <c:pt idx="535">
                  <c:v>-9.5216155561658731</c:v>
                </c:pt>
                <c:pt idx="536">
                  <c:v>-10.097686574810135</c:v>
                </c:pt>
                <c:pt idx="537">
                  <c:v>-9.603048718767413</c:v>
                </c:pt>
                <c:pt idx="538">
                  <c:v>-8.6091322915586108</c:v>
                </c:pt>
                <c:pt idx="539">
                  <c:v>-10.912659276980559</c:v>
                </c:pt>
                <c:pt idx="540">
                  <c:v>-14.646609131847818</c:v>
                </c:pt>
                <c:pt idx="541">
                  <c:v>-9.8038042515513766</c:v>
                </c:pt>
                <c:pt idx="542">
                  <c:v>-12.989737665660838</c:v>
                </c:pt>
                <c:pt idx="543">
                  <c:v>-13.509277189096743</c:v>
                </c:pt>
                <c:pt idx="544">
                  <c:v>-7.4989561195610479</c:v>
                </c:pt>
                <c:pt idx="545">
                  <c:v>-1.8909714283824099</c:v>
                </c:pt>
                <c:pt idx="546">
                  <c:v>-9.8855054171729506</c:v>
                </c:pt>
                <c:pt idx="547">
                  <c:v>-6.6941671913299539</c:v>
                </c:pt>
                <c:pt idx="548">
                  <c:v>-7.130074539853231</c:v>
                </c:pt>
                <c:pt idx="549">
                  <c:v>-14.025893781249149</c:v>
                </c:pt>
                <c:pt idx="550">
                  <c:v>-6.2554289048168705</c:v>
                </c:pt>
                <c:pt idx="551">
                  <c:v>-11.744481446710456</c:v>
                </c:pt>
                <c:pt idx="552">
                  <c:v>-16.916556127541352</c:v>
                </c:pt>
                <c:pt idx="553">
                  <c:v>-10.623091936333836</c:v>
                </c:pt>
                <c:pt idx="554">
                  <c:v>-13.190698078450446</c:v>
                </c:pt>
                <c:pt idx="555">
                  <c:v>-9.0005811664775628</c:v>
                </c:pt>
                <c:pt idx="556">
                  <c:v>-7.3265651953288708</c:v>
                </c:pt>
                <c:pt idx="557">
                  <c:v>-19.869284894037797</c:v>
                </c:pt>
                <c:pt idx="558">
                  <c:v>-15.831111289287435</c:v>
                </c:pt>
                <c:pt idx="559">
                  <c:v>-17.799169474948393</c:v>
                </c:pt>
                <c:pt idx="560">
                  <c:v>-6.3372452567136186</c:v>
                </c:pt>
                <c:pt idx="561">
                  <c:v>-4.4697283395750684</c:v>
                </c:pt>
                <c:pt idx="562">
                  <c:v>-16.737748150130351</c:v>
                </c:pt>
                <c:pt idx="563">
                  <c:v>-12.541901949429041</c:v>
                </c:pt>
                <c:pt idx="564">
                  <c:v>-11.754961323733529</c:v>
                </c:pt>
                <c:pt idx="565">
                  <c:v>-14.555519151086925</c:v>
                </c:pt>
                <c:pt idx="566">
                  <c:v>-8.4265832658775306</c:v>
                </c:pt>
                <c:pt idx="567">
                  <c:v>-10.682216048640527</c:v>
                </c:pt>
                <c:pt idx="568">
                  <c:v>-7.5890256434285526</c:v>
                </c:pt>
                <c:pt idx="569">
                  <c:v>-9.8807750240437802</c:v>
                </c:pt>
                <c:pt idx="570">
                  <c:v>-16.389433834684663</c:v>
                </c:pt>
                <c:pt idx="571">
                  <c:v>-13.481767309367587</c:v>
                </c:pt>
                <c:pt idx="572">
                  <c:v>-15.997076268614203</c:v>
                </c:pt>
                <c:pt idx="573">
                  <c:v>-12.100100787646049</c:v>
                </c:pt>
                <c:pt idx="574">
                  <c:v>-20.451110583064004</c:v>
                </c:pt>
                <c:pt idx="575">
                  <c:v>-13.849435291682994</c:v>
                </c:pt>
                <c:pt idx="576">
                  <c:v>-14.031075263993122</c:v>
                </c:pt>
                <c:pt idx="577">
                  <c:v>-8.9765817491721158</c:v>
                </c:pt>
                <c:pt idx="578">
                  <c:v>-17.569642096031274</c:v>
                </c:pt>
                <c:pt idx="579">
                  <c:v>-9.1876536544682512</c:v>
                </c:pt>
                <c:pt idx="580">
                  <c:v>-6.6755008832509271</c:v>
                </c:pt>
                <c:pt idx="581">
                  <c:v>-9.710008361509372</c:v>
                </c:pt>
                <c:pt idx="582">
                  <c:v>-7.1746396405382828</c:v>
                </c:pt>
                <c:pt idx="583">
                  <c:v>-9.1198859693088465</c:v>
                </c:pt>
                <c:pt idx="584">
                  <c:v>-13.075720049832537</c:v>
                </c:pt>
                <c:pt idx="585">
                  <c:v>-13.465804588016786</c:v>
                </c:pt>
                <c:pt idx="586">
                  <c:v>-8.1051055215926002</c:v>
                </c:pt>
                <c:pt idx="587">
                  <c:v>-19.111858174238755</c:v>
                </c:pt>
                <c:pt idx="588">
                  <c:v>-19.451381597179683</c:v>
                </c:pt>
                <c:pt idx="589">
                  <c:v>-12.214798312458418</c:v>
                </c:pt>
                <c:pt idx="590">
                  <c:v>-6.0984366918471942</c:v>
                </c:pt>
                <c:pt idx="591">
                  <c:v>-18.024273518870046</c:v>
                </c:pt>
                <c:pt idx="592">
                  <c:v>-7.0077965565961158</c:v>
                </c:pt>
                <c:pt idx="593">
                  <c:v>-7.1047110569103697</c:v>
                </c:pt>
                <c:pt idx="594">
                  <c:v>-5.8627568860677526</c:v>
                </c:pt>
                <c:pt idx="595">
                  <c:v>-8.3528197734356375</c:v>
                </c:pt>
                <c:pt idx="596">
                  <c:v>-13.228164276674754</c:v>
                </c:pt>
                <c:pt idx="597">
                  <c:v>-1.5424020265318372</c:v>
                </c:pt>
                <c:pt idx="598">
                  <c:v>-15.69767781815108</c:v>
                </c:pt>
                <c:pt idx="599">
                  <c:v>-13.935395967766672</c:v>
                </c:pt>
                <c:pt idx="600">
                  <c:v>-9.4272780112634251</c:v>
                </c:pt>
                <c:pt idx="601">
                  <c:v>-10.624606218571</c:v>
                </c:pt>
                <c:pt idx="602">
                  <c:v>-10.430229492529746</c:v>
                </c:pt>
                <c:pt idx="603">
                  <c:v>-11.996489724017541</c:v>
                </c:pt>
                <c:pt idx="604">
                  <c:v>-21.208478552368227</c:v>
                </c:pt>
                <c:pt idx="605">
                  <c:v>-16.82463473667368</c:v>
                </c:pt>
                <c:pt idx="606">
                  <c:v>-15.701479974563675</c:v>
                </c:pt>
                <c:pt idx="607">
                  <c:v>-10.588902187091332</c:v>
                </c:pt>
                <c:pt idx="608">
                  <c:v>-11.091745530890254</c:v>
                </c:pt>
                <c:pt idx="609">
                  <c:v>-13.093478206833803</c:v>
                </c:pt>
                <c:pt idx="610">
                  <c:v>-13.312777433482308</c:v>
                </c:pt>
                <c:pt idx="611">
                  <c:v>-3.083764920830756E-2</c:v>
                </c:pt>
                <c:pt idx="612">
                  <c:v>-16.354358988369636</c:v>
                </c:pt>
                <c:pt idx="613">
                  <c:v>-11.448346503824762</c:v>
                </c:pt>
                <c:pt idx="614">
                  <c:v>-2.9707007527567759</c:v>
                </c:pt>
                <c:pt idx="615">
                  <c:v>-14.93365531160045</c:v>
                </c:pt>
                <c:pt idx="616">
                  <c:v>-2.9081964083594798</c:v>
                </c:pt>
                <c:pt idx="617">
                  <c:v>-5.8013560985345487</c:v>
                </c:pt>
                <c:pt idx="618">
                  <c:v>-7.7768959689023784</c:v>
                </c:pt>
                <c:pt idx="619">
                  <c:v>-17.120822264309972</c:v>
                </c:pt>
                <c:pt idx="620">
                  <c:v>-13.433281678505258</c:v>
                </c:pt>
                <c:pt idx="621">
                  <c:v>-10.53421284612245</c:v>
                </c:pt>
                <c:pt idx="622">
                  <c:v>-13.30509782008243</c:v>
                </c:pt>
                <c:pt idx="623">
                  <c:v>-3.0534087785198647</c:v>
                </c:pt>
                <c:pt idx="624">
                  <c:v>-9.7868128290670349</c:v>
                </c:pt>
                <c:pt idx="625">
                  <c:v>-15.687813082594763</c:v>
                </c:pt>
                <c:pt idx="626">
                  <c:v>-12.16928004473891</c:v>
                </c:pt>
                <c:pt idx="627">
                  <c:v>-17.650491390148389</c:v>
                </c:pt>
                <c:pt idx="628">
                  <c:v>-11.5064104156666</c:v>
                </c:pt>
                <c:pt idx="629">
                  <c:v>-6.954760718300335</c:v>
                </c:pt>
                <c:pt idx="630">
                  <c:v>-10.200781968997337</c:v>
                </c:pt>
                <c:pt idx="631">
                  <c:v>-6.6054526491406138</c:v>
                </c:pt>
                <c:pt idx="632">
                  <c:v>-8.8062180098425156</c:v>
                </c:pt>
                <c:pt idx="633">
                  <c:v>-14.262269370046669</c:v>
                </c:pt>
                <c:pt idx="634">
                  <c:v>-11.450041334360426</c:v>
                </c:pt>
                <c:pt idx="635">
                  <c:v>-13.59934236003801</c:v>
                </c:pt>
                <c:pt idx="636">
                  <c:v>-4.7125001278785348</c:v>
                </c:pt>
                <c:pt idx="637">
                  <c:v>-6.8954245698680827</c:v>
                </c:pt>
                <c:pt idx="638">
                  <c:v>-9.8827785230645997</c:v>
                </c:pt>
                <c:pt idx="639">
                  <c:v>-12.211873344914636</c:v>
                </c:pt>
                <c:pt idx="640">
                  <c:v>-17.518580366646191</c:v>
                </c:pt>
                <c:pt idx="641">
                  <c:v>-10.971188062394475</c:v>
                </c:pt>
                <c:pt idx="642">
                  <c:v>-12.309302667780155</c:v>
                </c:pt>
                <c:pt idx="643">
                  <c:v>-13.413322953185459</c:v>
                </c:pt>
                <c:pt idx="644">
                  <c:v>-8.5271035872311565</c:v>
                </c:pt>
                <c:pt idx="645">
                  <c:v>-3.6211484601695689</c:v>
                </c:pt>
                <c:pt idx="646">
                  <c:v>-9.079973036796849</c:v>
                </c:pt>
                <c:pt idx="647">
                  <c:v>-16.808672646591731</c:v>
                </c:pt>
                <c:pt idx="648">
                  <c:v>-12.024984825438274</c:v>
                </c:pt>
                <c:pt idx="649">
                  <c:v>-9.1622312749172803</c:v>
                </c:pt>
                <c:pt idx="650">
                  <c:v>-14.377600404554098</c:v>
                </c:pt>
                <c:pt idx="651">
                  <c:v>-8.6179713838464842</c:v>
                </c:pt>
                <c:pt idx="652">
                  <c:v>-4.6006425868114942</c:v>
                </c:pt>
                <c:pt idx="653">
                  <c:v>-12.209913539053645</c:v>
                </c:pt>
                <c:pt idx="654">
                  <c:v>-12.816992953463393</c:v>
                </c:pt>
                <c:pt idx="655">
                  <c:v>-7.6646245105545567</c:v>
                </c:pt>
                <c:pt idx="656">
                  <c:v>-7.0254583708784715</c:v>
                </c:pt>
                <c:pt idx="657">
                  <c:v>-12.129652945469115</c:v>
                </c:pt>
                <c:pt idx="658">
                  <c:v>-2.9749681702712505</c:v>
                </c:pt>
                <c:pt idx="659">
                  <c:v>-15.124468769430909</c:v>
                </c:pt>
                <c:pt idx="660">
                  <c:v>-14.414686669677494</c:v>
                </c:pt>
                <c:pt idx="661">
                  <c:v>-2.1692329949331306</c:v>
                </c:pt>
                <c:pt idx="662">
                  <c:v>-8.7936729011917691</c:v>
                </c:pt>
                <c:pt idx="663">
                  <c:v>-7.5238095342550917</c:v>
                </c:pt>
                <c:pt idx="664">
                  <c:v>-8.9463202161791866</c:v>
                </c:pt>
                <c:pt idx="665">
                  <c:v>-5.387559992548355</c:v>
                </c:pt>
                <c:pt idx="666">
                  <c:v>-13.468689584100927</c:v>
                </c:pt>
                <c:pt idx="667">
                  <c:v>-11.138815072007095</c:v>
                </c:pt>
                <c:pt idx="668">
                  <c:v>-20.915057789082411</c:v>
                </c:pt>
                <c:pt idx="669">
                  <c:v>-6.6688937434727205</c:v>
                </c:pt>
                <c:pt idx="670">
                  <c:v>-12.779024160716615</c:v>
                </c:pt>
                <c:pt idx="671">
                  <c:v>-12.541566282026878</c:v>
                </c:pt>
                <c:pt idx="672">
                  <c:v>-17.437138660155735</c:v>
                </c:pt>
                <c:pt idx="673">
                  <c:v>-13.69387397885783</c:v>
                </c:pt>
                <c:pt idx="674">
                  <c:v>-19.4419773737174</c:v>
                </c:pt>
                <c:pt idx="675">
                  <c:v>-9.4081644493721974</c:v>
                </c:pt>
                <c:pt idx="676">
                  <c:v>-19.115768444068721</c:v>
                </c:pt>
                <c:pt idx="677">
                  <c:v>-12.227772368786246</c:v>
                </c:pt>
                <c:pt idx="678">
                  <c:v>-6.463906634223207</c:v>
                </c:pt>
                <c:pt idx="679">
                  <c:v>-11.410629830900133</c:v>
                </c:pt>
                <c:pt idx="680">
                  <c:v>-4.540932020553317</c:v>
                </c:pt>
                <c:pt idx="681">
                  <c:v>-14.607054036689746</c:v>
                </c:pt>
                <c:pt idx="682">
                  <c:v>-11.076976533863954</c:v>
                </c:pt>
                <c:pt idx="683">
                  <c:v>-13.27053292763194</c:v>
                </c:pt>
                <c:pt idx="684">
                  <c:v>-15.309104172708199</c:v>
                </c:pt>
                <c:pt idx="685">
                  <c:v>-11.469231627358633</c:v>
                </c:pt>
                <c:pt idx="686">
                  <c:v>-8.6048739638605163</c:v>
                </c:pt>
                <c:pt idx="687">
                  <c:v>-12.95315435395479</c:v>
                </c:pt>
                <c:pt idx="688">
                  <c:v>-11.809152331165018</c:v>
                </c:pt>
                <c:pt idx="689">
                  <c:v>-7.4610639892110875</c:v>
                </c:pt>
                <c:pt idx="690">
                  <c:v>-9.65917286589805</c:v>
                </c:pt>
                <c:pt idx="691">
                  <c:v>-12.408369179867694</c:v>
                </c:pt>
                <c:pt idx="692">
                  <c:v>-11.321047601898183</c:v>
                </c:pt>
                <c:pt idx="693">
                  <c:v>-17.64057546056458</c:v>
                </c:pt>
                <c:pt idx="694">
                  <c:v>-11.534370500505631</c:v>
                </c:pt>
                <c:pt idx="695">
                  <c:v>-12.908837889004076</c:v>
                </c:pt>
                <c:pt idx="696">
                  <c:v>-13.856386945298704</c:v>
                </c:pt>
                <c:pt idx="697">
                  <c:v>-8.7659410535723232</c:v>
                </c:pt>
                <c:pt idx="698">
                  <c:v>-2.1620494476106202</c:v>
                </c:pt>
                <c:pt idx="699">
                  <c:v>-12.526850837302122</c:v>
                </c:pt>
                <c:pt idx="700">
                  <c:v>-10.802578576654533</c:v>
                </c:pt>
                <c:pt idx="701">
                  <c:v>-9.5973057516642797</c:v>
                </c:pt>
                <c:pt idx="702">
                  <c:v>-14.810420175955421</c:v>
                </c:pt>
                <c:pt idx="703">
                  <c:v>-8.7764637476893128</c:v>
                </c:pt>
                <c:pt idx="704">
                  <c:v>-16.17492352367001</c:v>
                </c:pt>
                <c:pt idx="705">
                  <c:v>-6.3334702452012372</c:v>
                </c:pt>
                <c:pt idx="706">
                  <c:v>-10.470408019113986</c:v>
                </c:pt>
                <c:pt idx="707">
                  <c:v>-5.6198591479451165</c:v>
                </c:pt>
                <c:pt idx="708">
                  <c:v>-14.177813805400195</c:v>
                </c:pt>
                <c:pt idx="709">
                  <c:v>-17.113476310558212</c:v>
                </c:pt>
                <c:pt idx="710">
                  <c:v>-8.8092442001106885</c:v>
                </c:pt>
                <c:pt idx="711">
                  <c:v>-10.333038115357658</c:v>
                </c:pt>
                <c:pt idx="712">
                  <c:v>-18.093535668787066</c:v>
                </c:pt>
                <c:pt idx="713">
                  <c:v>-14.872403017521476</c:v>
                </c:pt>
                <c:pt idx="714">
                  <c:v>-7.5276021403253024</c:v>
                </c:pt>
                <c:pt idx="715">
                  <c:v>-12.597928419751401</c:v>
                </c:pt>
                <c:pt idx="716">
                  <c:v>-12.435766997250589</c:v>
                </c:pt>
                <c:pt idx="717">
                  <c:v>-9.3523125031673686</c:v>
                </c:pt>
                <c:pt idx="718">
                  <c:v>-6.1101952282054768</c:v>
                </c:pt>
                <c:pt idx="719">
                  <c:v>-15.328135250246337</c:v>
                </c:pt>
                <c:pt idx="720">
                  <c:v>-15.61013158174163</c:v>
                </c:pt>
                <c:pt idx="721">
                  <c:v>-16.041520279433946</c:v>
                </c:pt>
                <c:pt idx="722">
                  <c:v>-12.953909298994187</c:v>
                </c:pt>
                <c:pt idx="723">
                  <c:v>-12.428089133155545</c:v>
                </c:pt>
                <c:pt idx="724">
                  <c:v>-10.800724701523684</c:v>
                </c:pt>
                <c:pt idx="725">
                  <c:v>-8.4198680883826338</c:v>
                </c:pt>
                <c:pt idx="726">
                  <c:v>-6.1552137428407789</c:v>
                </c:pt>
                <c:pt idx="727">
                  <c:v>-11.667176720210271</c:v>
                </c:pt>
                <c:pt idx="728">
                  <c:v>-11.745089765066846</c:v>
                </c:pt>
                <c:pt idx="729">
                  <c:v>-7.7720013879861778</c:v>
                </c:pt>
                <c:pt idx="730">
                  <c:v>-8.936175340660899</c:v>
                </c:pt>
                <c:pt idx="731">
                  <c:v>-11.61732049679831</c:v>
                </c:pt>
                <c:pt idx="732">
                  <c:v>-16.219064556234414</c:v>
                </c:pt>
                <c:pt idx="733">
                  <c:v>-15.841108288581259</c:v>
                </c:pt>
                <c:pt idx="734">
                  <c:v>-16.28033754657033</c:v>
                </c:pt>
                <c:pt idx="735">
                  <c:v>-10.963787266323109</c:v>
                </c:pt>
                <c:pt idx="736">
                  <c:v>-11.931607339681568</c:v>
                </c:pt>
                <c:pt idx="737">
                  <c:v>-13.455242147958726</c:v>
                </c:pt>
                <c:pt idx="738">
                  <c:v>-14.558319163655954</c:v>
                </c:pt>
                <c:pt idx="739">
                  <c:v>-11.434256972699188</c:v>
                </c:pt>
                <c:pt idx="740">
                  <c:v>-8.4588606906802237</c:v>
                </c:pt>
                <c:pt idx="741">
                  <c:v>-8.0828787396601829</c:v>
                </c:pt>
                <c:pt idx="742">
                  <c:v>-12.635768149171666</c:v>
                </c:pt>
                <c:pt idx="743">
                  <c:v>-11.950132554408299</c:v>
                </c:pt>
                <c:pt idx="744">
                  <c:v>-15.791792643007753</c:v>
                </c:pt>
                <c:pt idx="745">
                  <c:v>-15.468122847419128</c:v>
                </c:pt>
                <c:pt idx="746">
                  <c:v>-17.572067141464174</c:v>
                </c:pt>
                <c:pt idx="747">
                  <c:v>-10.074768742873449</c:v>
                </c:pt>
                <c:pt idx="748">
                  <c:v>-11.244991317900505</c:v>
                </c:pt>
                <c:pt idx="749">
                  <c:v>-16.827691431564823</c:v>
                </c:pt>
                <c:pt idx="750">
                  <c:v>-18.014410941825304</c:v>
                </c:pt>
                <c:pt idx="751">
                  <c:v>-15.704257329693679</c:v>
                </c:pt>
                <c:pt idx="752">
                  <c:v>-12.922663269585039</c:v>
                </c:pt>
                <c:pt idx="753">
                  <c:v>-12.25052366199343</c:v>
                </c:pt>
                <c:pt idx="754">
                  <c:v>-8.67377090434473</c:v>
                </c:pt>
                <c:pt idx="755">
                  <c:v>-8.0101476570021148</c:v>
                </c:pt>
                <c:pt idx="756">
                  <c:v>-11.642945484931065</c:v>
                </c:pt>
                <c:pt idx="757">
                  <c:v>-8.1391100833429082</c:v>
                </c:pt>
                <c:pt idx="758">
                  <c:v>-12.424715085826691</c:v>
                </c:pt>
                <c:pt idx="759">
                  <c:v>-2.3741933839646046</c:v>
                </c:pt>
                <c:pt idx="760">
                  <c:v>-6.6462781076865394</c:v>
                </c:pt>
                <c:pt idx="761">
                  <c:v>-7.5419313576826186</c:v>
                </c:pt>
                <c:pt idx="762">
                  <c:v>-10.956820788366697</c:v>
                </c:pt>
                <c:pt idx="763">
                  <c:v>-19.051867486159583</c:v>
                </c:pt>
                <c:pt idx="764">
                  <c:v>-12.506078724764755</c:v>
                </c:pt>
                <c:pt idx="765">
                  <c:v>-15.20036762367717</c:v>
                </c:pt>
                <c:pt idx="766">
                  <c:v>-12.902125154026677</c:v>
                </c:pt>
                <c:pt idx="767">
                  <c:v>-9.5409356430982033</c:v>
                </c:pt>
                <c:pt idx="768">
                  <c:v>-12.499575844839338</c:v>
                </c:pt>
                <c:pt idx="769">
                  <c:v>-17.293416060031607</c:v>
                </c:pt>
                <c:pt idx="770">
                  <c:v>-17.376087969004971</c:v>
                </c:pt>
                <c:pt idx="771">
                  <c:v>-4.9449822595349762</c:v>
                </c:pt>
                <c:pt idx="772">
                  <c:v>-17.612247443463726</c:v>
                </c:pt>
                <c:pt idx="773">
                  <c:v>-9.5163510140819678</c:v>
                </c:pt>
                <c:pt idx="774">
                  <c:v>-12.446698240231893</c:v>
                </c:pt>
                <c:pt idx="775">
                  <c:v>-12.735050770651984</c:v>
                </c:pt>
                <c:pt idx="776">
                  <c:v>-18.284288648475787</c:v>
                </c:pt>
                <c:pt idx="777">
                  <c:v>-12.065939874662948</c:v>
                </c:pt>
                <c:pt idx="778">
                  <c:v>-17.512272052446171</c:v>
                </c:pt>
                <c:pt idx="779">
                  <c:v>-6.1200769673239943</c:v>
                </c:pt>
                <c:pt idx="780">
                  <c:v>-4.0062344601899094</c:v>
                </c:pt>
                <c:pt idx="781">
                  <c:v>-13.525592508700193</c:v>
                </c:pt>
                <c:pt idx="782">
                  <c:v>-6.3248266049670807</c:v>
                </c:pt>
                <c:pt idx="783">
                  <c:v>-17.748974224731505</c:v>
                </c:pt>
                <c:pt idx="784">
                  <c:v>-12.343188908420244</c:v>
                </c:pt>
                <c:pt idx="785">
                  <c:v>-7.0313224794486029</c:v>
                </c:pt>
                <c:pt idx="786">
                  <c:v>-17.683883323260321</c:v>
                </c:pt>
                <c:pt idx="787">
                  <c:v>-12.168813309128858</c:v>
                </c:pt>
                <c:pt idx="788">
                  <c:v>-17.245126706953883</c:v>
                </c:pt>
                <c:pt idx="789">
                  <c:v>-10.300718526604976</c:v>
                </c:pt>
                <c:pt idx="790">
                  <c:v>-18.391271305167884</c:v>
                </c:pt>
                <c:pt idx="791">
                  <c:v>-20.165928431756363</c:v>
                </c:pt>
                <c:pt idx="792">
                  <c:v>-12.866350316019373</c:v>
                </c:pt>
                <c:pt idx="793">
                  <c:v>-18.066519126201563</c:v>
                </c:pt>
                <c:pt idx="794">
                  <c:v>-19.421207901378558</c:v>
                </c:pt>
                <c:pt idx="795">
                  <c:v>-12.000950712526926</c:v>
                </c:pt>
                <c:pt idx="796">
                  <c:v>-7.8307398699912891</c:v>
                </c:pt>
                <c:pt idx="797">
                  <c:v>-13.50172136489355</c:v>
                </c:pt>
                <c:pt idx="798">
                  <c:v>-13.337603934030724</c:v>
                </c:pt>
                <c:pt idx="799">
                  <c:v>-7.5146714827180148</c:v>
                </c:pt>
                <c:pt idx="800">
                  <c:v>-16.105789323092758</c:v>
                </c:pt>
                <c:pt idx="801">
                  <c:v>-7.1956677111160818</c:v>
                </c:pt>
                <c:pt idx="802">
                  <c:v>-17.91328801825447</c:v>
                </c:pt>
                <c:pt idx="803">
                  <c:v>-17.79046932647082</c:v>
                </c:pt>
                <c:pt idx="804">
                  <c:v>-17.07085200418841</c:v>
                </c:pt>
                <c:pt idx="805">
                  <c:v>-22.270654753151533</c:v>
                </c:pt>
                <c:pt idx="806">
                  <c:v>-6.3668828580346242</c:v>
                </c:pt>
                <c:pt idx="807">
                  <c:v>-9.0536275358231961</c:v>
                </c:pt>
                <c:pt idx="808">
                  <c:v>-11.745080941354754</c:v>
                </c:pt>
                <c:pt idx="809">
                  <c:v>-3.2180013706081896</c:v>
                </c:pt>
                <c:pt idx="810">
                  <c:v>-14.327343657195765</c:v>
                </c:pt>
                <c:pt idx="811">
                  <c:v>-11.920177100808793</c:v>
                </c:pt>
                <c:pt idx="812">
                  <c:v>-8.8609042943625376</c:v>
                </c:pt>
                <c:pt idx="813">
                  <c:v>-14.263222060589605</c:v>
                </c:pt>
                <c:pt idx="814">
                  <c:v>-7.6989148476950326</c:v>
                </c:pt>
                <c:pt idx="815">
                  <c:v>-8.1977732634385632</c:v>
                </c:pt>
                <c:pt idx="816">
                  <c:v>-4.4417605335724</c:v>
                </c:pt>
                <c:pt idx="817">
                  <c:v>-10.23214577686436</c:v>
                </c:pt>
                <c:pt idx="818">
                  <c:v>-17.576134294636706</c:v>
                </c:pt>
                <c:pt idx="819">
                  <c:v>-14.960953639467341</c:v>
                </c:pt>
                <c:pt idx="820">
                  <c:v>-15.188406883224737</c:v>
                </c:pt>
                <c:pt idx="821">
                  <c:v>-25.071055535338662</c:v>
                </c:pt>
                <c:pt idx="822">
                  <c:v>-3.4599389081546086</c:v>
                </c:pt>
                <c:pt idx="823">
                  <c:v>-9.141354062643245</c:v>
                </c:pt>
                <c:pt idx="824">
                  <c:v>-7.6913623974134548</c:v>
                </c:pt>
                <c:pt idx="825">
                  <c:v>-10.419966866524973</c:v>
                </c:pt>
                <c:pt idx="826">
                  <c:v>-14.824085837006063</c:v>
                </c:pt>
                <c:pt idx="827">
                  <c:v>-12.560101182403564</c:v>
                </c:pt>
                <c:pt idx="828">
                  <c:v>-5.5832671699357608</c:v>
                </c:pt>
                <c:pt idx="829">
                  <c:v>-11.319322404861939</c:v>
                </c:pt>
                <c:pt idx="830">
                  <c:v>-8.0345687666134751</c:v>
                </c:pt>
                <c:pt idx="831">
                  <c:v>-10.894251835733073</c:v>
                </c:pt>
                <c:pt idx="832">
                  <c:v>-16.25913751799882</c:v>
                </c:pt>
                <c:pt idx="833">
                  <c:v>-8.2967520011141929</c:v>
                </c:pt>
                <c:pt idx="834">
                  <c:v>-15.480859692863923</c:v>
                </c:pt>
                <c:pt idx="835">
                  <c:v>-3.6854991283727241</c:v>
                </c:pt>
                <c:pt idx="836">
                  <c:v>-11.648412988875767</c:v>
                </c:pt>
                <c:pt idx="837">
                  <c:v>-10.362532089770362</c:v>
                </c:pt>
                <c:pt idx="838">
                  <c:v>-19.736382738136776</c:v>
                </c:pt>
                <c:pt idx="839">
                  <c:v>-9.5098593093380508</c:v>
                </c:pt>
                <c:pt idx="840">
                  <c:v>-8.0927386724197383</c:v>
                </c:pt>
                <c:pt idx="841">
                  <c:v>-9.7116345827128434</c:v>
                </c:pt>
                <c:pt idx="842">
                  <c:v>-19.349872509958672</c:v>
                </c:pt>
                <c:pt idx="843">
                  <c:v>-14.26676606360574</c:v>
                </c:pt>
                <c:pt idx="844">
                  <c:v>-14.362606175798394</c:v>
                </c:pt>
                <c:pt idx="845">
                  <c:v>-7.1581459161947345</c:v>
                </c:pt>
                <c:pt idx="846">
                  <c:v>-8.1223729135353242</c:v>
                </c:pt>
                <c:pt idx="847">
                  <c:v>-5.0058905036591614</c:v>
                </c:pt>
                <c:pt idx="848">
                  <c:v>-11.80286420544603</c:v>
                </c:pt>
                <c:pt idx="849">
                  <c:v>-8.5439691141658063</c:v>
                </c:pt>
                <c:pt idx="850">
                  <c:v>-11.181573158169739</c:v>
                </c:pt>
                <c:pt idx="851">
                  <c:v>-9.8445958030391356</c:v>
                </c:pt>
                <c:pt idx="852">
                  <c:v>-11.106041256927478</c:v>
                </c:pt>
                <c:pt idx="853">
                  <c:v>-16.18928189784134</c:v>
                </c:pt>
                <c:pt idx="854">
                  <c:v>-16.823050002054089</c:v>
                </c:pt>
                <c:pt idx="855">
                  <c:v>-12.200734098162695</c:v>
                </c:pt>
                <c:pt idx="856">
                  <c:v>-13.45948544615959</c:v>
                </c:pt>
                <c:pt idx="857">
                  <c:v>-9.7925084530606856</c:v>
                </c:pt>
                <c:pt idx="858">
                  <c:v>-19.021780662524531</c:v>
                </c:pt>
                <c:pt idx="859">
                  <c:v>-10.427327030508305</c:v>
                </c:pt>
                <c:pt idx="860">
                  <c:v>-2.7828525607155825</c:v>
                </c:pt>
                <c:pt idx="861">
                  <c:v>4.1981898895470176</c:v>
                </c:pt>
                <c:pt idx="862">
                  <c:v>-7.2208120032367002</c:v>
                </c:pt>
                <c:pt idx="863">
                  <c:v>-14.078275978507328</c:v>
                </c:pt>
                <c:pt idx="864">
                  <c:v>-6.6884523407311525</c:v>
                </c:pt>
                <c:pt idx="865">
                  <c:v>-9.2817790928150572</c:v>
                </c:pt>
                <c:pt idx="866">
                  <c:v>-17.918207967491508</c:v>
                </c:pt>
                <c:pt idx="867">
                  <c:v>-10.069507740291233</c:v>
                </c:pt>
                <c:pt idx="868">
                  <c:v>-7.7956462653945753</c:v>
                </c:pt>
                <c:pt idx="869">
                  <c:v>-14.916877593866424</c:v>
                </c:pt>
                <c:pt idx="870">
                  <c:v>-16.174131865814914</c:v>
                </c:pt>
                <c:pt idx="871">
                  <c:v>-11.438861603206913</c:v>
                </c:pt>
                <c:pt idx="872">
                  <c:v>-25.350249311053481</c:v>
                </c:pt>
                <c:pt idx="873">
                  <c:v>-10.345485591524575</c:v>
                </c:pt>
                <c:pt idx="874">
                  <c:v>-6.0678410411395118</c:v>
                </c:pt>
                <c:pt idx="875">
                  <c:v>-18.782240862403441</c:v>
                </c:pt>
                <c:pt idx="876">
                  <c:v>-7.744159092754602</c:v>
                </c:pt>
                <c:pt idx="877">
                  <c:v>-10.477350646632816</c:v>
                </c:pt>
                <c:pt idx="878">
                  <c:v>-10.083191613016201</c:v>
                </c:pt>
                <c:pt idx="879">
                  <c:v>-8.6578426879484578</c:v>
                </c:pt>
                <c:pt idx="880">
                  <c:v>-20.485639592072648</c:v>
                </c:pt>
                <c:pt idx="881">
                  <c:v>-12.687596680322905</c:v>
                </c:pt>
                <c:pt idx="882">
                  <c:v>-13.787879343497897</c:v>
                </c:pt>
                <c:pt idx="883">
                  <c:v>-16.197402814913826</c:v>
                </c:pt>
                <c:pt idx="884">
                  <c:v>-13.993241881932125</c:v>
                </c:pt>
                <c:pt idx="885">
                  <c:v>-6.9588905343764011</c:v>
                </c:pt>
                <c:pt idx="886">
                  <c:v>-22.040063537491118</c:v>
                </c:pt>
                <c:pt idx="887">
                  <c:v>-5.7201968094035696</c:v>
                </c:pt>
                <c:pt idx="888">
                  <c:v>-12.211862286498512</c:v>
                </c:pt>
                <c:pt idx="889">
                  <c:v>-13.959622277145447</c:v>
                </c:pt>
                <c:pt idx="890">
                  <c:v>-11.920632919264824</c:v>
                </c:pt>
                <c:pt idx="891">
                  <c:v>-5.5365775536049329</c:v>
                </c:pt>
                <c:pt idx="892">
                  <c:v>-10.617846566810304</c:v>
                </c:pt>
                <c:pt idx="893">
                  <c:v>-14.216627613319373</c:v>
                </c:pt>
                <c:pt idx="894">
                  <c:v>-11.071545245198154</c:v>
                </c:pt>
                <c:pt idx="895">
                  <c:v>-8.7941720139035837</c:v>
                </c:pt>
                <c:pt idx="896">
                  <c:v>-17.195427804417331</c:v>
                </c:pt>
                <c:pt idx="897">
                  <c:v>-10.003774759545999</c:v>
                </c:pt>
                <c:pt idx="898">
                  <c:v>-10.35800843936002</c:v>
                </c:pt>
                <c:pt idx="899">
                  <c:v>-13.831479200747719</c:v>
                </c:pt>
                <c:pt idx="900">
                  <c:v>-13.156162074396354</c:v>
                </c:pt>
                <c:pt idx="901">
                  <c:v>-10.627988163575051</c:v>
                </c:pt>
                <c:pt idx="902">
                  <c:v>-17.031309723631804</c:v>
                </c:pt>
                <c:pt idx="903">
                  <c:v>-11.101701117623232</c:v>
                </c:pt>
                <c:pt idx="904">
                  <c:v>-8.494085654353583</c:v>
                </c:pt>
                <c:pt idx="905">
                  <c:v>-6.6646838438565528</c:v>
                </c:pt>
                <c:pt idx="906">
                  <c:v>-13.348048039072332</c:v>
                </c:pt>
                <c:pt idx="907">
                  <c:v>-16.414248370147732</c:v>
                </c:pt>
                <c:pt idx="908">
                  <c:v>-21.74560152600267</c:v>
                </c:pt>
                <c:pt idx="909">
                  <c:v>-15.427462623605244</c:v>
                </c:pt>
                <c:pt idx="910">
                  <c:v>-11.642123528269584</c:v>
                </c:pt>
                <c:pt idx="911">
                  <c:v>-9.3589855876027048</c:v>
                </c:pt>
                <c:pt idx="912">
                  <c:v>-14.326385236560142</c:v>
                </c:pt>
                <c:pt idx="913">
                  <c:v>-7.9952571267761936</c:v>
                </c:pt>
                <c:pt idx="914">
                  <c:v>-15.263436922115565</c:v>
                </c:pt>
                <c:pt idx="915">
                  <c:v>-8.7241791690653443</c:v>
                </c:pt>
                <c:pt idx="916">
                  <c:v>-8.2818583492840716</c:v>
                </c:pt>
                <c:pt idx="917">
                  <c:v>-13.979831685937166</c:v>
                </c:pt>
                <c:pt idx="918">
                  <c:v>-16.756730532551856</c:v>
                </c:pt>
                <c:pt idx="919">
                  <c:v>-22.117821343837409</c:v>
                </c:pt>
                <c:pt idx="920">
                  <c:v>-11.537000751205916</c:v>
                </c:pt>
                <c:pt idx="921">
                  <c:v>-10.552944767172521</c:v>
                </c:pt>
                <c:pt idx="922">
                  <c:v>-15.617060204741154</c:v>
                </c:pt>
                <c:pt idx="923">
                  <c:v>-14.282787951296168</c:v>
                </c:pt>
                <c:pt idx="924">
                  <c:v>-14.119879828646074</c:v>
                </c:pt>
                <c:pt idx="925">
                  <c:v>-16.284860096280479</c:v>
                </c:pt>
                <c:pt idx="926">
                  <c:v>-13.211095389826344</c:v>
                </c:pt>
                <c:pt idx="927">
                  <c:v>-16.144478517037207</c:v>
                </c:pt>
                <c:pt idx="928">
                  <c:v>-6.1472867483880371</c:v>
                </c:pt>
                <c:pt idx="929">
                  <c:v>-13.643792991813685</c:v>
                </c:pt>
                <c:pt idx="930">
                  <c:v>-12.729159121856856</c:v>
                </c:pt>
                <c:pt idx="931">
                  <c:v>-13.961744634143528</c:v>
                </c:pt>
                <c:pt idx="932">
                  <c:v>-7.1900591806644423</c:v>
                </c:pt>
                <c:pt idx="933">
                  <c:v>-3.4416109397168881</c:v>
                </c:pt>
                <c:pt idx="934">
                  <c:v>-2.5666932318995892</c:v>
                </c:pt>
                <c:pt idx="935">
                  <c:v>-19.437590700383474</c:v>
                </c:pt>
                <c:pt idx="936">
                  <c:v>-8.760404338426298</c:v>
                </c:pt>
                <c:pt idx="937">
                  <c:v>-16.45000173185251</c:v>
                </c:pt>
                <c:pt idx="938">
                  <c:v>-16.875059054666348</c:v>
                </c:pt>
                <c:pt idx="939">
                  <c:v>-12.647170046211718</c:v>
                </c:pt>
                <c:pt idx="940">
                  <c:v>-11.601630160529105</c:v>
                </c:pt>
                <c:pt idx="941">
                  <c:v>-16.025645111685726</c:v>
                </c:pt>
                <c:pt idx="942">
                  <c:v>-16.589548045988774</c:v>
                </c:pt>
                <c:pt idx="943">
                  <c:v>-9.7192764799735638</c:v>
                </c:pt>
                <c:pt idx="944">
                  <c:v>-13.726048734772503</c:v>
                </c:pt>
                <c:pt idx="945">
                  <c:v>-18.586347256311541</c:v>
                </c:pt>
                <c:pt idx="946">
                  <c:v>-10.410373517791511</c:v>
                </c:pt>
                <c:pt idx="947">
                  <c:v>-11.038113327895505</c:v>
                </c:pt>
                <c:pt idx="948">
                  <c:v>-11.290258630284935</c:v>
                </c:pt>
                <c:pt idx="949">
                  <c:v>-7.8299113368059139</c:v>
                </c:pt>
                <c:pt idx="950">
                  <c:v>-7.0163580234782561</c:v>
                </c:pt>
                <c:pt idx="951">
                  <c:v>-18.489983178144538</c:v>
                </c:pt>
                <c:pt idx="952">
                  <c:v>-14.910657626193974</c:v>
                </c:pt>
                <c:pt idx="953">
                  <c:v>-6.3603953782638367</c:v>
                </c:pt>
                <c:pt idx="954">
                  <c:v>-10.287611194581892</c:v>
                </c:pt>
                <c:pt idx="955">
                  <c:v>-8.0952413997568211</c:v>
                </c:pt>
                <c:pt idx="956">
                  <c:v>-11.828191265554121</c:v>
                </c:pt>
                <c:pt idx="957">
                  <c:v>-12.904325545288872</c:v>
                </c:pt>
                <c:pt idx="958">
                  <c:v>-8.8336051846386514</c:v>
                </c:pt>
                <c:pt idx="959">
                  <c:v>-8.6180921919306677</c:v>
                </c:pt>
                <c:pt idx="960">
                  <c:v>-16.777254281520232</c:v>
                </c:pt>
                <c:pt idx="961">
                  <c:v>-11.580165571470465</c:v>
                </c:pt>
                <c:pt idx="962">
                  <c:v>-13.31716483526076</c:v>
                </c:pt>
                <c:pt idx="963">
                  <c:v>-6.7230524694700105</c:v>
                </c:pt>
                <c:pt idx="964">
                  <c:v>-8.9720217021814666</c:v>
                </c:pt>
                <c:pt idx="965">
                  <c:v>-15.945937783270722</c:v>
                </c:pt>
                <c:pt idx="966">
                  <c:v>-11.556842700344168</c:v>
                </c:pt>
                <c:pt idx="967">
                  <c:v>-18.036632281514741</c:v>
                </c:pt>
                <c:pt idx="968">
                  <c:v>-5.3054533730129414</c:v>
                </c:pt>
                <c:pt idx="969">
                  <c:v>-20.420700136383225</c:v>
                </c:pt>
                <c:pt idx="970">
                  <c:v>-17.934268019505417</c:v>
                </c:pt>
                <c:pt idx="971">
                  <c:v>-12.953180048025761</c:v>
                </c:pt>
                <c:pt idx="972">
                  <c:v>-10.401024244468339</c:v>
                </c:pt>
                <c:pt idx="973">
                  <c:v>-10.693801203611981</c:v>
                </c:pt>
                <c:pt idx="974">
                  <c:v>-12.177995308984487</c:v>
                </c:pt>
                <c:pt idx="975">
                  <c:v>-8.6836043626168582</c:v>
                </c:pt>
                <c:pt idx="976">
                  <c:v>-10.400684858241938</c:v>
                </c:pt>
                <c:pt idx="977">
                  <c:v>-8.7241202501936357</c:v>
                </c:pt>
                <c:pt idx="978">
                  <c:v>-8.4276891231212296</c:v>
                </c:pt>
                <c:pt idx="979">
                  <c:v>-16.934951167627403</c:v>
                </c:pt>
                <c:pt idx="980">
                  <c:v>-15.944329867405402</c:v>
                </c:pt>
                <c:pt idx="981">
                  <c:v>-9.4575022480874367</c:v>
                </c:pt>
                <c:pt idx="982">
                  <c:v>-11.323939027657039</c:v>
                </c:pt>
                <c:pt idx="983">
                  <c:v>-10.668830232075713</c:v>
                </c:pt>
                <c:pt idx="984">
                  <c:v>-17.168665924111163</c:v>
                </c:pt>
                <c:pt idx="985">
                  <c:v>-17.725266909382178</c:v>
                </c:pt>
                <c:pt idx="986">
                  <c:v>-7.603298061007365</c:v>
                </c:pt>
                <c:pt idx="987">
                  <c:v>-13.602886146419253</c:v>
                </c:pt>
                <c:pt idx="988">
                  <c:v>-3.3660560468610239</c:v>
                </c:pt>
                <c:pt idx="989">
                  <c:v>-9.4341420759965153</c:v>
                </c:pt>
                <c:pt idx="990">
                  <c:v>-4.4617575626327035</c:v>
                </c:pt>
                <c:pt idx="991">
                  <c:v>-10.781831697730917</c:v>
                </c:pt>
                <c:pt idx="992">
                  <c:v>-14.771425124841805</c:v>
                </c:pt>
                <c:pt idx="993">
                  <c:v>-19.914796221750336</c:v>
                </c:pt>
                <c:pt idx="994">
                  <c:v>-6.7086306834644081</c:v>
                </c:pt>
                <c:pt idx="995">
                  <c:v>-7.5036812000673772</c:v>
                </c:pt>
                <c:pt idx="996">
                  <c:v>-16.584495562364982</c:v>
                </c:pt>
                <c:pt idx="997">
                  <c:v>-7.8205469245252042</c:v>
                </c:pt>
                <c:pt idx="998">
                  <c:v>-11.025952153048401</c:v>
                </c:pt>
                <c:pt idx="999">
                  <c:v>-13.105997260725772</c:v>
                </c:pt>
              </c:numCache>
            </c:numRef>
          </c:xVal>
          <c:yVal>
            <c:numRef>
              <c:f>PSA_Results!$H$40:$H$1039</c:f>
              <c:numCache>
                <c:formatCode>General</c:formatCode>
                <c:ptCount val="1000"/>
                <c:pt idx="0">
                  <c:v>3983.8141895657209</c:v>
                </c:pt>
                <c:pt idx="1">
                  <c:v>-1349.946882452301</c:v>
                </c:pt>
                <c:pt idx="2">
                  <c:v>-5000.1446001680397</c:v>
                </c:pt>
                <c:pt idx="3">
                  <c:v>-1596.4730696276783</c:v>
                </c:pt>
                <c:pt idx="4">
                  <c:v>1408.7159886142945</c:v>
                </c:pt>
                <c:pt idx="5">
                  <c:v>6736.0487711358983</c:v>
                </c:pt>
                <c:pt idx="6">
                  <c:v>10983.905561050746</c:v>
                </c:pt>
                <c:pt idx="7">
                  <c:v>-4550.1498444397894</c:v>
                </c:pt>
                <c:pt idx="8">
                  <c:v>-1193.8488498514962</c:v>
                </c:pt>
                <c:pt idx="9">
                  <c:v>8729.6045574291602</c:v>
                </c:pt>
                <c:pt idx="10">
                  <c:v>2331.8271727361025</c:v>
                </c:pt>
                <c:pt idx="11">
                  <c:v>-1572.4401296372962</c:v>
                </c:pt>
                <c:pt idx="12">
                  <c:v>-1639.2903283596406</c:v>
                </c:pt>
                <c:pt idx="13">
                  <c:v>-1508.5483504998883</c:v>
                </c:pt>
                <c:pt idx="14">
                  <c:v>-174.3453713627041</c:v>
                </c:pt>
                <c:pt idx="15">
                  <c:v>-1078.1038587247913</c:v>
                </c:pt>
                <c:pt idx="16">
                  <c:v>-13901.906221743819</c:v>
                </c:pt>
                <c:pt idx="17">
                  <c:v>4953.6324313717614</c:v>
                </c:pt>
                <c:pt idx="18">
                  <c:v>-3846.0444423673453</c:v>
                </c:pt>
                <c:pt idx="19">
                  <c:v>613.44736401302725</c:v>
                </c:pt>
                <c:pt idx="20">
                  <c:v>9813.371715432866</c:v>
                </c:pt>
                <c:pt idx="21">
                  <c:v>-3579.8123426979</c:v>
                </c:pt>
                <c:pt idx="22">
                  <c:v>6399.3462930465739</c:v>
                </c:pt>
                <c:pt idx="23">
                  <c:v>2133.1919286596349</c:v>
                </c:pt>
                <c:pt idx="24">
                  <c:v>754.95888597678277</c:v>
                </c:pt>
                <c:pt idx="25">
                  <c:v>11224.135453002786</c:v>
                </c:pt>
                <c:pt idx="26">
                  <c:v>-5721.2617283487107</c:v>
                </c:pt>
                <c:pt idx="27">
                  <c:v>1088.0880792134703</c:v>
                </c:pt>
                <c:pt idx="28">
                  <c:v>5786.2190039743891</c:v>
                </c:pt>
                <c:pt idx="29">
                  <c:v>2807.4794629181815</c:v>
                </c:pt>
                <c:pt idx="30">
                  <c:v>1999.7935685136254</c:v>
                </c:pt>
                <c:pt idx="31">
                  <c:v>802.58846756745697</c:v>
                </c:pt>
                <c:pt idx="32">
                  <c:v>1278.8711566362708</c:v>
                </c:pt>
                <c:pt idx="33">
                  <c:v>-4678.2855869232626</c:v>
                </c:pt>
                <c:pt idx="34">
                  <c:v>890.88925997293882</c:v>
                </c:pt>
                <c:pt idx="35">
                  <c:v>358.70716115694449</c:v>
                </c:pt>
                <c:pt idx="36">
                  <c:v>2951.3785628326332</c:v>
                </c:pt>
                <c:pt idx="37">
                  <c:v>11189.870728319736</c:v>
                </c:pt>
                <c:pt idx="38">
                  <c:v>-9673.2838197186647</c:v>
                </c:pt>
                <c:pt idx="39">
                  <c:v>-5711.6824707580527</c:v>
                </c:pt>
                <c:pt idx="40">
                  <c:v>-1703.7781729466551</c:v>
                </c:pt>
                <c:pt idx="41">
                  <c:v>-8159.4140286011516</c:v>
                </c:pt>
                <c:pt idx="42">
                  <c:v>-507.01693389988941</c:v>
                </c:pt>
                <c:pt idx="43">
                  <c:v>-1687.5622850496784</c:v>
                </c:pt>
                <c:pt idx="44">
                  <c:v>-2876.0165321378317</c:v>
                </c:pt>
                <c:pt idx="45">
                  <c:v>1396.2755269875124</c:v>
                </c:pt>
                <c:pt idx="46">
                  <c:v>10545.948321710897</c:v>
                </c:pt>
                <c:pt idx="47">
                  <c:v>-1869.907837754803</c:v>
                </c:pt>
                <c:pt idx="48">
                  <c:v>2689.1018734331064</c:v>
                </c:pt>
                <c:pt idx="49">
                  <c:v>15939.744680865999</c:v>
                </c:pt>
                <c:pt idx="50">
                  <c:v>-6454.1130466765935</c:v>
                </c:pt>
                <c:pt idx="51">
                  <c:v>3792.2286054558481</c:v>
                </c:pt>
                <c:pt idx="52">
                  <c:v>-7721.2072261077046</c:v>
                </c:pt>
                <c:pt idx="53">
                  <c:v>-2857.0386748393103</c:v>
                </c:pt>
                <c:pt idx="54">
                  <c:v>4453.2031078577529</c:v>
                </c:pt>
                <c:pt idx="55">
                  <c:v>294.5335352285565</c:v>
                </c:pt>
                <c:pt idx="56">
                  <c:v>4150.3171621173351</c:v>
                </c:pt>
                <c:pt idx="57">
                  <c:v>2205.6877579679276</c:v>
                </c:pt>
                <c:pt idx="58">
                  <c:v>6729.3195211181628</c:v>
                </c:pt>
                <c:pt idx="59">
                  <c:v>-5186.6633092793145</c:v>
                </c:pt>
                <c:pt idx="60">
                  <c:v>-3375.9130009724649</c:v>
                </c:pt>
                <c:pt idx="61">
                  <c:v>5640.224399945615</c:v>
                </c:pt>
                <c:pt idx="62">
                  <c:v>-3389.7001471925487</c:v>
                </c:pt>
                <c:pt idx="63">
                  <c:v>2071.7870359596145</c:v>
                </c:pt>
                <c:pt idx="64">
                  <c:v>2703.9953902883062</c:v>
                </c:pt>
                <c:pt idx="65">
                  <c:v>1931.8320664063231</c:v>
                </c:pt>
                <c:pt idx="66">
                  <c:v>4448.2891455423724</c:v>
                </c:pt>
                <c:pt idx="67">
                  <c:v>5959.6720468140884</c:v>
                </c:pt>
                <c:pt idx="68">
                  <c:v>1771.4701346942984</c:v>
                </c:pt>
                <c:pt idx="69">
                  <c:v>529.83880993929233</c:v>
                </c:pt>
                <c:pt idx="70">
                  <c:v>88.652090653642517</c:v>
                </c:pt>
                <c:pt idx="71">
                  <c:v>4037.6375449097559</c:v>
                </c:pt>
                <c:pt idx="72">
                  <c:v>5791.8175075656782</c:v>
                </c:pt>
                <c:pt idx="73">
                  <c:v>-899.45102476459397</c:v>
                </c:pt>
                <c:pt idx="74">
                  <c:v>-5839.739397768928</c:v>
                </c:pt>
                <c:pt idx="75">
                  <c:v>-5413.6140419474632</c:v>
                </c:pt>
                <c:pt idx="76">
                  <c:v>804.22957650115131</c:v>
                </c:pt>
                <c:pt idx="77">
                  <c:v>4256.1774096065128</c:v>
                </c:pt>
                <c:pt idx="78">
                  <c:v>-8565.6684026792391</c:v>
                </c:pt>
                <c:pt idx="79">
                  <c:v>12003.938933048763</c:v>
                </c:pt>
                <c:pt idx="80">
                  <c:v>-2543.7695388445463</c:v>
                </c:pt>
                <c:pt idx="81">
                  <c:v>566.02330474820883</c:v>
                </c:pt>
                <c:pt idx="82">
                  <c:v>7732.164510640665</c:v>
                </c:pt>
                <c:pt idx="83">
                  <c:v>-90.796461253796224</c:v>
                </c:pt>
                <c:pt idx="84">
                  <c:v>8024.7756668463971</c:v>
                </c:pt>
                <c:pt idx="85">
                  <c:v>2673.9402482348141</c:v>
                </c:pt>
                <c:pt idx="86">
                  <c:v>4805.9314534798286</c:v>
                </c:pt>
                <c:pt idx="87">
                  <c:v>11777.228398952802</c:v>
                </c:pt>
                <c:pt idx="88">
                  <c:v>-589.25994137375528</c:v>
                </c:pt>
                <c:pt idx="89">
                  <c:v>-4327.11360933381</c:v>
                </c:pt>
                <c:pt idx="90">
                  <c:v>-1424.5695325259421</c:v>
                </c:pt>
                <c:pt idx="91">
                  <c:v>16554.449642407599</c:v>
                </c:pt>
                <c:pt idx="92">
                  <c:v>3879.0531810602188</c:v>
                </c:pt>
                <c:pt idx="93">
                  <c:v>870.46143954832223</c:v>
                </c:pt>
                <c:pt idx="94">
                  <c:v>-5822.3685438955981</c:v>
                </c:pt>
                <c:pt idx="95">
                  <c:v>-8168.0667093630436</c:v>
                </c:pt>
                <c:pt idx="96">
                  <c:v>4149.4186008522538</c:v>
                </c:pt>
                <c:pt idx="97">
                  <c:v>-4934.6189586375349</c:v>
                </c:pt>
                <c:pt idx="98">
                  <c:v>5812.4092353276719</c:v>
                </c:pt>
                <c:pt idx="99">
                  <c:v>4477.5943039734575</c:v>
                </c:pt>
                <c:pt idx="100">
                  <c:v>-6492.2129997411794</c:v>
                </c:pt>
                <c:pt idx="101">
                  <c:v>2513.3540815552569</c:v>
                </c:pt>
                <c:pt idx="102">
                  <c:v>5473.8621393415051</c:v>
                </c:pt>
                <c:pt idx="103">
                  <c:v>-3293.5685810560681</c:v>
                </c:pt>
                <c:pt idx="104">
                  <c:v>-3103.9042411479459</c:v>
                </c:pt>
                <c:pt idx="105">
                  <c:v>3838.8153598164972</c:v>
                </c:pt>
                <c:pt idx="106">
                  <c:v>6190.0385082920293</c:v>
                </c:pt>
                <c:pt idx="107">
                  <c:v>383.39008343611567</c:v>
                </c:pt>
                <c:pt idx="108">
                  <c:v>-7067.6288209195736</c:v>
                </c:pt>
                <c:pt idx="109">
                  <c:v>179.86823512628325</c:v>
                </c:pt>
                <c:pt idx="110">
                  <c:v>1465.3148859524626</c:v>
                </c:pt>
                <c:pt idx="111">
                  <c:v>-3917.5457470085112</c:v>
                </c:pt>
                <c:pt idx="112">
                  <c:v>-4307.2436989030903</c:v>
                </c:pt>
                <c:pt idx="113">
                  <c:v>-9025.9320808445245</c:v>
                </c:pt>
                <c:pt idx="114">
                  <c:v>4552.5738631092554</c:v>
                </c:pt>
                <c:pt idx="115">
                  <c:v>660.64541846347129</c:v>
                </c:pt>
                <c:pt idx="116">
                  <c:v>2798.6671064729235</c:v>
                </c:pt>
                <c:pt idx="117">
                  <c:v>9326.7680732667413</c:v>
                </c:pt>
                <c:pt idx="118">
                  <c:v>-5829.6137433263175</c:v>
                </c:pt>
                <c:pt idx="119">
                  <c:v>11790.312878732233</c:v>
                </c:pt>
                <c:pt idx="120">
                  <c:v>4935.4335446981167</c:v>
                </c:pt>
                <c:pt idx="121">
                  <c:v>1696.4764400607019</c:v>
                </c:pt>
                <c:pt idx="122">
                  <c:v>-3967.6481345428947</c:v>
                </c:pt>
                <c:pt idx="123">
                  <c:v>1307.8217617604205</c:v>
                </c:pt>
                <c:pt idx="124">
                  <c:v>3255.5721802136286</c:v>
                </c:pt>
                <c:pt idx="125">
                  <c:v>4169.1982742615983</c:v>
                </c:pt>
                <c:pt idx="126">
                  <c:v>-6183.4687182786365</c:v>
                </c:pt>
                <c:pt idx="127">
                  <c:v>-3288.699905327403</c:v>
                </c:pt>
                <c:pt idx="128">
                  <c:v>3032.0620393019453</c:v>
                </c:pt>
                <c:pt idx="129">
                  <c:v>-690.82045575765369</c:v>
                </c:pt>
                <c:pt idx="130">
                  <c:v>-4029.2920593238814</c:v>
                </c:pt>
                <c:pt idx="131">
                  <c:v>5426.9521046370028</c:v>
                </c:pt>
                <c:pt idx="132">
                  <c:v>-943.08574552609207</c:v>
                </c:pt>
                <c:pt idx="133">
                  <c:v>2352.5183285035982</c:v>
                </c:pt>
                <c:pt idx="134">
                  <c:v>5525.4407180137678</c:v>
                </c:pt>
                <c:pt idx="135">
                  <c:v>13818.640167962914</c:v>
                </c:pt>
                <c:pt idx="136">
                  <c:v>2058.8508568759353</c:v>
                </c:pt>
                <c:pt idx="137">
                  <c:v>1510.8466790037128</c:v>
                </c:pt>
                <c:pt idx="138">
                  <c:v>-700.58109793632684</c:v>
                </c:pt>
                <c:pt idx="139">
                  <c:v>-10411.528572394576</c:v>
                </c:pt>
                <c:pt idx="140">
                  <c:v>3354.6295537323731</c:v>
                </c:pt>
                <c:pt idx="141">
                  <c:v>1368.8791527009562</c:v>
                </c:pt>
                <c:pt idx="142">
                  <c:v>4922.1632092105938</c:v>
                </c:pt>
                <c:pt idx="143">
                  <c:v>7534.0679073635238</c:v>
                </c:pt>
                <c:pt idx="144">
                  <c:v>3487.2601461298837</c:v>
                </c:pt>
                <c:pt idx="145">
                  <c:v>2714.1270924262426</c:v>
                </c:pt>
                <c:pt idx="146">
                  <c:v>755.70359472156815</c:v>
                </c:pt>
                <c:pt idx="147">
                  <c:v>-4322.6512991865784</c:v>
                </c:pt>
                <c:pt idx="148">
                  <c:v>717.44583186090131</c:v>
                </c:pt>
                <c:pt idx="149">
                  <c:v>-13984.1179251628</c:v>
                </c:pt>
                <c:pt idx="150">
                  <c:v>-6943.9261297938647</c:v>
                </c:pt>
                <c:pt idx="151">
                  <c:v>3316.2421381214499</c:v>
                </c:pt>
                <c:pt idx="152">
                  <c:v>-2264.6683183111054</c:v>
                </c:pt>
                <c:pt idx="153">
                  <c:v>7695.9440981572934</c:v>
                </c:pt>
                <c:pt idx="154">
                  <c:v>4415.8364755538514</c:v>
                </c:pt>
                <c:pt idx="155">
                  <c:v>766.62251593343353</c:v>
                </c:pt>
                <c:pt idx="156">
                  <c:v>-11781.756492546639</c:v>
                </c:pt>
                <c:pt idx="157">
                  <c:v>-534.67656790443652</c:v>
                </c:pt>
                <c:pt idx="158">
                  <c:v>9310.6232412309364</c:v>
                </c:pt>
                <c:pt idx="159">
                  <c:v>5319.3187886317301</c:v>
                </c:pt>
                <c:pt idx="160">
                  <c:v>4240.9576060351301</c:v>
                </c:pt>
                <c:pt idx="161">
                  <c:v>2680.4355013384375</c:v>
                </c:pt>
                <c:pt idx="162">
                  <c:v>2579.977560017116</c:v>
                </c:pt>
                <c:pt idx="163">
                  <c:v>-2079.9948825447827</c:v>
                </c:pt>
                <c:pt idx="164">
                  <c:v>4683.1959273231842</c:v>
                </c:pt>
                <c:pt idx="165">
                  <c:v>4009.951474546926</c:v>
                </c:pt>
                <c:pt idx="166">
                  <c:v>582.69980753465643</c:v>
                </c:pt>
                <c:pt idx="167">
                  <c:v>293.2310171905192</c:v>
                </c:pt>
                <c:pt idx="168">
                  <c:v>4325.3315116553058</c:v>
                </c:pt>
                <c:pt idx="169">
                  <c:v>-3754.2199040436972</c:v>
                </c:pt>
                <c:pt idx="170">
                  <c:v>-1812.106961519894</c:v>
                </c:pt>
                <c:pt idx="171">
                  <c:v>-2432.3844787471571</c:v>
                </c:pt>
                <c:pt idx="172">
                  <c:v>2747.6574866306291</c:v>
                </c:pt>
                <c:pt idx="173">
                  <c:v>-3052.3564354321825</c:v>
                </c:pt>
                <c:pt idx="174">
                  <c:v>-2736.5045689940416</c:v>
                </c:pt>
                <c:pt idx="175">
                  <c:v>5780.7614465523075</c:v>
                </c:pt>
                <c:pt idx="176">
                  <c:v>7329.1167336301078</c:v>
                </c:pt>
                <c:pt idx="177">
                  <c:v>4528.6181996852229</c:v>
                </c:pt>
                <c:pt idx="178">
                  <c:v>-2293.8032453160176</c:v>
                </c:pt>
                <c:pt idx="179">
                  <c:v>-4016.8694896644902</c:v>
                </c:pt>
                <c:pt idx="180">
                  <c:v>3936.9056014311991</c:v>
                </c:pt>
                <c:pt idx="181">
                  <c:v>5720.13127653232</c:v>
                </c:pt>
                <c:pt idx="182">
                  <c:v>3443.3070679754928</c:v>
                </c:pt>
                <c:pt idx="183">
                  <c:v>-1956.3479842679735</c:v>
                </c:pt>
                <c:pt idx="184">
                  <c:v>4689.17254824066</c:v>
                </c:pt>
                <c:pt idx="185">
                  <c:v>-5682.4958306049284</c:v>
                </c:pt>
                <c:pt idx="186">
                  <c:v>6778.390993606341</c:v>
                </c:pt>
                <c:pt idx="187">
                  <c:v>-4251.5313291042585</c:v>
                </c:pt>
                <c:pt idx="188">
                  <c:v>9196.8992342983129</c:v>
                </c:pt>
                <c:pt idx="189">
                  <c:v>-8872.0593343634137</c:v>
                </c:pt>
                <c:pt idx="190">
                  <c:v>15951.258147555713</c:v>
                </c:pt>
                <c:pt idx="191">
                  <c:v>2273.5261765020241</c:v>
                </c:pt>
                <c:pt idx="192">
                  <c:v>5698.8224979523602</c:v>
                </c:pt>
                <c:pt idx="193">
                  <c:v>-1765.8354331033206</c:v>
                </c:pt>
                <c:pt idx="194">
                  <c:v>27.204085151184699</c:v>
                </c:pt>
                <c:pt idx="195">
                  <c:v>-2288.359440964301</c:v>
                </c:pt>
                <c:pt idx="196">
                  <c:v>3090.5487862638911</c:v>
                </c:pt>
                <c:pt idx="197">
                  <c:v>1369.5128692625985</c:v>
                </c:pt>
                <c:pt idx="198">
                  <c:v>-4263.4706000840815</c:v>
                </c:pt>
                <c:pt idx="199">
                  <c:v>2160.4548251402593</c:v>
                </c:pt>
                <c:pt idx="200">
                  <c:v>-4575.7659177460209</c:v>
                </c:pt>
                <c:pt idx="201">
                  <c:v>-2148.0365001722348</c:v>
                </c:pt>
                <c:pt idx="202">
                  <c:v>6809.9824122981499</c:v>
                </c:pt>
                <c:pt idx="203">
                  <c:v>7024.7631067309921</c:v>
                </c:pt>
                <c:pt idx="204">
                  <c:v>2627.7852777174739</c:v>
                </c:pt>
                <c:pt idx="205">
                  <c:v>-8143.0583907176861</c:v>
                </c:pt>
                <c:pt idx="206">
                  <c:v>318.74952770922755</c:v>
                </c:pt>
                <c:pt idx="207">
                  <c:v>3485.1727840845451</c:v>
                </c:pt>
                <c:pt idx="208">
                  <c:v>-10779.447887832463</c:v>
                </c:pt>
                <c:pt idx="209">
                  <c:v>148.19818273800774</c:v>
                </c:pt>
                <c:pt idx="210">
                  <c:v>3280.1296840855084</c:v>
                </c:pt>
                <c:pt idx="211">
                  <c:v>3698.2956749457699</c:v>
                </c:pt>
                <c:pt idx="212">
                  <c:v>10637.189938029269</c:v>
                </c:pt>
                <c:pt idx="213">
                  <c:v>5562.297941291341</c:v>
                </c:pt>
                <c:pt idx="214">
                  <c:v>-2805.5830724566858</c:v>
                </c:pt>
                <c:pt idx="215">
                  <c:v>-7471.6649271319238</c:v>
                </c:pt>
                <c:pt idx="216">
                  <c:v>5177.5877376491771</c:v>
                </c:pt>
                <c:pt idx="217">
                  <c:v>-5754.4721459625925</c:v>
                </c:pt>
                <c:pt idx="218">
                  <c:v>2379.4362611591605</c:v>
                </c:pt>
                <c:pt idx="219">
                  <c:v>2560.2611535012093</c:v>
                </c:pt>
                <c:pt idx="220">
                  <c:v>4129.7698019548443</c:v>
                </c:pt>
                <c:pt idx="221">
                  <c:v>-946.74510133828153</c:v>
                </c:pt>
                <c:pt idx="222">
                  <c:v>-986.22272894773414</c:v>
                </c:pt>
                <c:pt idx="223">
                  <c:v>-738.59058000800724</c:v>
                </c:pt>
                <c:pt idx="224">
                  <c:v>652.87661581300745</c:v>
                </c:pt>
                <c:pt idx="225">
                  <c:v>4741.9704429595604</c:v>
                </c:pt>
                <c:pt idx="226">
                  <c:v>1302.1512631772603</c:v>
                </c:pt>
                <c:pt idx="227">
                  <c:v>-7909.0782379522952</c:v>
                </c:pt>
                <c:pt idx="228">
                  <c:v>-4604.1795898556084</c:v>
                </c:pt>
                <c:pt idx="229">
                  <c:v>-6581.478031543229</c:v>
                </c:pt>
                <c:pt idx="230">
                  <c:v>8364.7816210016663</c:v>
                </c:pt>
                <c:pt idx="231">
                  <c:v>1896.5814269571274</c:v>
                </c:pt>
                <c:pt idx="232">
                  <c:v>-5258.5523458542702</c:v>
                </c:pt>
                <c:pt idx="233">
                  <c:v>4580.3554392517308</c:v>
                </c:pt>
                <c:pt idx="234">
                  <c:v>7799.6076477346651</c:v>
                </c:pt>
                <c:pt idx="235">
                  <c:v>-2666.8834594492637</c:v>
                </c:pt>
                <c:pt idx="236">
                  <c:v>18049.192883484786</c:v>
                </c:pt>
                <c:pt idx="237">
                  <c:v>3025.0083991903157</c:v>
                </c:pt>
                <c:pt idx="238">
                  <c:v>1542.4799345770662</c:v>
                </c:pt>
                <c:pt idx="239">
                  <c:v>73.151813202308404</c:v>
                </c:pt>
                <c:pt idx="240">
                  <c:v>-9542.564802666795</c:v>
                </c:pt>
                <c:pt idx="241">
                  <c:v>5920.4814233129273</c:v>
                </c:pt>
                <c:pt idx="242">
                  <c:v>5412.7611087145451</c:v>
                </c:pt>
                <c:pt idx="243">
                  <c:v>-3083.494482441929</c:v>
                </c:pt>
                <c:pt idx="244">
                  <c:v>10550.470464359811</c:v>
                </c:pt>
                <c:pt idx="245">
                  <c:v>-11079.289694405194</c:v>
                </c:pt>
                <c:pt idx="246">
                  <c:v>-14168.699724372826</c:v>
                </c:pt>
                <c:pt idx="247">
                  <c:v>-3086.1370601950985</c:v>
                </c:pt>
                <c:pt idx="248">
                  <c:v>-6509.0568104161648</c:v>
                </c:pt>
                <c:pt idx="249">
                  <c:v>-9506.8170935581402</c:v>
                </c:pt>
                <c:pt idx="250">
                  <c:v>-1955.523150410052</c:v>
                </c:pt>
                <c:pt idx="251">
                  <c:v>-1627.1216905432066</c:v>
                </c:pt>
                <c:pt idx="252">
                  <c:v>2540.0744013344301</c:v>
                </c:pt>
                <c:pt idx="253">
                  <c:v>-1269.7908625435812</c:v>
                </c:pt>
                <c:pt idx="254">
                  <c:v>-3585.7705680166473</c:v>
                </c:pt>
                <c:pt idx="255">
                  <c:v>6309.5335343874704</c:v>
                </c:pt>
                <c:pt idx="256">
                  <c:v>8905.3765927654531</c:v>
                </c:pt>
                <c:pt idx="257">
                  <c:v>1849.5335717692924</c:v>
                </c:pt>
                <c:pt idx="258">
                  <c:v>4333.4639622159739</c:v>
                </c:pt>
                <c:pt idx="259">
                  <c:v>-59.618778263862623</c:v>
                </c:pt>
                <c:pt idx="260">
                  <c:v>769.62879432228328</c:v>
                </c:pt>
                <c:pt idx="261">
                  <c:v>-10708.660894942142</c:v>
                </c:pt>
                <c:pt idx="262">
                  <c:v>-1228.0529644058206</c:v>
                </c:pt>
                <c:pt idx="263">
                  <c:v>5635.4463713009882</c:v>
                </c:pt>
                <c:pt idx="264">
                  <c:v>3371.9887638099372</c:v>
                </c:pt>
                <c:pt idx="265">
                  <c:v>21322.658804947052</c:v>
                </c:pt>
                <c:pt idx="266">
                  <c:v>1442.930906877531</c:v>
                </c:pt>
                <c:pt idx="267">
                  <c:v>-3148.4703121357234</c:v>
                </c:pt>
                <c:pt idx="268">
                  <c:v>-2074.1969379830916</c:v>
                </c:pt>
                <c:pt idx="269">
                  <c:v>6428.1431204546898</c:v>
                </c:pt>
                <c:pt idx="270">
                  <c:v>920.57281587245961</c:v>
                </c:pt>
                <c:pt idx="271">
                  <c:v>72.645328312832135</c:v>
                </c:pt>
                <c:pt idx="272">
                  <c:v>-6168.5393173390257</c:v>
                </c:pt>
                <c:pt idx="273">
                  <c:v>7817.2035895301669</c:v>
                </c:pt>
                <c:pt idx="274">
                  <c:v>2219.8576360973148</c:v>
                </c:pt>
                <c:pt idx="275">
                  <c:v>-6098.1861126585372</c:v>
                </c:pt>
                <c:pt idx="276">
                  <c:v>11952.727206209591</c:v>
                </c:pt>
                <c:pt idx="277">
                  <c:v>-5565.3960779250647</c:v>
                </c:pt>
                <c:pt idx="278">
                  <c:v>6469.3661024688772</c:v>
                </c:pt>
                <c:pt idx="279">
                  <c:v>-5172.5691688725601</c:v>
                </c:pt>
                <c:pt idx="280">
                  <c:v>-2002.5810905880953</c:v>
                </c:pt>
                <c:pt idx="281">
                  <c:v>3942.7847334056005</c:v>
                </c:pt>
                <c:pt idx="282">
                  <c:v>5924.4096174634906</c:v>
                </c:pt>
                <c:pt idx="283">
                  <c:v>-2802.5473473069433</c:v>
                </c:pt>
                <c:pt idx="284">
                  <c:v>7986.9027487551903</c:v>
                </c:pt>
                <c:pt idx="285">
                  <c:v>-3007.2836254879767</c:v>
                </c:pt>
                <c:pt idx="286">
                  <c:v>-2782.1033525759976</c:v>
                </c:pt>
                <c:pt idx="287">
                  <c:v>1937.3849365410515</c:v>
                </c:pt>
                <c:pt idx="288">
                  <c:v>-7527.1098328293847</c:v>
                </c:pt>
                <c:pt idx="289">
                  <c:v>-1660.5690902534679</c:v>
                </c:pt>
                <c:pt idx="290">
                  <c:v>2295.2370438774415</c:v>
                </c:pt>
                <c:pt idx="291">
                  <c:v>1699.9904745992008</c:v>
                </c:pt>
                <c:pt idx="292">
                  <c:v>7913.6526353500667</c:v>
                </c:pt>
                <c:pt idx="293">
                  <c:v>-2224.7652505901624</c:v>
                </c:pt>
                <c:pt idx="294">
                  <c:v>-4985.1926599460876</c:v>
                </c:pt>
                <c:pt idx="295">
                  <c:v>1768.5769596875507</c:v>
                </c:pt>
                <c:pt idx="296">
                  <c:v>1027.8352460269816</c:v>
                </c:pt>
                <c:pt idx="297">
                  <c:v>5996.7787267774584</c:v>
                </c:pt>
                <c:pt idx="298">
                  <c:v>-1567.8126447493851</c:v>
                </c:pt>
                <c:pt idx="299">
                  <c:v>4071.7158367942466</c:v>
                </c:pt>
                <c:pt idx="300">
                  <c:v>3779.644776365747</c:v>
                </c:pt>
                <c:pt idx="301">
                  <c:v>-3069.243980611951</c:v>
                </c:pt>
                <c:pt idx="302">
                  <c:v>-10579.711794352488</c:v>
                </c:pt>
                <c:pt idx="303">
                  <c:v>-4063.7595232030326</c:v>
                </c:pt>
                <c:pt idx="304">
                  <c:v>-5395.6794713059426</c:v>
                </c:pt>
                <c:pt idx="305">
                  <c:v>8497.2030549644005</c:v>
                </c:pt>
                <c:pt idx="306">
                  <c:v>5395.4005694755451</c:v>
                </c:pt>
                <c:pt idx="307">
                  <c:v>-4605.5227571965879</c:v>
                </c:pt>
                <c:pt idx="308">
                  <c:v>1743.95358987898</c:v>
                </c:pt>
                <c:pt idx="309">
                  <c:v>2786.2783889188049</c:v>
                </c:pt>
                <c:pt idx="310">
                  <c:v>4949.6053022870983</c:v>
                </c:pt>
                <c:pt idx="311">
                  <c:v>-3859.2204595725252</c:v>
                </c:pt>
                <c:pt idx="312">
                  <c:v>-7999.6903488246298</c:v>
                </c:pt>
                <c:pt idx="313">
                  <c:v>4152.0696272101868</c:v>
                </c:pt>
                <c:pt idx="314">
                  <c:v>7767.3037078554025</c:v>
                </c:pt>
                <c:pt idx="315">
                  <c:v>6567.9799760467104</c:v>
                </c:pt>
                <c:pt idx="316">
                  <c:v>3116.8860394123549</c:v>
                </c:pt>
                <c:pt idx="317">
                  <c:v>5914.8938040521425</c:v>
                </c:pt>
                <c:pt idx="318">
                  <c:v>217.4429685895102</c:v>
                </c:pt>
                <c:pt idx="319">
                  <c:v>6595.3195646368658</c:v>
                </c:pt>
                <c:pt idx="320">
                  <c:v>958.72373967304156</c:v>
                </c:pt>
                <c:pt idx="321">
                  <c:v>3546.1529615189502</c:v>
                </c:pt>
                <c:pt idx="322">
                  <c:v>670.36453715241078</c:v>
                </c:pt>
                <c:pt idx="323">
                  <c:v>-3426.5565158799691</c:v>
                </c:pt>
                <c:pt idx="324">
                  <c:v>2708.9404890209717</c:v>
                </c:pt>
                <c:pt idx="325">
                  <c:v>-3635.5121138547165</c:v>
                </c:pt>
                <c:pt idx="326">
                  <c:v>3974.3099147242974</c:v>
                </c:pt>
                <c:pt idx="327">
                  <c:v>2848.8054695349383</c:v>
                </c:pt>
                <c:pt idx="328">
                  <c:v>3277.964861992612</c:v>
                </c:pt>
                <c:pt idx="329">
                  <c:v>6344.4449258699315</c:v>
                </c:pt>
                <c:pt idx="330">
                  <c:v>-3242.0972552633557</c:v>
                </c:pt>
                <c:pt idx="331">
                  <c:v>5521.3634798519597</c:v>
                </c:pt>
                <c:pt idx="332">
                  <c:v>10774.454609669187</c:v>
                </c:pt>
                <c:pt idx="333">
                  <c:v>-1977.3245951129102</c:v>
                </c:pt>
                <c:pt idx="334">
                  <c:v>809.81849437387064</c:v>
                </c:pt>
                <c:pt idx="335">
                  <c:v>2663.5932584360271</c:v>
                </c:pt>
                <c:pt idx="336">
                  <c:v>2035.3179804487008</c:v>
                </c:pt>
                <c:pt idx="337">
                  <c:v>-10377.021845048275</c:v>
                </c:pt>
                <c:pt idx="338">
                  <c:v>-3697.339894907509</c:v>
                </c:pt>
                <c:pt idx="339">
                  <c:v>6565.0887481767149</c:v>
                </c:pt>
                <c:pt idx="340">
                  <c:v>-5906.0335321809489</c:v>
                </c:pt>
                <c:pt idx="341">
                  <c:v>7953.7069787643995</c:v>
                </c:pt>
                <c:pt idx="342">
                  <c:v>446.63166664068194</c:v>
                </c:pt>
                <c:pt idx="343">
                  <c:v>6593.4325444288752</c:v>
                </c:pt>
                <c:pt idx="344">
                  <c:v>-2887.7421530068823</c:v>
                </c:pt>
                <c:pt idx="345">
                  <c:v>-6927.4263373263875</c:v>
                </c:pt>
                <c:pt idx="346">
                  <c:v>-2332.5269722117901</c:v>
                </c:pt>
                <c:pt idx="347">
                  <c:v>-15005.778244283869</c:v>
                </c:pt>
                <c:pt idx="348">
                  <c:v>-5878.7271697750784</c:v>
                </c:pt>
                <c:pt idx="349">
                  <c:v>1685.9224499907723</c:v>
                </c:pt>
                <c:pt idx="350">
                  <c:v>-9173.6416182409012</c:v>
                </c:pt>
                <c:pt idx="351">
                  <c:v>2445.2149307840846</c:v>
                </c:pt>
                <c:pt idx="352">
                  <c:v>2945.4393274614922</c:v>
                </c:pt>
                <c:pt idx="353">
                  <c:v>3947.0639654426159</c:v>
                </c:pt>
                <c:pt idx="354">
                  <c:v>-3326.983709641574</c:v>
                </c:pt>
                <c:pt idx="355">
                  <c:v>-2480.7940629213608</c:v>
                </c:pt>
                <c:pt idx="356">
                  <c:v>-8387.3169120785224</c:v>
                </c:pt>
                <c:pt idx="357">
                  <c:v>370.53260431780654</c:v>
                </c:pt>
                <c:pt idx="358">
                  <c:v>-2060.1111220514795</c:v>
                </c:pt>
                <c:pt idx="359">
                  <c:v>-435.26769096070711</c:v>
                </c:pt>
                <c:pt idx="360">
                  <c:v>-6194.4172867231191</c:v>
                </c:pt>
                <c:pt idx="361">
                  <c:v>-2410.9627143396101</c:v>
                </c:pt>
                <c:pt idx="362">
                  <c:v>-3179.3481754101231</c:v>
                </c:pt>
                <c:pt idx="363">
                  <c:v>9419.896197110229</c:v>
                </c:pt>
                <c:pt idx="364">
                  <c:v>-1055.9065166471009</c:v>
                </c:pt>
                <c:pt idx="365">
                  <c:v>1049.3858968448003</c:v>
                </c:pt>
                <c:pt idx="366">
                  <c:v>1703.7726003069638</c:v>
                </c:pt>
                <c:pt idx="367">
                  <c:v>-6863.551901267354</c:v>
                </c:pt>
                <c:pt idx="368">
                  <c:v>-3133.7214408880391</c:v>
                </c:pt>
                <c:pt idx="369">
                  <c:v>-6237.9944651127244</c:v>
                </c:pt>
                <c:pt idx="370">
                  <c:v>8855.5799473857915</c:v>
                </c:pt>
                <c:pt idx="371">
                  <c:v>-3177.4216962728024</c:v>
                </c:pt>
                <c:pt idx="372">
                  <c:v>-5138.5783255969618</c:v>
                </c:pt>
                <c:pt idx="373">
                  <c:v>9483.8461770958747</c:v>
                </c:pt>
                <c:pt idx="374">
                  <c:v>-11309.49510022187</c:v>
                </c:pt>
                <c:pt idx="375">
                  <c:v>-3373.3912481930329</c:v>
                </c:pt>
                <c:pt idx="376">
                  <c:v>-7549.3524257518602</c:v>
                </c:pt>
                <c:pt idx="377">
                  <c:v>-401.86623990548651</c:v>
                </c:pt>
                <c:pt idx="378">
                  <c:v>-729.26860190455045</c:v>
                </c:pt>
                <c:pt idx="379">
                  <c:v>1010.8842552102469</c:v>
                </c:pt>
                <c:pt idx="380">
                  <c:v>-600.99770502816682</c:v>
                </c:pt>
                <c:pt idx="381">
                  <c:v>-2576.8425875449029</c:v>
                </c:pt>
                <c:pt idx="382">
                  <c:v>-2242.9543030137611</c:v>
                </c:pt>
                <c:pt idx="383">
                  <c:v>-3414.304054727465</c:v>
                </c:pt>
                <c:pt idx="384">
                  <c:v>-10633.651713807829</c:v>
                </c:pt>
                <c:pt idx="385">
                  <c:v>-1768.4093240728525</c:v>
                </c:pt>
                <c:pt idx="386">
                  <c:v>9304.3683166921455</c:v>
                </c:pt>
                <c:pt idx="387">
                  <c:v>4261.3103998720253</c:v>
                </c:pt>
                <c:pt idx="388">
                  <c:v>658.74417838493173</c:v>
                </c:pt>
                <c:pt idx="389">
                  <c:v>-7707.9031509317083</c:v>
                </c:pt>
                <c:pt idx="390">
                  <c:v>2341.3856360314967</c:v>
                </c:pt>
                <c:pt idx="391">
                  <c:v>2315.8618857858855</c:v>
                </c:pt>
                <c:pt idx="392">
                  <c:v>-409.37434871072946</c:v>
                </c:pt>
                <c:pt idx="393">
                  <c:v>2492.9139642685241</c:v>
                </c:pt>
                <c:pt idx="394">
                  <c:v>1059.5365319134944</c:v>
                </c:pt>
                <c:pt idx="395">
                  <c:v>9122.9983074735246</c:v>
                </c:pt>
                <c:pt idx="396">
                  <c:v>-4091.9101764176085</c:v>
                </c:pt>
                <c:pt idx="397">
                  <c:v>-6542.7617014259122</c:v>
                </c:pt>
                <c:pt idx="398">
                  <c:v>-13591.085878149277</c:v>
                </c:pt>
                <c:pt idx="399">
                  <c:v>-7625.9941282284963</c:v>
                </c:pt>
                <c:pt idx="400">
                  <c:v>-6645.0011107792016</c:v>
                </c:pt>
                <c:pt idx="401">
                  <c:v>-5921.4608115875126</c:v>
                </c:pt>
                <c:pt idx="402">
                  <c:v>-3873.0001769896699</c:v>
                </c:pt>
                <c:pt idx="403">
                  <c:v>3185.7481699313976</c:v>
                </c:pt>
                <c:pt idx="404">
                  <c:v>3793.8396265887131</c:v>
                </c:pt>
                <c:pt idx="405">
                  <c:v>1287.2448167264938</c:v>
                </c:pt>
                <c:pt idx="406">
                  <c:v>8498.790586997653</c:v>
                </c:pt>
                <c:pt idx="407">
                  <c:v>-3766.7275544363692</c:v>
                </c:pt>
                <c:pt idx="408">
                  <c:v>-1122.8385173647075</c:v>
                </c:pt>
                <c:pt idx="409">
                  <c:v>3405.5020901961998</c:v>
                </c:pt>
                <c:pt idx="410">
                  <c:v>2130.0679132726655</c:v>
                </c:pt>
                <c:pt idx="411">
                  <c:v>-2656.0724005745687</c:v>
                </c:pt>
                <c:pt idx="412">
                  <c:v>11470.741170366347</c:v>
                </c:pt>
                <c:pt idx="413">
                  <c:v>3436.0332809300489</c:v>
                </c:pt>
                <c:pt idx="414">
                  <c:v>-368.76096685231823</c:v>
                </c:pt>
                <c:pt idx="415">
                  <c:v>1724.2295345006951</c:v>
                </c:pt>
                <c:pt idx="416">
                  <c:v>3462.5612179208492</c:v>
                </c:pt>
                <c:pt idx="417">
                  <c:v>4218.2948615650294</c:v>
                </c:pt>
                <c:pt idx="418">
                  <c:v>1327.2832173807692</c:v>
                </c:pt>
                <c:pt idx="419">
                  <c:v>3191.1984564411614</c:v>
                </c:pt>
                <c:pt idx="420">
                  <c:v>-1387.393032420714</c:v>
                </c:pt>
                <c:pt idx="421">
                  <c:v>7121.0019233247076</c:v>
                </c:pt>
                <c:pt idx="422">
                  <c:v>-4630.4443483425512</c:v>
                </c:pt>
                <c:pt idx="423">
                  <c:v>-5429.5800507548647</c:v>
                </c:pt>
                <c:pt idx="424">
                  <c:v>-5308.1597733914514</c:v>
                </c:pt>
                <c:pt idx="425">
                  <c:v>3155.5421789838365</c:v>
                </c:pt>
                <c:pt idx="426">
                  <c:v>7753.9381013685743</c:v>
                </c:pt>
                <c:pt idx="427">
                  <c:v>3411.4319903482901</c:v>
                </c:pt>
                <c:pt idx="428">
                  <c:v>-2173.6170649936466</c:v>
                </c:pt>
                <c:pt idx="429">
                  <c:v>10059.487205142264</c:v>
                </c:pt>
                <c:pt idx="430">
                  <c:v>1880.8956021619852</c:v>
                </c:pt>
                <c:pt idx="431">
                  <c:v>-636.23752238605812</c:v>
                </c:pt>
                <c:pt idx="432">
                  <c:v>7863.4814919280052</c:v>
                </c:pt>
                <c:pt idx="433">
                  <c:v>9667.8059489894349</c:v>
                </c:pt>
                <c:pt idx="434">
                  <c:v>764.39313878687972</c:v>
                </c:pt>
                <c:pt idx="435">
                  <c:v>1217.3739009365363</c:v>
                </c:pt>
                <c:pt idx="436">
                  <c:v>-7249.0542558443431</c:v>
                </c:pt>
                <c:pt idx="437">
                  <c:v>-449.09717257653028</c:v>
                </c:pt>
                <c:pt idx="438">
                  <c:v>6242.9835478032983</c:v>
                </c:pt>
                <c:pt idx="439">
                  <c:v>-4476.7601158931739</c:v>
                </c:pt>
                <c:pt idx="440">
                  <c:v>4789.6834129006365</c:v>
                </c:pt>
                <c:pt idx="441">
                  <c:v>-466.83818828220865</c:v>
                </c:pt>
                <c:pt idx="442">
                  <c:v>-2000.9376396597072</c:v>
                </c:pt>
                <c:pt idx="443">
                  <c:v>4552.0014558937874</c:v>
                </c:pt>
                <c:pt idx="444">
                  <c:v>-2386.2552251053967</c:v>
                </c:pt>
                <c:pt idx="445">
                  <c:v>-1752.7250211357659</c:v>
                </c:pt>
                <c:pt idx="446">
                  <c:v>2820.1844544105043</c:v>
                </c:pt>
                <c:pt idx="447">
                  <c:v>41.806491503368306</c:v>
                </c:pt>
                <c:pt idx="448">
                  <c:v>-1128.8217006955892</c:v>
                </c:pt>
                <c:pt idx="449">
                  <c:v>267.78694656633888</c:v>
                </c:pt>
                <c:pt idx="450">
                  <c:v>5818.7788436535739</c:v>
                </c:pt>
                <c:pt idx="451">
                  <c:v>6677.3802356890028</c:v>
                </c:pt>
                <c:pt idx="452">
                  <c:v>-2141.5510326540025</c:v>
                </c:pt>
                <c:pt idx="453">
                  <c:v>519.29584439083374</c:v>
                </c:pt>
                <c:pt idx="454">
                  <c:v>-6090.986350281948</c:v>
                </c:pt>
                <c:pt idx="455">
                  <c:v>-5232.5123252490539</c:v>
                </c:pt>
                <c:pt idx="456">
                  <c:v>7826.2909025431709</c:v>
                </c:pt>
                <c:pt idx="457">
                  <c:v>7670.8542311091423</c:v>
                </c:pt>
                <c:pt idx="458">
                  <c:v>4660.0741515166519</c:v>
                </c:pt>
                <c:pt idx="459">
                  <c:v>-1505.2997307813348</c:v>
                </c:pt>
                <c:pt idx="460">
                  <c:v>1933.8379820928421</c:v>
                </c:pt>
                <c:pt idx="461">
                  <c:v>1506.3305544276791</c:v>
                </c:pt>
                <c:pt idx="462">
                  <c:v>6837.46250242312</c:v>
                </c:pt>
                <c:pt idx="463">
                  <c:v>-4657.3856130979129</c:v>
                </c:pt>
                <c:pt idx="464">
                  <c:v>7050.2042561777744</c:v>
                </c:pt>
                <c:pt idx="465">
                  <c:v>-5343.6534569661044</c:v>
                </c:pt>
                <c:pt idx="466">
                  <c:v>-5369.7978115546302</c:v>
                </c:pt>
                <c:pt idx="467">
                  <c:v>-10157.121452649131</c:v>
                </c:pt>
                <c:pt idx="468">
                  <c:v>-1662.3508688340989</c:v>
                </c:pt>
                <c:pt idx="469">
                  <c:v>2098.1694774471944</c:v>
                </c:pt>
                <c:pt idx="470">
                  <c:v>-7380.6231397885476</c:v>
                </c:pt>
                <c:pt idx="471">
                  <c:v>1715.186101238015</c:v>
                </c:pt>
                <c:pt idx="472">
                  <c:v>-1334.6821496904413</c:v>
                </c:pt>
                <c:pt idx="473">
                  <c:v>1614.1519335459634</c:v>
                </c:pt>
                <c:pt idx="474">
                  <c:v>3054.6878933521166</c:v>
                </c:pt>
                <c:pt idx="475">
                  <c:v>6794.7661363571606</c:v>
                </c:pt>
                <c:pt idx="476">
                  <c:v>11291.930442492559</c:v>
                </c:pt>
                <c:pt idx="477">
                  <c:v>-10193.413562297457</c:v>
                </c:pt>
                <c:pt idx="478">
                  <c:v>4151.323902819573</c:v>
                </c:pt>
                <c:pt idx="479">
                  <c:v>-3283.9735378400874</c:v>
                </c:pt>
                <c:pt idx="480">
                  <c:v>2479.4608983600283</c:v>
                </c:pt>
                <c:pt idx="481">
                  <c:v>-2549.742995818915</c:v>
                </c:pt>
                <c:pt idx="482">
                  <c:v>-1304.6637804291622</c:v>
                </c:pt>
                <c:pt idx="483">
                  <c:v>680.71462580838306</c:v>
                </c:pt>
                <c:pt idx="484">
                  <c:v>-12767.112673275475</c:v>
                </c:pt>
                <c:pt idx="485">
                  <c:v>3090.4004772315802</c:v>
                </c:pt>
                <c:pt idx="486">
                  <c:v>4959.1690452294552</c:v>
                </c:pt>
                <c:pt idx="487">
                  <c:v>-99.88212938493416</c:v>
                </c:pt>
                <c:pt idx="488">
                  <c:v>3657.7916360213712</c:v>
                </c:pt>
                <c:pt idx="489">
                  <c:v>1639.9382746001229</c:v>
                </c:pt>
                <c:pt idx="490">
                  <c:v>4494.3298063942693</c:v>
                </c:pt>
                <c:pt idx="491">
                  <c:v>1625.3620487165081</c:v>
                </c:pt>
                <c:pt idx="492">
                  <c:v>4822.2236822869854</c:v>
                </c:pt>
                <c:pt idx="493">
                  <c:v>5963.121663181113</c:v>
                </c:pt>
                <c:pt idx="494">
                  <c:v>-3317.5424074953844</c:v>
                </c:pt>
                <c:pt idx="495">
                  <c:v>2158.8598189717122</c:v>
                </c:pt>
                <c:pt idx="496">
                  <c:v>18139.813051628702</c:v>
                </c:pt>
                <c:pt idx="497">
                  <c:v>2921.8740812950418</c:v>
                </c:pt>
                <c:pt idx="498">
                  <c:v>-2059.5749692744903</c:v>
                </c:pt>
                <c:pt idx="499">
                  <c:v>-5933.2895169831008</c:v>
                </c:pt>
                <c:pt idx="500">
                  <c:v>-3666.3151635823251</c:v>
                </c:pt>
                <c:pt idx="501">
                  <c:v>-1830.4368883419556</c:v>
                </c:pt>
                <c:pt idx="502">
                  <c:v>1827.1824273734746</c:v>
                </c:pt>
                <c:pt idx="503">
                  <c:v>-2163.3766598619604</c:v>
                </c:pt>
                <c:pt idx="504">
                  <c:v>11399.893670070604</c:v>
                </c:pt>
                <c:pt idx="505">
                  <c:v>-5522.0635894565112</c:v>
                </c:pt>
                <c:pt idx="506">
                  <c:v>-2382.1588264390975</c:v>
                </c:pt>
                <c:pt idx="507">
                  <c:v>-1034.1726255622707</c:v>
                </c:pt>
                <c:pt idx="508">
                  <c:v>-574.15508846207922</c:v>
                </c:pt>
                <c:pt idx="509">
                  <c:v>-2390.5044146305754</c:v>
                </c:pt>
                <c:pt idx="510">
                  <c:v>11034.290171421233</c:v>
                </c:pt>
                <c:pt idx="511">
                  <c:v>-3399.7981340015031</c:v>
                </c:pt>
                <c:pt idx="512">
                  <c:v>-8181.3311207442785</c:v>
                </c:pt>
                <c:pt idx="513">
                  <c:v>11972.651224963764</c:v>
                </c:pt>
                <c:pt idx="514">
                  <c:v>-4040.5008278396763</c:v>
                </c:pt>
                <c:pt idx="515">
                  <c:v>-6434.7086713995086</c:v>
                </c:pt>
                <c:pt idx="516">
                  <c:v>-1274.7937499197651</c:v>
                </c:pt>
                <c:pt idx="517">
                  <c:v>1824.3642632464671</c:v>
                </c:pt>
                <c:pt idx="518">
                  <c:v>-4001.4583449531438</c:v>
                </c:pt>
                <c:pt idx="519">
                  <c:v>-3138.1827385498673</c:v>
                </c:pt>
                <c:pt idx="520">
                  <c:v>-821.65585284909139</c:v>
                </c:pt>
                <c:pt idx="521">
                  <c:v>-1155.9395302247704</c:v>
                </c:pt>
                <c:pt idx="522">
                  <c:v>-6375.2610453214984</c:v>
                </c:pt>
                <c:pt idx="523">
                  <c:v>3035.1294387625003</c:v>
                </c:pt>
                <c:pt idx="524">
                  <c:v>-2266.172094699763</c:v>
                </c:pt>
                <c:pt idx="525">
                  <c:v>4110.8391445679681</c:v>
                </c:pt>
                <c:pt idx="526">
                  <c:v>6193.7949747386683</c:v>
                </c:pt>
                <c:pt idx="527">
                  <c:v>2653.0086366338292</c:v>
                </c:pt>
                <c:pt idx="528">
                  <c:v>-7603.3107280230724</c:v>
                </c:pt>
                <c:pt idx="529">
                  <c:v>-3231.6155416286656</c:v>
                </c:pt>
                <c:pt idx="530">
                  <c:v>-2389.7150345003265</c:v>
                </c:pt>
                <c:pt idx="531">
                  <c:v>-1203.3705340346169</c:v>
                </c:pt>
                <c:pt idx="532">
                  <c:v>-998.10964123201302</c:v>
                </c:pt>
                <c:pt idx="533">
                  <c:v>6329.3444806940097</c:v>
                </c:pt>
                <c:pt idx="534">
                  <c:v>1959.6768792582479</c:v>
                </c:pt>
                <c:pt idx="535">
                  <c:v>3664.8749426338272</c:v>
                </c:pt>
                <c:pt idx="536">
                  <c:v>7018.7058386261342</c:v>
                </c:pt>
                <c:pt idx="537">
                  <c:v>-1084.292270357053</c:v>
                </c:pt>
                <c:pt idx="538">
                  <c:v>-3368.1050653702441</c:v>
                </c:pt>
                <c:pt idx="539">
                  <c:v>6225.5875167568156</c:v>
                </c:pt>
                <c:pt idx="540">
                  <c:v>-1430.6647100267764</c:v>
                </c:pt>
                <c:pt idx="541">
                  <c:v>3680.1763570354178</c:v>
                </c:pt>
                <c:pt idx="542">
                  <c:v>1992.2206545919234</c:v>
                </c:pt>
                <c:pt idx="543">
                  <c:v>-9066.0495438243306</c:v>
                </c:pt>
                <c:pt idx="544">
                  <c:v>4211.5458022463699</c:v>
                </c:pt>
                <c:pt idx="545">
                  <c:v>12463.702243720723</c:v>
                </c:pt>
                <c:pt idx="546">
                  <c:v>3079.1751413240181</c:v>
                </c:pt>
                <c:pt idx="547">
                  <c:v>3042.5601026603599</c:v>
                </c:pt>
                <c:pt idx="548">
                  <c:v>7046.5597714117139</c:v>
                </c:pt>
                <c:pt idx="549">
                  <c:v>5590.111307066778</c:v>
                </c:pt>
                <c:pt idx="550">
                  <c:v>5304.2777728894052</c:v>
                </c:pt>
                <c:pt idx="551">
                  <c:v>3427.8494002411062</c:v>
                </c:pt>
                <c:pt idx="552">
                  <c:v>-9344.9811076601745</c:v>
                </c:pt>
                <c:pt idx="553">
                  <c:v>210.73570943891718</c:v>
                </c:pt>
                <c:pt idx="554">
                  <c:v>-2692.6828974295458</c:v>
                </c:pt>
                <c:pt idx="555">
                  <c:v>757.28468390341914</c:v>
                </c:pt>
                <c:pt idx="556">
                  <c:v>645.8186160310197</c:v>
                </c:pt>
                <c:pt idx="557">
                  <c:v>-10430.739260678631</c:v>
                </c:pt>
                <c:pt idx="558">
                  <c:v>-3382.5980255091035</c:v>
                </c:pt>
                <c:pt idx="559">
                  <c:v>-3513.919920687511</c:v>
                </c:pt>
                <c:pt idx="560">
                  <c:v>3277.9417033472328</c:v>
                </c:pt>
                <c:pt idx="561">
                  <c:v>11322.955136806828</c:v>
                </c:pt>
                <c:pt idx="562">
                  <c:v>-1112.7390849736512</c:v>
                </c:pt>
                <c:pt idx="563">
                  <c:v>-3731.4075625467431</c:v>
                </c:pt>
                <c:pt idx="564">
                  <c:v>452.50808283490551</c:v>
                </c:pt>
                <c:pt idx="565">
                  <c:v>-7838.438221224922</c:v>
                </c:pt>
                <c:pt idx="566">
                  <c:v>2383.4112259703452</c:v>
                </c:pt>
                <c:pt idx="567">
                  <c:v>-940.26778979122719</c:v>
                </c:pt>
                <c:pt idx="568">
                  <c:v>7117.2846376047237</c:v>
                </c:pt>
                <c:pt idx="569">
                  <c:v>-1037.0116922717443</c:v>
                </c:pt>
                <c:pt idx="570">
                  <c:v>-240.72253291296511</c:v>
                </c:pt>
                <c:pt idx="571">
                  <c:v>-3253.9080450197689</c:v>
                </c:pt>
                <c:pt idx="572">
                  <c:v>-7550.6954861624527</c:v>
                </c:pt>
                <c:pt idx="573">
                  <c:v>-7255.6721173778751</c:v>
                </c:pt>
                <c:pt idx="574">
                  <c:v>-10911.805502671868</c:v>
                </c:pt>
                <c:pt idx="575">
                  <c:v>3431.6434046592512</c:v>
                </c:pt>
                <c:pt idx="576">
                  <c:v>-4329.9141088646811</c:v>
                </c:pt>
                <c:pt idx="577">
                  <c:v>4099.779332178683</c:v>
                </c:pt>
                <c:pt idx="578">
                  <c:v>-3659.9821740469233</c:v>
                </c:pt>
                <c:pt idx="579">
                  <c:v>2566.2871596190198</c:v>
                </c:pt>
                <c:pt idx="580">
                  <c:v>3391.4680155225342</c:v>
                </c:pt>
                <c:pt idx="581">
                  <c:v>2276.464751705591</c:v>
                </c:pt>
                <c:pt idx="582">
                  <c:v>5592.5600795576593</c:v>
                </c:pt>
                <c:pt idx="583">
                  <c:v>1329.2800346829681</c:v>
                </c:pt>
                <c:pt idx="584">
                  <c:v>-1496.1157129838302</c:v>
                </c:pt>
                <c:pt idx="585">
                  <c:v>467.38435379594739</c:v>
                </c:pt>
                <c:pt idx="586">
                  <c:v>3412.1234461487638</c:v>
                </c:pt>
                <c:pt idx="587">
                  <c:v>-7167.1231380150766</c:v>
                </c:pt>
                <c:pt idx="588">
                  <c:v>-6575.951733713875</c:v>
                </c:pt>
                <c:pt idx="589">
                  <c:v>6281.0912474174984</c:v>
                </c:pt>
                <c:pt idx="590">
                  <c:v>5262.1875663422179</c:v>
                </c:pt>
                <c:pt idx="591">
                  <c:v>-4253.9287731903732</c:v>
                </c:pt>
                <c:pt idx="592">
                  <c:v>9015.4682482045973</c:v>
                </c:pt>
                <c:pt idx="593">
                  <c:v>5250.1477150872761</c:v>
                </c:pt>
                <c:pt idx="594">
                  <c:v>5669.3589031979809</c:v>
                </c:pt>
                <c:pt idx="595">
                  <c:v>5493.884394576824</c:v>
                </c:pt>
                <c:pt idx="596">
                  <c:v>-1721.1363627398878</c:v>
                </c:pt>
                <c:pt idx="597">
                  <c:v>12528.499650112597</c:v>
                </c:pt>
                <c:pt idx="598">
                  <c:v>-482.07158573562265</c:v>
                </c:pt>
                <c:pt idx="599">
                  <c:v>2393.9622659281522</c:v>
                </c:pt>
                <c:pt idx="600">
                  <c:v>7850.2882294875126</c:v>
                </c:pt>
                <c:pt idx="601">
                  <c:v>-1187.4603959086362</c:v>
                </c:pt>
                <c:pt idx="602">
                  <c:v>-4062.7313652935682</c:v>
                </c:pt>
                <c:pt idx="603">
                  <c:v>3240.9880849914989</c:v>
                </c:pt>
                <c:pt idx="604">
                  <c:v>-8547.4633132441904</c:v>
                </c:pt>
                <c:pt idx="605">
                  <c:v>-8745.5174670895267</c:v>
                </c:pt>
                <c:pt idx="606">
                  <c:v>-5403.7499833941529</c:v>
                </c:pt>
                <c:pt idx="607">
                  <c:v>1858.3980014529279</c:v>
                </c:pt>
                <c:pt idx="608">
                  <c:v>-1202.3859731291104</c:v>
                </c:pt>
                <c:pt idx="609">
                  <c:v>-2729.6654549648974</c:v>
                </c:pt>
                <c:pt idx="610">
                  <c:v>1025.9946830356221</c:v>
                </c:pt>
                <c:pt idx="611">
                  <c:v>9759.9014223188587</c:v>
                </c:pt>
                <c:pt idx="612">
                  <c:v>-4671.4893354716169</c:v>
                </c:pt>
                <c:pt idx="613">
                  <c:v>7625.9959363782764</c:v>
                </c:pt>
                <c:pt idx="614">
                  <c:v>3363.8540544420594</c:v>
                </c:pt>
                <c:pt idx="615">
                  <c:v>-5206.8833885930653</c:v>
                </c:pt>
                <c:pt idx="616">
                  <c:v>13239.363169763285</c:v>
                </c:pt>
                <c:pt idx="617">
                  <c:v>7622.9139505275216</c:v>
                </c:pt>
                <c:pt idx="618">
                  <c:v>2110.051351893575</c:v>
                </c:pt>
                <c:pt idx="619">
                  <c:v>-632.96434239375958</c:v>
                </c:pt>
                <c:pt idx="620">
                  <c:v>-2678.4815901345883</c:v>
                </c:pt>
                <c:pt idx="621">
                  <c:v>37.545448001601471</c:v>
                </c:pt>
                <c:pt idx="622">
                  <c:v>-2089.7770150081415</c:v>
                </c:pt>
                <c:pt idx="623">
                  <c:v>9651.7801925080184</c:v>
                </c:pt>
                <c:pt idx="624">
                  <c:v>-203.49299079549928</c:v>
                </c:pt>
                <c:pt idx="625">
                  <c:v>1943.4553373469862</c:v>
                </c:pt>
                <c:pt idx="626">
                  <c:v>-626.36851895634754</c:v>
                </c:pt>
                <c:pt idx="627">
                  <c:v>-4573.6057170371114</c:v>
                </c:pt>
                <c:pt idx="628">
                  <c:v>-6311.2298448189758</c:v>
                </c:pt>
                <c:pt idx="629">
                  <c:v>2309.5620905253181</c:v>
                </c:pt>
                <c:pt idx="630">
                  <c:v>2838.526783646952</c:v>
                </c:pt>
                <c:pt idx="631">
                  <c:v>6460.741201701725</c:v>
                </c:pt>
                <c:pt idx="632">
                  <c:v>745.22282145987447</c:v>
                </c:pt>
                <c:pt idx="633">
                  <c:v>41.651158630225837</c:v>
                </c:pt>
                <c:pt idx="634">
                  <c:v>1950.4242035177813</c:v>
                </c:pt>
                <c:pt idx="635">
                  <c:v>-3811.3729776635228</c:v>
                </c:pt>
                <c:pt idx="636">
                  <c:v>5494.0760616130055</c:v>
                </c:pt>
                <c:pt idx="637">
                  <c:v>3800.3215510398222</c:v>
                </c:pt>
                <c:pt idx="638">
                  <c:v>1183.6196196371529</c:v>
                </c:pt>
                <c:pt idx="639">
                  <c:v>11054.391651340327</c:v>
                </c:pt>
                <c:pt idx="640">
                  <c:v>-7033.4872794139483</c:v>
                </c:pt>
                <c:pt idx="641">
                  <c:v>3417.8075559602039</c:v>
                </c:pt>
                <c:pt idx="642">
                  <c:v>-2855.5327462151545</c:v>
                </c:pt>
                <c:pt idx="643">
                  <c:v>-4097.3580705793647</c:v>
                </c:pt>
                <c:pt idx="644">
                  <c:v>544.45242854576463</c:v>
                </c:pt>
                <c:pt idx="645">
                  <c:v>8527.908286392154</c:v>
                </c:pt>
                <c:pt idx="646">
                  <c:v>750.5593895643633</c:v>
                </c:pt>
                <c:pt idx="647">
                  <c:v>-6258.8825816991002</c:v>
                </c:pt>
                <c:pt idx="648">
                  <c:v>-1444.6975149263944</c:v>
                </c:pt>
                <c:pt idx="649">
                  <c:v>-1392.0075336481896</c:v>
                </c:pt>
                <c:pt idx="650">
                  <c:v>-3886.2995421906362</c:v>
                </c:pt>
                <c:pt idx="651">
                  <c:v>773.11476212035086</c:v>
                </c:pt>
                <c:pt idx="652">
                  <c:v>6996.9474779555894</c:v>
                </c:pt>
                <c:pt idx="653">
                  <c:v>-982.8069745635039</c:v>
                </c:pt>
                <c:pt idx="654">
                  <c:v>-2826.9796396814691</c:v>
                </c:pt>
                <c:pt idx="655">
                  <c:v>3089.9397530348651</c:v>
                </c:pt>
                <c:pt idx="656">
                  <c:v>3571.7698391620634</c:v>
                </c:pt>
                <c:pt idx="657">
                  <c:v>-480.22591279026165</c:v>
                </c:pt>
                <c:pt idx="658">
                  <c:v>5588.9161285544806</c:v>
                </c:pt>
                <c:pt idx="659">
                  <c:v>-6542.7177962028472</c:v>
                </c:pt>
                <c:pt idx="660">
                  <c:v>-3314.0226525315829</c:v>
                </c:pt>
                <c:pt idx="661">
                  <c:v>10353.876120241504</c:v>
                </c:pt>
                <c:pt idx="662">
                  <c:v>5816.6557833477982</c:v>
                </c:pt>
                <c:pt idx="663">
                  <c:v>4081.6985254633055</c:v>
                </c:pt>
                <c:pt idx="664">
                  <c:v>4281.1770934406359</c:v>
                </c:pt>
                <c:pt idx="665">
                  <c:v>5438.5109164209498</c:v>
                </c:pt>
                <c:pt idx="666">
                  <c:v>2071.1036078842772</c:v>
                </c:pt>
                <c:pt idx="667">
                  <c:v>939.64714406683925</c:v>
                </c:pt>
                <c:pt idx="668">
                  <c:v>-7405.9984187418449</c:v>
                </c:pt>
                <c:pt idx="669">
                  <c:v>3328.3689392222368</c:v>
                </c:pt>
                <c:pt idx="670">
                  <c:v>3312.9249666149408</c:v>
                </c:pt>
                <c:pt idx="671">
                  <c:v>3264.7695113329319</c:v>
                </c:pt>
                <c:pt idx="672">
                  <c:v>-9463.3580339160617</c:v>
                </c:pt>
                <c:pt idx="673">
                  <c:v>2373.1868655318322</c:v>
                </c:pt>
                <c:pt idx="674">
                  <c:v>-6040.9181607569917</c:v>
                </c:pt>
                <c:pt idx="675">
                  <c:v>190.49995319951631</c:v>
                </c:pt>
                <c:pt idx="676">
                  <c:v>-5503.5962826839805</c:v>
                </c:pt>
                <c:pt idx="677">
                  <c:v>-4119.5433060422083</c:v>
                </c:pt>
                <c:pt idx="678">
                  <c:v>4551.4804762423519</c:v>
                </c:pt>
                <c:pt idx="679">
                  <c:v>-1575.6394957568446</c:v>
                </c:pt>
                <c:pt idx="680">
                  <c:v>6186.9975500535566</c:v>
                </c:pt>
                <c:pt idx="681">
                  <c:v>-3595.0260049739609</c:v>
                </c:pt>
                <c:pt idx="682">
                  <c:v>4160.6880437489708</c:v>
                </c:pt>
                <c:pt idx="683">
                  <c:v>-2056.9849137872461</c:v>
                </c:pt>
                <c:pt idx="684">
                  <c:v>3942.1194013720233</c:v>
                </c:pt>
                <c:pt idx="685">
                  <c:v>1203.851681817081</c:v>
                </c:pt>
                <c:pt idx="686">
                  <c:v>1994.5927415890528</c:v>
                </c:pt>
                <c:pt idx="687">
                  <c:v>2447.6696867858336</c:v>
                </c:pt>
                <c:pt idx="688">
                  <c:v>-305.82597117651494</c:v>
                </c:pt>
                <c:pt idx="689">
                  <c:v>5271.0862049784409</c:v>
                </c:pt>
                <c:pt idx="690">
                  <c:v>-1324.7015095387051</c:v>
                </c:pt>
                <c:pt idx="691">
                  <c:v>229.40508354075064</c:v>
                </c:pt>
                <c:pt idx="692">
                  <c:v>-2419.6262265438982</c:v>
                </c:pt>
                <c:pt idx="693">
                  <c:v>-5525.2321428344967</c:v>
                </c:pt>
                <c:pt idx="694">
                  <c:v>-19.649462907749694</c:v>
                </c:pt>
                <c:pt idx="695">
                  <c:v>-1089.2973719879319</c:v>
                </c:pt>
                <c:pt idx="696">
                  <c:v>506.26299554426259</c:v>
                </c:pt>
                <c:pt idx="697">
                  <c:v>1415.480097510439</c:v>
                </c:pt>
                <c:pt idx="698">
                  <c:v>14881.650940615069</c:v>
                </c:pt>
                <c:pt idx="699">
                  <c:v>-1626.0282253004516</c:v>
                </c:pt>
                <c:pt idx="700">
                  <c:v>82.330782762184754</c:v>
                </c:pt>
                <c:pt idx="701">
                  <c:v>2815.2232285796345</c:v>
                </c:pt>
                <c:pt idx="702">
                  <c:v>-1962.4135115747849</c:v>
                </c:pt>
                <c:pt idx="703">
                  <c:v>6441.0291796156926</c:v>
                </c:pt>
                <c:pt idx="704">
                  <c:v>-5588.3668288043336</c:v>
                </c:pt>
                <c:pt idx="705">
                  <c:v>7135.6897687146648</c:v>
                </c:pt>
                <c:pt idx="706">
                  <c:v>-2407.6956585713506</c:v>
                </c:pt>
                <c:pt idx="707">
                  <c:v>4371.1519293284837</c:v>
                </c:pt>
                <c:pt idx="708">
                  <c:v>-2412.6631185687966</c:v>
                </c:pt>
                <c:pt idx="709">
                  <c:v>-6146.5338902262429</c:v>
                </c:pt>
                <c:pt idx="710">
                  <c:v>-4410.6999719045562</c:v>
                </c:pt>
                <c:pt idx="711">
                  <c:v>4070.5626467183938</c:v>
                </c:pt>
                <c:pt idx="712">
                  <c:v>-3610.19997518329</c:v>
                </c:pt>
                <c:pt idx="713">
                  <c:v>-2606.296299522166</c:v>
                </c:pt>
                <c:pt idx="714">
                  <c:v>8351.1207873996318</c:v>
                </c:pt>
                <c:pt idx="715">
                  <c:v>2548.2109046209807</c:v>
                </c:pt>
                <c:pt idx="716">
                  <c:v>6088.6840666062817</c:v>
                </c:pt>
                <c:pt idx="717">
                  <c:v>-2010.2894574537859</c:v>
                </c:pt>
                <c:pt idx="718">
                  <c:v>4755.1788515272583</c:v>
                </c:pt>
                <c:pt idx="719">
                  <c:v>-1563.5038999812441</c:v>
                </c:pt>
                <c:pt idx="720">
                  <c:v>-3425.2049323160682</c:v>
                </c:pt>
                <c:pt idx="721">
                  <c:v>-6335.4038517770532</c:v>
                </c:pt>
                <c:pt idx="722">
                  <c:v>-4950.7906339637575</c:v>
                </c:pt>
                <c:pt idx="723">
                  <c:v>5010.7403161410875</c:v>
                </c:pt>
                <c:pt idx="724">
                  <c:v>1482.0134993142892</c:v>
                </c:pt>
                <c:pt idx="725">
                  <c:v>5470.1386524762092</c:v>
                </c:pt>
                <c:pt idx="726">
                  <c:v>3541.0638343973424</c:v>
                </c:pt>
                <c:pt idx="727">
                  <c:v>1110.1209007047801</c:v>
                </c:pt>
                <c:pt idx="728">
                  <c:v>802.07751430778444</c:v>
                </c:pt>
                <c:pt idx="729">
                  <c:v>2037.263679287933</c:v>
                </c:pt>
                <c:pt idx="730">
                  <c:v>5079.1842839698202</c:v>
                </c:pt>
                <c:pt idx="731">
                  <c:v>-3002.7669418577279</c:v>
                </c:pt>
                <c:pt idx="732">
                  <c:v>-3713.5597861874376</c:v>
                </c:pt>
                <c:pt idx="733">
                  <c:v>1731.8319980471861</c:v>
                </c:pt>
                <c:pt idx="734">
                  <c:v>-1815.4989521046409</c:v>
                </c:pt>
                <c:pt idx="735">
                  <c:v>-724.41988312361718</c:v>
                </c:pt>
                <c:pt idx="736">
                  <c:v>509.42066177659945</c:v>
                </c:pt>
                <c:pt idx="737">
                  <c:v>407.31091503763491</c:v>
                </c:pt>
                <c:pt idx="738">
                  <c:v>-2393.3321738725281</c:v>
                </c:pt>
                <c:pt idx="739">
                  <c:v>5823.7834491133654</c:v>
                </c:pt>
                <c:pt idx="740">
                  <c:v>-1077.0565195587733</c:v>
                </c:pt>
                <c:pt idx="741">
                  <c:v>5299.9048770350328</c:v>
                </c:pt>
                <c:pt idx="742">
                  <c:v>263.6563834066128</c:v>
                </c:pt>
                <c:pt idx="743">
                  <c:v>4857.1711090511108</c:v>
                </c:pt>
                <c:pt idx="744">
                  <c:v>-2138.2219532585805</c:v>
                </c:pt>
                <c:pt idx="745">
                  <c:v>-2761.9037931336825</c:v>
                </c:pt>
                <c:pt idx="746">
                  <c:v>-6377.5959666251165</c:v>
                </c:pt>
                <c:pt idx="747">
                  <c:v>-2249.1497292070817</c:v>
                </c:pt>
                <c:pt idx="748">
                  <c:v>1748.2550634064883</c:v>
                </c:pt>
                <c:pt idx="749">
                  <c:v>-4595.6432443628983</c:v>
                </c:pt>
                <c:pt idx="750">
                  <c:v>-5406.727296099647</c:v>
                </c:pt>
                <c:pt idx="751">
                  <c:v>-6635.4712891892923</c:v>
                </c:pt>
                <c:pt idx="752">
                  <c:v>-3358.060943625349</c:v>
                </c:pt>
                <c:pt idx="753">
                  <c:v>-387.65601425502791</c:v>
                </c:pt>
                <c:pt idx="754">
                  <c:v>8025.4795758759792</c:v>
                </c:pt>
                <c:pt idx="755">
                  <c:v>2669.9985815354685</c:v>
                </c:pt>
                <c:pt idx="756">
                  <c:v>-1300.8201844560754</c:v>
                </c:pt>
                <c:pt idx="757">
                  <c:v>2927.472635200178</c:v>
                </c:pt>
                <c:pt idx="758">
                  <c:v>2005.927109016382</c:v>
                </c:pt>
                <c:pt idx="759">
                  <c:v>4778.9910875167543</c:v>
                </c:pt>
                <c:pt idx="760">
                  <c:v>7865.3806017107163</c:v>
                </c:pt>
                <c:pt idx="761">
                  <c:v>2117.065816087621</c:v>
                </c:pt>
                <c:pt idx="762">
                  <c:v>-1937.6457879431509</c:v>
                </c:pt>
                <c:pt idx="763">
                  <c:v>-7138.0685562053604</c:v>
                </c:pt>
                <c:pt idx="764">
                  <c:v>784.77289243264022</c:v>
                </c:pt>
                <c:pt idx="765">
                  <c:v>65.587145267229062</c:v>
                </c:pt>
                <c:pt idx="766">
                  <c:v>-4868.7274790711435</c:v>
                </c:pt>
                <c:pt idx="767">
                  <c:v>1783.7775082107764</c:v>
                </c:pt>
                <c:pt idx="768">
                  <c:v>-1856.4536124690003</c:v>
                </c:pt>
                <c:pt idx="769">
                  <c:v>-1449.1230417590414</c:v>
                </c:pt>
                <c:pt idx="770">
                  <c:v>-6819.71371413009</c:v>
                </c:pt>
                <c:pt idx="771">
                  <c:v>6487.0971470687346</c:v>
                </c:pt>
                <c:pt idx="772">
                  <c:v>-6942.2483978472501</c:v>
                </c:pt>
                <c:pt idx="773">
                  <c:v>-2586.1753241408242</c:v>
                </c:pt>
                <c:pt idx="774">
                  <c:v>-2927.1676059802412</c:v>
                </c:pt>
                <c:pt idx="775">
                  <c:v>-1866.0000931788945</c:v>
                </c:pt>
                <c:pt idx="776">
                  <c:v>-1829.4206097903334</c:v>
                </c:pt>
                <c:pt idx="777">
                  <c:v>-157.62797982737538</c:v>
                </c:pt>
                <c:pt idx="778">
                  <c:v>-6437.4937181126734</c:v>
                </c:pt>
                <c:pt idx="779">
                  <c:v>4834.1256034089438</c:v>
                </c:pt>
                <c:pt idx="780">
                  <c:v>6106.279959460202</c:v>
                </c:pt>
                <c:pt idx="781">
                  <c:v>-412.82402233922767</c:v>
                </c:pt>
                <c:pt idx="782">
                  <c:v>4181.0674497458385</c:v>
                </c:pt>
                <c:pt idx="783">
                  <c:v>-8988.9525783763074</c:v>
                </c:pt>
                <c:pt idx="784">
                  <c:v>-4203.7929203890399</c:v>
                </c:pt>
                <c:pt idx="785">
                  <c:v>-3262.9886528761499</c:v>
                </c:pt>
                <c:pt idx="786">
                  <c:v>-6401.85513377196</c:v>
                </c:pt>
                <c:pt idx="787">
                  <c:v>119.11832281376337</c:v>
                </c:pt>
                <c:pt idx="788">
                  <c:v>-8524.0338585182999</c:v>
                </c:pt>
                <c:pt idx="789">
                  <c:v>2490.3045382393248</c:v>
                </c:pt>
                <c:pt idx="790">
                  <c:v>-478.86173529089501</c:v>
                </c:pt>
                <c:pt idx="791">
                  <c:v>-5340.3671142339172</c:v>
                </c:pt>
                <c:pt idx="792">
                  <c:v>-732.42517299135943</c:v>
                </c:pt>
                <c:pt idx="793">
                  <c:v>-3187.0114684988985</c:v>
                </c:pt>
                <c:pt idx="794">
                  <c:v>-6953.8425432591321</c:v>
                </c:pt>
                <c:pt idx="795">
                  <c:v>-3330.9718695149659</c:v>
                </c:pt>
                <c:pt idx="796">
                  <c:v>1183.7374437272138</c:v>
                </c:pt>
                <c:pt idx="797">
                  <c:v>-2871.2514715145535</c:v>
                </c:pt>
                <c:pt idx="798">
                  <c:v>2476.7623673461603</c:v>
                </c:pt>
                <c:pt idx="799">
                  <c:v>-436.64834877569774</c:v>
                </c:pt>
                <c:pt idx="800">
                  <c:v>-4005.8956393519347</c:v>
                </c:pt>
                <c:pt idx="801">
                  <c:v>3574.3642568870309</c:v>
                </c:pt>
                <c:pt idx="802">
                  <c:v>-1062.9024416042485</c:v>
                </c:pt>
                <c:pt idx="803">
                  <c:v>-8249.7479009965537</c:v>
                </c:pt>
                <c:pt idx="804">
                  <c:v>-1825.1622198531404</c:v>
                </c:pt>
                <c:pt idx="805">
                  <c:v>-11989.382843701213</c:v>
                </c:pt>
                <c:pt idx="806">
                  <c:v>7621.9942677927138</c:v>
                </c:pt>
                <c:pt idx="807">
                  <c:v>-1007.7304368454297</c:v>
                </c:pt>
                <c:pt idx="808">
                  <c:v>-3279.4918609712531</c:v>
                </c:pt>
                <c:pt idx="809">
                  <c:v>8169.5075593651754</c:v>
                </c:pt>
                <c:pt idx="810">
                  <c:v>-2638.7718888547552</c:v>
                </c:pt>
                <c:pt idx="811">
                  <c:v>-3958.8509458641438</c:v>
                </c:pt>
                <c:pt idx="812">
                  <c:v>449.39439160191796</c:v>
                </c:pt>
                <c:pt idx="813">
                  <c:v>-1757.1164123213002</c:v>
                </c:pt>
                <c:pt idx="814">
                  <c:v>4177.1550369765719</c:v>
                </c:pt>
                <c:pt idx="815">
                  <c:v>188.84153432339008</c:v>
                </c:pt>
                <c:pt idx="816">
                  <c:v>3335.2275943014902</c:v>
                </c:pt>
                <c:pt idx="817">
                  <c:v>-1196.1547298545247</c:v>
                </c:pt>
                <c:pt idx="818">
                  <c:v>-5033.0926854527224</c:v>
                </c:pt>
                <c:pt idx="819">
                  <c:v>-5779.0161712628505</c:v>
                </c:pt>
                <c:pt idx="820">
                  <c:v>-5134.7417637152957</c:v>
                </c:pt>
                <c:pt idx="821">
                  <c:v>-11982.076384185582</c:v>
                </c:pt>
                <c:pt idx="822">
                  <c:v>5676.3600751210288</c:v>
                </c:pt>
                <c:pt idx="823">
                  <c:v>5117.3647326736718</c:v>
                </c:pt>
                <c:pt idx="824">
                  <c:v>3522.9879119905163</c:v>
                </c:pt>
                <c:pt idx="825">
                  <c:v>-1650.6915251152204</c:v>
                </c:pt>
                <c:pt idx="826">
                  <c:v>-1846.2216466730206</c:v>
                </c:pt>
                <c:pt idx="827">
                  <c:v>2015.6468027656465</c:v>
                </c:pt>
                <c:pt idx="828">
                  <c:v>5358.7986431656263</c:v>
                </c:pt>
                <c:pt idx="829">
                  <c:v>-2522.4928688973396</c:v>
                </c:pt>
                <c:pt idx="830">
                  <c:v>5439.4342790284245</c:v>
                </c:pt>
                <c:pt idx="831">
                  <c:v>-3041.4749906072593</c:v>
                </c:pt>
                <c:pt idx="832">
                  <c:v>-10799.818535752262</c:v>
                </c:pt>
                <c:pt idx="833">
                  <c:v>6945.9051250195025</c:v>
                </c:pt>
                <c:pt idx="834">
                  <c:v>-6903.0051898127585</c:v>
                </c:pt>
                <c:pt idx="835">
                  <c:v>7074.3979825680181</c:v>
                </c:pt>
                <c:pt idx="836">
                  <c:v>-5680.7973105484416</c:v>
                </c:pt>
                <c:pt idx="837">
                  <c:v>-1169.7557743401067</c:v>
                </c:pt>
                <c:pt idx="838">
                  <c:v>-2254.5401885150022</c:v>
                </c:pt>
                <c:pt idx="839">
                  <c:v>-5181.9829631798157</c:v>
                </c:pt>
                <c:pt idx="840">
                  <c:v>2799.7033503685452</c:v>
                </c:pt>
                <c:pt idx="841">
                  <c:v>1042.6012413575863</c:v>
                </c:pt>
                <c:pt idx="842">
                  <c:v>-10341.21586134226</c:v>
                </c:pt>
                <c:pt idx="843">
                  <c:v>-536.23674007773297</c:v>
                </c:pt>
                <c:pt idx="844">
                  <c:v>-9281.6319619491442</c:v>
                </c:pt>
                <c:pt idx="845">
                  <c:v>4865.809866997959</c:v>
                </c:pt>
                <c:pt idx="846">
                  <c:v>3742.9990903014277</c:v>
                </c:pt>
                <c:pt idx="847">
                  <c:v>3816.5870351744961</c:v>
                </c:pt>
                <c:pt idx="848">
                  <c:v>212.60283513490322</c:v>
                </c:pt>
                <c:pt idx="849">
                  <c:v>5612.8485513438682</c:v>
                </c:pt>
                <c:pt idx="850">
                  <c:v>-317.17239933001292</c:v>
                </c:pt>
                <c:pt idx="851">
                  <c:v>98.218920679300936</c:v>
                </c:pt>
                <c:pt idx="852">
                  <c:v>621.16611101750277</c:v>
                </c:pt>
                <c:pt idx="853">
                  <c:v>1651.889607432815</c:v>
                </c:pt>
                <c:pt idx="854">
                  <c:v>-6128.8151237461207</c:v>
                </c:pt>
                <c:pt idx="855">
                  <c:v>-4425.745061028827</c:v>
                </c:pt>
                <c:pt idx="856">
                  <c:v>-2846.3436491982757</c:v>
                </c:pt>
                <c:pt idx="857">
                  <c:v>5457.9309864104252</c:v>
                </c:pt>
                <c:pt idx="858">
                  <c:v>-8341.2294366248007</c:v>
                </c:pt>
                <c:pt idx="859">
                  <c:v>3251.5474546003497</c:v>
                </c:pt>
                <c:pt idx="860">
                  <c:v>10691.364951270079</c:v>
                </c:pt>
                <c:pt idx="861">
                  <c:v>21175.851677190782</c:v>
                </c:pt>
                <c:pt idx="862">
                  <c:v>9564.4343074455319</c:v>
                </c:pt>
                <c:pt idx="863">
                  <c:v>-1334.9162023736026</c:v>
                </c:pt>
                <c:pt idx="864">
                  <c:v>9272.3008591099187</c:v>
                </c:pt>
                <c:pt idx="865">
                  <c:v>3603.1916016503419</c:v>
                </c:pt>
                <c:pt idx="866">
                  <c:v>-9620.1097936194365</c:v>
                </c:pt>
                <c:pt idx="867">
                  <c:v>4858.1210783769093</c:v>
                </c:pt>
                <c:pt idx="868">
                  <c:v>2676.5398505837202</c:v>
                </c:pt>
                <c:pt idx="869">
                  <c:v>-5855.4090787865516</c:v>
                </c:pt>
                <c:pt idx="870">
                  <c:v>-1666.6761504911701</c:v>
                </c:pt>
                <c:pt idx="871">
                  <c:v>470.01318693501162</c:v>
                </c:pt>
                <c:pt idx="872">
                  <c:v>-15810.684724940078</c:v>
                </c:pt>
                <c:pt idx="873">
                  <c:v>374.36529258004157</c:v>
                </c:pt>
                <c:pt idx="874">
                  <c:v>4766.2663513814077</c:v>
                </c:pt>
                <c:pt idx="875">
                  <c:v>-7695.2420041781934</c:v>
                </c:pt>
                <c:pt idx="876">
                  <c:v>588.31475546342517</c:v>
                </c:pt>
                <c:pt idx="877">
                  <c:v>5483.7983703238751</c:v>
                </c:pt>
                <c:pt idx="878">
                  <c:v>8225.0436479062773</c:v>
                </c:pt>
                <c:pt idx="879">
                  <c:v>-1149.5272990664835</c:v>
                </c:pt>
                <c:pt idx="880">
                  <c:v>-14912.235749896872</c:v>
                </c:pt>
                <c:pt idx="881">
                  <c:v>1875.6170861727023</c:v>
                </c:pt>
                <c:pt idx="882">
                  <c:v>737.73542239763265</c:v>
                </c:pt>
                <c:pt idx="883">
                  <c:v>-2030.1744473522995</c:v>
                </c:pt>
                <c:pt idx="884">
                  <c:v>-2793.3765369634202</c:v>
                </c:pt>
                <c:pt idx="885">
                  <c:v>1845.5679580008382</c:v>
                </c:pt>
                <c:pt idx="886">
                  <c:v>-5833.5714507064185</c:v>
                </c:pt>
                <c:pt idx="887">
                  <c:v>10283.294161132308</c:v>
                </c:pt>
                <c:pt idx="888">
                  <c:v>2628.3438742990602</c:v>
                </c:pt>
                <c:pt idx="889">
                  <c:v>5200.7033489623336</c:v>
                </c:pt>
                <c:pt idx="890">
                  <c:v>-324.71640733143795</c:v>
                </c:pt>
                <c:pt idx="891">
                  <c:v>8431.7556372093914</c:v>
                </c:pt>
                <c:pt idx="892">
                  <c:v>3271.8724491946487</c:v>
                </c:pt>
                <c:pt idx="893">
                  <c:v>-737.25524636673072</c:v>
                </c:pt>
                <c:pt idx="894">
                  <c:v>5360.7686033469763</c:v>
                </c:pt>
                <c:pt idx="895">
                  <c:v>-2240.4430372192746</c:v>
                </c:pt>
                <c:pt idx="896">
                  <c:v>-12922.841002914962</c:v>
                </c:pt>
                <c:pt idx="897">
                  <c:v>1030.0962290748321</c:v>
                </c:pt>
                <c:pt idx="898">
                  <c:v>-4702.1964659811201</c:v>
                </c:pt>
                <c:pt idx="899">
                  <c:v>-6662.5500191631691</c:v>
                </c:pt>
                <c:pt idx="900">
                  <c:v>2419.2720050572952</c:v>
                </c:pt>
                <c:pt idx="901">
                  <c:v>913.39218068842092</c:v>
                </c:pt>
                <c:pt idx="902">
                  <c:v>-2327.1228307418605</c:v>
                </c:pt>
                <c:pt idx="903">
                  <c:v>4733.5982362730138</c:v>
                </c:pt>
                <c:pt idx="904">
                  <c:v>831.49021480844385</c:v>
                </c:pt>
                <c:pt idx="905">
                  <c:v>1160.2945273606756</c:v>
                </c:pt>
                <c:pt idx="906">
                  <c:v>1158.3479317761849</c:v>
                </c:pt>
                <c:pt idx="907">
                  <c:v>-711.55854215834916</c:v>
                </c:pt>
                <c:pt idx="908">
                  <c:v>-5186.8831926436069</c:v>
                </c:pt>
                <c:pt idx="909">
                  <c:v>-3962.424289563327</c:v>
                </c:pt>
                <c:pt idx="910">
                  <c:v>504.18946396968568</c:v>
                </c:pt>
                <c:pt idx="911">
                  <c:v>1683.1304451510605</c:v>
                </c:pt>
                <c:pt idx="912">
                  <c:v>224.33911359877675</c:v>
                </c:pt>
                <c:pt idx="913">
                  <c:v>2213.0702028080013</c:v>
                </c:pt>
                <c:pt idx="914">
                  <c:v>-2834.3294594233412</c:v>
                </c:pt>
                <c:pt idx="915">
                  <c:v>-947.31324654456148</c:v>
                </c:pt>
                <c:pt idx="916">
                  <c:v>9008.7328987690707</c:v>
                </c:pt>
                <c:pt idx="917">
                  <c:v>-1872.1422977126167</c:v>
                </c:pt>
                <c:pt idx="918">
                  <c:v>-9093.2994409207986</c:v>
                </c:pt>
                <c:pt idx="919">
                  <c:v>-12291.548117836508</c:v>
                </c:pt>
                <c:pt idx="920">
                  <c:v>-1894.6768624480883</c:v>
                </c:pt>
                <c:pt idx="921">
                  <c:v>5415.5640259128159</c:v>
                </c:pt>
                <c:pt idx="922">
                  <c:v>-2963.3645099257337</c:v>
                </c:pt>
                <c:pt idx="923">
                  <c:v>-3014.9152758712426</c:v>
                </c:pt>
                <c:pt idx="924">
                  <c:v>-2271.0178236305001</c:v>
                </c:pt>
                <c:pt idx="925">
                  <c:v>-3650.1658592376189</c:v>
                </c:pt>
                <c:pt idx="926">
                  <c:v>-2478.6623932292168</c:v>
                </c:pt>
                <c:pt idx="927">
                  <c:v>-3701.0882943549714</c:v>
                </c:pt>
                <c:pt idx="928">
                  <c:v>7752.9432079809776</c:v>
                </c:pt>
                <c:pt idx="929">
                  <c:v>-3384.0040734009926</c:v>
                </c:pt>
                <c:pt idx="930">
                  <c:v>-2543.9766345394291</c:v>
                </c:pt>
                <c:pt idx="931">
                  <c:v>-336.35501768428003</c:v>
                </c:pt>
                <c:pt idx="932">
                  <c:v>-1128.7435996612967</c:v>
                </c:pt>
                <c:pt idx="933">
                  <c:v>7140.3802056376317</c:v>
                </c:pt>
                <c:pt idx="934">
                  <c:v>8429.833382029401</c:v>
                </c:pt>
                <c:pt idx="935">
                  <c:v>-5454.8709737373156</c:v>
                </c:pt>
                <c:pt idx="936">
                  <c:v>1892.1484659800262</c:v>
                </c:pt>
                <c:pt idx="937">
                  <c:v>-3942.9276145256663</c:v>
                </c:pt>
                <c:pt idx="938">
                  <c:v>-2518.6097640361695</c:v>
                </c:pt>
                <c:pt idx="939">
                  <c:v>352.62405848792514</c:v>
                </c:pt>
                <c:pt idx="940">
                  <c:v>6011.9912559472868</c:v>
                </c:pt>
                <c:pt idx="941">
                  <c:v>-694.89749579484123</c:v>
                </c:pt>
                <c:pt idx="942">
                  <c:v>-4516.3580338671636</c:v>
                </c:pt>
                <c:pt idx="943">
                  <c:v>-558.52321191713236</c:v>
                </c:pt>
                <c:pt idx="944">
                  <c:v>-3004.9971354145546</c:v>
                </c:pt>
                <c:pt idx="945">
                  <c:v>-4713.8406585900248</c:v>
                </c:pt>
                <c:pt idx="946">
                  <c:v>5718.1162543626797</c:v>
                </c:pt>
                <c:pt idx="947">
                  <c:v>2662.2853022451018</c:v>
                </c:pt>
                <c:pt idx="948">
                  <c:v>3036.7597710587215</c:v>
                </c:pt>
                <c:pt idx="949">
                  <c:v>-52.551762355014944</c:v>
                </c:pt>
                <c:pt idx="950">
                  <c:v>11423.682834025523</c:v>
                </c:pt>
                <c:pt idx="951">
                  <c:v>-3071.0402026544198</c:v>
                </c:pt>
                <c:pt idx="952">
                  <c:v>2316.7164079263512</c:v>
                </c:pt>
                <c:pt idx="953">
                  <c:v>4224.5429888230137</c:v>
                </c:pt>
                <c:pt idx="954">
                  <c:v>-810.35487594582082</c:v>
                </c:pt>
                <c:pt idx="955">
                  <c:v>3830.8322882884204</c:v>
                </c:pt>
                <c:pt idx="956">
                  <c:v>-342.15722211377397</c:v>
                </c:pt>
                <c:pt idx="957">
                  <c:v>-2220.8372145605408</c:v>
                </c:pt>
                <c:pt idx="958">
                  <c:v>-2510.605691427183</c:v>
                </c:pt>
                <c:pt idx="959">
                  <c:v>399.98733195429486</c:v>
                </c:pt>
                <c:pt idx="960">
                  <c:v>-3810.3545324438728</c:v>
                </c:pt>
                <c:pt idx="961">
                  <c:v>-1140.0529688156821</c:v>
                </c:pt>
                <c:pt idx="962">
                  <c:v>5414.2434661910775</c:v>
                </c:pt>
                <c:pt idx="963">
                  <c:v>1259.8747194825773</c:v>
                </c:pt>
                <c:pt idx="964">
                  <c:v>6090.5122506072967</c:v>
                </c:pt>
                <c:pt idx="965">
                  <c:v>-6144.2336615658787</c:v>
                </c:pt>
                <c:pt idx="966">
                  <c:v>1696.7015447510894</c:v>
                </c:pt>
                <c:pt idx="967">
                  <c:v>-4140.7355245067047</c:v>
                </c:pt>
                <c:pt idx="968">
                  <c:v>3895.1357920623104</c:v>
                </c:pt>
                <c:pt idx="969">
                  <c:v>-10416.546262265107</c:v>
                </c:pt>
                <c:pt idx="970">
                  <c:v>-8337.9406195557804</c:v>
                </c:pt>
                <c:pt idx="971">
                  <c:v>-3410.4929033145272</c:v>
                </c:pt>
                <c:pt idx="972">
                  <c:v>4254.7065552913609</c:v>
                </c:pt>
                <c:pt idx="973">
                  <c:v>-2685.6934852543636</c:v>
                </c:pt>
                <c:pt idx="974">
                  <c:v>2976.7587177923851</c:v>
                </c:pt>
                <c:pt idx="975">
                  <c:v>-516.84258854720065</c:v>
                </c:pt>
                <c:pt idx="976">
                  <c:v>-2419.542594552031</c:v>
                </c:pt>
                <c:pt idx="977">
                  <c:v>8137.2052410511624</c:v>
                </c:pt>
                <c:pt idx="978">
                  <c:v>1203.0326656380475</c:v>
                </c:pt>
                <c:pt idx="979">
                  <c:v>-4142.6361159323951</c:v>
                </c:pt>
                <c:pt idx="980">
                  <c:v>-2298.7867839099836</c:v>
                </c:pt>
                <c:pt idx="981">
                  <c:v>5623.1986964981734</c:v>
                </c:pt>
                <c:pt idx="982">
                  <c:v>-936.01169615000435</c:v>
                </c:pt>
                <c:pt idx="983">
                  <c:v>-2360.3458535262198</c:v>
                </c:pt>
                <c:pt idx="984">
                  <c:v>-3044.4612543960575</c:v>
                </c:pt>
                <c:pt idx="985">
                  <c:v>-9973.26702877764</c:v>
                </c:pt>
                <c:pt idx="986">
                  <c:v>1275.7517765417033</c:v>
                </c:pt>
                <c:pt idx="987">
                  <c:v>1322.5462431225351</c:v>
                </c:pt>
                <c:pt idx="988">
                  <c:v>7977.8339954776784</c:v>
                </c:pt>
                <c:pt idx="989">
                  <c:v>-1285.28111808229</c:v>
                </c:pt>
                <c:pt idx="990">
                  <c:v>4657.5254357827453</c:v>
                </c:pt>
                <c:pt idx="991">
                  <c:v>-1109.8128048307026</c:v>
                </c:pt>
                <c:pt idx="992">
                  <c:v>-4577.9891129684984</c:v>
                </c:pt>
                <c:pt idx="993">
                  <c:v>-11217.433473730043</c:v>
                </c:pt>
                <c:pt idx="994">
                  <c:v>6351.6506260850419</c:v>
                </c:pt>
                <c:pt idx="995">
                  <c:v>5333.4806584002872</c:v>
                </c:pt>
                <c:pt idx="996">
                  <c:v>-7868.9643558205462</c:v>
                </c:pt>
                <c:pt idx="997">
                  <c:v>4642.4531911280174</c:v>
                </c:pt>
                <c:pt idx="998">
                  <c:v>2546.2688747145767</c:v>
                </c:pt>
                <c:pt idx="999">
                  <c:v>-1762.6095885407249</c:v>
                </c:pt>
              </c:numCache>
            </c:numRef>
          </c:yVal>
          <c:smooth val="1"/>
          <c:extLst>
            <c:ext xmlns:c16="http://schemas.microsoft.com/office/drawing/2014/chart" uri="{C3380CC4-5D6E-409C-BE32-E72D297353CC}">
              <c16:uniqueId val="{00000000-714D-45B8-9C11-70799D28F05C}"/>
            </c:ext>
          </c:extLst>
        </c:ser>
        <c:ser>
          <c:idx val="2"/>
          <c:order val="2"/>
          <c:tx>
            <c:v>PSA Results Mean</c:v>
          </c:tx>
          <c:spPr>
            <a:ln w="25400" cap="rnd">
              <a:noFill/>
              <a:round/>
            </a:ln>
            <a:effectLst/>
          </c:spPr>
          <c:marker>
            <c:symbol val="circle"/>
            <c:size val="5"/>
            <c:spPr>
              <a:solidFill>
                <a:schemeClr val="accent3"/>
              </a:solidFill>
              <a:ln w="9525">
                <a:solidFill>
                  <a:schemeClr val="accent3"/>
                </a:solidFill>
              </a:ln>
              <a:effectLst/>
            </c:spPr>
          </c:marker>
          <c:xVal>
            <c:numRef>
              <c:f>PSA_Results!$I$35</c:f>
              <c:numCache>
                <c:formatCode>General</c:formatCode>
                <c:ptCount val="1"/>
                <c:pt idx="0">
                  <c:v>-11.754953542600839</c:v>
                </c:pt>
              </c:numCache>
            </c:numRef>
          </c:xVal>
          <c:yVal>
            <c:numRef>
              <c:f>PSA_Results!$H$35</c:f>
              <c:numCache>
                <c:formatCode>General</c:formatCode>
                <c:ptCount val="1"/>
                <c:pt idx="0">
                  <c:v>351.10434339308136</c:v>
                </c:pt>
              </c:numCache>
            </c:numRef>
          </c:yVal>
          <c:smooth val="1"/>
          <c:extLst>
            <c:ext xmlns:c16="http://schemas.microsoft.com/office/drawing/2014/chart" uri="{C3380CC4-5D6E-409C-BE32-E72D297353CC}">
              <c16:uniqueId val="{00000007-714D-45B8-9C11-70799D28F05C}"/>
            </c:ext>
          </c:extLst>
        </c:ser>
        <c:ser>
          <c:idx val="3"/>
          <c:order val="3"/>
          <c:tx>
            <c:v>Deterministic Result</c:v>
          </c:tx>
          <c:spPr>
            <a:ln w="25400" cap="rnd">
              <a:noFill/>
              <a:round/>
            </a:ln>
            <a:effectLst/>
          </c:spPr>
          <c:marker>
            <c:symbol val="circle"/>
            <c:size val="5"/>
            <c:spPr>
              <a:solidFill>
                <a:schemeClr val="accent4"/>
              </a:solidFill>
              <a:ln w="9525">
                <a:solidFill>
                  <a:schemeClr val="accent4"/>
                </a:solidFill>
              </a:ln>
              <a:effectLst/>
            </c:spPr>
          </c:marker>
          <c:xVal>
            <c:numRef>
              <c:f>PSA_Results!$I$38</c:f>
              <c:numCache>
                <c:formatCode>General</c:formatCode>
                <c:ptCount val="1"/>
                <c:pt idx="0">
                  <c:v>-11.761270597396056</c:v>
                </c:pt>
              </c:numCache>
            </c:numRef>
          </c:xVal>
          <c:yVal>
            <c:numRef>
              <c:f>PSA_Results!$H$38</c:f>
              <c:numCache>
                <c:formatCode>General</c:formatCode>
                <c:ptCount val="1"/>
                <c:pt idx="0">
                  <c:v>129.50459929701719</c:v>
                </c:pt>
              </c:numCache>
            </c:numRef>
          </c:yVal>
          <c:smooth val="1"/>
          <c:extLst>
            <c:ext xmlns:c16="http://schemas.microsoft.com/office/drawing/2014/chart" uri="{C3380CC4-5D6E-409C-BE32-E72D297353CC}">
              <c16:uniqueId val="{00000008-714D-45B8-9C11-70799D28F05C}"/>
            </c:ext>
          </c:extLst>
        </c:ser>
        <c:dLbls>
          <c:showLegendKey val="0"/>
          <c:showVal val="0"/>
          <c:showCatName val="0"/>
          <c:showSerName val="0"/>
          <c:showPercent val="0"/>
          <c:showBubbleSize val="0"/>
        </c:dLbls>
        <c:axId val="506213727"/>
        <c:axId val="506214143"/>
        <c:extLst>
          <c:ext xmlns:c15="http://schemas.microsoft.com/office/drawing/2012/chart" uri="{02D57815-91ED-43cb-92C2-25804820EDAC}">
            <c15:filteredScatterSeries>
              <c15:ser>
                <c:idx val="1"/>
                <c:order val="1"/>
                <c:tx>
                  <c:strRef>
                    <c:extLst>
                      <c:ext uri="{02D57815-91ED-43cb-92C2-25804820EDAC}">
                        <c15:formulaRef>
                          <c15:sqref>PSA_Results!$AB$37</c15:sqref>
                        </c15:formulaRef>
                      </c:ext>
                    </c:extLst>
                    <c:strCache>
                      <c:ptCount val="1"/>
                    </c:strCache>
                  </c:strRef>
                </c:tx>
                <c:spPr>
                  <a:ln w="25400" cap="rnd">
                    <a:no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PSA_Results!$AB$38:$AB$40</c15:sqref>
                        </c15:formulaRef>
                      </c:ext>
                    </c:extLst>
                    <c:numCache>
                      <c:formatCode>General</c:formatCode>
                      <c:ptCount val="3"/>
                    </c:numCache>
                  </c:numRef>
                </c:xVal>
                <c:yVal>
                  <c:numRef>
                    <c:extLst>
                      <c:ext uri="{02D57815-91ED-43cb-92C2-25804820EDAC}">
                        <c15:formulaRef>
                          <c15:sqref>PSA_Results!$AC$39:$AC$40</c15:sqref>
                        </c15:formulaRef>
                      </c:ext>
                    </c:extLst>
                    <c:numCache>
                      <c:formatCode>General</c:formatCode>
                      <c:ptCount val="2"/>
                    </c:numCache>
                  </c:numRef>
                </c:yVal>
                <c:smooth val="1"/>
                <c:extLst>
                  <c:ext xmlns:c16="http://schemas.microsoft.com/office/drawing/2014/chart" uri="{C3380CC4-5D6E-409C-BE32-E72D297353CC}">
                    <c16:uniqueId val="{00000005-714D-45B8-9C11-70799D28F05C}"/>
                  </c:ext>
                </c:extLst>
              </c15:ser>
            </c15:filteredScatterSeries>
          </c:ext>
        </c:extLst>
      </c:scatterChart>
      <c:valAx>
        <c:axId val="506213727"/>
        <c:scaling>
          <c:orientation val="minMax"/>
          <c:max val="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CRBSI</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214143"/>
        <c:crosses val="autoZero"/>
        <c:crossBetween val="midCat"/>
      </c:valAx>
      <c:valAx>
        <c:axId val="506214143"/>
        <c:scaling>
          <c:orientation val="minMax"/>
          <c:max val="2500"/>
          <c:min val="-2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Incremental</a:t>
                </a:r>
                <a:r>
                  <a:rPr lang="en-IN" baseline="0"/>
                  <a:t> Costs</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21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2</xdr:col>
      <xdr:colOff>44899</xdr:colOff>
      <xdr:row>30</xdr:row>
      <xdr:rowOff>168657</xdr:rowOff>
    </xdr:from>
    <xdr:to>
      <xdr:col>15</xdr:col>
      <xdr:colOff>19050</xdr:colOff>
      <xdr:row>31</xdr:row>
      <xdr:rowOff>2</xdr:rowOff>
    </xdr:to>
    <xdr:cxnSp macro="">
      <xdr:nvCxnSpPr>
        <xdr:cNvPr id="5" name="Straight Connector 4">
          <a:extLst>
            <a:ext uri="{FF2B5EF4-FFF2-40B4-BE49-F238E27FC236}">
              <a16:creationId xmlns:a16="http://schemas.microsoft.com/office/drawing/2014/main" id="{00000000-0008-0000-0200-000005000000}"/>
            </a:ext>
          </a:extLst>
        </xdr:cNvPr>
        <xdr:cNvCxnSpPr/>
      </xdr:nvCxnSpPr>
      <xdr:spPr>
        <a:xfrm flipV="1">
          <a:off x="1378399" y="6944107"/>
          <a:ext cx="9410251" cy="66295"/>
        </a:xfrm>
        <a:prstGeom prst="line">
          <a:avLst/>
        </a:prstGeom>
        <a:ln w="12700"/>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6350</xdr:colOff>
      <xdr:row>8</xdr:row>
      <xdr:rowOff>31750</xdr:rowOff>
    </xdr:from>
    <xdr:to>
      <xdr:col>19</xdr:col>
      <xdr:colOff>25400</xdr:colOff>
      <xdr:row>8</xdr:row>
      <xdr:rowOff>31750</xdr:rowOff>
    </xdr:to>
    <xdr:cxnSp macro="">
      <xdr:nvCxnSpPr>
        <xdr:cNvPr id="130" name="Straight Connector 129">
          <a:extLst>
            <a:ext uri="{FF2B5EF4-FFF2-40B4-BE49-F238E27FC236}">
              <a16:creationId xmlns:a16="http://schemas.microsoft.com/office/drawing/2014/main" id="{00000000-0008-0000-0300-000082000000}"/>
            </a:ext>
          </a:extLst>
        </xdr:cNvPr>
        <xdr:cNvCxnSpPr/>
      </xdr:nvCxnSpPr>
      <xdr:spPr>
        <a:xfrm>
          <a:off x="615950" y="1136650"/>
          <a:ext cx="10382250" cy="0"/>
        </a:xfrm>
        <a:prstGeom prst="line">
          <a:avLst/>
        </a:prstGeom>
        <a:ln w="12700"/>
      </xdr:spPr>
      <xdr:style>
        <a:lnRef idx="1">
          <a:schemeClr val="accent2"/>
        </a:lnRef>
        <a:fillRef idx="0">
          <a:schemeClr val="accent2"/>
        </a:fillRef>
        <a:effectRef idx="0">
          <a:schemeClr val="accent2"/>
        </a:effectRef>
        <a:fontRef idx="minor">
          <a:schemeClr val="tx1"/>
        </a:fontRef>
      </xdr:style>
    </xdr:cxnSp>
    <xdr:clientData/>
  </xdr:twoCellAnchor>
  <xdr:twoCellAnchor>
    <xdr:from>
      <xdr:col>7</xdr:col>
      <xdr:colOff>546100</xdr:colOff>
      <xdr:row>23</xdr:row>
      <xdr:rowOff>44450</xdr:rowOff>
    </xdr:from>
    <xdr:to>
      <xdr:col>10</xdr:col>
      <xdr:colOff>266700</xdr:colOff>
      <xdr:row>31</xdr:row>
      <xdr:rowOff>0</xdr:rowOff>
    </xdr:to>
    <xdr:sp macro="" textlink="">
      <xdr:nvSpPr>
        <xdr:cNvPr id="44" name="Oval 43">
          <a:extLst>
            <a:ext uri="{FF2B5EF4-FFF2-40B4-BE49-F238E27FC236}">
              <a16:creationId xmlns:a16="http://schemas.microsoft.com/office/drawing/2014/main" id="{00000000-0008-0000-0300-00002C000000}"/>
            </a:ext>
          </a:extLst>
        </xdr:cNvPr>
        <xdr:cNvSpPr/>
      </xdr:nvSpPr>
      <xdr:spPr>
        <a:xfrm>
          <a:off x="5232400" y="3911600"/>
          <a:ext cx="1549400" cy="1428750"/>
        </a:xfrm>
        <a:prstGeom prst="ellipse">
          <a:avLst/>
        </a:prstGeom>
        <a:solidFill>
          <a:srgbClr val="FF9933"/>
        </a:solidFill>
        <a:ln>
          <a:no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155121</xdr:colOff>
      <xdr:row>34</xdr:row>
      <xdr:rowOff>3628</xdr:rowOff>
    </xdr:from>
    <xdr:to>
      <xdr:col>7</xdr:col>
      <xdr:colOff>383721</xdr:colOff>
      <xdr:row>41</xdr:row>
      <xdr:rowOff>108857</xdr:rowOff>
    </xdr:to>
    <xdr:sp macro="" textlink="">
      <xdr:nvSpPr>
        <xdr:cNvPr id="45" name="Oval 44">
          <a:extLst>
            <a:ext uri="{FF2B5EF4-FFF2-40B4-BE49-F238E27FC236}">
              <a16:creationId xmlns:a16="http://schemas.microsoft.com/office/drawing/2014/main" id="{00000000-0008-0000-0300-00002D000000}"/>
            </a:ext>
          </a:extLst>
        </xdr:cNvPr>
        <xdr:cNvSpPr/>
      </xdr:nvSpPr>
      <xdr:spPr>
        <a:xfrm>
          <a:off x="2958192" y="6326414"/>
          <a:ext cx="1444172" cy="1375229"/>
        </a:xfrm>
        <a:prstGeom prst="ellipse">
          <a:avLst/>
        </a:prstGeom>
        <a:solidFill>
          <a:schemeClr val="accent4"/>
        </a:solidFill>
        <a:ln>
          <a:solidFill>
            <a:schemeClr val="accent4"/>
          </a:solid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139700</xdr:colOff>
      <xdr:row>25</xdr:row>
      <xdr:rowOff>82550</xdr:rowOff>
    </xdr:from>
    <xdr:to>
      <xdr:col>10</xdr:col>
      <xdr:colOff>101600</xdr:colOff>
      <xdr:row>29</xdr:row>
      <xdr:rowOff>19050</xdr:rowOff>
    </xdr:to>
    <xdr:sp macro="" textlink="">
      <xdr:nvSpPr>
        <xdr:cNvPr id="46" name="TextBox 45">
          <a:extLst>
            <a:ext uri="{FF2B5EF4-FFF2-40B4-BE49-F238E27FC236}">
              <a16:creationId xmlns:a16="http://schemas.microsoft.com/office/drawing/2014/main" id="{00000000-0008-0000-0300-00002E000000}"/>
            </a:ext>
          </a:extLst>
        </xdr:cNvPr>
        <xdr:cNvSpPr txBox="1"/>
      </xdr:nvSpPr>
      <xdr:spPr>
        <a:xfrm>
          <a:off x="5435600" y="4318000"/>
          <a:ext cx="1181100" cy="673100"/>
        </a:xfrm>
        <a:prstGeom prst="rect">
          <a:avLst/>
        </a:prstGeom>
        <a:solidFill>
          <a:srgbClr val="FF9933"/>
        </a:solidFill>
        <a:ln w="9525" cmpd="sng">
          <a:solidFill>
            <a:srgbClr val="FF9933"/>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IN" sz="1800" b="1" cap="none" spc="0">
              <a:ln w="6600">
                <a:solidFill>
                  <a:schemeClr val="accent2"/>
                </a:solidFill>
                <a:prstDash val="solid"/>
              </a:ln>
              <a:solidFill>
                <a:srgbClr val="FFFFFF"/>
              </a:solidFill>
              <a:effectLst>
                <a:outerShdw dist="38100" dir="2700000" algn="tl" rotWithShape="0">
                  <a:schemeClr val="accent2"/>
                </a:outerShdw>
              </a:effectLst>
              <a:latin typeface="+mn-lt"/>
              <a:ea typeface="+mn-ea"/>
              <a:cs typeface="+mn-cs"/>
            </a:rPr>
            <a:t>Hospital Setting</a:t>
          </a:r>
        </a:p>
        <a:p>
          <a:endParaRPr lang="en-IN" sz="1100"/>
        </a:p>
      </xdr:txBody>
    </xdr:sp>
    <xdr:clientData/>
  </xdr:twoCellAnchor>
  <xdr:twoCellAnchor>
    <xdr:from>
      <xdr:col>5</xdr:col>
      <xdr:colOff>266199</xdr:colOff>
      <xdr:row>36</xdr:row>
      <xdr:rowOff>135289</xdr:rowOff>
    </xdr:from>
    <xdr:to>
      <xdr:col>7</xdr:col>
      <xdr:colOff>239486</xdr:colOff>
      <xdr:row>38</xdr:row>
      <xdr:rowOff>142421</xdr:rowOff>
    </xdr:to>
    <xdr:sp macro="" textlink="">
      <xdr:nvSpPr>
        <xdr:cNvPr id="47" name="TextBox 46">
          <a:extLst>
            <a:ext uri="{FF2B5EF4-FFF2-40B4-BE49-F238E27FC236}">
              <a16:creationId xmlns:a16="http://schemas.microsoft.com/office/drawing/2014/main" id="{00000000-0008-0000-0300-00002F000000}"/>
            </a:ext>
          </a:extLst>
        </xdr:cNvPr>
        <xdr:cNvSpPr txBox="1"/>
      </xdr:nvSpPr>
      <xdr:spPr>
        <a:xfrm>
          <a:off x="3069270" y="6820932"/>
          <a:ext cx="1188859" cy="369989"/>
        </a:xfrm>
        <a:prstGeom prst="rect">
          <a:avLst/>
        </a:prstGeom>
        <a:solidFill>
          <a:schemeClr val="accent4"/>
        </a:solidFill>
        <a:ln>
          <a:solidFill>
            <a:schemeClr val="accent4"/>
          </a:solid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t"/>
        <a:lstStyle/>
        <a:p>
          <a:r>
            <a:rPr lang="en-IN" sz="1800" b="1" cap="none" spc="50">
              <a:ln w="0"/>
              <a:solidFill>
                <a:schemeClr val="bg1"/>
              </a:solidFill>
              <a:effectLst>
                <a:innerShdw blurRad="63500" dist="50800" dir="5400000">
                  <a:prstClr val="black">
                    <a:alpha val="50000"/>
                  </a:prstClr>
                </a:innerShdw>
              </a:effectLst>
            </a:rPr>
            <a:t>Discharge</a:t>
          </a:r>
        </a:p>
      </xdr:txBody>
    </xdr:sp>
    <xdr:clientData/>
  </xdr:twoCellAnchor>
  <xdr:twoCellAnchor>
    <xdr:from>
      <xdr:col>10</xdr:col>
      <xdr:colOff>360705</xdr:colOff>
      <xdr:row>33</xdr:row>
      <xdr:rowOff>120331</xdr:rowOff>
    </xdr:from>
    <xdr:to>
      <xdr:col>13</xdr:col>
      <xdr:colOff>80493</xdr:colOff>
      <xdr:row>41</xdr:row>
      <xdr:rowOff>80493</xdr:rowOff>
    </xdr:to>
    <xdr:sp macro="" textlink="">
      <xdr:nvSpPr>
        <xdr:cNvPr id="48" name="Oval 47">
          <a:extLst>
            <a:ext uri="{FF2B5EF4-FFF2-40B4-BE49-F238E27FC236}">
              <a16:creationId xmlns:a16="http://schemas.microsoft.com/office/drawing/2014/main" id="{00000000-0008-0000-0300-000030000000}"/>
            </a:ext>
          </a:extLst>
        </xdr:cNvPr>
        <xdr:cNvSpPr/>
      </xdr:nvSpPr>
      <xdr:spPr>
        <a:xfrm>
          <a:off x="6209860" y="6461387"/>
          <a:ext cx="1544295" cy="1462698"/>
        </a:xfrm>
        <a:prstGeom prst="ellipse">
          <a:avLst/>
        </a:prstGeom>
        <a:solidFill>
          <a:schemeClr val="accent4"/>
        </a:solidFill>
        <a:ln>
          <a:solidFill>
            <a:schemeClr val="accent4"/>
          </a:solid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31045</xdr:colOff>
      <xdr:row>36</xdr:row>
      <xdr:rowOff>74851</xdr:rowOff>
    </xdr:from>
    <xdr:to>
      <xdr:col>12</xdr:col>
      <xdr:colOff>514082</xdr:colOff>
      <xdr:row>38</xdr:row>
      <xdr:rowOff>49013</xdr:rowOff>
    </xdr:to>
    <xdr:sp macro="" textlink="">
      <xdr:nvSpPr>
        <xdr:cNvPr id="49" name="TextBox 48">
          <a:extLst>
            <a:ext uri="{FF2B5EF4-FFF2-40B4-BE49-F238E27FC236}">
              <a16:creationId xmlns:a16="http://schemas.microsoft.com/office/drawing/2014/main" id="{00000000-0008-0000-0300-000031000000}"/>
            </a:ext>
          </a:extLst>
        </xdr:cNvPr>
        <xdr:cNvSpPr txBox="1"/>
      </xdr:nvSpPr>
      <xdr:spPr>
        <a:xfrm>
          <a:off x="6501695" y="6856651"/>
          <a:ext cx="1092637" cy="342462"/>
        </a:xfrm>
        <a:prstGeom prst="rect">
          <a:avLst/>
        </a:prstGeom>
        <a:solidFill>
          <a:schemeClr val="accent4"/>
        </a:solidFill>
        <a:ln w="9525" cmpd="sng">
          <a:solidFill>
            <a:schemeClr val="accent4"/>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IN" sz="1800" b="1" cap="none" spc="50">
              <a:ln w="0"/>
              <a:solidFill>
                <a:schemeClr val="bg1"/>
              </a:solidFill>
              <a:effectLst>
                <a:innerShdw blurRad="63500" dist="50800" dir="5400000">
                  <a:prstClr val="black">
                    <a:alpha val="50000"/>
                  </a:prstClr>
                </a:innerShdw>
              </a:effectLst>
              <a:latin typeface="+mn-lt"/>
              <a:ea typeface="+mn-ea"/>
              <a:cs typeface="+mn-cs"/>
            </a:rPr>
            <a:t>Death</a:t>
          </a:r>
        </a:p>
      </xdr:txBody>
    </xdr:sp>
    <xdr:clientData/>
  </xdr:twoCellAnchor>
  <xdr:twoCellAnchor>
    <xdr:from>
      <xdr:col>7</xdr:col>
      <xdr:colOff>265998</xdr:colOff>
      <xdr:row>29</xdr:row>
      <xdr:rowOff>96659</xdr:rowOff>
    </xdr:from>
    <xdr:to>
      <xdr:col>8</xdr:col>
      <xdr:colOff>49013</xdr:colOff>
      <xdr:row>34</xdr:row>
      <xdr:rowOff>176013</xdr:rowOff>
    </xdr:to>
    <xdr:sp macro="" textlink="">
      <xdr:nvSpPr>
        <xdr:cNvPr id="50" name="Arrow: Right 49">
          <a:extLst>
            <a:ext uri="{FF2B5EF4-FFF2-40B4-BE49-F238E27FC236}">
              <a16:creationId xmlns:a16="http://schemas.microsoft.com/office/drawing/2014/main" id="{00000000-0008-0000-0300-000032000000}"/>
            </a:ext>
          </a:extLst>
        </xdr:cNvPr>
        <xdr:cNvSpPr/>
      </xdr:nvSpPr>
      <xdr:spPr>
        <a:xfrm rot="7970527">
          <a:off x="3986793" y="5810150"/>
          <a:ext cx="986497" cy="390801"/>
        </a:xfrm>
        <a:prstGeom prst="rightArrow">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264574</xdr:colOff>
      <xdr:row>29</xdr:row>
      <xdr:rowOff>59275</xdr:rowOff>
    </xdr:from>
    <xdr:to>
      <xdr:col>11</xdr:col>
      <xdr:colOff>16131</xdr:colOff>
      <xdr:row>34</xdr:row>
      <xdr:rowOff>110562</xdr:rowOff>
    </xdr:to>
    <xdr:sp macro="" textlink="">
      <xdr:nvSpPr>
        <xdr:cNvPr id="51" name="Arrow: Right 50">
          <a:extLst>
            <a:ext uri="{FF2B5EF4-FFF2-40B4-BE49-F238E27FC236}">
              <a16:creationId xmlns:a16="http://schemas.microsoft.com/office/drawing/2014/main" id="{00000000-0008-0000-0300-000033000000}"/>
            </a:ext>
          </a:extLst>
        </xdr:cNvPr>
        <xdr:cNvSpPr/>
      </xdr:nvSpPr>
      <xdr:spPr>
        <a:xfrm rot="2708831">
          <a:off x="5798406" y="5964387"/>
          <a:ext cx="990371" cy="359726"/>
        </a:xfrm>
        <a:prstGeom prst="rightArrow">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177800</xdr:colOff>
      <xdr:row>24</xdr:row>
      <xdr:rowOff>101600</xdr:rowOff>
    </xdr:from>
    <xdr:to>
      <xdr:col>15</xdr:col>
      <xdr:colOff>203200</xdr:colOff>
      <xdr:row>26</xdr:row>
      <xdr:rowOff>95250</xdr:rowOff>
    </xdr:to>
    <xdr:sp macro="" textlink="">
      <xdr:nvSpPr>
        <xdr:cNvPr id="53" name="Oval 52">
          <a:extLst>
            <a:ext uri="{FF2B5EF4-FFF2-40B4-BE49-F238E27FC236}">
              <a16:creationId xmlns:a16="http://schemas.microsoft.com/office/drawing/2014/main" id="{00000000-0008-0000-0300-000035000000}"/>
            </a:ext>
          </a:extLst>
        </xdr:cNvPr>
        <xdr:cNvSpPr/>
      </xdr:nvSpPr>
      <xdr:spPr>
        <a:xfrm>
          <a:off x="9131300" y="4152900"/>
          <a:ext cx="381000" cy="361950"/>
        </a:xfrm>
        <a:prstGeom prst="ellipse">
          <a:avLst/>
        </a:prstGeom>
        <a:solidFill>
          <a:srgbClr val="FF9933"/>
        </a:solidFill>
        <a:ln>
          <a:no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203201</xdr:colOff>
      <xdr:row>27</xdr:row>
      <xdr:rowOff>87048</xdr:rowOff>
    </xdr:from>
    <xdr:to>
      <xdr:col>15</xdr:col>
      <xdr:colOff>228601</xdr:colOff>
      <xdr:row>29</xdr:row>
      <xdr:rowOff>80698</xdr:rowOff>
    </xdr:to>
    <xdr:sp macro="" textlink="">
      <xdr:nvSpPr>
        <xdr:cNvPr id="54" name="Oval 53">
          <a:extLst>
            <a:ext uri="{FF2B5EF4-FFF2-40B4-BE49-F238E27FC236}">
              <a16:creationId xmlns:a16="http://schemas.microsoft.com/office/drawing/2014/main" id="{00000000-0008-0000-0300-000036000000}"/>
            </a:ext>
          </a:extLst>
        </xdr:cNvPr>
        <xdr:cNvSpPr/>
      </xdr:nvSpPr>
      <xdr:spPr>
        <a:xfrm>
          <a:off x="7882732" y="4717256"/>
          <a:ext cx="382588" cy="364067"/>
        </a:xfrm>
        <a:prstGeom prst="ellipse">
          <a:avLst/>
        </a:prstGeom>
        <a:solidFill>
          <a:schemeClr val="accent4"/>
        </a:solidFill>
        <a:ln>
          <a:solidFill>
            <a:schemeClr val="accent4"/>
          </a:solid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98535</xdr:colOff>
      <xdr:row>50</xdr:row>
      <xdr:rowOff>131381</xdr:rowOff>
    </xdr:from>
    <xdr:to>
      <xdr:col>7</xdr:col>
      <xdr:colOff>295604</xdr:colOff>
      <xdr:row>52</xdr:row>
      <xdr:rowOff>142330</xdr:rowOff>
    </xdr:to>
    <xdr:sp macro="" textlink="">
      <xdr:nvSpPr>
        <xdr:cNvPr id="98" name="Text Box 229">
          <a:extLst>
            <a:ext uri="{FF2B5EF4-FFF2-40B4-BE49-F238E27FC236}">
              <a16:creationId xmlns:a16="http://schemas.microsoft.com/office/drawing/2014/main" id="{00000000-0008-0000-0300-000062000000}"/>
            </a:ext>
          </a:extLst>
        </xdr:cNvPr>
        <xdr:cNvSpPr txBox="1">
          <a:spLocks noChangeArrowheads="1"/>
        </xdr:cNvSpPr>
      </xdr:nvSpPr>
      <xdr:spPr bwMode="auto">
        <a:xfrm>
          <a:off x="15948135" y="5103431"/>
          <a:ext cx="2025869" cy="379249"/>
        </a:xfrm>
        <a:prstGeom prst="rect">
          <a:avLst/>
        </a:prstGeom>
        <a:solidFill>
          <a:srgbClr val="9CC2E5"/>
        </a:solidFill>
        <a:ln w="9525">
          <a:solidFill>
            <a:srgbClr val="9CC2E5"/>
          </a:solidFill>
          <a:miter lim="800000"/>
          <a:headEnd/>
          <a:tailEnd/>
        </a:ln>
      </xdr:spPr>
      <xdr:txBody>
        <a:bodyPr vertOverflow="clip" wrap="square" lIns="91440" tIns="45720" rIns="91440" bIns="45720" anchor="ctr" upright="1"/>
        <a:lstStyle/>
        <a:p>
          <a:pPr algn="ctr" rtl="0">
            <a:defRPr sz="1000"/>
          </a:pPr>
          <a:r>
            <a:rPr lang="en-IN" sz="1100" b="0" i="0" u="none" strike="noStrike" baseline="0">
              <a:solidFill>
                <a:srgbClr val="000000"/>
              </a:solidFill>
              <a:latin typeface="Calibri"/>
              <a:cs typeface="Calibri"/>
            </a:rPr>
            <a:t>1.No AE/ no CRBSI / No CT new</a:t>
          </a:r>
        </a:p>
      </xdr:txBody>
    </xdr:sp>
    <xdr:clientData/>
  </xdr:twoCellAnchor>
  <xdr:twoCellAnchor>
    <xdr:from>
      <xdr:col>4</xdr:col>
      <xdr:colOff>350345</xdr:colOff>
      <xdr:row>67</xdr:row>
      <xdr:rowOff>65690</xdr:rowOff>
    </xdr:from>
    <xdr:to>
      <xdr:col>7</xdr:col>
      <xdr:colOff>280442</xdr:colOff>
      <xdr:row>69</xdr:row>
      <xdr:rowOff>97440</xdr:rowOff>
    </xdr:to>
    <xdr:sp macro="" textlink="">
      <xdr:nvSpPr>
        <xdr:cNvPr id="99" name="Text Box 9">
          <a:extLst>
            <a:ext uri="{FF2B5EF4-FFF2-40B4-BE49-F238E27FC236}">
              <a16:creationId xmlns:a16="http://schemas.microsoft.com/office/drawing/2014/main" id="{00000000-0008-0000-0300-000063000000}"/>
            </a:ext>
          </a:extLst>
        </xdr:cNvPr>
        <xdr:cNvSpPr txBox="1">
          <a:spLocks noChangeArrowheads="1"/>
        </xdr:cNvSpPr>
      </xdr:nvSpPr>
      <xdr:spPr bwMode="auto">
        <a:xfrm>
          <a:off x="16199945" y="8168290"/>
          <a:ext cx="1758897" cy="400050"/>
        </a:xfrm>
        <a:prstGeom prst="rect">
          <a:avLst/>
        </a:prstGeom>
        <a:solidFill>
          <a:srgbClr val="DEEAF6"/>
        </a:solidFill>
        <a:ln w="6350">
          <a:solidFill>
            <a:srgbClr val="DEEAF6"/>
          </a:solidFill>
          <a:miter lim="800000"/>
          <a:headEnd/>
          <a:tailEnd/>
        </a:ln>
      </xdr:spPr>
      <xdr:txBody>
        <a:bodyPr vertOverflow="clip" wrap="square" lIns="91440" tIns="45720" rIns="91440" bIns="45720" anchor="ctr" upright="1"/>
        <a:lstStyle/>
        <a:p>
          <a:pPr algn="ctr" rtl="0">
            <a:defRPr sz="1000"/>
          </a:pPr>
          <a:r>
            <a:rPr lang="en-IN" sz="1100" b="0" i="0" u="none" strike="noStrike" baseline="0">
              <a:solidFill>
                <a:srgbClr val="000000"/>
              </a:solidFill>
              <a:latin typeface="Calibri"/>
              <a:cs typeface="Calibri"/>
            </a:rPr>
            <a:t>2. no AE/ no CRBSI/ CT new</a:t>
          </a:r>
        </a:p>
      </xdr:txBody>
    </xdr:sp>
    <xdr:clientData/>
  </xdr:twoCellAnchor>
  <xdr:twoCellAnchor>
    <xdr:from>
      <xdr:col>10</xdr:col>
      <xdr:colOff>385876</xdr:colOff>
      <xdr:row>53</xdr:row>
      <xdr:rowOff>108449</xdr:rowOff>
    </xdr:from>
    <xdr:to>
      <xdr:col>13</xdr:col>
      <xdr:colOff>363979</xdr:colOff>
      <xdr:row>55</xdr:row>
      <xdr:rowOff>75605</xdr:rowOff>
    </xdr:to>
    <xdr:sp macro="" textlink="">
      <xdr:nvSpPr>
        <xdr:cNvPr id="100" name="Text Box 14">
          <a:extLst>
            <a:ext uri="{FF2B5EF4-FFF2-40B4-BE49-F238E27FC236}">
              <a16:creationId xmlns:a16="http://schemas.microsoft.com/office/drawing/2014/main" id="{00000000-0008-0000-0300-000064000000}"/>
            </a:ext>
          </a:extLst>
        </xdr:cNvPr>
        <xdr:cNvSpPr txBox="1">
          <a:spLocks noChangeArrowheads="1"/>
        </xdr:cNvSpPr>
      </xdr:nvSpPr>
      <xdr:spPr bwMode="auto">
        <a:xfrm>
          <a:off x="6915593" y="9274015"/>
          <a:ext cx="1811216" cy="326590"/>
        </a:xfrm>
        <a:prstGeom prst="rect">
          <a:avLst/>
        </a:prstGeom>
        <a:solidFill>
          <a:srgbClr val="C00000"/>
        </a:solidFill>
        <a:ln w="6350">
          <a:solidFill>
            <a:srgbClr val="C00000"/>
          </a:solidFill>
          <a:miter lim="800000"/>
          <a:headEnd/>
          <a:tailEnd/>
        </a:ln>
      </xdr:spPr>
      <xdr:txBody>
        <a:bodyPr vertOverflow="clip" wrap="square" lIns="91440" tIns="45720" rIns="91440" bIns="45720" anchor="ctr" upright="1"/>
        <a:lstStyle/>
        <a:p>
          <a:pPr algn="ctr" rtl="0">
            <a:defRPr sz="1000"/>
          </a:pPr>
          <a:r>
            <a:rPr lang="en-IN" sz="1100" b="0" i="0" u="none" strike="noStrike" baseline="0">
              <a:solidFill>
                <a:schemeClr val="bg1"/>
              </a:solidFill>
              <a:latin typeface="Calibri"/>
              <a:cs typeface="Calibri"/>
            </a:rPr>
            <a:t>3. No AE/ CRBSI / No CT new</a:t>
          </a:r>
        </a:p>
      </xdr:txBody>
    </xdr:sp>
    <xdr:clientData/>
  </xdr:twoCellAnchor>
  <xdr:twoCellAnchor>
    <xdr:from>
      <xdr:col>10</xdr:col>
      <xdr:colOff>444500</xdr:colOff>
      <xdr:row>63</xdr:row>
      <xdr:rowOff>109482</xdr:rowOff>
    </xdr:from>
    <xdr:to>
      <xdr:col>13</xdr:col>
      <xdr:colOff>317500</xdr:colOff>
      <xdr:row>65</xdr:row>
      <xdr:rowOff>32845</xdr:rowOff>
    </xdr:to>
    <xdr:sp macro="" textlink="">
      <xdr:nvSpPr>
        <xdr:cNvPr id="101" name="Text Box 2">
          <a:extLst>
            <a:ext uri="{FF2B5EF4-FFF2-40B4-BE49-F238E27FC236}">
              <a16:creationId xmlns:a16="http://schemas.microsoft.com/office/drawing/2014/main" id="{00000000-0008-0000-0300-000065000000}"/>
            </a:ext>
          </a:extLst>
        </xdr:cNvPr>
        <xdr:cNvSpPr txBox="1">
          <a:spLocks noChangeArrowheads="1"/>
        </xdr:cNvSpPr>
      </xdr:nvSpPr>
      <xdr:spPr bwMode="auto">
        <a:xfrm>
          <a:off x="6305550" y="11863332"/>
          <a:ext cx="1701800" cy="291663"/>
        </a:xfrm>
        <a:prstGeom prst="rect">
          <a:avLst/>
        </a:prstGeom>
        <a:solidFill>
          <a:srgbClr val="FF0000"/>
        </a:solidFill>
        <a:ln w="9525">
          <a:solidFill>
            <a:srgbClr val="FF0000"/>
          </a:solid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solidFill>
                <a:srgbClr val="FFFFFF"/>
              </a:solidFill>
              <a:effectLst/>
              <a:latin typeface="Calibri" panose="020F0502020204030204" pitchFamily="34" charset="0"/>
              <a:ea typeface="Calibri" panose="020F0502020204030204" pitchFamily="34" charset="0"/>
              <a:cs typeface="Times New Roman" panose="02020603050405020304" pitchFamily="18" charset="0"/>
            </a:rPr>
            <a:t>4. No AE/ CRBSI/ CT new</a:t>
          </a:r>
          <a:endParaRPr lang="en-IN" sz="1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twoCellAnchor>
    <xdr:from>
      <xdr:col>14</xdr:col>
      <xdr:colOff>394138</xdr:colOff>
      <xdr:row>57</xdr:row>
      <xdr:rowOff>98534</xdr:rowOff>
    </xdr:from>
    <xdr:to>
      <xdr:col>17</xdr:col>
      <xdr:colOff>336988</xdr:colOff>
      <xdr:row>59</xdr:row>
      <xdr:rowOff>104884</xdr:rowOff>
    </xdr:to>
    <xdr:sp macro="" textlink="">
      <xdr:nvSpPr>
        <xdr:cNvPr id="102" name="Text Box 231">
          <a:extLst>
            <a:ext uri="{FF2B5EF4-FFF2-40B4-BE49-F238E27FC236}">
              <a16:creationId xmlns:a16="http://schemas.microsoft.com/office/drawing/2014/main" id="{00000000-0008-0000-0300-000066000000}"/>
            </a:ext>
          </a:extLst>
        </xdr:cNvPr>
        <xdr:cNvSpPr txBox="1">
          <a:spLocks noChangeArrowheads="1"/>
        </xdr:cNvSpPr>
      </xdr:nvSpPr>
      <xdr:spPr bwMode="auto">
        <a:xfrm>
          <a:off x="22339738" y="6359634"/>
          <a:ext cx="1771650" cy="374650"/>
        </a:xfrm>
        <a:prstGeom prst="rect">
          <a:avLst/>
        </a:prstGeom>
        <a:solidFill>
          <a:srgbClr val="FF9933"/>
        </a:solidFill>
        <a:ln w="9525">
          <a:solidFill>
            <a:schemeClr val="accent4"/>
          </a:solidFill>
          <a:miter lim="800000"/>
          <a:headEnd/>
          <a:tailEnd/>
        </a:ln>
      </xdr:spPr>
      <xdr:txBody>
        <a:bodyPr vertOverflow="clip" wrap="square" lIns="91440" tIns="45720" rIns="91440" bIns="45720" anchor="ctr" upright="1"/>
        <a:lstStyle/>
        <a:p>
          <a:pPr algn="ctr" rtl="0">
            <a:defRPr sz="1000"/>
          </a:pPr>
          <a:r>
            <a:rPr lang="en-IN" sz="1100" b="0" i="0" u="none" strike="noStrike" baseline="0">
              <a:solidFill>
                <a:schemeClr val="bg1"/>
              </a:solidFill>
              <a:latin typeface="Calibri"/>
              <a:cs typeface="Calibri"/>
            </a:rPr>
            <a:t>5. AE/ no CRBSI/ No CT new</a:t>
          </a:r>
        </a:p>
      </xdr:txBody>
    </xdr:sp>
    <xdr:clientData/>
  </xdr:twoCellAnchor>
  <xdr:twoCellAnchor>
    <xdr:from>
      <xdr:col>18</xdr:col>
      <xdr:colOff>525517</xdr:colOff>
      <xdr:row>57</xdr:row>
      <xdr:rowOff>117332</xdr:rowOff>
    </xdr:from>
    <xdr:to>
      <xdr:col>20</xdr:col>
      <xdr:colOff>247650</xdr:colOff>
      <xdr:row>59</xdr:row>
      <xdr:rowOff>73539</xdr:rowOff>
    </xdr:to>
    <xdr:sp macro="" textlink="">
      <xdr:nvSpPr>
        <xdr:cNvPr id="103" name="Text Box 11">
          <a:extLst>
            <a:ext uri="{FF2B5EF4-FFF2-40B4-BE49-F238E27FC236}">
              <a16:creationId xmlns:a16="http://schemas.microsoft.com/office/drawing/2014/main" id="{00000000-0008-0000-0300-000067000000}"/>
            </a:ext>
          </a:extLst>
        </xdr:cNvPr>
        <xdr:cNvSpPr txBox="1">
          <a:spLocks noChangeArrowheads="1"/>
        </xdr:cNvSpPr>
      </xdr:nvSpPr>
      <xdr:spPr bwMode="auto">
        <a:xfrm>
          <a:off x="11663417" y="10245582"/>
          <a:ext cx="941333" cy="324507"/>
        </a:xfrm>
        <a:prstGeom prst="rect">
          <a:avLst/>
        </a:prstGeom>
        <a:solidFill>
          <a:schemeClr val="accent4"/>
        </a:solidFill>
        <a:ln w="6350">
          <a:solidFill>
            <a:schemeClr val="accent4"/>
          </a:solidFill>
          <a:miter lim="800000"/>
          <a:headEnd/>
          <a:tailEnd/>
        </a:ln>
      </xdr:spPr>
      <xdr:txBody>
        <a:bodyPr vertOverflow="clip" wrap="square" lIns="91440" tIns="45720" rIns="91440" bIns="45720" anchor="t" upright="1"/>
        <a:lstStyle/>
        <a:p>
          <a:pPr algn="l" rtl="0">
            <a:defRPr sz="1000"/>
          </a:pPr>
          <a:r>
            <a:rPr lang="en-IN" sz="1100" b="0" i="0" u="none" strike="noStrike" baseline="0">
              <a:solidFill>
                <a:srgbClr val="FFFFFF"/>
              </a:solidFill>
              <a:latin typeface="Calibri"/>
              <a:cs typeface="Calibri"/>
            </a:rPr>
            <a:t>6. G+S</a:t>
          </a:r>
        </a:p>
      </xdr:txBody>
    </xdr:sp>
    <xdr:clientData/>
  </xdr:twoCellAnchor>
  <xdr:twoCellAnchor>
    <xdr:from>
      <xdr:col>13</xdr:col>
      <xdr:colOff>371416</xdr:colOff>
      <xdr:row>54</xdr:row>
      <xdr:rowOff>47925</xdr:rowOff>
    </xdr:from>
    <xdr:to>
      <xdr:col>15</xdr:col>
      <xdr:colOff>574155</xdr:colOff>
      <xdr:row>57</xdr:row>
      <xdr:rowOff>98534</xdr:rowOff>
    </xdr:to>
    <xdr:cxnSp macro="">
      <xdr:nvCxnSpPr>
        <xdr:cNvPr id="105" name="Straight Arrow Connector 31">
          <a:extLst>
            <a:ext uri="{FF2B5EF4-FFF2-40B4-BE49-F238E27FC236}">
              <a16:creationId xmlns:a16="http://schemas.microsoft.com/office/drawing/2014/main" id="{00000000-0008-0000-0300-000069000000}"/>
            </a:ext>
          </a:extLst>
        </xdr:cNvPr>
        <xdr:cNvCxnSpPr>
          <a:cxnSpLocks/>
        </xdr:cNvCxnSpPr>
      </xdr:nvCxnSpPr>
      <xdr:spPr>
        <a:xfrm>
          <a:off x="8734246" y="9393208"/>
          <a:ext cx="1173211" cy="589760"/>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263586</xdr:colOff>
      <xdr:row>59</xdr:row>
      <xdr:rowOff>104884</xdr:rowOff>
    </xdr:from>
    <xdr:to>
      <xdr:col>15</xdr:col>
      <xdr:colOff>550193</xdr:colOff>
      <xdr:row>64</xdr:row>
      <xdr:rowOff>59905</xdr:rowOff>
    </xdr:to>
    <xdr:cxnSp macro="">
      <xdr:nvCxnSpPr>
        <xdr:cNvPr id="106" name="Straight Arrow Connector 31">
          <a:extLst>
            <a:ext uri="{FF2B5EF4-FFF2-40B4-BE49-F238E27FC236}">
              <a16:creationId xmlns:a16="http://schemas.microsoft.com/office/drawing/2014/main" id="{00000000-0008-0000-0300-00006A000000}"/>
            </a:ext>
          </a:extLst>
        </xdr:cNvPr>
        <xdr:cNvCxnSpPr>
          <a:cxnSpLocks/>
        </xdr:cNvCxnSpPr>
      </xdr:nvCxnSpPr>
      <xdr:spPr>
        <a:xfrm flipV="1">
          <a:off x="8626416" y="10348752"/>
          <a:ext cx="1257079" cy="853606"/>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537047</xdr:colOff>
      <xdr:row>65</xdr:row>
      <xdr:rowOff>32845</xdr:rowOff>
    </xdr:from>
    <xdr:to>
      <xdr:col>11</xdr:col>
      <xdr:colOff>533678</xdr:colOff>
      <xdr:row>69</xdr:row>
      <xdr:rowOff>97440</xdr:rowOff>
    </xdr:to>
    <xdr:cxnSp macro="">
      <xdr:nvCxnSpPr>
        <xdr:cNvPr id="11" name="Straight Arrow Connector 10">
          <a:extLst>
            <a:ext uri="{FF2B5EF4-FFF2-40B4-BE49-F238E27FC236}">
              <a16:creationId xmlns:a16="http://schemas.microsoft.com/office/drawing/2014/main" id="{00000000-0008-0000-0300-00000B000000}"/>
            </a:ext>
          </a:extLst>
        </xdr:cNvPr>
        <xdr:cNvCxnSpPr/>
      </xdr:nvCxnSpPr>
      <xdr:spPr>
        <a:xfrm rot="5400000" flipH="1" flipV="1">
          <a:off x="5451272" y="9915318"/>
          <a:ext cx="783463" cy="3662858"/>
        </a:xfrm>
        <a:prstGeom prst="bentConnector3">
          <a:avLst>
            <a:gd name="adj1" fmla="val -29178"/>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502589</xdr:colOff>
      <xdr:row>50</xdr:row>
      <xdr:rowOff>131380</xdr:rowOff>
    </xdr:from>
    <xdr:to>
      <xdr:col>12</xdr:col>
      <xdr:colOff>69409</xdr:colOff>
      <xdr:row>53</xdr:row>
      <xdr:rowOff>108448</xdr:rowOff>
    </xdr:to>
    <xdr:cxnSp macro="">
      <xdr:nvCxnSpPr>
        <xdr:cNvPr id="109" name="Straight Arrow Connector 10">
          <a:extLst>
            <a:ext uri="{FF2B5EF4-FFF2-40B4-BE49-F238E27FC236}">
              <a16:creationId xmlns:a16="http://schemas.microsoft.com/office/drawing/2014/main" id="{00000000-0008-0000-0300-00006D000000}"/>
            </a:ext>
          </a:extLst>
        </xdr:cNvPr>
        <xdr:cNvCxnSpPr>
          <a:stCxn id="98" idx="0"/>
          <a:endCxn id="100" idx="0"/>
        </xdr:cNvCxnSpPr>
      </xdr:nvCxnSpPr>
      <xdr:spPr>
        <a:xfrm rot="16200000" flipH="1">
          <a:off x="5641049" y="7093863"/>
          <a:ext cx="516219" cy="3844084"/>
        </a:xfrm>
        <a:prstGeom prst="bentConnector3">
          <a:avLst>
            <a:gd name="adj1" fmla="val -44284"/>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98535</xdr:colOff>
      <xdr:row>51</xdr:row>
      <xdr:rowOff>136856</xdr:rowOff>
    </xdr:from>
    <xdr:to>
      <xdr:col>4</xdr:col>
      <xdr:colOff>350345</xdr:colOff>
      <xdr:row>68</xdr:row>
      <xdr:rowOff>81565</xdr:rowOff>
    </xdr:to>
    <xdr:cxnSp macro="">
      <xdr:nvCxnSpPr>
        <xdr:cNvPr id="110" name="Straight Arrow Connector 10">
          <a:extLst>
            <a:ext uri="{FF2B5EF4-FFF2-40B4-BE49-F238E27FC236}">
              <a16:creationId xmlns:a16="http://schemas.microsoft.com/office/drawing/2014/main" id="{00000000-0008-0000-0300-00006E000000}"/>
            </a:ext>
          </a:extLst>
        </xdr:cNvPr>
        <xdr:cNvCxnSpPr>
          <a:stCxn id="98" idx="1"/>
          <a:endCxn id="99" idx="1"/>
        </xdr:cNvCxnSpPr>
      </xdr:nvCxnSpPr>
      <xdr:spPr>
        <a:xfrm rot="10800000" flipH="1" flipV="1">
          <a:off x="2962026" y="8942988"/>
          <a:ext cx="251810" cy="2999898"/>
        </a:xfrm>
        <a:prstGeom prst="bentConnector3">
          <a:avLst>
            <a:gd name="adj1" fmla="val -90783"/>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297422</xdr:colOff>
      <xdr:row>59</xdr:row>
      <xdr:rowOff>104884</xdr:rowOff>
    </xdr:from>
    <xdr:to>
      <xdr:col>16</xdr:col>
      <xdr:colOff>166796</xdr:colOff>
      <xdr:row>72</xdr:row>
      <xdr:rowOff>73478</xdr:rowOff>
    </xdr:to>
    <xdr:cxnSp macro="">
      <xdr:nvCxnSpPr>
        <xdr:cNvPr id="20" name="Straight Arrow Connector 19">
          <a:extLst>
            <a:ext uri="{FF2B5EF4-FFF2-40B4-BE49-F238E27FC236}">
              <a16:creationId xmlns:a16="http://schemas.microsoft.com/office/drawing/2014/main" id="{00000000-0008-0000-0300-000014000000}"/>
            </a:ext>
          </a:extLst>
        </xdr:cNvPr>
        <xdr:cNvCxnSpPr>
          <a:endCxn id="102" idx="2"/>
        </xdr:cNvCxnSpPr>
      </xdr:nvCxnSpPr>
      <xdr:spPr>
        <a:xfrm flipV="1">
          <a:off x="3771950" y="10348752"/>
          <a:ext cx="6339186" cy="2304915"/>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287547</xdr:colOff>
      <xdr:row>69</xdr:row>
      <xdr:rowOff>119811</xdr:rowOff>
    </xdr:from>
    <xdr:to>
      <xdr:col>5</xdr:col>
      <xdr:colOff>287547</xdr:colOff>
      <xdr:row>72</xdr:row>
      <xdr:rowOff>83868</xdr:rowOff>
    </xdr:to>
    <xdr:cxnSp macro="">
      <xdr:nvCxnSpPr>
        <xdr:cNvPr id="29" name="Straight Connector 28">
          <a:extLst>
            <a:ext uri="{FF2B5EF4-FFF2-40B4-BE49-F238E27FC236}">
              <a16:creationId xmlns:a16="http://schemas.microsoft.com/office/drawing/2014/main" id="{00000000-0008-0000-0300-00001D000000}"/>
            </a:ext>
          </a:extLst>
        </xdr:cNvPr>
        <xdr:cNvCxnSpPr/>
      </xdr:nvCxnSpPr>
      <xdr:spPr>
        <a:xfrm>
          <a:off x="3762075" y="12160849"/>
          <a:ext cx="0" cy="50320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275566</xdr:colOff>
      <xdr:row>48</xdr:row>
      <xdr:rowOff>11981</xdr:rowOff>
    </xdr:from>
    <xdr:to>
      <xdr:col>5</xdr:col>
      <xdr:colOff>275566</xdr:colOff>
      <xdr:row>50</xdr:row>
      <xdr:rowOff>155755</xdr:rowOff>
    </xdr:to>
    <xdr:cxnSp macro="">
      <xdr:nvCxnSpPr>
        <xdr:cNvPr id="111" name="Straight Connector 110">
          <a:extLst>
            <a:ext uri="{FF2B5EF4-FFF2-40B4-BE49-F238E27FC236}">
              <a16:creationId xmlns:a16="http://schemas.microsoft.com/office/drawing/2014/main" id="{00000000-0008-0000-0300-00006F000000}"/>
            </a:ext>
          </a:extLst>
        </xdr:cNvPr>
        <xdr:cNvCxnSpPr/>
      </xdr:nvCxnSpPr>
      <xdr:spPr>
        <a:xfrm>
          <a:off x="3750094" y="8278962"/>
          <a:ext cx="0" cy="50320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275566</xdr:colOff>
      <xdr:row>48</xdr:row>
      <xdr:rowOff>11982</xdr:rowOff>
    </xdr:from>
    <xdr:to>
      <xdr:col>16</xdr:col>
      <xdr:colOff>166796</xdr:colOff>
      <xdr:row>57</xdr:row>
      <xdr:rowOff>98534</xdr:rowOff>
    </xdr:to>
    <xdr:cxnSp macro="">
      <xdr:nvCxnSpPr>
        <xdr:cNvPr id="112" name="Straight Arrow Connector 19">
          <a:extLst>
            <a:ext uri="{FF2B5EF4-FFF2-40B4-BE49-F238E27FC236}">
              <a16:creationId xmlns:a16="http://schemas.microsoft.com/office/drawing/2014/main" id="{00000000-0008-0000-0300-000070000000}"/>
            </a:ext>
          </a:extLst>
        </xdr:cNvPr>
        <xdr:cNvCxnSpPr>
          <a:endCxn id="102" idx="0"/>
        </xdr:cNvCxnSpPr>
      </xdr:nvCxnSpPr>
      <xdr:spPr>
        <a:xfrm>
          <a:off x="3750094" y="8278963"/>
          <a:ext cx="6361042" cy="1704005"/>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501870</xdr:colOff>
      <xdr:row>52</xdr:row>
      <xdr:rowOff>142330</xdr:rowOff>
    </xdr:from>
    <xdr:to>
      <xdr:col>10</xdr:col>
      <xdr:colOff>444500</xdr:colOff>
      <xdr:row>64</xdr:row>
      <xdr:rowOff>71164</xdr:rowOff>
    </xdr:to>
    <xdr:cxnSp macro="">
      <xdr:nvCxnSpPr>
        <xdr:cNvPr id="117" name="Straight Arrow Connector 116">
          <a:extLst>
            <a:ext uri="{FF2B5EF4-FFF2-40B4-BE49-F238E27FC236}">
              <a16:creationId xmlns:a16="http://schemas.microsoft.com/office/drawing/2014/main" id="{00000000-0008-0000-0300-000075000000}"/>
            </a:ext>
          </a:extLst>
        </xdr:cNvPr>
        <xdr:cNvCxnSpPr>
          <a:stCxn id="98" idx="2"/>
          <a:endCxn id="101" idx="1"/>
        </xdr:cNvCxnSpPr>
      </xdr:nvCxnSpPr>
      <xdr:spPr>
        <a:xfrm>
          <a:off x="3314920" y="9870530"/>
          <a:ext cx="2990630" cy="2138634"/>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9875</xdr:colOff>
      <xdr:row>54</xdr:row>
      <xdr:rowOff>92027</xdr:rowOff>
    </xdr:from>
    <xdr:to>
      <xdr:col>10</xdr:col>
      <xdr:colOff>385876</xdr:colOff>
      <xdr:row>67</xdr:row>
      <xdr:rowOff>65690</xdr:rowOff>
    </xdr:to>
    <xdr:cxnSp macro="">
      <xdr:nvCxnSpPr>
        <xdr:cNvPr id="120" name="Straight Arrow Connector 119">
          <a:extLst>
            <a:ext uri="{FF2B5EF4-FFF2-40B4-BE49-F238E27FC236}">
              <a16:creationId xmlns:a16="http://schemas.microsoft.com/office/drawing/2014/main" id="{00000000-0008-0000-0300-000078000000}"/>
            </a:ext>
          </a:extLst>
        </xdr:cNvPr>
        <xdr:cNvCxnSpPr>
          <a:stCxn id="99" idx="0"/>
          <a:endCxn id="100" idx="1"/>
        </xdr:cNvCxnSpPr>
      </xdr:nvCxnSpPr>
      <xdr:spPr>
        <a:xfrm flipV="1">
          <a:off x="4095441" y="9437310"/>
          <a:ext cx="2820152" cy="2309984"/>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311150</xdr:colOff>
      <xdr:row>59</xdr:row>
      <xdr:rowOff>88900</xdr:rowOff>
    </xdr:from>
    <xdr:to>
      <xdr:col>19</xdr:col>
      <xdr:colOff>431800</xdr:colOff>
      <xdr:row>61</xdr:row>
      <xdr:rowOff>114300</xdr:rowOff>
    </xdr:to>
    <xdr:sp macro="" textlink="">
      <xdr:nvSpPr>
        <xdr:cNvPr id="123" name="Arrow: Down 122">
          <a:extLst>
            <a:ext uri="{FF2B5EF4-FFF2-40B4-BE49-F238E27FC236}">
              <a16:creationId xmlns:a16="http://schemas.microsoft.com/office/drawing/2014/main" id="{00000000-0008-0000-0300-00007B000000}"/>
            </a:ext>
          </a:extLst>
        </xdr:cNvPr>
        <xdr:cNvSpPr/>
      </xdr:nvSpPr>
      <xdr:spPr>
        <a:xfrm>
          <a:off x="12058650" y="10585450"/>
          <a:ext cx="120650" cy="393700"/>
        </a:xfrm>
        <a:prstGeom prst="downArrow">
          <a:avLst/>
        </a:prstGeom>
        <a:solidFill>
          <a:schemeClr val="accent5">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330200</xdr:colOff>
      <xdr:row>49</xdr:row>
      <xdr:rowOff>127000</xdr:rowOff>
    </xdr:from>
    <xdr:to>
      <xdr:col>5</xdr:col>
      <xdr:colOff>47953</xdr:colOff>
      <xdr:row>50</xdr:row>
      <xdr:rowOff>125342</xdr:rowOff>
    </xdr:to>
    <xdr:sp macro="" textlink="">
      <xdr:nvSpPr>
        <xdr:cNvPr id="125" name="Arrow: Curved Up 124">
          <a:extLst>
            <a:ext uri="{FF2B5EF4-FFF2-40B4-BE49-F238E27FC236}">
              <a16:creationId xmlns:a16="http://schemas.microsoft.com/office/drawing/2014/main" id="{00000000-0008-0000-0300-00007D000000}"/>
            </a:ext>
          </a:extLst>
        </xdr:cNvPr>
        <xdr:cNvSpPr/>
      </xdr:nvSpPr>
      <xdr:spPr>
        <a:xfrm rot="10800000">
          <a:off x="1924050" y="8782050"/>
          <a:ext cx="327353" cy="182492"/>
        </a:xfrm>
        <a:prstGeom prst="curvedUpArrow">
          <a:avLst>
            <a:gd name="adj1" fmla="val 25000"/>
            <a:gd name="adj2" fmla="val 50000"/>
            <a:gd name="adj3" fmla="val 31325"/>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IN"/>
        </a:p>
      </xdr:txBody>
    </xdr:sp>
    <xdr:clientData/>
  </xdr:twoCellAnchor>
  <xdr:twoCellAnchor>
    <xdr:from>
      <xdr:col>5</xdr:col>
      <xdr:colOff>0</xdr:colOff>
      <xdr:row>66</xdr:row>
      <xdr:rowOff>63500</xdr:rowOff>
    </xdr:from>
    <xdr:to>
      <xdr:col>5</xdr:col>
      <xdr:colOff>327353</xdr:colOff>
      <xdr:row>67</xdr:row>
      <xdr:rowOff>61842</xdr:rowOff>
    </xdr:to>
    <xdr:sp macro="" textlink="">
      <xdr:nvSpPr>
        <xdr:cNvPr id="126" name="Arrow: Curved Up 125">
          <a:extLst>
            <a:ext uri="{FF2B5EF4-FFF2-40B4-BE49-F238E27FC236}">
              <a16:creationId xmlns:a16="http://schemas.microsoft.com/office/drawing/2014/main" id="{00000000-0008-0000-0300-00007E000000}"/>
            </a:ext>
          </a:extLst>
        </xdr:cNvPr>
        <xdr:cNvSpPr/>
      </xdr:nvSpPr>
      <xdr:spPr>
        <a:xfrm rot="10800000">
          <a:off x="2203450" y="11849100"/>
          <a:ext cx="327353" cy="182492"/>
        </a:xfrm>
        <a:prstGeom prst="curvedUpArrow">
          <a:avLst>
            <a:gd name="adj1" fmla="val 25000"/>
            <a:gd name="adj2" fmla="val 50000"/>
            <a:gd name="adj3" fmla="val 31325"/>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IN"/>
        </a:p>
      </xdr:txBody>
    </xdr:sp>
    <xdr:clientData/>
  </xdr:twoCellAnchor>
  <xdr:twoCellAnchor>
    <xdr:from>
      <xdr:col>11</xdr:col>
      <xdr:colOff>76200</xdr:colOff>
      <xdr:row>52</xdr:row>
      <xdr:rowOff>88900</xdr:rowOff>
    </xdr:from>
    <xdr:to>
      <xdr:col>11</xdr:col>
      <xdr:colOff>403553</xdr:colOff>
      <xdr:row>53</xdr:row>
      <xdr:rowOff>87242</xdr:rowOff>
    </xdr:to>
    <xdr:sp macro="" textlink="">
      <xdr:nvSpPr>
        <xdr:cNvPr id="127" name="Arrow: Curved Up 126">
          <a:extLst>
            <a:ext uri="{FF2B5EF4-FFF2-40B4-BE49-F238E27FC236}">
              <a16:creationId xmlns:a16="http://schemas.microsoft.com/office/drawing/2014/main" id="{00000000-0008-0000-0300-00007F000000}"/>
            </a:ext>
          </a:extLst>
        </xdr:cNvPr>
        <xdr:cNvSpPr/>
      </xdr:nvSpPr>
      <xdr:spPr>
        <a:xfrm rot="10800000">
          <a:off x="5937250" y="9296400"/>
          <a:ext cx="327353" cy="182492"/>
        </a:xfrm>
        <a:prstGeom prst="curvedUpArrow">
          <a:avLst>
            <a:gd name="adj1" fmla="val 25000"/>
            <a:gd name="adj2" fmla="val 50000"/>
            <a:gd name="adj3" fmla="val 31325"/>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IN"/>
        </a:p>
      </xdr:txBody>
    </xdr:sp>
    <xdr:clientData/>
  </xdr:twoCellAnchor>
  <xdr:twoCellAnchor>
    <xdr:from>
      <xdr:col>11</xdr:col>
      <xdr:colOff>107950</xdr:colOff>
      <xdr:row>62</xdr:row>
      <xdr:rowOff>76200</xdr:rowOff>
    </xdr:from>
    <xdr:to>
      <xdr:col>11</xdr:col>
      <xdr:colOff>435303</xdr:colOff>
      <xdr:row>63</xdr:row>
      <xdr:rowOff>74542</xdr:rowOff>
    </xdr:to>
    <xdr:sp macro="" textlink="">
      <xdr:nvSpPr>
        <xdr:cNvPr id="128" name="Arrow: Curved Up 127">
          <a:extLst>
            <a:ext uri="{FF2B5EF4-FFF2-40B4-BE49-F238E27FC236}">
              <a16:creationId xmlns:a16="http://schemas.microsoft.com/office/drawing/2014/main" id="{00000000-0008-0000-0300-000080000000}"/>
            </a:ext>
          </a:extLst>
        </xdr:cNvPr>
        <xdr:cNvSpPr/>
      </xdr:nvSpPr>
      <xdr:spPr>
        <a:xfrm rot="10800000">
          <a:off x="5969000" y="11125200"/>
          <a:ext cx="327353" cy="182492"/>
        </a:xfrm>
        <a:prstGeom prst="curvedUpArrow">
          <a:avLst>
            <a:gd name="adj1" fmla="val 25000"/>
            <a:gd name="adj2" fmla="val 50000"/>
            <a:gd name="adj3" fmla="val 31325"/>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IN"/>
        </a:p>
      </xdr:txBody>
    </xdr:sp>
    <xdr:clientData/>
  </xdr:twoCellAnchor>
  <xdr:twoCellAnchor>
    <xdr:from>
      <xdr:col>19</xdr:col>
      <xdr:colOff>165100</xdr:colOff>
      <xdr:row>56</xdr:row>
      <xdr:rowOff>114300</xdr:rowOff>
    </xdr:from>
    <xdr:to>
      <xdr:col>19</xdr:col>
      <xdr:colOff>492453</xdr:colOff>
      <xdr:row>57</xdr:row>
      <xdr:rowOff>112642</xdr:rowOff>
    </xdr:to>
    <xdr:sp macro="" textlink="">
      <xdr:nvSpPr>
        <xdr:cNvPr id="131" name="Arrow: Curved Up 130">
          <a:extLst>
            <a:ext uri="{FF2B5EF4-FFF2-40B4-BE49-F238E27FC236}">
              <a16:creationId xmlns:a16="http://schemas.microsoft.com/office/drawing/2014/main" id="{00000000-0008-0000-0300-000083000000}"/>
            </a:ext>
          </a:extLst>
        </xdr:cNvPr>
        <xdr:cNvSpPr/>
      </xdr:nvSpPr>
      <xdr:spPr>
        <a:xfrm rot="10800000">
          <a:off x="10648950" y="10058400"/>
          <a:ext cx="327353" cy="182492"/>
        </a:xfrm>
        <a:prstGeom prst="curvedUpArrow">
          <a:avLst>
            <a:gd name="adj1" fmla="val 25000"/>
            <a:gd name="adj2" fmla="val 50000"/>
            <a:gd name="adj3" fmla="val 31325"/>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IN"/>
        </a:p>
      </xdr:txBody>
    </xdr:sp>
    <xdr:clientData/>
  </xdr:twoCellAnchor>
  <xdr:twoCellAnchor>
    <xdr:from>
      <xdr:col>12</xdr:col>
      <xdr:colOff>70128</xdr:colOff>
      <xdr:row>55</xdr:row>
      <xdr:rowOff>75605</xdr:rowOff>
    </xdr:from>
    <xdr:to>
      <xdr:col>12</xdr:col>
      <xdr:colOff>76200</xdr:colOff>
      <xdr:row>63</xdr:row>
      <xdr:rowOff>109482</xdr:rowOff>
    </xdr:to>
    <xdr:cxnSp macro="">
      <xdr:nvCxnSpPr>
        <xdr:cNvPr id="7" name="Straight Arrow Connector 6">
          <a:extLst>
            <a:ext uri="{FF2B5EF4-FFF2-40B4-BE49-F238E27FC236}">
              <a16:creationId xmlns:a16="http://schemas.microsoft.com/office/drawing/2014/main" id="{00000000-0008-0000-0300-000007000000}"/>
            </a:ext>
          </a:extLst>
        </xdr:cNvPr>
        <xdr:cNvCxnSpPr>
          <a:stCxn id="100" idx="2"/>
          <a:endCxn id="101" idx="0"/>
        </xdr:cNvCxnSpPr>
      </xdr:nvCxnSpPr>
      <xdr:spPr>
        <a:xfrm>
          <a:off x="7150378" y="10356255"/>
          <a:ext cx="6072" cy="1507077"/>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336988</xdr:colOff>
      <xdr:row>58</xdr:row>
      <xdr:rowOff>95436</xdr:rowOff>
    </xdr:from>
    <xdr:to>
      <xdr:col>18</xdr:col>
      <xdr:colOff>525517</xdr:colOff>
      <xdr:row>58</xdr:row>
      <xdr:rowOff>101709</xdr:rowOff>
    </xdr:to>
    <xdr:cxnSp macro="">
      <xdr:nvCxnSpPr>
        <xdr:cNvPr id="16" name="Straight Arrow Connector 15">
          <a:extLst>
            <a:ext uri="{FF2B5EF4-FFF2-40B4-BE49-F238E27FC236}">
              <a16:creationId xmlns:a16="http://schemas.microsoft.com/office/drawing/2014/main" id="{00000000-0008-0000-0300-000010000000}"/>
            </a:ext>
          </a:extLst>
        </xdr:cNvPr>
        <xdr:cNvCxnSpPr>
          <a:stCxn id="102" idx="3"/>
          <a:endCxn id="103" idx="1"/>
        </xdr:cNvCxnSpPr>
      </xdr:nvCxnSpPr>
      <xdr:spPr>
        <a:xfrm flipV="1">
          <a:off x="10211238" y="10928536"/>
          <a:ext cx="798129" cy="627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5</xdr:row>
          <xdr:rowOff>368300</xdr:rowOff>
        </xdr:from>
        <xdr:to>
          <xdr:col>3</xdr:col>
          <xdr:colOff>647700</xdr:colOff>
          <xdr:row>7</xdr:row>
          <xdr:rowOff>139700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9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8</xdr:row>
          <xdr:rowOff>50800</xdr:rowOff>
        </xdr:from>
        <xdr:to>
          <xdr:col>3</xdr:col>
          <xdr:colOff>1498600</xdr:colOff>
          <xdr:row>10</xdr:row>
          <xdr:rowOff>114300</xdr:rowOff>
        </xdr:to>
        <xdr:sp macro="" textlink="">
          <xdr:nvSpPr>
            <xdr:cNvPr id="35841" name="Button 1" descr="Run DSA" hidden="1">
              <a:extLst>
                <a:ext uri="{63B3BB69-23CF-44E3-9099-C40C66FF867C}">
                  <a14:compatExt spid="_x0000_s35841"/>
                </a:ext>
                <a:ext uri="{FF2B5EF4-FFF2-40B4-BE49-F238E27FC236}">
                  <a16:creationId xmlns:a16="http://schemas.microsoft.com/office/drawing/2014/main" id="{00000000-0008-0000-0B00-000001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Run DSA</a:t>
              </a:r>
            </a:p>
          </xdr:txBody>
        </xdr:sp>
        <xdr:clientData fPrintsWithSheet="0"/>
      </xdr:twoCellAnchor>
    </mc:Choice>
    <mc:Fallback/>
  </mc:AlternateContent>
  <xdr:twoCellAnchor>
    <xdr:from>
      <xdr:col>8</xdr:col>
      <xdr:colOff>57150</xdr:colOff>
      <xdr:row>12</xdr:row>
      <xdr:rowOff>33020</xdr:rowOff>
    </xdr:from>
    <xdr:to>
      <xdr:col>15</xdr:col>
      <xdr:colOff>533399</xdr:colOff>
      <xdr:row>26</xdr:row>
      <xdr:rowOff>82550</xdr:rowOff>
    </xdr:to>
    <xdr:graphicFrame macro="">
      <xdr:nvGraphicFramePr>
        <xdr:cNvPr id="3" name="tornado_graph">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63500</xdr:colOff>
          <xdr:row>5</xdr:row>
          <xdr:rowOff>177800</xdr:rowOff>
        </xdr:from>
        <xdr:to>
          <xdr:col>3</xdr:col>
          <xdr:colOff>1485900</xdr:colOff>
          <xdr:row>7</xdr:row>
          <xdr:rowOff>165100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B00-000002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Copy DSA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101600</xdr:colOff>
          <xdr:row>6</xdr:row>
          <xdr:rowOff>76200</xdr:rowOff>
        </xdr:from>
        <xdr:to>
          <xdr:col>4</xdr:col>
          <xdr:colOff>533400</xdr:colOff>
          <xdr:row>8</xdr:row>
          <xdr:rowOff>88900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D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 PSA</a:t>
              </a:r>
            </a:p>
          </xdr:txBody>
        </xdr:sp>
        <xdr:clientData fPrintsWithSheet="0"/>
      </xdr:twoCellAnchor>
    </mc:Choice>
    <mc:Fallback/>
  </mc:AlternateContent>
  <xdr:twoCellAnchor>
    <xdr:from>
      <xdr:col>2</xdr:col>
      <xdr:colOff>82550</xdr:colOff>
      <xdr:row>12</xdr:row>
      <xdr:rowOff>12700</xdr:rowOff>
    </xdr:from>
    <xdr:to>
      <xdr:col>7</xdr:col>
      <xdr:colOff>755650</xdr:colOff>
      <xdr:row>30</xdr:row>
      <xdr:rowOff>133350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127000</xdr:colOff>
          <xdr:row>8</xdr:row>
          <xdr:rowOff>177800</xdr:rowOff>
        </xdr:from>
        <xdr:to>
          <xdr:col>4</xdr:col>
          <xdr:colOff>368300</xdr:colOff>
          <xdr:row>10</xdr:row>
          <xdr:rowOff>139700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0D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9</xdr:row>
          <xdr:rowOff>12700</xdr:rowOff>
        </xdr:from>
        <xdr:to>
          <xdr:col>4</xdr:col>
          <xdr:colOff>355600</xdr:colOff>
          <xdr:row>10</xdr:row>
          <xdr:rowOff>139700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0D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114300</xdr:colOff>
          <xdr:row>8</xdr:row>
          <xdr:rowOff>177800</xdr:rowOff>
        </xdr:from>
        <xdr:to>
          <xdr:col>4</xdr:col>
          <xdr:colOff>533400</xdr:colOff>
          <xdr:row>10</xdr:row>
          <xdr:rowOff>139700</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D00-000004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Copy of PSA</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BA344-DFAE-48CC-B4EA-04D7C21622C9}">
  <sheetPr codeName="Sheet1">
    <tabColor theme="4"/>
  </sheetPr>
  <dimension ref="A1:N16"/>
  <sheetViews>
    <sheetView showGridLines="0" tabSelected="1" zoomScaleNormal="100" workbookViewId="0"/>
  </sheetViews>
  <sheetFormatPr baseColWidth="10" defaultColWidth="8.83203125" defaultRowHeight="15" x14ac:dyDescent="0.2"/>
  <cols>
    <col min="1" max="1" width="8.33203125" customWidth="1"/>
    <col min="6" max="6" width="121.33203125" bestFit="1" customWidth="1"/>
  </cols>
  <sheetData>
    <row r="1" spans="1:14" ht="27.75" customHeight="1" x14ac:dyDescent="0.2"/>
    <row r="3" spans="1:14" ht="26" x14ac:dyDescent="0.3">
      <c r="E3" s="85"/>
    </row>
    <row r="4" spans="1:14" ht="25" thickBot="1" x14ac:dyDescent="0.35">
      <c r="F4" s="67"/>
      <c r="G4" s="67"/>
      <c r="H4" s="67"/>
      <c r="I4" s="67"/>
      <c r="J4" s="67"/>
      <c r="K4" s="67"/>
      <c r="L4" s="67"/>
    </row>
    <row r="5" spans="1:14" ht="16" thickBot="1" x14ac:dyDescent="0.25">
      <c r="B5" s="79"/>
      <c r="C5" s="80"/>
      <c r="D5" s="80"/>
      <c r="E5" s="80"/>
      <c r="F5" s="80"/>
      <c r="G5" s="80"/>
      <c r="H5" s="80"/>
      <c r="I5" s="80"/>
      <c r="J5" s="80"/>
      <c r="K5" s="80"/>
      <c r="L5" s="80"/>
      <c r="M5" s="81"/>
    </row>
    <row r="6" spans="1:14" x14ac:dyDescent="0.2">
      <c r="A6" s="82"/>
      <c r="B6" s="83"/>
      <c r="M6" s="82"/>
      <c r="N6" s="83"/>
    </row>
    <row r="7" spans="1:14" ht="24" x14ac:dyDescent="0.3">
      <c r="A7" s="82"/>
      <c r="B7" s="83"/>
      <c r="E7" s="67" t="s">
        <v>240</v>
      </c>
      <c r="M7" s="82"/>
      <c r="N7" s="83"/>
    </row>
    <row r="8" spans="1:14" ht="24" x14ac:dyDescent="0.3">
      <c r="A8" s="82"/>
      <c r="B8" s="83"/>
      <c r="E8" s="67"/>
      <c r="M8" s="82"/>
      <c r="N8" s="83"/>
    </row>
    <row r="9" spans="1:14" x14ac:dyDescent="0.2">
      <c r="A9" s="82"/>
      <c r="B9" s="83"/>
      <c r="M9" s="82"/>
      <c r="N9" s="83"/>
    </row>
    <row r="10" spans="1:14" x14ac:dyDescent="0.2">
      <c r="A10" s="82"/>
      <c r="B10" s="83"/>
      <c r="C10" s="16" t="s">
        <v>0</v>
      </c>
      <c r="F10" t="s">
        <v>239</v>
      </c>
      <c r="M10" s="82"/>
      <c r="N10" s="83"/>
    </row>
    <row r="11" spans="1:14" x14ac:dyDescent="0.2">
      <c r="A11" s="82"/>
      <c r="B11" s="83"/>
      <c r="C11" s="16"/>
      <c r="M11" s="82"/>
      <c r="N11" s="83"/>
    </row>
    <row r="12" spans="1:14" x14ac:dyDescent="0.2">
      <c r="A12" s="82"/>
      <c r="B12" s="83"/>
      <c r="C12" s="16" t="s">
        <v>1</v>
      </c>
      <c r="F12" s="9" t="s">
        <v>2</v>
      </c>
      <c r="M12" s="82"/>
      <c r="N12" s="83"/>
    </row>
    <row r="13" spans="1:14" x14ac:dyDescent="0.2">
      <c r="A13" s="82"/>
      <c r="B13" s="83"/>
      <c r="C13" s="16"/>
      <c r="M13" s="82"/>
      <c r="N13" s="83"/>
    </row>
    <row r="14" spans="1:14" x14ac:dyDescent="0.2">
      <c r="A14" s="82"/>
      <c r="B14" s="83"/>
      <c r="C14" s="16" t="s">
        <v>3</v>
      </c>
      <c r="F14" s="106">
        <v>44433</v>
      </c>
      <c r="M14" s="82"/>
      <c r="N14" s="83"/>
    </row>
    <row r="15" spans="1:14" x14ac:dyDescent="0.2">
      <c r="A15" s="82"/>
      <c r="B15" s="83"/>
      <c r="M15" s="82"/>
      <c r="N15" s="83"/>
    </row>
    <row r="16" spans="1:14" ht="16" thickBot="1" x14ac:dyDescent="0.25">
      <c r="A16" s="82"/>
      <c r="B16" s="84"/>
      <c r="C16" s="84"/>
      <c r="D16" s="84"/>
      <c r="E16" s="84"/>
      <c r="F16" s="84"/>
      <c r="G16" s="84"/>
      <c r="H16" s="84"/>
      <c r="I16" s="84"/>
      <c r="J16" s="84"/>
      <c r="K16" s="84"/>
      <c r="L16" s="84"/>
      <c r="M16" s="84"/>
      <c r="N16" s="83"/>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EEAC1-4FAF-45FE-AAC5-40E1C3D4A8BF}">
  <sheetPr codeName="Sheet2">
    <tabColor rgb="FF0070C0"/>
  </sheetPr>
  <dimension ref="A1:Q78"/>
  <sheetViews>
    <sheetView showGridLines="0" zoomScaleNormal="100" workbookViewId="0"/>
  </sheetViews>
  <sheetFormatPr baseColWidth="10" defaultColWidth="8.83203125" defaultRowHeight="15" x14ac:dyDescent="0.2"/>
  <cols>
    <col min="1" max="2" width="9.5" customWidth="1"/>
    <col min="3" max="3" width="11.5" customWidth="1"/>
    <col min="4" max="4" width="12.5" customWidth="1"/>
    <col min="5" max="5" width="12.83203125" customWidth="1"/>
    <col min="6" max="6" width="11.33203125" customWidth="1"/>
    <col min="14" max="14" width="15.1640625" customWidth="1"/>
    <col min="15" max="15" width="16.6640625" customWidth="1"/>
    <col min="16" max="16" width="13.33203125" customWidth="1"/>
  </cols>
  <sheetData>
    <row r="1" spans="2:17" ht="21.75" customHeight="1" x14ac:dyDescent="0.2"/>
    <row r="3" spans="2:17" ht="26" x14ac:dyDescent="0.3">
      <c r="G3" s="85" t="s">
        <v>155</v>
      </c>
    </row>
    <row r="4" spans="2:17" ht="14.5" customHeight="1" thickBot="1" x14ac:dyDescent="0.25"/>
    <row r="5" spans="2:17" ht="14.5" customHeight="1" thickBot="1" x14ac:dyDescent="0.25">
      <c r="B5" s="79"/>
      <c r="C5" s="80"/>
      <c r="D5" s="80"/>
      <c r="E5" s="80"/>
      <c r="F5" s="80"/>
      <c r="G5" s="80"/>
      <c r="H5" s="80"/>
      <c r="I5" s="80"/>
      <c r="J5" s="80"/>
      <c r="K5" s="80"/>
      <c r="L5" s="80"/>
      <c r="M5" s="80"/>
      <c r="N5" s="80"/>
      <c r="O5" s="80"/>
      <c r="P5" s="81"/>
    </row>
    <row r="6" spans="2:17" ht="14.5" customHeight="1" x14ac:dyDescent="0.2">
      <c r="B6" s="83"/>
      <c r="C6" s="1"/>
      <c r="D6" s="1"/>
      <c r="E6" s="1"/>
      <c r="F6" s="1"/>
      <c r="G6" s="1"/>
      <c r="H6" s="1"/>
      <c r="I6" s="1"/>
      <c r="J6" s="1"/>
      <c r="K6" s="1"/>
      <c r="L6" s="1"/>
      <c r="M6" s="1"/>
      <c r="N6" s="1"/>
      <c r="O6" s="1"/>
      <c r="Q6" s="83"/>
    </row>
    <row r="7" spans="2:17" ht="21" thickBot="1" x14ac:dyDescent="0.3">
      <c r="B7" s="83"/>
      <c r="C7" s="107" t="s">
        <v>154</v>
      </c>
      <c r="D7" s="43"/>
      <c r="E7" s="44"/>
      <c r="F7" s="44"/>
      <c r="G7" s="42"/>
      <c r="H7" s="42"/>
      <c r="I7" s="42"/>
      <c r="J7" s="42"/>
      <c r="K7" s="42"/>
      <c r="L7" s="42"/>
      <c r="M7" s="42"/>
      <c r="N7" s="42"/>
      <c r="O7" s="44"/>
      <c r="Q7" s="83"/>
    </row>
    <row r="8" spans="2:17" ht="14.5" customHeight="1" x14ac:dyDescent="0.25">
      <c r="B8" s="83"/>
      <c r="C8" s="12"/>
      <c r="D8" s="46"/>
      <c r="E8" s="1"/>
      <c r="F8" s="1"/>
      <c r="G8" s="45"/>
      <c r="H8" s="45"/>
      <c r="I8" s="45"/>
      <c r="J8" s="45"/>
      <c r="K8" s="45"/>
      <c r="L8" s="45"/>
      <c r="M8" s="45"/>
      <c r="N8" s="45"/>
      <c r="O8" s="1"/>
      <c r="Q8" s="83"/>
    </row>
    <row r="9" spans="2:17" ht="14.5" customHeight="1" x14ac:dyDescent="0.2">
      <c r="B9" s="83"/>
      <c r="C9" s="41" t="s">
        <v>4</v>
      </c>
      <c r="D9" s="41"/>
      <c r="E9" s="1"/>
      <c r="F9" s="1"/>
      <c r="G9" s="45"/>
      <c r="H9" s="45"/>
      <c r="I9" s="45"/>
      <c r="J9" s="45"/>
      <c r="K9" s="45"/>
      <c r="L9" s="45"/>
      <c r="M9" s="45"/>
      <c r="N9" s="45"/>
      <c r="O9" s="45"/>
      <c r="Q9" s="83"/>
    </row>
    <row r="10" spans="2:17" ht="14.5" customHeight="1" x14ac:dyDescent="0.2">
      <c r="B10" s="83"/>
      <c r="C10" s="86" t="s">
        <v>241</v>
      </c>
      <c r="D10" s="86"/>
      <c r="E10" s="86"/>
      <c r="F10" s="86"/>
      <c r="G10" s="86"/>
      <c r="H10" s="86"/>
      <c r="I10" s="86"/>
      <c r="J10" s="86"/>
      <c r="K10" s="86"/>
      <c r="L10" s="86"/>
      <c r="M10" s="86"/>
      <c r="N10" s="86"/>
      <c r="O10" s="86"/>
      <c r="Q10" s="83"/>
    </row>
    <row r="11" spans="2:17" ht="14.5" customHeight="1" x14ac:dyDescent="0.2">
      <c r="B11" s="83"/>
      <c r="C11" s="86" t="s">
        <v>242</v>
      </c>
      <c r="D11" s="86"/>
      <c r="E11" s="86"/>
      <c r="F11" s="86"/>
      <c r="G11" s="86"/>
      <c r="H11" s="86"/>
      <c r="I11" s="86"/>
      <c r="J11" s="86"/>
      <c r="K11" s="86"/>
      <c r="L11" s="86"/>
      <c r="M11" s="86"/>
      <c r="N11" s="86"/>
      <c r="O11" s="86"/>
      <c r="Q11" s="83"/>
    </row>
    <row r="12" spans="2:17" ht="14.5" customHeight="1" x14ac:dyDescent="0.2">
      <c r="B12" s="83"/>
      <c r="C12" s="41"/>
      <c r="D12" s="47"/>
      <c r="E12" s="1"/>
      <c r="F12" s="1"/>
      <c r="G12" s="45"/>
      <c r="H12" s="45"/>
      <c r="I12" s="45"/>
      <c r="J12" s="45"/>
      <c r="K12" s="45"/>
      <c r="L12" s="45"/>
      <c r="M12" s="45"/>
      <c r="N12" s="45"/>
      <c r="O12" s="45"/>
      <c r="Q12" s="83"/>
    </row>
    <row r="13" spans="2:17" ht="14.5" customHeight="1" x14ac:dyDescent="0.2">
      <c r="B13" s="83"/>
      <c r="C13" s="16" t="s">
        <v>5</v>
      </c>
      <c r="D13" s="1"/>
      <c r="E13" s="1"/>
      <c r="F13" s="1"/>
      <c r="G13" s="45"/>
      <c r="H13" s="45"/>
      <c r="I13" s="45"/>
      <c r="J13" s="45"/>
      <c r="K13" s="45"/>
      <c r="L13" s="45"/>
      <c r="M13" s="45"/>
      <c r="N13" s="45"/>
      <c r="O13" s="45"/>
      <c r="Q13" s="83"/>
    </row>
    <row r="14" spans="2:17" ht="14.5" customHeight="1" x14ac:dyDescent="0.2">
      <c r="B14" s="83"/>
      <c r="C14" t="s">
        <v>243</v>
      </c>
      <c r="D14" s="1"/>
      <c r="E14" s="1"/>
      <c r="F14" s="1"/>
      <c r="G14" s="45"/>
      <c r="H14" s="45"/>
      <c r="I14" s="45"/>
      <c r="J14" s="45"/>
      <c r="K14" s="45"/>
      <c r="L14" s="45"/>
      <c r="M14" s="45"/>
      <c r="N14" s="45"/>
      <c r="O14" s="45"/>
      <c r="Q14" s="83"/>
    </row>
    <row r="15" spans="2:17" ht="14.5" customHeight="1" x14ac:dyDescent="0.2">
      <c r="B15" s="83"/>
      <c r="C15" s="1"/>
      <c r="D15" s="41"/>
      <c r="E15" s="1"/>
      <c r="F15" s="1"/>
      <c r="G15" s="45"/>
      <c r="H15" s="45"/>
      <c r="I15" s="45"/>
      <c r="J15" s="45"/>
      <c r="K15" s="45"/>
      <c r="L15" s="45"/>
      <c r="M15" s="45"/>
      <c r="N15" s="45"/>
      <c r="O15" s="45"/>
      <c r="Q15" s="83"/>
    </row>
    <row r="16" spans="2:17" ht="14.5" customHeight="1" x14ac:dyDescent="0.2">
      <c r="B16" s="83"/>
      <c r="C16" s="16" t="s">
        <v>6</v>
      </c>
      <c r="D16" s="1"/>
      <c r="E16" s="1"/>
      <c r="F16" s="1"/>
      <c r="G16" s="45"/>
      <c r="H16" s="45"/>
      <c r="I16" s="45"/>
      <c r="J16" s="45"/>
      <c r="K16" s="45"/>
      <c r="L16" s="45"/>
      <c r="M16" s="45"/>
      <c r="N16" s="45"/>
      <c r="O16" s="45"/>
      <c r="Q16" s="83"/>
    </row>
    <row r="17" spans="2:17" ht="14.5" customHeight="1" x14ac:dyDescent="0.2">
      <c r="B17" s="83"/>
      <c r="C17" t="s">
        <v>244</v>
      </c>
      <c r="D17" s="1"/>
      <c r="E17" s="1"/>
      <c r="F17" s="1"/>
      <c r="G17" s="45"/>
      <c r="H17" s="45"/>
      <c r="I17" s="45"/>
      <c r="J17" s="45"/>
      <c r="K17" s="45"/>
      <c r="L17" s="45"/>
      <c r="M17" s="45"/>
      <c r="N17" s="45"/>
      <c r="O17" s="45"/>
      <c r="Q17" s="83"/>
    </row>
    <row r="18" spans="2:17" ht="14.5" customHeight="1" x14ac:dyDescent="0.2">
      <c r="B18" s="83"/>
      <c r="C18" s="1"/>
      <c r="D18" s="1"/>
      <c r="E18" s="1"/>
      <c r="F18" s="1"/>
      <c r="G18" s="45"/>
      <c r="H18" s="45"/>
      <c r="I18" s="45"/>
      <c r="J18" s="45"/>
      <c r="K18" s="45"/>
      <c r="L18" s="45"/>
      <c r="M18" s="45"/>
      <c r="N18" s="45"/>
      <c r="O18" s="45"/>
      <c r="Q18" s="83"/>
    </row>
    <row r="19" spans="2:17" ht="14.5" customHeight="1" x14ac:dyDescent="0.2">
      <c r="B19" s="83"/>
      <c r="C19" s="16" t="s">
        <v>7</v>
      </c>
      <c r="D19" s="1"/>
      <c r="E19" s="1"/>
      <c r="F19" s="1"/>
      <c r="G19" s="45"/>
      <c r="H19" s="45"/>
      <c r="I19" s="45"/>
      <c r="J19" s="45"/>
      <c r="K19" s="45"/>
      <c r="L19" s="45"/>
      <c r="M19" s="45"/>
      <c r="N19" s="45"/>
      <c r="O19" s="45"/>
      <c r="Q19" s="83"/>
    </row>
    <row r="20" spans="2:17" ht="14.5" customHeight="1" x14ac:dyDescent="0.2">
      <c r="B20" s="83"/>
      <c r="C20" s="1" t="s">
        <v>245</v>
      </c>
      <c r="D20" s="41"/>
      <c r="E20" s="1"/>
      <c r="F20" s="1"/>
      <c r="G20" s="45"/>
      <c r="H20" s="45"/>
      <c r="I20" s="45"/>
      <c r="J20" s="45"/>
      <c r="K20" s="45"/>
      <c r="L20" s="45"/>
      <c r="M20" s="45"/>
      <c r="N20" s="45"/>
      <c r="O20" s="45"/>
      <c r="Q20" s="83"/>
    </row>
    <row r="21" spans="2:17" ht="14.5" customHeight="1" x14ac:dyDescent="0.2">
      <c r="B21" s="83"/>
      <c r="C21" s="48"/>
      <c r="D21" s="41"/>
      <c r="E21" s="1"/>
      <c r="F21" s="1"/>
      <c r="G21" s="45"/>
      <c r="H21" s="45"/>
      <c r="I21" s="45"/>
      <c r="J21" s="45"/>
      <c r="K21" s="45"/>
      <c r="L21" s="45"/>
      <c r="M21" s="45"/>
      <c r="N21" s="45"/>
      <c r="O21" s="45"/>
      <c r="Q21" s="83"/>
    </row>
    <row r="22" spans="2:17" ht="14.5" customHeight="1" x14ac:dyDescent="0.2">
      <c r="B22" s="83"/>
      <c r="C22" s="16" t="s">
        <v>89</v>
      </c>
      <c r="D22" s="41"/>
      <c r="E22" s="1"/>
      <c r="F22" s="1"/>
      <c r="G22" s="45"/>
      <c r="H22" s="45"/>
      <c r="I22" s="45"/>
      <c r="J22" s="45"/>
      <c r="K22" s="45"/>
      <c r="L22" s="45"/>
      <c r="M22" s="45"/>
      <c r="N22" s="45"/>
      <c r="O22" s="45"/>
      <c r="Q22" s="83"/>
    </row>
    <row r="23" spans="2:17" ht="14.5" customHeight="1" x14ac:dyDescent="0.2">
      <c r="B23" s="83"/>
      <c r="C23" s="1" t="s">
        <v>181</v>
      </c>
      <c r="D23" s="41"/>
      <c r="E23" s="1"/>
      <c r="F23" s="1"/>
      <c r="G23" s="45"/>
      <c r="H23" s="45"/>
      <c r="I23" s="45"/>
      <c r="J23" s="45"/>
      <c r="K23" s="45"/>
      <c r="L23" s="45"/>
      <c r="M23" s="45"/>
      <c r="N23" s="45"/>
      <c r="O23" s="45"/>
      <c r="Q23" s="83"/>
    </row>
    <row r="24" spans="2:17" ht="14.5" customHeight="1" x14ac:dyDescent="0.2">
      <c r="B24" s="83"/>
      <c r="C24" s="16"/>
      <c r="D24" s="41"/>
      <c r="E24" s="1"/>
      <c r="F24" s="1"/>
      <c r="G24" s="45"/>
      <c r="H24" s="45"/>
      <c r="I24" s="45"/>
      <c r="J24" s="45"/>
      <c r="K24" s="45"/>
      <c r="L24" s="45"/>
      <c r="M24" s="45"/>
      <c r="N24" s="45"/>
      <c r="O24" s="45"/>
      <c r="Q24" s="83"/>
    </row>
    <row r="25" spans="2:17" ht="14.5" customHeight="1" x14ac:dyDescent="0.2">
      <c r="B25" s="83"/>
      <c r="C25" s="16" t="s">
        <v>173</v>
      </c>
      <c r="D25" s="41"/>
      <c r="E25" s="1"/>
      <c r="F25" s="1"/>
      <c r="G25" s="45"/>
      <c r="H25" s="45"/>
      <c r="I25" s="45"/>
      <c r="J25" s="45"/>
      <c r="K25" s="45"/>
      <c r="L25" s="45"/>
      <c r="M25" s="45"/>
      <c r="N25" s="45"/>
      <c r="O25" s="45"/>
      <c r="Q25" s="83"/>
    </row>
    <row r="26" spans="2:17" ht="14.5" customHeight="1" x14ac:dyDescent="0.2">
      <c r="B26" s="83"/>
      <c r="C26" s="1" t="s">
        <v>246</v>
      </c>
      <c r="D26" s="41"/>
      <c r="E26" s="1"/>
      <c r="F26" s="1"/>
      <c r="G26" s="45"/>
      <c r="H26" s="45"/>
      <c r="I26" s="45"/>
      <c r="J26" s="45"/>
      <c r="K26" s="45"/>
      <c r="L26" s="45"/>
      <c r="M26" s="45"/>
      <c r="N26" s="45"/>
      <c r="O26" s="45"/>
      <c r="Q26" s="83"/>
    </row>
    <row r="27" spans="2:17" ht="14.5" customHeight="1" x14ac:dyDescent="0.2">
      <c r="B27" s="83"/>
      <c r="C27" s="48"/>
      <c r="D27" s="41"/>
      <c r="E27" s="1"/>
      <c r="F27" s="1"/>
      <c r="G27" s="45"/>
      <c r="H27" s="45"/>
      <c r="I27" s="45"/>
      <c r="J27" s="45"/>
      <c r="K27" s="45"/>
      <c r="L27" s="45"/>
      <c r="M27" s="45"/>
      <c r="N27" s="45"/>
      <c r="O27" s="45"/>
      <c r="Q27" s="83"/>
    </row>
    <row r="28" spans="2:17" ht="14.5" customHeight="1" x14ac:dyDescent="0.2">
      <c r="B28" s="83"/>
      <c r="C28" s="16" t="s">
        <v>8</v>
      </c>
      <c r="D28" s="1"/>
      <c r="E28" s="1"/>
      <c r="F28" s="1"/>
      <c r="G28" s="45"/>
      <c r="H28" s="45"/>
      <c r="I28" s="45"/>
      <c r="J28" s="45"/>
      <c r="K28" s="45"/>
      <c r="L28" s="45"/>
      <c r="M28" s="45"/>
      <c r="N28" s="45"/>
      <c r="O28" s="45"/>
      <c r="Q28" s="83"/>
    </row>
    <row r="29" spans="2:17" ht="14.5" customHeight="1" x14ac:dyDescent="0.2">
      <c r="B29" s="83"/>
      <c r="C29" t="s">
        <v>247</v>
      </c>
      <c r="D29" s="1"/>
      <c r="E29" s="1"/>
      <c r="F29" s="1"/>
      <c r="G29" s="45"/>
      <c r="H29" s="45"/>
      <c r="I29" s="45"/>
      <c r="J29" s="45"/>
      <c r="K29" s="45"/>
      <c r="L29" s="45"/>
      <c r="M29" s="45"/>
      <c r="N29" s="45"/>
      <c r="O29" s="45"/>
      <c r="Q29" s="83"/>
    </row>
    <row r="30" spans="2:17" ht="16.5" customHeight="1" x14ac:dyDescent="0.2">
      <c r="B30" s="83"/>
      <c r="C30" s="1" t="s">
        <v>248</v>
      </c>
      <c r="D30" s="45"/>
      <c r="E30" s="45"/>
      <c r="F30" s="1"/>
      <c r="G30" s="45"/>
      <c r="H30" s="45"/>
      <c r="I30" s="45"/>
      <c r="J30" s="45"/>
      <c r="K30" s="45"/>
      <c r="L30" s="45"/>
      <c r="M30" s="45"/>
      <c r="N30" s="45"/>
      <c r="O30" s="45"/>
      <c r="Q30" s="83"/>
    </row>
    <row r="31" spans="2:17" ht="18.5" hidden="1" customHeight="1" thickBot="1" x14ac:dyDescent="0.3">
      <c r="B31" s="83"/>
      <c r="C31" s="107" t="s">
        <v>9</v>
      </c>
      <c r="D31" s="41"/>
      <c r="E31" s="1"/>
      <c r="F31" s="1"/>
      <c r="G31" s="45"/>
      <c r="H31" s="45"/>
      <c r="I31" s="45"/>
      <c r="J31" s="45"/>
      <c r="K31" s="45"/>
      <c r="L31" s="45"/>
      <c r="M31" s="45"/>
      <c r="N31" s="45"/>
      <c r="O31" s="45"/>
      <c r="Q31" s="83"/>
    </row>
    <row r="32" spans="2:17" ht="14.5" hidden="1" customHeight="1" x14ac:dyDescent="0.2">
      <c r="B32" s="83"/>
      <c r="C32" s="16" t="s">
        <v>10</v>
      </c>
      <c r="D32" s="1"/>
      <c r="E32" s="1"/>
      <c r="F32" s="1"/>
      <c r="G32" s="45"/>
      <c r="H32" s="45"/>
      <c r="I32" s="45"/>
      <c r="J32" s="45"/>
      <c r="K32" s="45"/>
      <c r="L32" s="45"/>
      <c r="M32" s="45"/>
      <c r="N32" s="45"/>
      <c r="O32" s="45"/>
      <c r="Q32" s="83"/>
    </row>
    <row r="33" spans="2:17" ht="14.5" customHeight="1" x14ac:dyDescent="0.2">
      <c r="B33" s="83"/>
      <c r="C33" s="1"/>
      <c r="D33" s="1"/>
      <c r="E33" s="1"/>
      <c r="F33" s="1"/>
      <c r="G33" s="45"/>
      <c r="H33" s="45"/>
      <c r="I33" s="45"/>
      <c r="J33" s="45"/>
      <c r="K33" s="45"/>
      <c r="L33" s="45"/>
      <c r="M33" s="45"/>
      <c r="N33" s="45"/>
      <c r="O33" s="45"/>
      <c r="Q33" s="83"/>
    </row>
    <row r="34" spans="2:17" ht="14.5" customHeight="1" x14ac:dyDescent="0.2">
      <c r="B34" s="83"/>
      <c r="C34" s="16" t="s">
        <v>11</v>
      </c>
      <c r="D34" s="1"/>
      <c r="E34" s="1"/>
      <c r="F34" s="1"/>
      <c r="G34" s="45"/>
      <c r="H34" s="45"/>
      <c r="I34" s="45"/>
      <c r="J34" s="45"/>
      <c r="K34" s="45"/>
      <c r="L34" s="45"/>
      <c r="M34" s="45"/>
      <c r="N34" s="45"/>
      <c r="O34" s="45"/>
      <c r="Q34" s="83"/>
    </row>
    <row r="35" spans="2:17" ht="14.5" customHeight="1" x14ac:dyDescent="0.2">
      <c r="B35" s="83"/>
      <c r="C35" s="1" t="s">
        <v>12</v>
      </c>
      <c r="D35" s="1"/>
      <c r="E35" s="1"/>
      <c r="F35" s="1"/>
      <c r="G35" s="45"/>
      <c r="H35" s="45"/>
      <c r="I35" s="45"/>
      <c r="J35" s="45"/>
      <c r="K35" s="45"/>
      <c r="L35" s="45"/>
      <c r="M35" s="45"/>
      <c r="N35" s="45"/>
      <c r="O35" s="45"/>
      <c r="Q35" s="83"/>
    </row>
    <row r="36" spans="2:17" ht="14.5" customHeight="1" x14ac:dyDescent="0.2">
      <c r="B36" s="83"/>
      <c r="C36" s="1" t="s">
        <v>13</v>
      </c>
      <c r="D36" s="1"/>
      <c r="E36" s="1"/>
      <c r="F36" s="1"/>
      <c r="G36" s="45"/>
      <c r="H36" s="45"/>
      <c r="I36" s="45"/>
      <c r="J36" s="45"/>
      <c r="K36" s="45"/>
      <c r="L36" s="45"/>
      <c r="M36" s="45"/>
      <c r="N36" s="45"/>
      <c r="O36" s="45"/>
      <c r="Q36" s="83"/>
    </row>
    <row r="37" spans="2:17" ht="14.5" customHeight="1" x14ac:dyDescent="0.2">
      <c r="B37" s="83"/>
      <c r="C37" s="1" t="s">
        <v>14</v>
      </c>
      <c r="D37" s="1"/>
      <c r="E37" s="1"/>
      <c r="F37" s="1"/>
      <c r="G37" s="45"/>
      <c r="H37" s="45"/>
      <c r="I37" s="45"/>
      <c r="J37" s="45"/>
      <c r="K37" s="45"/>
      <c r="L37" s="45"/>
      <c r="M37" s="45"/>
      <c r="N37" s="45"/>
      <c r="O37" s="45"/>
      <c r="Q37" s="83"/>
    </row>
    <row r="38" spans="2:17" ht="14.5" customHeight="1" x14ac:dyDescent="0.2">
      <c r="B38" s="83"/>
      <c r="C38" s="1" t="s">
        <v>15</v>
      </c>
      <c r="D38" s="1"/>
      <c r="E38" s="1"/>
      <c r="F38" s="1"/>
      <c r="G38" s="45"/>
      <c r="H38" s="45"/>
      <c r="I38" s="45"/>
      <c r="J38" s="45"/>
      <c r="K38" s="45"/>
      <c r="L38" s="45"/>
      <c r="M38" s="45"/>
      <c r="N38" s="45"/>
      <c r="O38" s="45"/>
      <c r="Q38" s="83"/>
    </row>
    <row r="39" spans="2:17" ht="14.5" customHeight="1" x14ac:dyDescent="0.2">
      <c r="B39" s="83"/>
      <c r="C39" s="1" t="s">
        <v>16</v>
      </c>
      <c r="D39" s="1"/>
      <c r="E39" s="1"/>
      <c r="F39" s="1"/>
      <c r="G39" s="45"/>
      <c r="H39" s="45"/>
      <c r="I39" s="45"/>
      <c r="J39" s="45"/>
      <c r="K39" s="45"/>
      <c r="L39" s="45"/>
      <c r="M39" s="45"/>
      <c r="N39" s="45"/>
      <c r="O39" s="45"/>
      <c r="Q39" s="83"/>
    </row>
    <row r="40" spans="2:17" ht="14.5" customHeight="1" x14ac:dyDescent="0.2">
      <c r="B40" s="83"/>
      <c r="C40" s="1"/>
      <c r="D40" s="1"/>
      <c r="E40" s="1"/>
      <c r="F40" s="1"/>
      <c r="G40" s="45"/>
      <c r="H40" s="45"/>
      <c r="I40" s="45"/>
      <c r="J40" s="45"/>
      <c r="K40" s="45"/>
      <c r="L40" s="45"/>
      <c r="M40" s="45"/>
      <c r="N40" s="45"/>
      <c r="O40" s="45"/>
      <c r="Q40" s="83"/>
    </row>
    <row r="41" spans="2:17" ht="19.5" customHeight="1" thickBot="1" x14ac:dyDescent="0.3">
      <c r="B41" s="83"/>
      <c r="C41" s="107" t="s">
        <v>93</v>
      </c>
      <c r="D41" s="44"/>
      <c r="E41" s="44"/>
      <c r="F41" s="44"/>
      <c r="G41" s="44"/>
      <c r="H41" s="44"/>
      <c r="I41" s="44"/>
      <c r="J41" s="44"/>
      <c r="K41" s="44"/>
      <c r="L41" s="44"/>
      <c r="M41" s="44"/>
      <c r="N41" s="44"/>
      <c r="O41" s="44"/>
      <c r="Q41" s="83"/>
    </row>
    <row r="42" spans="2:17" ht="14.5" customHeight="1" thickBot="1" x14ac:dyDescent="0.25">
      <c r="B42" s="83"/>
      <c r="C42" s="1"/>
      <c r="D42" s="1"/>
      <c r="E42" s="1"/>
      <c r="F42" s="1"/>
      <c r="G42" s="1"/>
      <c r="H42" s="1"/>
      <c r="I42" s="1"/>
      <c r="J42" s="1"/>
      <c r="K42" s="1"/>
      <c r="L42" s="1"/>
      <c r="M42" s="1"/>
      <c r="N42" s="1"/>
      <c r="O42" s="1"/>
      <c r="Q42" s="83"/>
    </row>
    <row r="43" spans="2:17" ht="14.5" customHeight="1" thickTop="1" thickBot="1" x14ac:dyDescent="0.25">
      <c r="B43" s="83"/>
      <c r="C43" s="1" t="s">
        <v>18</v>
      </c>
      <c r="D43" s="41"/>
      <c r="E43" s="74"/>
      <c r="F43" s="1"/>
      <c r="G43" s="45"/>
      <c r="H43" s="45"/>
      <c r="I43" s="45"/>
      <c r="J43" s="45"/>
      <c r="K43" s="45"/>
      <c r="L43" s="45"/>
      <c r="M43" s="45"/>
      <c r="N43" s="45"/>
      <c r="O43" s="45"/>
      <c r="Q43" s="83"/>
    </row>
    <row r="44" spans="2:17" ht="14.5" customHeight="1" thickTop="1" thickBot="1" x14ac:dyDescent="0.25">
      <c r="B44" s="83"/>
      <c r="C44" s="1" t="s">
        <v>19</v>
      </c>
      <c r="D44" s="41"/>
      <c r="E44" s="75"/>
      <c r="F44" s="1"/>
      <c r="G44" s="45"/>
      <c r="H44" s="45"/>
      <c r="I44" s="45"/>
      <c r="J44" s="45"/>
      <c r="K44" s="45"/>
      <c r="L44" s="45"/>
      <c r="M44" s="45"/>
      <c r="N44" s="45"/>
      <c r="O44" s="45"/>
      <c r="Q44" s="83"/>
    </row>
    <row r="45" spans="2:17" ht="14.5" customHeight="1" thickTop="1" thickBot="1" x14ac:dyDescent="0.25">
      <c r="B45" s="83"/>
      <c r="C45" s="1" t="s">
        <v>20</v>
      </c>
      <c r="D45" s="41"/>
      <c r="E45" s="76"/>
      <c r="F45" s="1"/>
      <c r="G45" s="45"/>
      <c r="H45" s="45"/>
      <c r="I45" s="45"/>
      <c r="J45" s="45"/>
      <c r="K45" s="45"/>
      <c r="L45" s="45"/>
      <c r="M45" s="45"/>
      <c r="N45" s="45"/>
      <c r="O45" s="45"/>
      <c r="Q45" s="83"/>
    </row>
    <row r="46" spans="2:17" ht="14.5" customHeight="1" thickTop="1" thickBot="1" x14ac:dyDescent="0.25">
      <c r="B46" s="83"/>
      <c r="C46" s="1" t="s">
        <v>153</v>
      </c>
      <c r="D46" s="41"/>
      <c r="E46" s="78"/>
      <c r="F46" s="45"/>
      <c r="G46" s="45"/>
      <c r="H46" s="45"/>
      <c r="I46" s="45"/>
      <c r="J46" s="45"/>
      <c r="K46" s="45"/>
      <c r="L46" s="45"/>
      <c r="M46" s="45"/>
      <c r="N46" s="45"/>
      <c r="O46" s="45"/>
      <c r="Q46" s="83"/>
    </row>
    <row r="47" spans="2:17" ht="14.5" customHeight="1" thickTop="1" x14ac:dyDescent="0.2">
      <c r="B47" s="83"/>
      <c r="C47" s="1"/>
      <c r="D47" s="41"/>
      <c r="E47" s="45"/>
      <c r="F47" s="1"/>
      <c r="G47" s="45"/>
      <c r="H47" s="45"/>
      <c r="I47" s="45"/>
      <c r="J47" s="45"/>
      <c r="K47" s="45"/>
      <c r="L47" s="45"/>
      <c r="M47" s="45"/>
      <c r="N47" s="45"/>
      <c r="O47" s="45"/>
      <c r="Q47" s="83"/>
    </row>
    <row r="48" spans="2:17" ht="19" customHeight="1" thickBot="1" x14ac:dyDescent="0.3">
      <c r="B48" s="83"/>
      <c r="C48" s="107" t="s">
        <v>17</v>
      </c>
      <c r="D48" s="49"/>
      <c r="E48" s="44"/>
      <c r="F48" s="44"/>
      <c r="G48" s="42"/>
      <c r="H48" s="42"/>
      <c r="I48" s="42"/>
      <c r="J48" s="42"/>
      <c r="K48" s="42"/>
      <c r="L48" s="42"/>
      <c r="M48" s="42"/>
      <c r="N48" s="42"/>
      <c r="O48" s="42"/>
      <c r="Q48" s="83"/>
    </row>
    <row r="49" spans="1:17" ht="14.5" customHeight="1" thickBot="1" x14ac:dyDescent="0.25">
      <c r="B49" s="83"/>
      <c r="Q49" s="83"/>
    </row>
    <row r="50" spans="1:17" ht="14.5" customHeight="1" thickTop="1" thickBot="1" x14ac:dyDescent="0.25">
      <c r="B50" s="83"/>
      <c r="C50" t="s">
        <v>151</v>
      </c>
      <c r="E50" s="61"/>
      <c r="Q50" s="83"/>
    </row>
    <row r="51" spans="1:17" ht="14.5" customHeight="1" thickTop="1" thickBot="1" x14ac:dyDescent="0.25">
      <c r="B51" s="83"/>
      <c r="C51" t="s">
        <v>106</v>
      </c>
      <c r="E51" s="72"/>
      <c r="Q51" s="83"/>
    </row>
    <row r="52" spans="1:17" ht="14.5" customHeight="1" thickTop="1" thickBot="1" x14ac:dyDescent="0.25">
      <c r="B52" s="83"/>
      <c r="C52" t="s">
        <v>152</v>
      </c>
      <c r="E52" s="73"/>
      <c r="Q52" s="83"/>
    </row>
    <row r="53" spans="1:17" ht="14.5" customHeight="1" thickTop="1" x14ac:dyDescent="0.2">
      <c r="A53" s="82"/>
      <c r="B53" s="83"/>
      <c r="Q53" s="83"/>
    </row>
    <row r="54" spans="1:17" ht="14.5" customHeight="1" thickBot="1" x14ac:dyDescent="0.25">
      <c r="A54" s="82"/>
      <c r="B54" s="87"/>
      <c r="C54" s="84"/>
      <c r="D54" s="84"/>
      <c r="E54" s="84"/>
      <c r="F54" s="84"/>
      <c r="G54" s="84"/>
      <c r="H54" s="84"/>
      <c r="I54" s="84"/>
      <c r="J54" s="84"/>
      <c r="K54" s="84"/>
      <c r="L54" s="84"/>
      <c r="M54" s="84"/>
      <c r="N54" s="84"/>
      <c r="O54" s="84"/>
      <c r="P54" s="84"/>
      <c r="Q54" s="83"/>
    </row>
    <row r="55" spans="1:17" ht="14.5" customHeight="1" x14ac:dyDescent="0.2"/>
    <row r="56" spans="1:17" ht="14.5" customHeight="1" x14ac:dyDescent="0.2"/>
    <row r="57" spans="1:17" ht="14.5" customHeight="1" x14ac:dyDescent="0.2"/>
    <row r="58" spans="1:17" ht="14.5" customHeight="1" x14ac:dyDescent="0.2"/>
    <row r="59" spans="1:17" ht="14.5" customHeight="1" x14ac:dyDescent="0.2"/>
    <row r="60" spans="1:17" ht="14.5" customHeight="1" x14ac:dyDescent="0.2"/>
    <row r="61" spans="1:17" ht="14.5" customHeight="1" x14ac:dyDescent="0.2"/>
    <row r="62" spans="1:17" ht="14.5" customHeight="1" x14ac:dyDescent="0.2"/>
    <row r="63" spans="1:17" ht="14.5" customHeight="1" x14ac:dyDescent="0.2"/>
    <row r="64" spans="1:17" ht="14.5" customHeight="1" x14ac:dyDescent="0.2"/>
    <row r="65" ht="14.5" customHeight="1" x14ac:dyDescent="0.2"/>
    <row r="66" ht="14.5" customHeight="1" x14ac:dyDescent="0.2"/>
    <row r="67" ht="14.5" customHeight="1" x14ac:dyDescent="0.2"/>
    <row r="68" ht="14.5" customHeight="1" x14ac:dyDescent="0.2"/>
    <row r="69" ht="14.5" customHeight="1" x14ac:dyDescent="0.2"/>
    <row r="70" ht="14.5" customHeight="1" x14ac:dyDescent="0.2"/>
    <row r="71" ht="14.5" customHeight="1" x14ac:dyDescent="0.2"/>
    <row r="72" ht="14.5" customHeight="1" x14ac:dyDescent="0.2"/>
    <row r="73" ht="14.5" customHeight="1" x14ac:dyDescent="0.2"/>
    <row r="74" ht="14.5" customHeight="1" x14ac:dyDescent="0.2"/>
    <row r="75" ht="14.5" customHeight="1" x14ac:dyDescent="0.2"/>
    <row r="76" ht="14.5" customHeight="1" x14ac:dyDescent="0.2"/>
    <row r="77" ht="14.5" customHeight="1" x14ac:dyDescent="0.2"/>
    <row r="78" ht="14.5" customHeight="1" x14ac:dyDescent="0.2"/>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D90624-58EB-42BD-AF39-886E633ED89E}">
  <sheetPr codeName="Sheet18">
    <tabColor theme="4"/>
  </sheetPr>
  <dimension ref="A3:AA77"/>
  <sheetViews>
    <sheetView showGridLines="0" zoomScaleNormal="100" workbookViewId="0"/>
  </sheetViews>
  <sheetFormatPr baseColWidth="10" defaultColWidth="8.83203125" defaultRowHeight="15" x14ac:dyDescent="0.2"/>
  <cols>
    <col min="4" max="4" width="5.33203125" customWidth="1"/>
    <col min="15" max="15" width="5.1640625" customWidth="1"/>
  </cols>
  <sheetData>
    <row r="3" spans="2:27" ht="26" x14ac:dyDescent="0.3">
      <c r="J3" s="85" t="s">
        <v>160</v>
      </c>
    </row>
    <row r="4" spans="2:27" ht="16" thickBot="1" x14ac:dyDescent="0.25"/>
    <row r="5" spans="2:27" ht="14.5" customHeight="1" thickBot="1" x14ac:dyDescent="0.25">
      <c r="B5" s="79"/>
      <c r="C5" s="80"/>
      <c r="D5" s="80"/>
      <c r="E5" s="80"/>
      <c r="F5" s="80"/>
      <c r="G5" s="80"/>
      <c r="H5" s="80"/>
      <c r="I5" s="80"/>
      <c r="J5" s="80"/>
      <c r="K5" s="80"/>
      <c r="L5" s="80"/>
      <c r="M5" s="80"/>
      <c r="N5" s="80"/>
      <c r="O5" s="80"/>
      <c r="P5" s="80"/>
      <c r="Q5" s="80"/>
      <c r="R5" s="80"/>
      <c r="S5" s="80"/>
      <c r="T5" s="80"/>
      <c r="U5" s="80"/>
      <c r="V5" s="81"/>
    </row>
    <row r="6" spans="2:27" x14ac:dyDescent="0.2">
      <c r="B6" s="83"/>
      <c r="W6" s="83"/>
    </row>
    <row r="7" spans="2:27" x14ac:dyDescent="0.2">
      <c r="B7" s="83"/>
      <c r="W7" s="83"/>
    </row>
    <row r="8" spans="2:27" ht="14.5" customHeight="1" x14ac:dyDescent="0.25">
      <c r="B8" s="83"/>
      <c r="C8" s="108" t="s">
        <v>160</v>
      </c>
      <c r="W8" s="83"/>
    </row>
    <row r="9" spans="2:27" ht="14.5" customHeight="1" x14ac:dyDescent="0.2">
      <c r="B9" s="83"/>
      <c r="C9" s="1"/>
      <c r="D9" s="1"/>
      <c r="E9" s="1"/>
      <c r="F9" s="1"/>
      <c r="G9" s="1"/>
      <c r="H9" s="1"/>
      <c r="I9" s="1"/>
      <c r="J9" s="1"/>
      <c r="K9" s="1"/>
      <c r="L9" s="1"/>
      <c r="M9" s="1"/>
      <c r="N9" s="1"/>
      <c r="O9" s="1"/>
      <c r="P9" s="1"/>
      <c r="W9" s="83"/>
    </row>
    <row r="10" spans="2:27" ht="14.5" customHeight="1" x14ac:dyDescent="0.2">
      <c r="B10" s="83"/>
      <c r="C10" s="1" t="s">
        <v>117</v>
      </c>
      <c r="D10" s="1"/>
      <c r="E10" s="1"/>
      <c r="F10" s="1"/>
      <c r="G10" s="45"/>
      <c r="H10" s="45"/>
      <c r="I10" s="45"/>
      <c r="J10" s="45"/>
      <c r="K10" s="45"/>
      <c r="L10" s="45"/>
      <c r="M10" s="45"/>
      <c r="N10" s="45"/>
      <c r="O10" s="45"/>
      <c r="P10" s="45"/>
      <c r="W10" s="83"/>
    </row>
    <row r="11" spans="2:27" ht="14.5" customHeight="1" x14ac:dyDescent="0.2">
      <c r="B11" s="83"/>
      <c r="E11" s="1"/>
      <c r="F11" s="1"/>
      <c r="G11" s="45"/>
      <c r="H11" s="45"/>
      <c r="I11" s="45"/>
      <c r="J11" s="45"/>
      <c r="K11" s="45"/>
      <c r="L11" s="45"/>
      <c r="M11" s="45"/>
      <c r="N11" s="45"/>
      <c r="O11" s="45"/>
      <c r="P11" s="45"/>
      <c r="W11" s="83"/>
    </row>
    <row r="12" spans="2:27" ht="14.5" customHeight="1" x14ac:dyDescent="0.2">
      <c r="B12" s="83"/>
      <c r="C12" s="68" t="s">
        <v>119</v>
      </c>
      <c r="D12" t="s">
        <v>116</v>
      </c>
      <c r="E12" s="1"/>
      <c r="F12" s="1"/>
      <c r="G12" s="45"/>
      <c r="H12" s="45"/>
      <c r="I12" s="45"/>
      <c r="J12" s="45"/>
      <c r="K12" s="45"/>
      <c r="L12" s="45"/>
      <c r="M12" s="45"/>
      <c r="N12" s="45"/>
      <c r="O12" s="45"/>
      <c r="P12" s="45"/>
      <c r="W12" s="83"/>
    </row>
    <row r="13" spans="2:27" ht="14.5" customHeight="1" x14ac:dyDescent="0.2">
      <c r="B13" s="83"/>
      <c r="C13" s="68" t="s">
        <v>120</v>
      </c>
      <c r="D13" t="s">
        <v>83</v>
      </c>
      <c r="E13" s="1"/>
      <c r="F13" s="1"/>
      <c r="G13" s="45"/>
      <c r="H13" s="45"/>
      <c r="I13" s="45"/>
      <c r="J13" s="45"/>
      <c r="K13" s="45"/>
      <c r="L13" s="45"/>
      <c r="M13" s="45"/>
      <c r="N13" s="45"/>
      <c r="O13" s="45"/>
      <c r="P13" s="45"/>
      <c r="W13" s="83"/>
      <c r="Z13" s="1"/>
      <c r="AA13" s="1"/>
    </row>
    <row r="14" spans="2:27" ht="14.5" customHeight="1" x14ac:dyDescent="0.2">
      <c r="B14" s="83"/>
      <c r="C14" s="68" t="s">
        <v>121</v>
      </c>
      <c r="D14" t="s">
        <v>84</v>
      </c>
      <c r="E14" s="1"/>
      <c r="F14" s="1"/>
      <c r="G14" s="45"/>
      <c r="H14" s="45"/>
      <c r="I14" s="45"/>
      <c r="J14" s="45"/>
      <c r="K14" s="45"/>
      <c r="L14" s="45"/>
      <c r="M14" s="45"/>
      <c r="N14" s="45"/>
      <c r="O14" s="45"/>
      <c r="P14" s="45"/>
      <c r="W14" s="83"/>
      <c r="Z14" s="1"/>
      <c r="AA14" s="1"/>
    </row>
    <row r="15" spans="2:27" ht="14.5" customHeight="1" x14ac:dyDescent="0.2">
      <c r="B15" s="83"/>
      <c r="E15" s="1"/>
      <c r="F15" s="1"/>
      <c r="G15" s="45"/>
      <c r="H15" s="45"/>
      <c r="I15" s="45"/>
      <c r="J15" s="45"/>
      <c r="K15" s="45"/>
      <c r="L15" s="45"/>
      <c r="M15" s="45"/>
      <c r="N15" s="45"/>
      <c r="O15" s="45"/>
      <c r="P15" s="45"/>
      <c r="W15" s="83"/>
      <c r="Z15" s="1"/>
      <c r="AA15" s="1"/>
    </row>
    <row r="16" spans="2:27" ht="14.5" customHeight="1" x14ac:dyDescent="0.2">
      <c r="B16" s="83"/>
      <c r="D16" t="s">
        <v>122</v>
      </c>
      <c r="F16" s="1"/>
      <c r="G16" s="1"/>
      <c r="H16" s="45"/>
      <c r="I16" s="45"/>
      <c r="J16" s="45"/>
      <c r="K16" s="45"/>
      <c r="L16" s="45"/>
      <c r="M16" s="45"/>
      <c r="N16" s="45"/>
      <c r="O16" s="45"/>
      <c r="P16" s="45"/>
      <c r="W16" s="83"/>
      <c r="Z16" s="1"/>
      <c r="AA16" s="1"/>
    </row>
    <row r="17" spans="2:27" ht="14.5" customHeight="1" x14ac:dyDescent="0.2">
      <c r="B17" s="83"/>
      <c r="C17" s="69" t="s">
        <v>123</v>
      </c>
      <c r="D17" s="1" t="s">
        <v>124</v>
      </c>
      <c r="F17" s="1"/>
      <c r="G17" s="1"/>
      <c r="H17" s="45"/>
      <c r="I17" s="45"/>
      <c r="J17" s="45"/>
      <c r="K17" s="45"/>
      <c r="L17" s="45"/>
      <c r="M17" s="45"/>
      <c r="N17" s="45"/>
      <c r="O17" s="45"/>
      <c r="P17" s="45"/>
      <c r="W17" s="83"/>
      <c r="Z17" s="1"/>
      <c r="AA17" s="1"/>
    </row>
    <row r="18" spans="2:27" ht="14.5" customHeight="1" x14ac:dyDescent="0.2">
      <c r="B18" s="83"/>
      <c r="C18" s="69" t="s">
        <v>131</v>
      </c>
      <c r="D18" s="1" t="s">
        <v>78</v>
      </c>
      <c r="F18" s="1"/>
      <c r="G18" s="1"/>
      <c r="H18" s="45"/>
      <c r="I18" s="45"/>
      <c r="J18" s="45"/>
      <c r="K18" s="45"/>
      <c r="L18" s="45"/>
      <c r="M18" s="45"/>
      <c r="N18" s="45"/>
      <c r="O18" s="45"/>
      <c r="P18" s="45"/>
      <c r="W18" s="83"/>
      <c r="Z18" s="1"/>
      <c r="AA18" s="1"/>
    </row>
    <row r="19" spans="2:27" x14ac:dyDescent="0.2">
      <c r="B19" s="83"/>
      <c r="C19" s="69" t="s">
        <v>132</v>
      </c>
      <c r="D19" s="1" t="s">
        <v>79</v>
      </c>
      <c r="W19" s="83"/>
      <c r="Z19" s="1"/>
      <c r="AA19" s="1"/>
    </row>
    <row r="20" spans="2:27" x14ac:dyDescent="0.2">
      <c r="B20" s="83"/>
      <c r="C20" s="69" t="s">
        <v>126</v>
      </c>
      <c r="D20" s="1" t="s">
        <v>125</v>
      </c>
      <c r="W20" s="83"/>
      <c r="Z20" s="1"/>
      <c r="AA20" s="1"/>
    </row>
    <row r="21" spans="2:27" x14ac:dyDescent="0.2">
      <c r="B21" s="83"/>
      <c r="C21" s="69" t="s">
        <v>127</v>
      </c>
      <c r="D21" s="1" t="s">
        <v>128</v>
      </c>
      <c r="W21" s="83"/>
    </row>
    <row r="22" spans="2:27" x14ac:dyDescent="0.2">
      <c r="B22" s="83"/>
      <c r="C22" s="69" t="s">
        <v>129</v>
      </c>
      <c r="D22" s="1" t="s">
        <v>130</v>
      </c>
      <c r="W22" s="83"/>
    </row>
    <row r="23" spans="2:27" x14ac:dyDescent="0.2">
      <c r="B23" s="83"/>
      <c r="W23" s="83"/>
    </row>
    <row r="24" spans="2:27" x14ac:dyDescent="0.2">
      <c r="B24" s="83"/>
      <c r="W24" s="83"/>
    </row>
    <row r="25" spans="2:27" x14ac:dyDescent="0.2">
      <c r="B25" s="83"/>
      <c r="W25" s="83"/>
    </row>
    <row r="26" spans="2:27" x14ac:dyDescent="0.2">
      <c r="B26" s="83"/>
      <c r="Q26" t="s">
        <v>116</v>
      </c>
      <c r="W26" s="83"/>
    </row>
    <row r="27" spans="2:27" x14ac:dyDescent="0.2">
      <c r="B27" s="83"/>
      <c r="W27" s="83"/>
    </row>
    <row r="28" spans="2:27" x14ac:dyDescent="0.2">
      <c r="B28" s="83"/>
      <c r="W28" s="83"/>
    </row>
    <row r="29" spans="2:27" x14ac:dyDescent="0.2">
      <c r="B29" s="83"/>
      <c r="Q29" t="s">
        <v>118</v>
      </c>
      <c r="W29" s="83"/>
    </row>
    <row r="30" spans="2:27" x14ac:dyDescent="0.2">
      <c r="B30" s="83"/>
      <c r="W30" s="83"/>
    </row>
    <row r="31" spans="2:27" x14ac:dyDescent="0.2">
      <c r="B31" s="83"/>
      <c r="W31" s="83"/>
    </row>
    <row r="32" spans="2:27" x14ac:dyDescent="0.2">
      <c r="B32" s="83"/>
      <c r="W32" s="83"/>
    </row>
    <row r="33" spans="2:23" x14ac:dyDescent="0.2">
      <c r="B33" s="83"/>
      <c r="W33" s="83"/>
    </row>
    <row r="34" spans="2:23" x14ac:dyDescent="0.2">
      <c r="B34" s="83"/>
      <c r="W34" s="83"/>
    </row>
    <row r="35" spans="2:23" x14ac:dyDescent="0.2">
      <c r="B35" s="83"/>
      <c r="W35" s="83"/>
    </row>
    <row r="36" spans="2:23" x14ac:dyDescent="0.2">
      <c r="B36" s="83"/>
      <c r="W36" s="83"/>
    </row>
    <row r="37" spans="2:23" x14ac:dyDescent="0.2">
      <c r="B37" s="83"/>
      <c r="W37" s="83"/>
    </row>
    <row r="38" spans="2:23" x14ac:dyDescent="0.2">
      <c r="B38" s="83"/>
      <c r="W38" s="83"/>
    </row>
    <row r="39" spans="2:23" x14ac:dyDescent="0.2">
      <c r="B39" s="83"/>
      <c r="W39" s="83"/>
    </row>
    <row r="40" spans="2:23" x14ac:dyDescent="0.2">
      <c r="B40" s="83"/>
      <c r="W40" s="83"/>
    </row>
    <row r="41" spans="2:23" x14ac:dyDescent="0.2">
      <c r="B41" s="83"/>
      <c r="W41" s="83"/>
    </row>
    <row r="42" spans="2:23" x14ac:dyDescent="0.2">
      <c r="B42" s="83"/>
      <c r="W42" s="83"/>
    </row>
    <row r="43" spans="2:23" x14ac:dyDescent="0.2">
      <c r="B43" s="83"/>
      <c r="W43" s="83"/>
    </row>
    <row r="44" spans="2:23" x14ac:dyDescent="0.2">
      <c r="B44" s="83"/>
      <c r="W44" s="83"/>
    </row>
    <row r="45" spans="2:23" x14ac:dyDescent="0.2">
      <c r="B45" s="83"/>
      <c r="W45" s="83"/>
    </row>
    <row r="46" spans="2:23" x14ac:dyDescent="0.2">
      <c r="B46" s="83"/>
      <c r="E46" t="s">
        <v>149</v>
      </c>
      <c r="F46" t="s">
        <v>150</v>
      </c>
      <c r="W46" s="83"/>
    </row>
    <row r="47" spans="2:23" x14ac:dyDescent="0.2">
      <c r="B47" s="83"/>
      <c r="W47" s="83"/>
    </row>
    <row r="48" spans="2:23" x14ac:dyDescent="0.2">
      <c r="B48" s="83"/>
      <c r="W48" s="83"/>
    </row>
    <row r="49" spans="2:23" x14ac:dyDescent="0.2">
      <c r="B49" s="83"/>
      <c r="W49" s="83"/>
    </row>
    <row r="50" spans="2:23" x14ac:dyDescent="0.2">
      <c r="B50" s="83"/>
      <c r="W50" s="83"/>
    </row>
    <row r="51" spans="2:23" x14ac:dyDescent="0.2">
      <c r="B51" s="83"/>
      <c r="W51" s="83"/>
    </row>
    <row r="52" spans="2:23" x14ac:dyDescent="0.2">
      <c r="B52" s="83"/>
      <c r="W52" s="83"/>
    </row>
    <row r="53" spans="2:23" x14ac:dyDescent="0.2">
      <c r="B53" s="83"/>
      <c r="W53" s="83"/>
    </row>
    <row r="54" spans="2:23" x14ac:dyDescent="0.2">
      <c r="B54" s="83"/>
      <c r="W54" s="83"/>
    </row>
    <row r="55" spans="2:23" x14ac:dyDescent="0.2">
      <c r="B55" s="83"/>
      <c r="W55" s="83"/>
    </row>
    <row r="56" spans="2:23" x14ac:dyDescent="0.2">
      <c r="B56" s="83"/>
      <c r="W56" s="83"/>
    </row>
    <row r="57" spans="2:23" x14ac:dyDescent="0.2">
      <c r="B57" s="83"/>
      <c r="W57" s="83"/>
    </row>
    <row r="58" spans="2:23" x14ac:dyDescent="0.2">
      <c r="B58" s="83"/>
      <c r="W58" s="83"/>
    </row>
    <row r="59" spans="2:23" x14ac:dyDescent="0.2">
      <c r="B59" s="83"/>
      <c r="W59" s="83"/>
    </row>
    <row r="60" spans="2:23" x14ac:dyDescent="0.2">
      <c r="B60" s="83"/>
      <c r="W60" s="83"/>
    </row>
    <row r="61" spans="2:23" ht="14.5" customHeight="1" x14ac:dyDescent="0.2">
      <c r="B61" s="83"/>
      <c r="T61" s="68" t="s">
        <v>133</v>
      </c>
      <c r="W61" s="83"/>
    </row>
    <row r="62" spans="2:23" x14ac:dyDescent="0.2">
      <c r="B62" s="83"/>
      <c r="W62" s="83"/>
    </row>
    <row r="63" spans="2:23" x14ac:dyDescent="0.2">
      <c r="B63" s="83"/>
      <c r="W63" s="83"/>
    </row>
    <row r="64" spans="2:23" x14ac:dyDescent="0.2">
      <c r="B64" s="83"/>
      <c r="W64" s="83"/>
    </row>
    <row r="65" spans="1:23" x14ac:dyDescent="0.2">
      <c r="B65" s="83"/>
      <c r="W65" s="83"/>
    </row>
    <row r="66" spans="1:23" x14ac:dyDescent="0.2">
      <c r="B66" s="83"/>
      <c r="W66" s="83"/>
    </row>
    <row r="67" spans="1:23" x14ac:dyDescent="0.2">
      <c r="B67" s="83"/>
      <c r="W67" s="83"/>
    </row>
    <row r="68" spans="1:23" x14ac:dyDescent="0.2">
      <c r="B68" s="83"/>
      <c r="W68" s="83"/>
    </row>
    <row r="69" spans="1:23" x14ac:dyDescent="0.2">
      <c r="B69" s="83"/>
      <c r="W69" s="83"/>
    </row>
    <row r="70" spans="1:23" x14ac:dyDescent="0.2">
      <c r="B70" s="83"/>
      <c r="W70" s="83"/>
    </row>
    <row r="71" spans="1:23" x14ac:dyDescent="0.2">
      <c r="B71" s="83"/>
      <c r="W71" s="83"/>
    </row>
    <row r="72" spans="1:23" x14ac:dyDescent="0.2">
      <c r="B72" s="83"/>
      <c r="W72" s="83"/>
    </row>
    <row r="73" spans="1:23" x14ac:dyDescent="0.2">
      <c r="B73" s="83"/>
      <c r="W73" s="83"/>
    </row>
    <row r="74" spans="1:23" x14ac:dyDescent="0.2">
      <c r="B74" s="83"/>
      <c r="W74" s="83"/>
    </row>
    <row r="75" spans="1:23" x14ac:dyDescent="0.2">
      <c r="B75" s="83"/>
      <c r="D75" t="s">
        <v>133</v>
      </c>
      <c r="E75" t="s">
        <v>253</v>
      </c>
      <c r="W75" s="83"/>
    </row>
    <row r="76" spans="1:23" x14ac:dyDescent="0.2">
      <c r="B76" s="83"/>
      <c r="W76" s="83"/>
    </row>
    <row r="77" spans="1:23" ht="16" thickBot="1" x14ac:dyDescent="0.25">
      <c r="A77" s="82"/>
      <c r="B77" s="87"/>
      <c r="C77" s="84"/>
      <c r="D77" s="84"/>
      <c r="E77" s="84"/>
      <c r="F77" s="84"/>
      <c r="G77" s="84"/>
      <c r="H77" s="84"/>
      <c r="I77" s="84"/>
      <c r="J77" s="84"/>
      <c r="K77" s="84"/>
      <c r="L77" s="84"/>
      <c r="M77" s="84"/>
      <c r="N77" s="84"/>
      <c r="O77" s="84"/>
      <c r="P77" s="84"/>
      <c r="Q77" s="84"/>
      <c r="R77" s="84"/>
      <c r="S77" s="84"/>
      <c r="T77" s="84"/>
      <c r="U77" s="84"/>
      <c r="V77" s="84"/>
      <c r="W77" s="83"/>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DBDB4-80B1-42B9-B5DB-D0E267C1A406}">
  <sheetPr codeName="Sheet3">
    <tabColor theme="4"/>
  </sheetPr>
  <dimension ref="B3:X17"/>
  <sheetViews>
    <sheetView showGridLines="0" workbookViewId="0"/>
  </sheetViews>
  <sheetFormatPr baseColWidth="10" defaultColWidth="8.83203125" defaultRowHeight="15" x14ac:dyDescent="0.2"/>
  <cols>
    <col min="1" max="3" width="9.6640625" customWidth="1"/>
  </cols>
  <sheetData>
    <row r="3" spans="2:24" ht="21" customHeight="1" x14ac:dyDescent="0.2">
      <c r="J3" s="109" t="s">
        <v>95</v>
      </c>
      <c r="K3" s="109"/>
      <c r="L3" s="109"/>
    </row>
    <row r="4" spans="2:24" ht="15" customHeight="1" thickBot="1" x14ac:dyDescent="0.25">
      <c r="J4" s="109"/>
      <c r="K4" s="109"/>
      <c r="L4" s="109"/>
    </row>
    <row r="5" spans="2:24" ht="16" thickBot="1" x14ac:dyDescent="0.25">
      <c r="B5" s="79"/>
      <c r="C5" s="80"/>
      <c r="D5" s="80"/>
      <c r="E5" s="80"/>
      <c r="F5" s="80"/>
      <c r="G5" s="80"/>
      <c r="H5" s="80"/>
      <c r="I5" s="80"/>
      <c r="J5" s="80"/>
      <c r="K5" s="80"/>
      <c r="L5" s="80"/>
      <c r="M5" s="80"/>
      <c r="N5" s="80"/>
      <c r="O5" s="80"/>
      <c r="P5" s="80"/>
      <c r="Q5" s="80"/>
      <c r="R5" s="80"/>
      <c r="S5" s="80"/>
      <c r="T5" s="80"/>
      <c r="U5" s="80"/>
      <c r="V5" s="80"/>
      <c r="W5" s="81"/>
    </row>
    <row r="6" spans="2:24" x14ac:dyDescent="0.2">
      <c r="B6" s="83"/>
      <c r="X6" s="83"/>
    </row>
    <row r="7" spans="2:24" ht="16" customHeight="1" x14ac:dyDescent="0.2">
      <c r="B7" s="83"/>
      <c r="X7" s="83"/>
    </row>
    <row r="8" spans="2:24" x14ac:dyDescent="0.2">
      <c r="B8" s="83"/>
      <c r="C8" s="56">
        <v>1</v>
      </c>
      <c r="D8" s="219" t="s">
        <v>99</v>
      </c>
      <c r="E8" s="220"/>
      <c r="F8" s="220"/>
      <c r="G8" s="220"/>
      <c r="H8" s="220"/>
      <c r="I8" s="220"/>
      <c r="J8" s="220"/>
      <c r="K8" s="220"/>
      <c r="L8" s="220"/>
      <c r="M8" s="220"/>
      <c r="N8" s="220"/>
      <c r="O8" s="220"/>
      <c r="P8" s="220"/>
      <c r="Q8" s="220"/>
      <c r="R8" s="220"/>
      <c r="S8" s="220"/>
      <c r="T8" s="220"/>
      <c r="U8" s="220"/>
      <c r="V8" s="221"/>
      <c r="X8" s="83"/>
    </row>
    <row r="9" spans="2:24" ht="29.5" customHeight="1" x14ac:dyDescent="0.2">
      <c r="B9" s="83"/>
      <c r="C9" s="56">
        <v>2</v>
      </c>
      <c r="D9" s="222" t="s">
        <v>100</v>
      </c>
      <c r="E9" s="223"/>
      <c r="F9" s="223"/>
      <c r="G9" s="223"/>
      <c r="H9" s="223"/>
      <c r="I9" s="223"/>
      <c r="J9" s="223"/>
      <c r="K9" s="223"/>
      <c r="L9" s="223"/>
      <c r="M9" s="223"/>
      <c r="N9" s="223"/>
      <c r="O9" s="223"/>
      <c r="P9" s="223"/>
      <c r="Q9" s="223"/>
      <c r="R9" s="223"/>
      <c r="S9" s="223"/>
      <c r="T9" s="223"/>
      <c r="U9" s="223"/>
      <c r="V9" s="224"/>
      <c r="X9" s="83"/>
    </row>
    <row r="10" spans="2:24" x14ac:dyDescent="0.2">
      <c r="B10" s="83"/>
      <c r="C10" s="56">
        <v>3</v>
      </c>
      <c r="D10" s="219" t="s">
        <v>101</v>
      </c>
      <c r="E10" s="220"/>
      <c r="F10" s="220"/>
      <c r="G10" s="220"/>
      <c r="H10" s="220"/>
      <c r="I10" s="220"/>
      <c r="J10" s="220"/>
      <c r="K10" s="220"/>
      <c r="L10" s="220"/>
      <c r="M10" s="220"/>
      <c r="N10" s="220"/>
      <c r="O10" s="220"/>
      <c r="P10" s="220"/>
      <c r="Q10" s="220"/>
      <c r="R10" s="220"/>
      <c r="S10" s="220"/>
      <c r="T10" s="220"/>
      <c r="U10" s="220"/>
      <c r="V10" s="221"/>
      <c r="X10" s="83"/>
    </row>
    <row r="11" spans="2:24" x14ac:dyDescent="0.2">
      <c r="B11" s="83"/>
      <c r="C11" s="56">
        <v>4</v>
      </c>
      <c r="D11" s="219" t="s">
        <v>102</v>
      </c>
      <c r="E11" s="220"/>
      <c r="F11" s="220"/>
      <c r="G11" s="220"/>
      <c r="H11" s="220"/>
      <c r="I11" s="220"/>
      <c r="J11" s="220"/>
      <c r="K11" s="220"/>
      <c r="L11" s="220"/>
      <c r="M11" s="220"/>
      <c r="N11" s="220"/>
      <c r="O11" s="220"/>
      <c r="P11" s="220"/>
      <c r="Q11" s="220"/>
      <c r="R11" s="220"/>
      <c r="S11" s="220"/>
      <c r="T11" s="220"/>
      <c r="U11" s="220"/>
      <c r="V11" s="221"/>
      <c r="X11" s="83"/>
    </row>
    <row r="12" spans="2:24" x14ac:dyDescent="0.2">
      <c r="B12" s="83"/>
      <c r="C12" s="56">
        <v>5</v>
      </c>
      <c r="D12" s="219" t="s">
        <v>103</v>
      </c>
      <c r="E12" s="220"/>
      <c r="F12" s="220"/>
      <c r="G12" s="220"/>
      <c r="H12" s="220"/>
      <c r="I12" s="220"/>
      <c r="J12" s="220"/>
      <c r="K12" s="220"/>
      <c r="L12" s="220"/>
      <c r="M12" s="220"/>
      <c r="N12" s="220"/>
      <c r="O12" s="220"/>
      <c r="P12" s="220"/>
      <c r="Q12" s="220"/>
      <c r="R12" s="220"/>
      <c r="S12" s="220"/>
      <c r="T12" s="220"/>
      <c r="U12" s="220"/>
      <c r="V12" s="221"/>
      <c r="X12" s="83"/>
    </row>
    <row r="13" spans="2:24" x14ac:dyDescent="0.2">
      <c r="B13" s="83"/>
      <c r="C13" s="56">
        <v>6</v>
      </c>
      <c r="D13" s="219" t="s">
        <v>104</v>
      </c>
      <c r="E13" s="220"/>
      <c r="F13" s="220"/>
      <c r="G13" s="220"/>
      <c r="H13" s="220"/>
      <c r="I13" s="220"/>
      <c r="J13" s="220"/>
      <c r="K13" s="220"/>
      <c r="L13" s="220"/>
      <c r="M13" s="220"/>
      <c r="N13" s="220"/>
      <c r="O13" s="220"/>
      <c r="P13" s="220"/>
      <c r="Q13" s="220"/>
      <c r="R13" s="220"/>
      <c r="S13" s="220"/>
      <c r="T13" s="220"/>
      <c r="U13" s="220"/>
      <c r="V13" s="221"/>
      <c r="X13" s="83"/>
    </row>
    <row r="14" spans="2:24" x14ac:dyDescent="0.2">
      <c r="B14" s="83"/>
      <c r="C14" s="2">
        <v>7</v>
      </c>
      <c r="D14" s="228" t="s">
        <v>180</v>
      </c>
      <c r="E14" s="229"/>
      <c r="F14" s="229"/>
      <c r="G14" s="229"/>
      <c r="H14" s="229"/>
      <c r="I14" s="229"/>
      <c r="J14" s="229"/>
      <c r="K14" s="229"/>
      <c r="L14" s="229"/>
      <c r="M14" s="229"/>
      <c r="N14" s="229"/>
      <c r="O14" s="229"/>
      <c r="P14" s="229"/>
      <c r="Q14" s="229"/>
      <c r="R14" s="229"/>
      <c r="S14" s="229"/>
      <c r="T14" s="229"/>
      <c r="U14" s="229"/>
      <c r="V14" s="230"/>
      <c r="X14" s="83"/>
    </row>
    <row r="15" spans="2:24" ht="30" customHeight="1" x14ac:dyDescent="0.2">
      <c r="B15" s="83"/>
      <c r="C15" s="2">
        <v>8</v>
      </c>
      <c r="D15" s="225" t="s">
        <v>182</v>
      </c>
      <c r="E15" s="226"/>
      <c r="F15" s="226"/>
      <c r="G15" s="226"/>
      <c r="H15" s="226"/>
      <c r="I15" s="226"/>
      <c r="J15" s="226"/>
      <c r="K15" s="226"/>
      <c r="L15" s="226"/>
      <c r="M15" s="226"/>
      <c r="N15" s="226"/>
      <c r="O15" s="226"/>
      <c r="P15" s="226"/>
      <c r="Q15" s="226"/>
      <c r="R15" s="226"/>
      <c r="S15" s="226"/>
      <c r="T15" s="226"/>
      <c r="U15" s="226"/>
      <c r="V15" s="227"/>
      <c r="X15" s="83"/>
    </row>
    <row r="16" spans="2:24" x14ac:dyDescent="0.2">
      <c r="B16" s="83"/>
      <c r="X16" s="83"/>
    </row>
    <row r="17" spans="2:24" ht="16" thickBot="1" x14ac:dyDescent="0.25">
      <c r="B17" s="87"/>
      <c r="C17" s="84"/>
      <c r="D17" s="84"/>
      <c r="E17" s="84"/>
      <c r="F17" s="84"/>
      <c r="G17" s="84"/>
      <c r="H17" s="84"/>
      <c r="I17" s="84"/>
      <c r="J17" s="84"/>
      <c r="K17" s="84"/>
      <c r="L17" s="84"/>
      <c r="M17" s="84"/>
      <c r="N17" s="84"/>
      <c r="O17" s="84"/>
      <c r="P17" s="84"/>
      <c r="Q17" s="84"/>
      <c r="R17" s="84"/>
      <c r="S17" s="84"/>
      <c r="T17" s="84"/>
      <c r="U17" s="84"/>
      <c r="V17" s="84"/>
      <c r="W17" s="84"/>
      <c r="X17" s="83"/>
    </row>
  </sheetData>
  <mergeCells count="8">
    <mergeCell ref="D10:V10"/>
    <mergeCell ref="D8:V8"/>
    <mergeCell ref="D9:V9"/>
    <mergeCell ref="D15:V15"/>
    <mergeCell ref="D14:V14"/>
    <mergeCell ref="D11:V11"/>
    <mergeCell ref="D12:V12"/>
    <mergeCell ref="D13:V1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D25269-0E44-45AF-877D-836F164E1A6E}">
  <sheetPr codeName="Sheet4">
    <tabColor theme="9"/>
  </sheetPr>
  <dimension ref="A3:X26"/>
  <sheetViews>
    <sheetView showGridLines="0" workbookViewId="0"/>
  </sheetViews>
  <sheetFormatPr baseColWidth="10" defaultColWidth="8.83203125" defaultRowHeight="15" x14ac:dyDescent="0.2"/>
  <cols>
    <col min="1" max="1" width="9.6640625" style="1" customWidth="1"/>
    <col min="2" max="2" width="8" style="1" customWidth="1"/>
    <col min="3" max="3" width="24" style="1" bestFit="1" customWidth="1"/>
    <col min="4" max="4" width="32.6640625" style="1" customWidth="1"/>
    <col min="5" max="5" width="16.6640625" style="1" customWidth="1"/>
    <col min="6" max="6" width="17.33203125" style="1" customWidth="1"/>
    <col min="7" max="7" width="15.83203125" style="1" customWidth="1"/>
    <col min="8" max="8" width="16.1640625" style="1" customWidth="1"/>
    <col min="9" max="9" width="19.33203125" style="1" customWidth="1"/>
    <col min="10" max="16384" width="8.83203125" style="1"/>
  </cols>
  <sheetData>
    <row r="3" spans="1:24" ht="26" x14ac:dyDescent="0.2">
      <c r="E3" s="109" t="s">
        <v>161</v>
      </c>
    </row>
    <row r="4" spans="1:24" ht="16" thickBot="1" x14ac:dyDescent="0.25"/>
    <row r="5" spans="1:24" customFormat="1" ht="16" thickBot="1" x14ac:dyDescent="0.25">
      <c r="B5" s="79"/>
      <c r="C5" s="80"/>
      <c r="D5" s="80"/>
      <c r="E5" s="80"/>
      <c r="F5" s="80"/>
      <c r="G5" s="80"/>
      <c r="H5" s="80"/>
      <c r="I5" s="81"/>
      <c r="J5" s="1"/>
      <c r="K5" s="1"/>
      <c r="L5" s="1"/>
      <c r="M5" s="1"/>
      <c r="N5" s="1"/>
      <c r="O5" s="1"/>
      <c r="P5" s="1"/>
      <c r="Q5" s="1"/>
      <c r="R5" s="1"/>
      <c r="S5" s="1"/>
      <c r="T5" s="1"/>
      <c r="U5" s="1"/>
      <c r="V5" s="1"/>
      <c r="W5" s="1"/>
      <c r="X5" s="1"/>
    </row>
    <row r="6" spans="1:24" x14ac:dyDescent="0.2">
      <c r="A6"/>
      <c r="B6" s="83"/>
      <c r="I6"/>
      <c r="J6" s="83"/>
    </row>
    <row r="7" spans="1:24" ht="21" thickBot="1" x14ac:dyDescent="0.3">
      <c r="A7"/>
      <c r="B7" s="83"/>
      <c r="C7" s="43" t="s">
        <v>21</v>
      </c>
      <c r="D7" s="44"/>
      <c r="E7" s="42"/>
      <c r="F7" s="44"/>
      <c r="G7" s="42"/>
      <c r="H7" s="44"/>
      <c r="I7"/>
      <c r="J7" s="83"/>
    </row>
    <row r="8" spans="1:24" x14ac:dyDescent="0.2">
      <c r="A8"/>
      <c r="B8" s="83"/>
      <c r="I8"/>
      <c r="J8" s="83"/>
    </row>
    <row r="9" spans="1:24" ht="19" x14ac:dyDescent="0.25">
      <c r="A9"/>
      <c r="B9" s="83"/>
      <c r="E9" s="108" t="s">
        <v>105</v>
      </c>
      <c r="F9" s="108" t="s">
        <v>106</v>
      </c>
      <c r="G9" s="108" t="s">
        <v>163</v>
      </c>
      <c r="H9" s="108" t="s">
        <v>94</v>
      </c>
      <c r="I9"/>
      <c r="J9" s="83"/>
    </row>
    <row r="10" spans="1:24" ht="16" thickBot="1" x14ac:dyDescent="0.25">
      <c r="A10"/>
      <c r="B10" s="83"/>
      <c r="F10" s="60"/>
      <c r="I10"/>
      <c r="J10" s="83"/>
      <c r="K10"/>
    </row>
    <row r="11" spans="1:24" ht="18" thickTop="1" thickBot="1" x14ac:dyDescent="0.25">
      <c r="A11"/>
      <c r="B11" s="83"/>
      <c r="C11" s="41" t="s">
        <v>22</v>
      </c>
      <c r="E11" s="62" t="s">
        <v>23</v>
      </c>
      <c r="I11"/>
      <c r="J11" s="83"/>
      <c r="K11"/>
    </row>
    <row r="12" spans="1:24" ht="17" thickTop="1" thickBot="1" x14ac:dyDescent="0.25">
      <c r="A12"/>
      <c r="B12" s="83"/>
      <c r="F12" s="60"/>
      <c r="I12"/>
      <c r="J12" s="83"/>
      <c r="K12"/>
    </row>
    <row r="13" spans="1:24" ht="18" thickTop="1" thickBot="1" x14ac:dyDescent="0.25">
      <c r="A13"/>
      <c r="B13" s="83"/>
      <c r="C13" s="41" t="s">
        <v>136</v>
      </c>
      <c r="E13" s="62"/>
      <c r="F13" s="91">
        <v>41424</v>
      </c>
      <c r="G13" s="111">
        <f>IF(E13="",F13,E13)</f>
        <v>41424</v>
      </c>
      <c r="H13" s="110" t="s">
        <v>269</v>
      </c>
      <c r="I13"/>
      <c r="J13" s="83"/>
      <c r="K13"/>
    </row>
    <row r="14" spans="1:24" ht="17" thickTop="1" thickBot="1" x14ac:dyDescent="0.25">
      <c r="A14"/>
      <c r="B14" s="83"/>
      <c r="F14" s="60"/>
      <c r="I14"/>
      <c r="J14" s="83"/>
      <c r="K14"/>
    </row>
    <row r="15" spans="1:24" ht="18" thickTop="1" thickBot="1" x14ac:dyDescent="0.25">
      <c r="A15"/>
      <c r="B15" s="83"/>
      <c r="C15" s="41" t="s">
        <v>24</v>
      </c>
      <c r="E15" s="62" t="s">
        <v>88</v>
      </c>
      <c r="F15"/>
      <c r="G15"/>
      <c r="I15"/>
      <c r="J15" s="83"/>
      <c r="K15"/>
    </row>
    <row r="16" spans="1:24" ht="17" thickTop="1" thickBot="1" x14ac:dyDescent="0.25">
      <c r="A16"/>
      <c r="B16" s="83"/>
      <c r="F16" s="60"/>
      <c r="I16"/>
      <c r="J16" s="83"/>
      <c r="K16"/>
    </row>
    <row r="17" spans="1:11" ht="18" thickTop="1" thickBot="1" x14ac:dyDescent="0.25">
      <c r="A17"/>
      <c r="B17" s="83"/>
      <c r="C17" s="41" t="s">
        <v>25</v>
      </c>
      <c r="E17" s="62"/>
      <c r="F17" s="91">
        <v>62.03</v>
      </c>
      <c r="G17" s="111">
        <f>IF(E17="",F17,E17)</f>
        <v>62.03</v>
      </c>
      <c r="H17" s="110" t="s">
        <v>269</v>
      </c>
      <c r="I17"/>
      <c r="J17" s="83"/>
      <c r="K17"/>
    </row>
    <row r="18" spans="1:11" ht="17" thickTop="1" thickBot="1" x14ac:dyDescent="0.25">
      <c r="A18"/>
      <c r="B18" s="83"/>
      <c r="I18"/>
      <c r="J18" s="83"/>
      <c r="K18"/>
    </row>
    <row r="19" spans="1:11" ht="18" thickTop="1" thickBot="1" x14ac:dyDescent="0.25">
      <c r="A19"/>
      <c r="B19" s="83"/>
      <c r="C19" s="41" t="s">
        <v>27</v>
      </c>
      <c r="E19" s="188" t="s">
        <v>26</v>
      </c>
      <c r="H19"/>
      <c r="I19"/>
      <c r="J19" s="83"/>
      <c r="K19"/>
    </row>
    <row r="20" spans="1:11" ht="17" thickTop="1" thickBot="1" x14ac:dyDescent="0.25">
      <c r="A20"/>
      <c r="B20" s="83"/>
      <c r="I20"/>
      <c r="J20" s="83"/>
      <c r="K20"/>
    </row>
    <row r="21" spans="1:11" ht="18" thickTop="1" thickBot="1" x14ac:dyDescent="0.25">
      <c r="A21"/>
      <c r="B21" s="83"/>
      <c r="C21" s="41" t="s">
        <v>174</v>
      </c>
      <c r="E21" s="62">
        <v>2013</v>
      </c>
      <c r="I21"/>
      <c r="J21" s="83"/>
      <c r="K21"/>
    </row>
    <row r="22" spans="1:11" ht="17" thickTop="1" x14ac:dyDescent="0.2">
      <c r="A22"/>
      <c r="B22" s="83"/>
      <c r="C22" s="41"/>
      <c r="I22"/>
      <c r="J22" s="83"/>
      <c r="K22"/>
    </row>
    <row r="23" spans="1:11" ht="16" x14ac:dyDescent="0.2">
      <c r="A23"/>
      <c r="B23" s="83"/>
      <c r="C23" s="41"/>
      <c r="I23"/>
      <c r="J23" s="83"/>
      <c r="K23"/>
    </row>
    <row r="24" spans="1:11" ht="16" x14ac:dyDescent="0.2">
      <c r="A24"/>
      <c r="B24" s="83"/>
      <c r="C24" s="41"/>
      <c r="I24"/>
      <c r="J24" s="83"/>
      <c r="K24"/>
    </row>
    <row r="25" spans="1:11" ht="16" thickBot="1" x14ac:dyDescent="0.25">
      <c r="A25"/>
      <c r="B25" s="87"/>
      <c r="C25" s="84"/>
      <c r="D25" s="84"/>
      <c r="E25" s="84"/>
      <c r="F25" s="84"/>
      <c r="G25" s="84"/>
      <c r="H25" s="84"/>
      <c r="I25" s="84"/>
      <c r="J25" s="83"/>
      <c r="K25"/>
    </row>
    <row r="26" spans="1:11" x14ac:dyDescent="0.2">
      <c r="A26"/>
      <c r="B26"/>
      <c r="C26"/>
      <c r="D26"/>
      <c r="E26"/>
      <c r="F26"/>
      <c r="G26"/>
      <c r="H26"/>
      <c r="I26"/>
      <c r="J26"/>
      <c r="K26"/>
    </row>
  </sheetData>
  <phoneticPr fontId="2" type="noConversion"/>
  <dataValidations count="1">
    <dataValidation type="list" allowBlank="1" showInputMessage="1" showErrorMessage="1" sqref="E19" xr:uid="{5F8BB012-E4DC-4C77-BF47-9D2A4B11A1FF}">
      <formula1>"Yes,No"</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251979-D6BB-4985-8B20-5F16A26A00DC}">
  <sheetPr codeName="Sheet5">
    <tabColor theme="9"/>
  </sheetPr>
  <dimension ref="A3:T33"/>
  <sheetViews>
    <sheetView showGridLines="0" workbookViewId="0"/>
  </sheetViews>
  <sheetFormatPr baseColWidth="10" defaultColWidth="8.83203125" defaultRowHeight="15" x14ac:dyDescent="0.2"/>
  <cols>
    <col min="3" max="3" width="41.33203125" bestFit="1" customWidth="1"/>
    <col min="4" max="4" width="12.5" bestFit="1" customWidth="1"/>
    <col min="5" max="6" width="15.6640625" bestFit="1" customWidth="1"/>
    <col min="7" max="7" width="30.33203125" bestFit="1" customWidth="1"/>
  </cols>
  <sheetData>
    <row r="3" spans="2:20" ht="26" x14ac:dyDescent="0.3">
      <c r="E3" s="85" t="s">
        <v>162</v>
      </c>
    </row>
    <row r="4" spans="2:20" ht="16" thickBot="1" x14ac:dyDescent="0.25"/>
    <row r="5" spans="2:20" ht="16" thickBot="1" x14ac:dyDescent="0.25">
      <c r="B5" s="79"/>
      <c r="C5" s="80"/>
      <c r="D5" s="80"/>
      <c r="E5" s="80"/>
      <c r="F5" s="80"/>
      <c r="G5" s="80"/>
      <c r="H5" s="81"/>
      <c r="I5" s="1"/>
      <c r="J5" s="1"/>
      <c r="K5" s="1"/>
      <c r="L5" s="1"/>
      <c r="M5" s="1"/>
      <c r="N5" s="1"/>
      <c r="O5" s="1"/>
      <c r="P5" s="1"/>
      <c r="Q5" s="1"/>
      <c r="R5" s="1"/>
      <c r="S5" s="1"/>
      <c r="T5" s="1"/>
    </row>
    <row r="6" spans="2:20" x14ac:dyDescent="0.2">
      <c r="B6" s="83"/>
      <c r="I6" s="83"/>
    </row>
    <row r="7" spans="2:20" x14ac:dyDescent="0.2">
      <c r="B7" s="83"/>
      <c r="I7" s="83"/>
    </row>
    <row r="8" spans="2:20" x14ac:dyDescent="0.2">
      <c r="B8" s="83"/>
      <c r="I8" s="83"/>
    </row>
    <row r="9" spans="2:20" ht="19" x14ac:dyDescent="0.25">
      <c r="B9" s="83"/>
      <c r="C9" s="14" t="s">
        <v>32</v>
      </c>
      <c r="D9" s="14" t="s">
        <v>105</v>
      </c>
      <c r="E9" s="14" t="s">
        <v>106</v>
      </c>
      <c r="G9" s="14" t="s">
        <v>94</v>
      </c>
      <c r="I9" s="83"/>
    </row>
    <row r="10" spans="2:20" x14ac:dyDescent="0.2">
      <c r="B10" s="83"/>
      <c r="C10" s="16" t="s">
        <v>256</v>
      </c>
      <c r="D10" s="1"/>
      <c r="E10" s="1"/>
      <c r="G10" s="1"/>
      <c r="I10" s="83"/>
    </row>
    <row r="11" spans="2:20" ht="16" thickBot="1" x14ac:dyDescent="0.25">
      <c r="B11" s="83"/>
      <c r="C11" s="1" t="s">
        <v>220</v>
      </c>
      <c r="D11" s="16"/>
      <c r="E11" s="16"/>
      <c r="G11" s="1"/>
      <c r="I11" s="83"/>
    </row>
    <row r="12" spans="2:20" ht="17" thickTop="1" thickBot="1" x14ac:dyDescent="0.25">
      <c r="B12" s="83"/>
      <c r="C12" s="1" t="s">
        <v>221</v>
      </c>
      <c r="D12" s="61"/>
      <c r="E12" s="91">
        <v>0.18</v>
      </c>
      <c r="F12" s="92">
        <f>IF(D12="",E12,D12)</f>
        <v>0.18</v>
      </c>
      <c r="G12" s="192" t="s">
        <v>167</v>
      </c>
      <c r="I12" s="83"/>
    </row>
    <row r="13" spans="2:20" ht="17" thickTop="1" thickBot="1" x14ac:dyDescent="0.25">
      <c r="B13" s="83"/>
      <c r="C13" s="16" t="s">
        <v>257</v>
      </c>
      <c r="D13" s="61"/>
      <c r="E13" s="91">
        <v>3.59</v>
      </c>
      <c r="F13" s="92">
        <f t="shared" ref="F13" si="0">IF(D13="",E13,D13)</f>
        <v>3.59</v>
      </c>
      <c r="G13" s="192" t="s">
        <v>167</v>
      </c>
      <c r="I13" s="83"/>
    </row>
    <row r="14" spans="2:20" ht="17" thickTop="1" thickBot="1" x14ac:dyDescent="0.25">
      <c r="B14" s="83"/>
      <c r="C14" s="1" t="s">
        <v>220</v>
      </c>
      <c r="D14" s="61"/>
      <c r="E14" s="91">
        <v>0.06</v>
      </c>
      <c r="F14" s="92">
        <f>IF(D14="",E14,D14)</f>
        <v>0.06</v>
      </c>
      <c r="G14" s="192" t="s">
        <v>167</v>
      </c>
      <c r="I14" s="83"/>
    </row>
    <row r="15" spans="2:20" ht="17" thickTop="1" thickBot="1" x14ac:dyDescent="0.25">
      <c r="B15" s="83"/>
      <c r="C15" s="1" t="s">
        <v>221</v>
      </c>
      <c r="D15" s="61"/>
      <c r="E15" s="91">
        <v>0.06</v>
      </c>
      <c r="F15" s="92">
        <f>IF(D15="",E15,D15)</f>
        <v>0.06</v>
      </c>
      <c r="G15" s="192" t="s">
        <v>167</v>
      </c>
      <c r="I15" s="83"/>
    </row>
    <row r="16" spans="2:20" ht="21" thickTop="1" thickBot="1" x14ac:dyDescent="0.3">
      <c r="B16" s="83"/>
      <c r="C16" s="14" t="s">
        <v>14</v>
      </c>
      <c r="I16" s="83"/>
    </row>
    <row r="17" spans="2:9" ht="17" thickTop="1" thickBot="1" x14ac:dyDescent="0.25">
      <c r="B17" s="83"/>
      <c r="C17" s="1" t="s">
        <v>258</v>
      </c>
      <c r="D17" s="61"/>
      <c r="E17" s="91">
        <v>580.26</v>
      </c>
      <c r="F17" s="92">
        <f>IF(D17="",E17,D17)</f>
        <v>580.26</v>
      </c>
      <c r="G17" s="192" t="s">
        <v>166</v>
      </c>
      <c r="I17" s="83"/>
    </row>
    <row r="18" spans="2:9" ht="20" thickTop="1" x14ac:dyDescent="0.25">
      <c r="B18" s="83"/>
      <c r="C18" s="14" t="s">
        <v>15</v>
      </c>
      <c r="I18" s="83"/>
    </row>
    <row r="19" spans="2:9" ht="16" thickBot="1" x14ac:dyDescent="0.25">
      <c r="B19" s="83"/>
      <c r="C19" s="16" t="s">
        <v>259</v>
      </c>
      <c r="D19" s="1"/>
      <c r="E19" s="1"/>
      <c r="G19" s="1"/>
      <c r="I19" s="83"/>
    </row>
    <row r="20" spans="2:9" ht="18" thickTop="1" thickBot="1" x14ac:dyDescent="0.25">
      <c r="B20" s="83"/>
      <c r="C20" s="193" t="s">
        <v>37</v>
      </c>
      <c r="D20" s="61"/>
      <c r="E20" s="91">
        <v>1265.93</v>
      </c>
      <c r="F20" s="92">
        <f>IF(D20="",E20,D20)</f>
        <v>1265.93</v>
      </c>
      <c r="G20" s="192" t="s">
        <v>165</v>
      </c>
      <c r="I20" s="83"/>
    </row>
    <row r="21" spans="2:9" ht="17" thickTop="1" thickBot="1" x14ac:dyDescent="0.25">
      <c r="B21" s="83"/>
      <c r="C21" s="16" t="s">
        <v>34</v>
      </c>
      <c r="I21" s="83"/>
    </row>
    <row r="22" spans="2:9" ht="18" thickTop="1" thickBot="1" x14ac:dyDescent="0.25">
      <c r="B22" s="83"/>
      <c r="C22" s="193" t="s">
        <v>38</v>
      </c>
      <c r="D22" s="61"/>
      <c r="E22" s="91">
        <v>9.33</v>
      </c>
      <c r="F22" s="92">
        <f>IF(D22="",E22,D22)</f>
        <v>9.33</v>
      </c>
      <c r="G22" s="192" t="s">
        <v>165</v>
      </c>
      <c r="I22" s="83"/>
    </row>
    <row r="23" spans="2:9" ht="21" thickTop="1" thickBot="1" x14ac:dyDescent="0.3">
      <c r="B23" s="83"/>
      <c r="C23" s="14" t="s">
        <v>39</v>
      </c>
      <c r="I23" s="83"/>
    </row>
    <row r="24" spans="2:9" ht="18" thickTop="1" thickBot="1" x14ac:dyDescent="0.25">
      <c r="B24" s="83"/>
      <c r="C24" s="193" t="s">
        <v>260</v>
      </c>
      <c r="D24" s="61"/>
      <c r="E24" s="91">
        <v>94.97</v>
      </c>
      <c r="F24" s="92">
        <f>IF(D24="",E24,D24)</f>
        <v>94.97</v>
      </c>
      <c r="G24" s="192" t="s">
        <v>166</v>
      </c>
      <c r="I24" s="83"/>
    </row>
    <row r="25" spans="2:9" ht="20" thickTop="1" x14ac:dyDescent="0.25">
      <c r="B25" s="83"/>
      <c r="C25" s="14" t="s">
        <v>261</v>
      </c>
      <c r="I25" s="83"/>
    </row>
    <row r="26" spans="2:9" ht="16" thickBot="1" x14ac:dyDescent="0.25">
      <c r="B26" s="83"/>
      <c r="C26" s="16" t="s">
        <v>40</v>
      </c>
      <c r="D26" s="16"/>
      <c r="E26" s="16"/>
      <c r="G26" s="1"/>
      <c r="I26" s="83"/>
    </row>
    <row r="27" spans="2:9" ht="17" thickTop="1" thickBot="1" x14ac:dyDescent="0.25">
      <c r="B27" s="83"/>
      <c r="C27" s="1" t="s">
        <v>41</v>
      </c>
      <c r="D27" s="61"/>
      <c r="E27" s="91">
        <v>23.62</v>
      </c>
      <c r="F27" s="92">
        <f>IF(D27="",E27,D27)</f>
        <v>23.62</v>
      </c>
      <c r="G27" s="192" t="s">
        <v>166</v>
      </c>
      <c r="I27" s="83"/>
    </row>
    <row r="28" spans="2:9" ht="17" thickTop="1" thickBot="1" x14ac:dyDescent="0.25">
      <c r="B28" s="83"/>
      <c r="C28" s="1" t="s">
        <v>172</v>
      </c>
      <c r="D28" s="61"/>
      <c r="E28" s="91">
        <v>94.87</v>
      </c>
      <c r="F28" s="92">
        <f>IF(D28="",E28,D28)</f>
        <v>94.87</v>
      </c>
      <c r="G28" s="192" t="s">
        <v>166</v>
      </c>
      <c r="I28" s="83"/>
    </row>
    <row r="29" spans="2:9" ht="17" thickTop="1" thickBot="1" x14ac:dyDescent="0.25">
      <c r="B29" s="83"/>
      <c r="C29" t="s">
        <v>219</v>
      </c>
      <c r="D29" s="61"/>
      <c r="E29" s="91">
        <v>0.24</v>
      </c>
      <c r="F29" s="92">
        <f>IF(D29="",E29,D29)</f>
        <v>0.24</v>
      </c>
      <c r="G29" s="192" t="s">
        <v>166</v>
      </c>
      <c r="I29" s="83"/>
    </row>
    <row r="30" spans="2:9" ht="16" thickTop="1" x14ac:dyDescent="0.2">
      <c r="B30" s="83"/>
      <c r="I30" s="83"/>
    </row>
    <row r="31" spans="2:9" x14ac:dyDescent="0.2">
      <c r="B31" s="83"/>
      <c r="I31" s="83"/>
    </row>
    <row r="32" spans="2:9" x14ac:dyDescent="0.2">
      <c r="B32" s="83"/>
      <c r="I32" s="83"/>
    </row>
    <row r="33" spans="1:9" ht="16" thickBot="1" x14ac:dyDescent="0.25">
      <c r="A33" s="82"/>
      <c r="B33" s="87"/>
      <c r="C33" s="84"/>
      <c r="D33" s="84"/>
      <c r="E33" s="84"/>
      <c r="F33" s="84"/>
      <c r="G33" s="84"/>
      <c r="H33" s="84"/>
      <c r="I33" s="8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0E2EE6-D398-49FB-A17C-6E994244FF7E}">
  <sheetPr codeName="Sheet23">
    <tabColor theme="9"/>
  </sheetPr>
  <dimension ref="A3:AC268"/>
  <sheetViews>
    <sheetView showGridLines="0" zoomScaleNormal="100" workbookViewId="0"/>
  </sheetViews>
  <sheetFormatPr baseColWidth="10" defaultColWidth="8.83203125" defaultRowHeight="15" x14ac:dyDescent="0.2"/>
  <cols>
    <col min="4" max="4" width="56.5" customWidth="1"/>
    <col min="5" max="5" width="16.1640625" customWidth="1"/>
    <col min="6" max="6" width="14.6640625" customWidth="1"/>
    <col min="7" max="7" width="13.5" bestFit="1" customWidth="1"/>
    <col min="8" max="8" width="13.5" customWidth="1"/>
    <col min="9" max="9" width="58.6640625" customWidth="1"/>
    <col min="10" max="10" width="17.6640625" customWidth="1"/>
    <col min="11" max="11" width="16.1640625" customWidth="1"/>
    <col min="12" max="12" width="14.5" bestFit="1" customWidth="1"/>
    <col min="13" max="13" width="14.5" customWidth="1"/>
    <col min="14" max="14" width="56.33203125" customWidth="1"/>
    <col min="15" max="15" width="14.5" customWidth="1"/>
    <col min="16" max="16" width="14.1640625" customWidth="1"/>
    <col min="17" max="17" width="13.5" bestFit="1" customWidth="1"/>
    <col min="18" max="18" width="13.5" customWidth="1"/>
    <col min="19" max="19" width="55.6640625" customWidth="1"/>
    <col min="20" max="20" width="13.83203125" customWidth="1"/>
    <col min="21" max="21" width="14.83203125" customWidth="1"/>
    <col min="22" max="22" width="13.5" bestFit="1" customWidth="1"/>
    <col min="23" max="23" width="13.5" customWidth="1"/>
    <col min="24" max="24" width="57.33203125" customWidth="1"/>
    <col min="25" max="25" width="16.1640625" customWidth="1"/>
    <col min="26" max="26" width="14.5" customWidth="1"/>
    <col min="27" max="27" width="13.5" bestFit="1" customWidth="1"/>
  </cols>
  <sheetData>
    <row r="3" spans="2:29" ht="26" x14ac:dyDescent="0.3">
      <c r="E3" s="85" t="s">
        <v>267</v>
      </c>
    </row>
    <row r="4" spans="2:29" ht="16" thickBot="1" x14ac:dyDescent="0.25"/>
    <row r="5" spans="2:29" ht="14.5" customHeight="1" thickBot="1" x14ac:dyDescent="0.25">
      <c r="B5" s="79"/>
      <c r="C5" s="80"/>
      <c r="D5" s="80"/>
      <c r="E5" s="80"/>
      <c r="F5" s="80"/>
      <c r="G5" s="80"/>
      <c r="H5" s="80"/>
      <c r="I5" s="80"/>
      <c r="J5" s="80"/>
      <c r="K5" s="80"/>
      <c r="L5" s="80"/>
      <c r="M5" s="80"/>
      <c r="N5" s="80"/>
      <c r="O5" s="80"/>
      <c r="P5" s="80"/>
      <c r="Q5" s="80"/>
      <c r="R5" s="80"/>
      <c r="S5" s="80"/>
      <c r="T5" s="80"/>
      <c r="U5" s="80"/>
      <c r="V5" s="80"/>
      <c r="W5" s="80"/>
      <c r="X5" s="80"/>
      <c r="Y5" s="80"/>
      <c r="Z5" s="80"/>
      <c r="AA5" s="80"/>
      <c r="AB5" s="81"/>
    </row>
    <row r="6" spans="2:29" x14ac:dyDescent="0.2">
      <c r="B6" s="83"/>
      <c r="AB6" s="9"/>
      <c r="AC6" s="83"/>
    </row>
    <row r="7" spans="2:29" x14ac:dyDescent="0.2">
      <c r="B7" s="83"/>
      <c r="AB7" s="9"/>
      <c r="AC7" s="83"/>
    </row>
    <row r="8" spans="2:29" x14ac:dyDescent="0.2">
      <c r="B8" s="83"/>
      <c r="AB8" s="9"/>
      <c r="AC8" s="83"/>
    </row>
    <row r="9" spans="2:29" x14ac:dyDescent="0.2">
      <c r="B9" s="83"/>
      <c r="AB9" s="9"/>
      <c r="AC9" s="83"/>
    </row>
    <row r="10" spans="2:29" ht="16" thickBot="1" x14ac:dyDescent="0.25">
      <c r="B10" s="83"/>
      <c r="D10" s="231" t="s">
        <v>183</v>
      </c>
      <c r="E10" s="231"/>
      <c r="F10" s="231"/>
      <c r="G10" s="231"/>
      <c r="I10" s="231" t="s">
        <v>190</v>
      </c>
      <c r="J10" s="231"/>
      <c r="K10" s="231"/>
      <c r="L10" s="231"/>
      <c r="N10" s="231" t="s">
        <v>191</v>
      </c>
      <c r="O10" s="231"/>
      <c r="P10" s="231"/>
      <c r="Q10" s="231"/>
      <c r="S10" s="232" t="s">
        <v>192</v>
      </c>
      <c r="T10" s="233"/>
      <c r="U10" s="233"/>
      <c r="V10" s="234"/>
      <c r="X10" s="231" t="s">
        <v>193</v>
      </c>
      <c r="Y10" s="231"/>
      <c r="Z10" s="231"/>
      <c r="AA10" s="231"/>
      <c r="AB10" s="9"/>
      <c r="AC10" s="83"/>
    </row>
    <row r="11" spans="2:29" ht="17" thickTop="1" thickBot="1" x14ac:dyDescent="0.25">
      <c r="B11" s="83"/>
      <c r="C11" s="149">
        <v>1</v>
      </c>
      <c r="D11" s="56" t="str">
        <f>"Transition Probability from state 1 to state 1 on day"&amp; " "&amp;C11&amp;" "&amp;"(CHG)"</f>
        <v>Transition Probability from state 1 to state 1 on day 1 (CHG)</v>
      </c>
      <c r="E11" s="150"/>
      <c r="F11" s="151">
        <v>0.97858672376873657</v>
      </c>
      <c r="G11" s="93">
        <f>IF(E11="",F11,E11)</f>
        <v>0.97858672376873657</v>
      </c>
      <c r="H11" s="110" t="s">
        <v>269</v>
      </c>
      <c r="I11" s="152" t="str">
        <f>"Transition Probability from state 2 to state 1 on day"&amp; " "&amp;C11&amp;" "&amp;"(CHG)"</f>
        <v>Transition Probability from state 2 to state 1 on day 1 (CHG)</v>
      </c>
      <c r="J11" s="150"/>
      <c r="K11" s="151">
        <v>0</v>
      </c>
      <c r="L11" s="93">
        <f>IF(J11="",K11,J11)</f>
        <v>0</v>
      </c>
      <c r="M11" s="60"/>
      <c r="N11" s="71" t="str">
        <f>"Transition Probability from state 3 to state 1 on day"&amp; " "&amp;C11&amp;" "&amp;"(CHG)"</f>
        <v>Transition Probability from state 3 to state 1 on day 1 (CHG)</v>
      </c>
      <c r="O11" s="61"/>
      <c r="P11" s="151">
        <v>0</v>
      </c>
      <c r="Q11" s="93">
        <f>IF(O11="",P11,O11)</f>
        <v>0</v>
      </c>
      <c r="R11" s="69"/>
      <c r="S11" s="56" t="str">
        <f>"Transition Probability from state 4 to state 1 on day"&amp; " "&amp;C11&amp;" "&amp;"(CHG)"</f>
        <v>Transition Probability from state 4 to state 1 on day 1 (CHG)</v>
      </c>
      <c r="T11" s="61"/>
      <c r="U11" s="151">
        <v>0</v>
      </c>
      <c r="V11" s="93">
        <f>IF(T11="",U11,T11)</f>
        <v>0</v>
      </c>
      <c r="W11" s="69"/>
      <c r="X11" s="56" t="str">
        <f>"Transition Probability from state 6 to state 1 on day"&amp; " "&amp;C11&amp;" "&amp;"(CHG)"</f>
        <v>Transition Probability from state 6 to state 1 on day 1 (CHG)</v>
      </c>
      <c r="Y11" s="61"/>
      <c r="Z11" s="151">
        <v>0</v>
      </c>
      <c r="AA11" s="93">
        <f>IF(Y11="",Z11,Y11)</f>
        <v>0</v>
      </c>
      <c r="AB11" s="9"/>
      <c r="AC11" s="83"/>
    </row>
    <row r="12" spans="2:29" ht="17" thickTop="1" thickBot="1" x14ac:dyDescent="0.25">
      <c r="B12" s="83"/>
      <c r="C12" s="149">
        <v>2</v>
      </c>
      <c r="D12" s="56" t="str">
        <f t="shared" ref="D12:D40" si="0">"Transition Probability from state 1 to state 1 on day"&amp; " "&amp;C12&amp;" "&amp;"(CHG)"</f>
        <v>Transition Probability from state 1 to state 1 on day 2 (CHG)</v>
      </c>
      <c r="E12" s="150"/>
      <c r="F12" s="151">
        <v>0.92997811816192555</v>
      </c>
      <c r="G12" s="93">
        <f t="shared" ref="G12:G40" si="1">IF(E12="",F12,E12)</f>
        <v>0.92997811816192555</v>
      </c>
      <c r="I12" s="152" t="str">
        <f t="shared" ref="I12:I40" si="2">"Transition Probability from state 2 to state 1 on day"&amp; " "&amp;C12&amp;" "&amp;"(CHG)"</f>
        <v>Transition Probability from state 2 to state 1 on day 2 (CHG)</v>
      </c>
      <c r="J12" s="150"/>
      <c r="K12" s="151">
        <v>1</v>
      </c>
      <c r="L12" s="93">
        <f t="shared" ref="L12:L40" si="3">IF(J12="",K12,J12)</f>
        <v>1</v>
      </c>
      <c r="M12" s="60"/>
      <c r="N12" s="56" t="str">
        <f t="shared" ref="N12:N40" si="4">"Transition Probability from state 3 to state 1 on day"&amp; " "&amp;C12&amp;" "&amp;"(CHG)"</f>
        <v>Transition Probability from state 3 to state 1 on day 2 (CHG)</v>
      </c>
      <c r="O12" s="61"/>
      <c r="P12" s="151">
        <v>0</v>
      </c>
      <c r="Q12" s="93">
        <f t="shared" ref="Q12:Q40" si="5">IF(O12="",P12,O12)</f>
        <v>0</v>
      </c>
      <c r="R12" s="69"/>
      <c r="S12" s="56" t="str">
        <f t="shared" ref="S12:S40" si="6">"Transition Probability from state 4 to state 1 on day"&amp; " "&amp;C12&amp;" "&amp;"(CHG)"</f>
        <v>Transition Probability from state 4 to state 1 on day 2 (CHG)</v>
      </c>
      <c r="T12" s="61"/>
      <c r="U12" s="151">
        <v>0</v>
      </c>
      <c r="V12" s="93">
        <f t="shared" ref="V12:V40" si="7">IF(T12="",U12,T12)</f>
        <v>0</v>
      </c>
      <c r="W12" s="69"/>
      <c r="X12" s="56" t="str">
        <f t="shared" ref="X12:X40" si="8">"Transition Probability from state 6 to state 1 on day"&amp; " "&amp;C12&amp;" "&amp;"(CHG)"</f>
        <v>Transition Probability from state 6 to state 1 on day 2 (CHG)</v>
      </c>
      <c r="Y12" s="61"/>
      <c r="Z12" s="151">
        <v>0</v>
      </c>
      <c r="AA12" s="93">
        <f t="shared" ref="AA12:AA40" si="9">IF(Y12="",Z12,Y12)</f>
        <v>0</v>
      </c>
      <c r="AB12" s="9"/>
      <c r="AC12" s="83"/>
    </row>
    <row r="13" spans="2:29" ht="17" thickTop="1" thickBot="1" x14ac:dyDescent="0.25">
      <c r="B13" s="83"/>
      <c r="C13" s="149">
        <v>3</v>
      </c>
      <c r="D13" s="56" t="str">
        <f t="shared" si="0"/>
        <v>Transition Probability from state 1 to state 1 on day 3 (CHG)</v>
      </c>
      <c r="E13" s="150"/>
      <c r="F13" s="151">
        <v>0.89214536928487687</v>
      </c>
      <c r="G13" s="93">
        <f t="shared" si="1"/>
        <v>0.89214536928487687</v>
      </c>
      <c r="I13" s="152" t="str">
        <f t="shared" si="2"/>
        <v>Transition Probability from state 2 to state 1 on day 3 (CHG)</v>
      </c>
      <c r="J13" s="150"/>
      <c r="K13" s="151">
        <v>0.875</v>
      </c>
      <c r="L13" s="93">
        <f t="shared" si="3"/>
        <v>0.875</v>
      </c>
      <c r="M13" s="60"/>
      <c r="N13" s="56" t="str">
        <f t="shared" si="4"/>
        <v>Transition Probability from state 3 to state 1 on day 3 (CHG)</v>
      </c>
      <c r="O13" s="61"/>
      <c r="P13" s="151">
        <v>0</v>
      </c>
      <c r="Q13" s="93">
        <f t="shared" si="5"/>
        <v>0</v>
      </c>
      <c r="R13" s="69"/>
      <c r="S13" s="56" t="str">
        <f t="shared" si="6"/>
        <v>Transition Probability from state 4 to state 1 on day 3 (CHG)</v>
      </c>
      <c r="T13" s="61"/>
      <c r="U13" s="151">
        <v>0</v>
      </c>
      <c r="V13" s="93">
        <f t="shared" si="7"/>
        <v>0</v>
      </c>
      <c r="W13" s="69"/>
      <c r="X13" s="56" t="str">
        <f t="shared" si="8"/>
        <v>Transition Probability from state 6 to state 1 on day 3 (CHG)</v>
      </c>
      <c r="Y13" s="61"/>
      <c r="Z13" s="151">
        <v>0</v>
      </c>
      <c r="AA13" s="93">
        <f t="shared" si="9"/>
        <v>0</v>
      </c>
      <c r="AB13" s="9"/>
      <c r="AC13" s="83"/>
    </row>
    <row r="14" spans="2:29" ht="17" thickTop="1" thickBot="1" x14ac:dyDescent="0.25">
      <c r="B14" s="83"/>
      <c r="C14" s="149">
        <v>4</v>
      </c>
      <c r="D14" s="56" t="str">
        <f t="shared" si="0"/>
        <v>Transition Probability from state 1 to state 1 on day 4 (CHG)</v>
      </c>
      <c r="E14" s="150"/>
      <c r="F14" s="151">
        <v>0.90792838874680304</v>
      </c>
      <c r="G14" s="93">
        <f t="shared" si="1"/>
        <v>0.90792838874680304</v>
      </c>
      <c r="I14" s="152" t="str">
        <f t="shared" si="2"/>
        <v>Transition Probability from state 2 to state 1 on day 4 (CHG)</v>
      </c>
      <c r="J14" s="150"/>
      <c r="K14" s="151">
        <v>1</v>
      </c>
      <c r="L14" s="93">
        <f t="shared" si="3"/>
        <v>1</v>
      </c>
      <c r="M14" s="60"/>
      <c r="N14" s="56" t="str">
        <f t="shared" si="4"/>
        <v>Transition Probability from state 3 to state 1 on day 4 (CHG)</v>
      </c>
      <c r="O14" s="61"/>
      <c r="P14" s="151">
        <v>0</v>
      </c>
      <c r="Q14" s="93">
        <f t="shared" si="5"/>
        <v>0</v>
      </c>
      <c r="R14" s="69"/>
      <c r="S14" s="56" t="str">
        <f t="shared" si="6"/>
        <v>Transition Probability from state 4 to state 1 on day 4 (CHG)</v>
      </c>
      <c r="T14" s="61"/>
      <c r="U14" s="151">
        <v>0</v>
      </c>
      <c r="V14" s="93">
        <f t="shared" si="7"/>
        <v>0</v>
      </c>
      <c r="W14" s="69"/>
      <c r="X14" s="56" t="str">
        <f t="shared" si="8"/>
        <v>Transition Probability from state 6 to state 1 on day 4 (CHG)</v>
      </c>
      <c r="Y14" s="61"/>
      <c r="Z14" s="151">
        <v>0</v>
      </c>
      <c r="AA14" s="93">
        <f t="shared" si="9"/>
        <v>0</v>
      </c>
      <c r="AB14" s="9"/>
      <c r="AC14" s="83"/>
    </row>
    <row r="15" spans="2:29" ht="17" thickTop="1" thickBot="1" x14ac:dyDescent="0.25">
      <c r="B15" s="83"/>
      <c r="C15" s="149">
        <v>5</v>
      </c>
      <c r="D15" s="56" t="str">
        <f t="shared" si="0"/>
        <v>Transition Probability from state 1 to state 1 on day 5 (CHG)</v>
      </c>
      <c r="E15" s="150"/>
      <c r="F15" s="151">
        <v>0.87362637362637363</v>
      </c>
      <c r="G15" s="93">
        <f t="shared" si="1"/>
        <v>0.87362637362637363</v>
      </c>
      <c r="I15" s="152" t="str">
        <f t="shared" si="2"/>
        <v>Transition Probability from state 2 to state 1 on day 5 (CHG)</v>
      </c>
      <c r="J15" s="150"/>
      <c r="K15" s="151">
        <v>0.94736842105263153</v>
      </c>
      <c r="L15" s="93">
        <f t="shared" si="3"/>
        <v>0.94736842105263153</v>
      </c>
      <c r="M15" s="60"/>
      <c r="N15" s="56" t="str">
        <f t="shared" si="4"/>
        <v>Transition Probability from state 3 to state 1 on day 5 (CHG)</v>
      </c>
      <c r="O15" s="61"/>
      <c r="P15" s="151">
        <v>0</v>
      </c>
      <c r="Q15" s="93">
        <f t="shared" si="5"/>
        <v>0</v>
      </c>
      <c r="R15" s="69"/>
      <c r="S15" s="56" t="str">
        <f t="shared" si="6"/>
        <v>Transition Probability from state 4 to state 1 on day 5 (CHG)</v>
      </c>
      <c r="T15" s="61"/>
      <c r="U15" s="151">
        <v>0</v>
      </c>
      <c r="V15" s="93">
        <f t="shared" si="7"/>
        <v>0</v>
      </c>
      <c r="W15" s="69"/>
      <c r="X15" s="56" t="str">
        <f t="shared" si="8"/>
        <v>Transition Probability from state 6 to state 1 on day 5 (CHG)</v>
      </c>
      <c r="Y15" s="61"/>
      <c r="Z15" s="151">
        <v>0</v>
      </c>
      <c r="AA15" s="93">
        <f t="shared" si="9"/>
        <v>0</v>
      </c>
      <c r="AB15" s="9"/>
      <c r="AC15" s="83"/>
    </row>
    <row r="16" spans="2:29" ht="17" thickTop="1" thickBot="1" x14ac:dyDescent="0.25">
      <c r="B16" s="83"/>
      <c r="C16" s="149">
        <v>6</v>
      </c>
      <c r="D16" s="56" t="str">
        <f t="shared" si="0"/>
        <v>Transition Probability from state 1 to state 1 on day 6 (CHG)</v>
      </c>
      <c r="E16" s="150"/>
      <c r="F16" s="151">
        <v>0.87308868501529047</v>
      </c>
      <c r="G16" s="93">
        <f t="shared" si="1"/>
        <v>0.87308868501529047</v>
      </c>
      <c r="I16" s="152" t="str">
        <f t="shared" si="2"/>
        <v>Transition Probability from state 2 to state 1 on day 6 (CHG)</v>
      </c>
      <c r="J16" s="150"/>
      <c r="K16" s="151">
        <v>1</v>
      </c>
      <c r="L16" s="93">
        <f t="shared" si="3"/>
        <v>1</v>
      </c>
      <c r="M16" s="60"/>
      <c r="N16" s="56" t="str">
        <f t="shared" si="4"/>
        <v>Transition Probability from state 3 to state 1 on day 6 (CHG)</v>
      </c>
      <c r="O16" s="61"/>
      <c r="P16" s="151">
        <v>0</v>
      </c>
      <c r="Q16" s="93">
        <f t="shared" si="5"/>
        <v>0</v>
      </c>
      <c r="R16" s="69"/>
      <c r="S16" s="56" t="str">
        <f t="shared" si="6"/>
        <v>Transition Probability from state 4 to state 1 on day 6 (CHG)</v>
      </c>
      <c r="T16" s="61"/>
      <c r="U16" s="151">
        <v>0</v>
      </c>
      <c r="V16" s="93">
        <f t="shared" si="7"/>
        <v>0</v>
      </c>
      <c r="W16" s="69"/>
      <c r="X16" s="56" t="str">
        <f t="shared" si="8"/>
        <v>Transition Probability from state 6 to state 1 on day 6 (CHG)</v>
      </c>
      <c r="Y16" s="61"/>
      <c r="Z16" s="151">
        <v>0</v>
      </c>
      <c r="AA16" s="93">
        <f t="shared" si="9"/>
        <v>0</v>
      </c>
      <c r="AB16" s="9"/>
      <c r="AC16" s="83"/>
    </row>
    <row r="17" spans="2:29" ht="17" thickTop="1" thickBot="1" x14ac:dyDescent="0.25">
      <c r="B17" s="83"/>
      <c r="C17" s="149">
        <v>7</v>
      </c>
      <c r="D17" s="56" t="str">
        <f t="shared" si="0"/>
        <v>Transition Probability from state 1 to state 1 on day 7 (CHG)</v>
      </c>
      <c r="E17" s="150"/>
      <c r="F17" s="151">
        <v>0.88507718696397941</v>
      </c>
      <c r="G17" s="93">
        <f t="shared" si="1"/>
        <v>0.88507718696397941</v>
      </c>
      <c r="I17" s="152" t="str">
        <f t="shared" si="2"/>
        <v>Transition Probability from state 2 to state 1 on day 7 (CHG)</v>
      </c>
      <c r="J17" s="150"/>
      <c r="K17" s="151">
        <v>0.9285714285714286</v>
      </c>
      <c r="L17" s="93">
        <f t="shared" si="3"/>
        <v>0.9285714285714286</v>
      </c>
      <c r="M17" s="60"/>
      <c r="N17" s="56" t="str">
        <f t="shared" si="4"/>
        <v>Transition Probability from state 3 to state 1 on day 7 (CHG)</v>
      </c>
      <c r="O17" s="61"/>
      <c r="P17" s="151">
        <v>0</v>
      </c>
      <c r="Q17" s="93">
        <f t="shared" si="5"/>
        <v>0</v>
      </c>
      <c r="R17" s="69"/>
      <c r="S17" s="56" t="str">
        <f t="shared" si="6"/>
        <v>Transition Probability from state 4 to state 1 on day 7 (CHG)</v>
      </c>
      <c r="T17" s="61"/>
      <c r="U17" s="151">
        <v>0</v>
      </c>
      <c r="V17" s="93">
        <f t="shared" si="7"/>
        <v>0</v>
      </c>
      <c r="W17" s="69"/>
      <c r="X17" s="56" t="str">
        <f t="shared" si="8"/>
        <v>Transition Probability from state 6 to state 1 on day 7 (CHG)</v>
      </c>
      <c r="Y17" s="61"/>
      <c r="Z17" s="151">
        <v>1</v>
      </c>
      <c r="AA17" s="93">
        <f t="shared" si="9"/>
        <v>1</v>
      </c>
      <c r="AB17" s="9"/>
      <c r="AC17" s="83"/>
    </row>
    <row r="18" spans="2:29" ht="17" thickTop="1" thickBot="1" x14ac:dyDescent="0.25">
      <c r="B18" s="83"/>
      <c r="C18" s="149">
        <v>8</v>
      </c>
      <c r="D18" s="56" t="str">
        <f t="shared" si="0"/>
        <v>Transition Probability from state 1 to state 1 on day 8 (CHG)</v>
      </c>
      <c r="E18" s="150"/>
      <c r="F18" s="151">
        <v>0.87547169811320757</v>
      </c>
      <c r="G18" s="93">
        <f t="shared" si="1"/>
        <v>0.87547169811320757</v>
      </c>
      <c r="I18" s="152" t="str">
        <f t="shared" si="2"/>
        <v>Transition Probability from state 2 to state 1 on day 8 (CHG)</v>
      </c>
      <c r="J18" s="150"/>
      <c r="K18" s="151">
        <v>1</v>
      </c>
      <c r="L18" s="93">
        <f t="shared" si="3"/>
        <v>1</v>
      </c>
      <c r="M18" s="60"/>
      <c r="N18" s="56" t="str">
        <f t="shared" si="4"/>
        <v>Transition Probability from state 3 to state 1 on day 8 (CHG)</v>
      </c>
      <c r="O18" s="61"/>
      <c r="P18" s="151">
        <v>0</v>
      </c>
      <c r="Q18" s="93">
        <f t="shared" si="5"/>
        <v>0</v>
      </c>
      <c r="R18" s="69"/>
      <c r="S18" s="56" t="str">
        <f t="shared" si="6"/>
        <v>Transition Probability from state 4 to state 1 on day 8 (CHG)</v>
      </c>
      <c r="T18" s="61"/>
      <c r="U18" s="151">
        <v>0</v>
      </c>
      <c r="V18" s="93">
        <f t="shared" si="7"/>
        <v>0</v>
      </c>
      <c r="W18" s="69"/>
      <c r="X18" s="56" t="str">
        <f t="shared" si="8"/>
        <v>Transition Probability from state 6 to state 1 on day 8 (CHG)</v>
      </c>
      <c r="Y18" s="61"/>
      <c r="Z18" s="151">
        <v>1</v>
      </c>
      <c r="AA18" s="93">
        <f t="shared" si="9"/>
        <v>1</v>
      </c>
      <c r="AB18" s="9"/>
      <c r="AC18" s="83"/>
    </row>
    <row r="19" spans="2:29" ht="17" thickTop="1" thickBot="1" x14ac:dyDescent="0.25">
      <c r="B19" s="83"/>
      <c r="C19" s="149">
        <v>9</v>
      </c>
      <c r="D19" s="56" t="str">
        <f t="shared" si="0"/>
        <v>Transition Probability from state 1 to state 1 on day 9 (CHG)</v>
      </c>
      <c r="E19" s="150"/>
      <c r="F19" s="151">
        <v>0.89812889812889818</v>
      </c>
      <c r="G19" s="93">
        <f t="shared" si="1"/>
        <v>0.89812889812889818</v>
      </c>
      <c r="I19" s="152" t="str">
        <f t="shared" si="2"/>
        <v>Transition Probability from state 2 to state 1 on day 9 (CHG)</v>
      </c>
      <c r="J19" s="150"/>
      <c r="K19" s="151">
        <v>0.83333333333333337</v>
      </c>
      <c r="L19" s="93">
        <f t="shared" si="3"/>
        <v>0.83333333333333337</v>
      </c>
      <c r="M19" s="60"/>
      <c r="N19" s="56" t="str">
        <f t="shared" si="4"/>
        <v>Transition Probability from state 3 to state 1 on day 9 (CHG)</v>
      </c>
      <c r="O19" s="61"/>
      <c r="P19" s="151">
        <v>0</v>
      </c>
      <c r="Q19" s="93">
        <f t="shared" si="5"/>
        <v>0</v>
      </c>
      <c r="R19" s="69"/>
      <c r="S19" s="56" t="str">
        <f t="shared" si="6"/>
        <v>Transition Probability from state 4 to state 1 on day 9 (CHG)</v>
      </c>
      <c r="T19" s="61"/>
      <c r="U19" s="151">
        <v>1</v>
      </c>
      <c r="V19" s="93">
        <f t="shared" si="7"/>
        <v>1</v>
      </c>
      <c r="W19" s="69"/>
      <c r="X19" s="56" t="str">
        <f t="shared" si="8"/>
        <v>Transition Probability from state 6 to state 1 on day 9 (CHG)</v>
      </c>
      <c r="Y19" s="61"/>
      <c r="Z19" s="151">
        <v>0</v>
      </c>
      <c r="AA19" s="93">
        <f t="shared" si="9"/>
        <v>0</v>
      </c>
      <c r="AB19" s="9"/>
      <c r="AC19" s="83"/>
    </row>
    <row r="20" spans="2:29" ht="17" thickTop="1" thickBot="1" x14ac:dyDescent="0.25">
      <c r="B20" s="83"/>
      <c r="C20" s="149">
        <v>10</v>
      </c>
      <c r="D20" s="56" t="str">
        <f t="shared" si="0"/>
        <v>Transition Probability from state 1 to state 1 on day 10 (CHG)</v>
      </c>
      <c r="E20" s="150"/>
      <c r="F20" s="151">
        <v>0.8683035714285714</v>
      </c>
      <c r="G20" s="93">
        <f t="shared" si="1"/>
        <v>0.8683035714285714</v>
      </c>
      <c r="H20" s="143"/>
      <c r="I20" s="152" t="str">
        <f t="shared" si="2"/>
        <v>Transition Probability from state 2 to state 1 on day 10 (CHG)</v>
      </c>
      <c r="J20" s="150"/>
      <c r="K20" s="151">
        <v>1</v>
      </c>
      <c r="L20" s="93">
        <f t="shared" si="3"/>
        <v>1</v>
      </c>
      <c r="M20" s="60"/>
      <c r="N20" s="56" t="str">
        <f t="shared" si="4"/>
        <v>Transition Probability from state 3 to state 1 on day 10 (CHG)</v>
      </c>
      <c r="O20" s="61"/>
      <c r="P20" s="151">
        <v>0</v>
      </c>
      <c r="Q20" s="93">
        <f t="shared" si="5"/>
        <v>0</v>
      </c>
      <c r="R20" s="69"/>
      <c r="S20" s="56" t="str">
        <f t="shared" si="6"/>
        <v>Transition Probability from state 4 to state 1 on day 10 (CHG)</v>
      </c>
      <c r="T20" s="61"/>
      <c r="U20" s="151">
        <v>0</v>
      </c>
      <c r="V20" s="93">
        <f t="shared" si="7"/>
        <v>0</v>
      </c>
      <c r="W20" s="69"/>
      <c r="X20" s="56" t="str">
        <f t="shared" si="8"/>
        <v>Transition Probability from state 6 to state 1 on day 10 (CHG)</v>
      </c>
      <c r="Y20" s="61"/>
      <c r="Z20" s="151">
        <v>0.5</v>
      </c>
      <c r="AA20" s="93">
        <f t="shared" si="9"/>
        <v>0.5</v>
      </c>
      <c r="AB20" s="9"/>
      <c r="AC20" s="83"/>
    </row>
    <row r="21" spans="2:29" ht="17" thickTop="1" thickBot="1" x14ac:dyDescent="0.25">
      <c r="B21" s="83"/>
      <c r="C21" s="149">
        <v>11</v>
      </c>
      <c r="D21" s="56" t="str">
        <f t="shared" si="0"/>
        <v>Transition Probability from state 1 to state 1 on day 11 (CHG)</v>
      </c>
      <c r="E21" s="150"/>
      <c r="F21" s="151">
        <v>0.89974937343358397</v>
      </c>
      <c r="G21" s="93">
        <f t="shared" si="1"/>
        <v>0.89974937343358397</v>
      </c>
      <c r="I21" s="152" t="str">
        <f t="shared" si="2"/>
        <v>Transition Probability from state 2 to state 1 on day 11 (CHG)</v>
      </c>
      <c r="J21" s="150"/>
      <c r="K21" s="151">
        <v>1</v>
      </c>
      <c r="L21" s="93">
        <f t="shared" si="3"/>
        <v>1</v>
      </c>
      <c r="M21" s="60"/>
      <c r="N21" s="56" t="str">
        <f t="shared" si="4"/>
        <v>Transition Probability from state 3 to state 1 on day 11 (CHG)</v>
      </c>
      <c r="O21" s="61"/>
      <c r="P21" s="151">
        <v>0</v>
      </c>
      <c r="Q21" s="93">
        <f t="shared" si="5"/>
        <v>0</v>
      </c>
      <c r="R21" s="69"/>
      <c r="S21" s="56" t="str">
        <f t="shared" si="6"/>
        <v>Transition Probability from state 4 to state 1 on day 11 (CHG)</v>
      </c>
      <c r="T21" s="61"/>
      <c r="U21" s="151">
        <v>0</v>
      </c>
      <c r="V21" s="93">
        <f t="shared" si="7"/>
        <v>0</v>
      </c>
      <c r="W21" s="69"/>
      <c r="X21" s="56" t="str">
        <f t="shared" si="8"/>
        <v>Transition Probability from state 6 to state 1 on day 11 (CHG)</v>
      </c>
      <c r="Y21" s="61"/>
      <c r="Z21" s="151">
        <v>0.5</v>
      </c>
      <c r="AA21" s="93">
        <f t="shared" si="9"/>
        <v>0.5</v>
      </c>
      <c r="AB21" s="9"/>
      <c r="AC21" s="83"/>
    </row>
    <row r="22" spans="2:29" ht="17" thickTop="1" thickBot="1" x14ac:dyDescent="0.25">
      <c r="B22" s="83"/>
      <c r="C22" s="149">
        <v>12</v>
      </c>
      <c r="D22" s="56" t="str">
        <f t="shared" si="0"/>
        <v>Transition Probability from state 1 to state 1 on day 12 (CHG)</v>
      </c>
      <c r="E22" s="150"/>
      <c r="F22" s="151">
        <v>0.90981432360742709</v>
      </c>
      <c r="G22" s="93">
        <f t="shared" si="1"/>
        <v>0.90981432360742709</v>
      </c>
      <c r="I22" s="152" t="str">
        <f t="shared" si="2"/>
        <v>Transition Probability from state 2 to state 1 on day 12 (CHG)</v>
      </c>
      <c r="J22" s="150"/>
      <c r="K22" s="151">
        <v>1</v>
      </c>
      <c r="L22" s="93">
        <f t="shared" si="3"/>
        <v>1</v>
      </c>
      <c r="M22" s="60"/>
      <c r="N22" s="56" t="str">
        <f t="shared" si="4"/>
        <v>Transition Probability from state 3 to state 1 on day 12 (CHG)</v>
      </c>
      <c r="O22" s="61"/>
      <c r="P22" s="151">
        <v>0</v>
      </c>
      <c r="Q22" s="93">
        <f t="shared" si="5"/>
        <v>0</v>
      </c>
      <c r="R22" s="69"/>
      <c r="S22" s="56" t="str">
        <f t="shared" si="6"/>
        <v>Transition Probability from state 4 to state 1 on day 12 (CHG)</v>
      </c>
      <c r="T22" s="61"/>
      <c r="U22" s="151">
        <v>0</v>
      </c>
      <c r="V22" s="93">
        <f t="shared" si="7"/>
        <v>0</v>
      </c>
      <c r="W22" s="69"/>
      <c r="X22" s="56" t="str">
        <f t="shared" si="8"/>
        <v>Transition Probability from state 6 to state 1 on day 12 (CHG)</v>
      </c>
      <c r="Y22" s="61"/>
      <c r="Z22" s="151">
        <v>0.33333333333333331</v>
      </c>
      <c r="AA22" s="93">
        <f t="shared" si="9"/>
        <v>0.33333333333333331</v>
      </c>
      <c r="AB22" s="9"/>
      <c r="AC22" s="83"/>
    </row>
    <row r="23" spans="2:29" ht="17" thickTop="1" thickBot="1" x14ac:dyDescent="0.25">
      <c r="B23" s="83"/>
      <c r="C23" s="149">
        <v>13</v>
      </c>
      <c r="D23" s="56" t="str">
        <f t="shared" si="0"/>
        <v>Transition Probability from state 1 to state 1 on day 13 (CHG)</v>
      </c>
      <c r="E23" s="150"/>
      <c r="F23" s="151">
        <v>0.9116809116809117</v>
      </c>
      <c r="G23" s="93">
        <f t="shared" si="1"/>
        <v>0.9116809116809117</v>
      </c>
      <c r="I23" s="152" t="str">
        <f t="shared" si="2"/>
        <v>Transition Probability from state 2 to state 1 on day 13 (CHG)</v>
      </c>
      <c r="J23" s="150"/>
      <c r="K23" s="151">
        <v>0.7142857142857143</v>
      </c>
      <c r="L23" s="93">
        <f t="shared" si="3"/>
        <v>0.7142857142857143</v>
      </c>
      <c r="M23" s="60"/>
      <c r="N23" s="56" t="str">
        <f t="shared" si="4"/>
        <v>Transition Probability from state 3 to state 1 on day 13 (CHG)</v>
      </c>
      <c r="O23" s="61"/>
      <c r="P23" s="151">
        <v>0</v>
      </c>
      <c r="Q23" s="93">
        <f t="shared" si="5"/>
        <v>0</v>
      </c>
      <c r="R23" s="69"/>
      <c r="S23" s="56" t="str">
        <f t="shared" si="6"/>
        <v>Transition Probability from state 4 to state 1 on day 13 (CHG)</v>
      </c>
      <c r="T23" s="61"/>
      <c r="U23" s="151">
        <v>0</v>
      </c>
      <c r="V23" s="93">
        <f t="shared" si="7"/>
        <v>0</v>
      </c>
      <c r="W23" s="69"/>
      <c r="X23" s="56" t="str">
        <f t="shared" si="8"/>
        <v>Transition Probability from state 6 to state 1 on day 13 (CHG)</v>
      </c>
      <c r="Y23" s="61"/>
      <c r="Z23" s="151">
        <v>0.25</v>
      </c>
      <c r="AA23" s="93">
        <f t="shared" si="9"/>
        <v>0.25</v>
      </c>
      <c r="AB23" s="9"/>
      <c r="AC23" s="83"/>
    </row>
    <row r="24" spans="2:29" ht="17" thickTop="1" thickBot="1" x14ac:dyDescent="0.25">
      <c r="B24" s="83"/>
      <c r="C24" s="149">
        <v>14</v>
      </c>
      <c r="D24" s="56" t="str">
        <f t="shared" si="0"/>
        <v>Transition Probability from state 1 to state 1 on day 14 (CHG)</v>
      </c>
      <c r="E24" s="150"/>
      <c r="F24" s="151">
        <v>0.87423312883435578</v>
      </c>
      <c r="G24" s="93">
        <f t="shared" si="1"/>
        <v>0.87423312883435578</v>
      </c>
      <c r="I24" s="152" t="str">
        <f t="shared" si="2"/>
        <v>Transition Probability from state 2 to state 1 on day 14 (CHG)</v>
      </c>
      <c r="J24" s="150"/>
      <c r="K24" s="151">
        <v>1</v>
      </c>
      <c r="L24" s="93">
        <f t="shared" si="3"/>
        <v>1</v>
      </c>
      <c r="M24" s="60"/>
      <c r="N24" s="56" t="str">
        <f t="shared" si="4"/>
        <v>Transition Probability from state 3 to state 1 on day 14 (CHG)</v>
      </c>
      <c r="O24" s="61"/>
      <c r="P24" s="151">
        <v>0</v>
      </c>
      <c r="Q24" s="93">
        <f t="shared" si="5"/>
        <v>0</v>
      </c>
      <c r="R24" s="69"/>
      <c r="S24" s="56" t="str">
        <f t="shared" si="6"/>
        <v>Transition Probability from state 4 to state 1 on day 14 (CHG)</v>
      </c>
      <c r="T24" s="61"/>
      <c r="U24" s="151">
        <v>0</v>
      </c>
      <c r="V24" s="93">
        <f t="shared" si="7"/>
        <v>0</v>
      </c>
      <c r="W24" s="69"/>
      <c r="X24" s="56" t="str">
        <f t="shared" si="8"/>
        <v>Transition Probability from state 6 to state 1 on day 14 (CHG)</v>
      </c>
      <c r="Y24" s="61"/>
      <c r="Z24" s="151">
        <v>1</v>
      </c>
      <c r="AA24" s="93">
        <f t="shared" si="9"/>
        <v>1</v>
      </c>
      <c r="AB24" s="9"/>
      <c r="AC24" s="83"/>
    </row>
    <row r="25" spans="2:29" ht="17" thickTop="1" thickBot="1" x14ac:dyDescent="0.25">
      <c r="B25" s="83"/>
      <c r="C25" s="149">
        <v>15</v>
      </c>
      <c r="D25" s="56" t="str">
        <f t="shared" si="0"/>
        <v>Transition Probability from state 1 to state 1 on day 15 (CHG)</v>
      </c>
      <c r="E25" s="150"/>
      <c r="F25" s="151">
        <v>0.91554054054054057</v>
      </c>
      <c r="G25" s="93">
        <f t="shared" si="1"/>
        <v>0.91554054054054057</v>
      </c>
      <c r="I25" s="152" t="str">
        <f t="shared" si="2"/>
        <v>Transition Probability from state 2 to state 1 on day 15 (CHG)</v>
      </c>
      <c r="J25" s="150"/>
      <c r="K25" s="151">
        <v>1</v>
      </c>
      <c r="L25" s="93">
        <f t="shared" si="3"/>
        <v>1</v>
      </c>
      <c r="M25" s="60"/>
      <c r="N25" s="56" t="str">
        <f t="shared" si="4"/>
        <v>Transition Probability from state 3 to state 1 on day 15 (CHG)</v>
      </c>
      <c r="O25" s="61"/>
      <c r="P25" s="151">
        <v>0</v>
      </c>
      <c r="Q25" s="93">
        <f t="shared" si="5"/>
        <v>0</v>
      </c>
      <c r="R25" s="69"/>
      <c r="S25" s="56" t="str">
        <f t="shared" si="6"/>
        <v>Transition Probability from state 4 to state 1 on day 15 (CHG)</v>
      </c>
      <c r="T25" s="61"/>
      <c r="U25" s="151">
        <v>0</v>
      </c>
      <c r="V25" s="93">
        <f t="shared" si="7"/>
        <v>0</v>
      </c>
      <c r="W25" s="69"/>
      <c r="X25" s="56" t="str">
        <f t="shared" si="8"/>
        <v>Transition Probability from state 6 to state 1 on day 15 (CHG)</v>
      </c>
      <c r="Y25" s="61"/>
      <c r="Z25" s="151">
        <v>0.66666666666666663</v>
      </c>
      <c r="AA25" s="93">
        <f t="shared" si="9"/>
        <v>0.66666666666666663</v>
      </c>
      <c r="AB25" s="9"/>
      <c r="AC25" s="83"/>
    </row>
    <row r="26" spans="2:29" ht="17" thickTop="1" thickBot="1" x14ac:dyDescent="0.25">
      <c r="B26" s="83"/>
      <c r="C26" s="149">
        <v>16</v>
      </c>
      <c r="D26" s="56" t="str">
        <f t="shared" si="0"/>
        <v>Transition Probability from state 1 to state 1 on day 16 (CHG)</v>
      </c>
      <c r="E26" s="150"/>
      <c r="F26" s="151">
        <v>0.90812720848056538</v>
      </c>
      <c r="G26" s="93">
        <f t="shared" si="1"/>
        <v>0.90812720848056538</v>
      </c>
      <c r="I26" s="152" t="str">
        <f t="shared" si="2"/>
        <v>Transition Probability from state 2 to state 1 on day 16 (CHG)</v>
      </c>
      <c r="J26" s="150"/>
      <c r="K26" s="151">
        <v>1</v>
      </c>
      <c r="L26" s="93">
        <f t="shared" si="3"/>
        <v>1</v>
      </c>
      <c r="M26" s="60"/>
      <c r="N26" s="56" t="str">
        <f t="shared" si="4"/>
        <v>Transition Probability from state 3 to state 1 on day 16 (CHG)</v>
      </c>
      <c r="O26" s="61"/>
      <c r="P26" s="151">
        <v>0</v>
      </c>
      <c r="Q26" s="93">
        <f t="shared" si="5"/>
        <v>0</v>
      </c>
      <c r="R26" s="69"/>
      <c r="S26" s="56" t="str">
        <f t="shared" si="6"/>
        <v>Transition Probability from state 4 to state 1 on day 16 (CHG)</v>
      </c>
      <c r="T26" s="61"/>
      <c r="U26" s="151">
        <v>1</v>
      </c>
      <c r="V26" s="93">
        <f t="shared" si="7"/>
        <v>1</v>
      </c>
      <c r="W26" s="69"/>
      <c r="X26" s="56" t="str">
        <f t="shared" si="8"/>
        <v>Transition Probability from state 6 to state 1 on day 16 (CHG)</v>
      </c>
      <c r="Y26" s="61"/>
      <c r="Z26" s="151">
        <v>1</v>
      </c>
      <c r="AA26" s="93">
        <f t="shared" si="9"/>
        <v>1</v>
      </c>
      <c r="AB26" s="9"/>
      <c r="AC26" s="83"/>
    </row>
    <row r="27" spans="2:29" ht="17" thickTop="1" thickBot="1" x14ac:dyDescent="0.25">
      <c r="B27" s="83"/>
      <c r="C27" s="149">
        <v>17</v>
      </c>
      <c r="D27" s="56" t="str">
        <f t="shared" si="0"/>
        <v>Transition Probability from state 1 to state 1 on day 17 (CHG)</v>
      </c>
      <c r="E27" s="150"/>
      <c r="F27" s="151">
        <v>0.89056603773584908</v>
      </c>
      <c r="G27" s="93">
        <f t="shared" si="1"/>
        <v>0.89056603773584908</v>
      </c>
      <c r="I27" s="152" t="str">
        <f t="shared" si="2"/>
        <v>Transition Probability from state 2 to state 1 on day 17 (CHG)</v>
      </c>
      <c r="J27" s="150"/>
      <c r="K27" s="151">
        <v>0.90909090909090906</v>
      </c>
      <c r="L27" s="93">
        <f t="shared" si="3"/>
        <v>0.90909090909090906</v>
      </c>
      <c r="M27" s="60"/>
      <c r="N27" s="56" t="str">
        <f t="shared" si="4"/>
        <v>Transition Probability from state 3 to state 1 on day 17 (CHG)</v>
      </c>
      <c r="O27" s="61"/>
      <c r="P27" s="151">
        <v>0</v>
      </c>
      <c r="Q27" s="93">
        <f t="shared" si="5"/>
        <v>0</v>
      </c>
      <c r="R27" s="69"/>
      <c r="S27" s="56" t="str">
        <f t="shared" si="6"/>
        <v>Transition Probability from state 4 to state 1 on day 17 (CHG)</v>
      </c>
      <c r="T27" s="61"/>
      <c r="U27" s="151">
        <v>0</v>
      </c>
      <c r="V27" s="93">
        <f t="shared" si="7"/>
        <v>0</v>
      </c>
      <c r="W27" s="69"/>
      <c r="X27" s="56" t="str">
        <f t="shared" si="8"/>
        <v>Transition Probability from state 6 to state 1 on day 17 (CHG)</v>
      </c>
      <c r="Y27" s="61"/>
      <c r="Z27" s="151">
        <v>0</v>
      </c>
      <c r="AA27" s="93">
        <f t="shared" si="9"/>
        <v>0</v>
      </c>
      <c r="AB27" s="9"/>
      <c r="AC27" s="83"/>
    </row>
    <row r="28" spans="2:29" ht="17" thickTop="1" thickBot="1" x14ac:dyDescent="0.25">
      <c r="B28" s="83"/>
      <c r="C28" s="149">
        <v>18</v>
      </c>
      <c r="D28" s="56" t="str">
        <f t="shared" si="0"/>
        <v>Transition Probability from state 1 to state 1 on day 18 (CHG)</v>
      </c>
      <c r="E28" s="150"/>
      <c r="F28" s="151">
        <v>0.92276422764227639</v>
      </c>
      <c r="G28" s="93">
        <f t="shared" si="1"/>
        <v>0.92276422764227639</v>
      </c>
      <c r="I28" s="152" t="str">
        <f t="shared" si="2"/>
        <v>Transition Probability from state 2 to state 1 on day 18 (CHG)</v>
      </c>
      <c r="J28" s="150"/>
      <c r="K28" s="151">
        <v>1</v>
      </c>
      <c r="L28" s="93">
        <f t="shared" si="3"/>
        <v>1</v>
      </c>
      <c r="M28" s="60"/>
      <c r="N28" s="56" t="str">
        <f t="shared" si="4"/>
        <v>Transition Probability from state 3 to state 1 on day 18 (CHG)</v>
      </c>
      <c r="O28" s="61"/>
      <c r="P28" s="151">
        <v>0</v>
      </c>
      <c r="Q28" s="93">
        <f t="shared" si="5"/>
        <v>0</v>
      </c>
      <c r="R28" s="69"/>
      <c r="S28" s="56" t="str">
        <f t="shared" si="6"/>
        <v>Transition Probability from state 4 to state 1 on day 18 (CHG)</v>
      </c>
      <c r="T28" s="61"/>
      <c r="U28" s="151">
        <v>0</v>
      </c>
      <c r="V28" s="93">
        <f t="shared" si="7"/>
        <v>0</v>
      </c>
      <c r="W28" s="69"/>
      <c r="X28" s="56" t="str">
        <f t="shared" si="8"/>
        <v>Transition Probability from state 6 to state 1 on day 18 (CHG)</v>
      </c>
      <c r="Y28" s="61"/>
      <c r="Z28" s="151">
        <v>0</v>
      </c>
      <c r="AA28" s="93">
        <f t="shared" si="9"/>
        <v>0</v>
      </c>
      <c r="AB28" s="9"/>
      <c r="AC28" s="83"/>
    </row>
    <row r="29" spans="2:29" ht="17" thickTop="1" thickBot="1" x14ac:dyDescent="0.25">
      <c r="B29" s="83"/>
      <c r="C29" s="149">
        <v>19</v>
      </c>
      <c r="D29" s="56" t="str">
        <f t="shared" si="0"/>
        <v>Transition Probability from state 1 to state 1 on day 19 (CHG)</v>
      </c>
      <c r="E29" s="150"/>
      <c r="F29" s="151">
        <v>0.94537815126050417</v>
      </c>
      <c r="G29" s="93">
        <f t="shared" si="1"/>
        <v>0.94537815126050417</v>
      </c>
      <c r="I29" s="152" t="str">
        <f t="shared" si="2"/>
        <v>Transition Probability from state 2 to state 1 on day 19 (CHG)</v>
      </c>
      <c r="J29" s="150"/>
      <c r="K29" s="151">
        <v>1</v>
      </c>
      <c r="L29" s="93">
        <f t="shared" si="3"/>
        <v>1</v>
      </c>
      <c r="M29" s="60"/>
      <c r="N29" s="56" t="str">
        <f t="shared" si="4"/>
        <v>Transition Probability from state 3 to state 1 on day 19 (CHG)</v>
      </c>
      <c r="O29" s="61"/>
      <c r="P29" s="151">
        <v>0</v>
      </c>
      <c r="Q29" s="93">
        <f t="shared" si="5"/>
        <v>0</v>
      </c>
      <c r="R29" s="69"/>
      <c r="S29" s="56" t="str">
        <f t="shared" si="6"/>
        <v>Transition Probability from state 4 to state 1 on day 19 (CHG)</v>
      </c>
      <c r="T29" s="61"/>
      <c r="U29" s="151">
        <v>0</v>
      </c>
      <c r="V29" s="93">
        <f t="shared" si="7"/>
        <v>0</v>
      </c>
      <c r="W29" s="69"/>
      <c r="X29" s="56" t="str">
        <f t="shared" si="8"/>
        <v>Transition Probability from state 6 to state 1 on day 19 (CHG)</v>
      </c>
      <c r="Y29" s="61"/>
      <c r="Z29" s="151">
        <v>0</v>
      </c>
      <c r="AA29" s="93">
        <f t="shared" si="9"/>
        <v>0</v>
      </c>
      <c r="AB29" s="9"/>
      <c r="AC29" s="83"/>
    </row>
    <row r="30" spans="2:29" ht="17" thickTop="1" thickBot="1" x14ac:dyDescent="0.25">
      <c r="B30" s="83"/>
      <c r="C30" s="149">
        <v>20</v>
      </c>
      <c r="D30" s="56" t="str">
        <f t="shared" si="0"/>
        <v>Transition Probability from state 1 to state 1 on day 20 (CHG)</v>
      </c>
      <c r="E30" s="150"/>
      <c r="F30" s="151">
        <v>0.93103448275862066</v>
      </c>
      <c r="G30" s="93">
        <f t="shared" si="1"/>
        <v>0.93103448275862066</v>
      </c>
      <c r="I30" s="152" t="str">
        <f t="shared" si="2"/>
        <v>Transition Probability from state 2 to state 1 on day 20 (CHG)</v>
      </c>
      <c r="J30" s="150"/>
      <c r="K30" s="151">
        <v>1</v>
      </c>
      <c r="L30" s="93">
        <f t="shared" si="3"/>
        <v>1</v>
      </c>
      <c r="M30" s="60"/>
      <c r="N30" s="56" t="str">
        <f t="shared" si="4"/>
        <v>Transition Probability from state 3 to state 1 on day 20 (CHG)</v>
      </c>
      <c r="O30" s="61"/>
      <c r="P30" s="151">
        <v>0</v>
      </c>
      <c r="Q30" s="93">
        <f t="shared" si="5"/>
        <v>0</v>
      </c>
      <c r="R30" s="69"/>
      <c r="S30" s="56" t="str">
        <f t="shared" si="6"/>
        <v>Transition Probability from state 4 to state 1 on day 20 (CHG)</v>
      </c>
      <c r="T30" s="61"/>
      <c r="U30" s="151">
        <v>0</v>
      </c>
      <c r="V30" s="93">
        <f t="shared" si="7"/>
        <v>0</v>
      </c>
      <c r="W30" s="69"/>
      <c r="X30" s="56" t="str">
        <f t="shared" si="8"/>
        <v>Transition Probability from state 6 to state 1 on day 20 (CHG)</v>
      </c>
      <c r="Y30" s="61"/>
      <c r="Z30" s="151">
        <v>0</v>
      </c>
      <c r="AA30" s="93">
        <f t="shared" si="9"/>
        <v>0</v>
      </c>
      <c r="AB30" s="9"/>
      <c r="AC30" s="83"/>
    </row>
    <row r="31" spans="2:29" ht="17" thickTop="1" thickBot="1" x14ac:dyDescent="0.25">
      <c r="B31" s="83"/>
      <c r="C31" s="149">
        <v>21</v>
      </c>
      <c r="D31" s="56" t="str">
        <f t="shared" si="0"/>
        <v>Transition Probability from state 1 to state 1 on day 21 (CHG)</v>
      </c>
      <c r="E31" s="150"/>
      <c r="F31" s="151">
        <v>0.90497737556561086</v>
      </c>
      <c r="G31" s="93">
        <f t="shared" si="1"/>
        <v>0.90497737556561086</v>
      </c>
      <c r="I31" s="152" t="str">
        <f t="shared" si="2"/>
        <v>Transition Probability from state 2 to state 1 on day 21 (CHG)</v>
      </c>
      <c r="J31" s="150"/>
      <c r="K31" s="151">
        <v>1</v>
      </c>
      <c r="L31" s="93">
        <f t="shared" si="3"/>
        <v>1</v>
      </c>
      <c r="M31" s="60"/>
      <c r="N31" s="56" t="str">
        <f t="shared" si="4"/>
        <v>Transition Probability from state 3 to state 1 on day 21 (CHG)</v>
      </c>
      <c r="O31" s="61"/>
      <c r="P31" s="151">
        <v>0</v>
      </c>
      <c r="Q31" s="93">
        <f t="shared" si="5"/>
        <v>0</v>
      </c>
      <c r="R31" s="69"/>
      <c r="S31" s="56" t="str">
        <f t="shared" si="6"/>
        <v>Transition Probability from state 4 to state 1 on day 21 (CHG)</v>
      </c>
      <c r="T31" s="61"/>
      <c r="U31" s="151">
        <v>0</v>
      </c>
      <c r="V31" s="93">
        <f t="shared" si="7"/>
        <v>0</v>
      </c>
      <c r="W31" s="69"/>
      <c r="X31" s="56" t="str">
        <f t="shared" si="8"/>
        <v>Transition Probability from state 6 to state 1 on day 21 (CHG)</v>
      </c>
      <c r="Y31" s="61"/>
      <c r="Z31" s="151">
        <v>1</v>
      </c>
      <c r="AA31" s="93">
        <f t="shared" si="9"/>
        <v>1</v>
      </c>
      <c r="AB31" s="9"/>
      <c r="AC31" s="83"/>
    </row>
    <row r="32" spans="2:29" ht="17" thickTop="1" thickBot="1" x14ac:dyDescent="0.25">
      <c r="B32" s="83"/>
      <c r="C32" s="149">
        <v>22</v>
      </c>
      <c r="D32" s="56" t="str">
        <f t="shared" si="0"/>
        <v>Transition Probability from state 1 to state 1 on day 22 (CHG)</v>
      </c>
      <c r="E32" s="150"/>
      <c r="F32" s="151">
        <v>0.92610837438423643</v>
      </c>
      <c r="G32" s="93">
        <f t="shared" si="1"/>
        <v>0.92610837438423643</v>
      </c>
      <c r="I32" s="152" t="str">
        <f t="shared" si="2"/>
        <v>Transition Probability from state 2 to state 1 on day 22 (CHG)</v>
      </c>
      <c r="J32" s="150"/>
      <c r="K32" s="151">
        <v>1</v>
      </c>
      <c r="L32" s="93">
        <f t="shared" si="3"/>
        <v>1</v>
      </c>
      <c r="M32" s="60"/>
      <c r="N32" s="56" t="str">
        <f t="shared" si="4"/>
        <v>Transition Probability from state 3 to state 1 on day 22 (CHG)</v>
      </c>
      <c r="O32" s="61"/>
      <c r="P32" s="151">
        <v>0</v>
      </c>
      <c r="Q32" s="93">
        <f t="shared" si="5"/>
        <v>0</v>
      </c>
      <c r="R32" s="69"/>
      <c r="S32" s="56" t="str">
        <f t="shared" si="6"/>
        <v>Transition Probability from state 4 to state 1 on day 22 (CHG)</v>
      </c>
      <c r="T32" s="61"/>
      <c r="U32" s="151">
        <v>0</v>
      </c>
      <c r="V32" s="93">
        <f t="shared" si="7"/>
        <v>0</v>
      </c>
      <c r="W32" s="69"/>
      <c r="X32" s="56" t="str">
        <f t="shared" si="8"/>
        <v>Transition Probability from state 6 to state 1 on day 22 (CHG)</v>
      </c>
      <c r="Y32" s="61"/>
      <c r="Z32" s="151">
        <v>0</v>
      </c>
      <c r="AA32" s="93">
        <f t="shared" si="9"/>
        <v>0</v>
      </c>
      <c r="AB32" s="9"/>
      <c r="AC32" s="83"/>
    </row>
    <row r="33" spans="2:29" ht="17" thickTop="1" thickBot="1" x14ac:dyDescent="0.25">
      <c r="B33" s="83"/>
      <c r="C33" s="149">
        <v>23</v>
      </c>
      <c r="D33" s="56" t="str">
        <f t="shared" si="0"/>
        <v>Transition Probability from state 1 to state 1 on day 23 (CHG)</v>
      </c>
      <c r="E33" s="150"/>
      <c r="F33" s="151">
        <v>0.88205128205128203</v>
      </c>
      <c r="G33" s="93">
        <f t="shared" si="1"/>
        <v>0.88205128205128203</v>
      </c>
      <c r="I33" s="152" t="str">
        <f t="shared" si="2"/>
        <v>Transition Probability from state 2 to state 1 on day 23 (CHG)</v>
      </c>
      <c r="J33" s="150"/>
      <c r="K33" s="151">
        <v>1</v>
      </c>
      <c r="L33" s="93">
        <f t="shared" si="3"/>
        <v>1</v>
      </c>
      <c r="M33" s="60"/>
      <c r="N33" s="56" t="str">
        <f t="shared" si="4"/>
        <v>Transition Probability from state 3 to state 1 on day 23 (CHG)</v>
      </c>
      <c r="O33" s="61"/>
      <c r="P33" s="151">
        <v>0</v>
      </c>
      <c r="Q33" s="93">
        <f t="shared" si="5"/>
        <v>0</v>
      </c>
      <c r="R33" s="69"/>
      <c r="S33" s="56" t="str">
        <f t="shared" si="6"/>
        <v>Transition Probability from state 4 to state 1 on day 23 (CHG)</v>
      </c>
      <c r="T33" s="61"/>
      <c r="U33" s="151">
        <v>0</v>
      </c>
      <c r="V33" s="93">
        <f t="shared" si="7"/>
        <v>0</v>
      </c>
      <c r="W33" s="69"/>
      <c r="X33" s="56" t="str">
        <f t="shared" si="8"/>
        <v>Transition Probability from state 6 to state 1 on day 23 (CHG)</v>
      </c>
      <c r="Y33" s="61"/>
      <c r="Z33" s="151">
        <v>0</v>
      </c>
      <c r="AA33" s="93">
        <f t="shared" si="9"/>
        <v>0</v>
      </c>
      <c r="AB33" s="9"/>
      <c r="AC33" s="83"/>
    </row>
    <row r="34" spans="2:29" ht="17" thickTop="1" thickBot="1" x14ac:dyDescent="0.25">
      <c r="B34" s="83"/>
      <c r="C34" s="149">
        <v>24</v>
      </c>
      <c r="D34" s="56" t="str">
        <f t="shared" si="0"/>
        <v>Transition Probability from state 1 to state 1 on day 24 (CHG)</v>
      </c>
      <c r="E34" s="150"/>
      <c r="F34" s="151">
        <v>0.94915254237288138</v>
      </c>
      <c r="G34" s="93">
        <f t="shared" si="1"/>
        <v>0.94915254237288138</v>
      </c>
      <c r="I34" s="152" t="str">
        <f t="shared" si="2"/>
        <v>Transition Probability from state 2 to state 1 on day 24 (CHG)</v>
      </c>
      <c r="J34" s="150"/>
      <c r="K34" s="151">
        <v>1</v>
      </c>
      <c r="L34" s="93">
        <f t="shared" si="3"/>
        <v>1</v>
      </c>
      <c r="M34" s="60"/>
      <c r="N34" s="56" t="str">
        <f t="shared" si="4"/>
        <v>Transition Probability from state 3 to state 1 on day 24 (CHG)</v>
      </c>
      <c r="O34" s="61"/>
      <c r="P34" s="151">
        <v>0</v>
      </c>
      <c r="Q34" s="93">
        <f t="shared" si="5"/>
        <v>0</v>
      </c>
      <c r="R34" s="69"/>
      <c r="S34" s="56" t="str">
        <f t="shared" si="6"/>
        <v>Transition Probability from state 4 to state 1 on day 24 (CHG)</v>
      </c>
      <c r="T34" s="61"/>
      <c r="U34" s="151">
        <v>0</v>
      </c>
      <c r="V34" s="93">
        <f t="shared" si="7"/>
        <v>0</v>
      </c>
      <c r="W34" s="69"/>
      <c r="X34" s="56" t="str">
        <f t="shared" si="8"/>
        <v>Transition Probability from state 6 to state 1 on day 24 (CHG)</v>
      </c>
      <c r="Y34" s="61"/>
      <c r="Z34" s="151">
        <v>0</v>
      </c>
      <c r="AA34" s="93">
        <f t="shared" si="9"/>
        <v>0</v>
      </c>
      <c r="AB34" s="9"/>
      <c r="AC34" s="83"/>
    </row>
    <row r="35" spans="2:29" ht="17" thickTop="1" thickBot="1" x14ac:dyDescent="0.25">
      <c r="B35" s="83"/>
      <c r="C35" s="149">
        <v>25</v>
      </c>
      <c r="D35" s="56" t="str">
        <f t="shared" si="0"/>
        <v>Transition Probability from state 1 to state 1 on day 25 (CHG)</v>
      </c>
      <c r="E35" s="150"/>
      <c r="F35" s="151">
        <v>0.89714285714285713</v>
      </c>
      <c r="G35" s="93">
        <f t="shared" si="1"/>
        <v>0.89714285714285713</v>
      </c>
      <c r="I35" s="152" t="str">
        <f t="shared" si="2"/>
        <v>Transition Probability from state 2 to state 1 on day 25 (CHG)</v>
      </c>
      <c r="J35" s="150"/>
      <c r="K35" s="151">
        <v>0.5</v>
      </c>
      <c r="L35" s="93">
        <f t="shared" si="3"/>
        <v>0.5</v>
      </c>
      <c r="M35" s="60"/>
      <c r="N35" s="56" t="str">
        <f t="shared" si="4"/>
        <v>Transition Probability from state 3 to state 1 on day 25 (CHG)</v>
      </c>
      <c r="O35" s="61"/>
      <c r="P35" s="151">
        <v>0</v>
      </c>
      <c r="Q35" s="93">
        <f t="shared" si="5"/>
        <v>0</v>
      </c>
      <c r="R35" s="69"/>
      <c r="S35" s="56" t="str">
        <f t="shared" si="6"/>
        <v>Transition Probability from state 4 to state 1 on day 25 (CHG)</v>
      </c>
      <c r="T35" s="61"/>
      <c r="U35" s="151">
        <v>0</v>
      </c>
      <c r="V35" s="93">
        <f t="shared" si="7"/>
        <v>0</v>
      </c>
      <c r="W35" s="69"/>
      <c r="X35" s="56" t="str">
        <f t="shared" si="8"/>
        <v>Transition Probability from state 6 to state 1 on day 25 (CHG)</v>
      </c>
      <c r="Y35" s="61"/>
      <c r="Z35" s="151">
        <v>0</v>
      </c>
      <c r="AA35" s="93">
        <f t="shared" si="9"/>
        <v>0</v>
      </c>
      <c r="AB35" s="9"/>
      <c r="AC35" s="83"/>
    </row>
    <row r="36" spans="2:29" ht="17" thickTop="1" thickBot="1" x14ac:dyDescent="0.25">
      <c r="B36" s="83"/>
      <c r="C36" s="149">
        <v>26</v>
      </c>
      <c r="D36" s="56" t="str">
        <f t="shared" si="0"/>
        <v>Transition Probability from state 1 to state 1 on day 26 (CHG)</v>
      </c>
      <c r="E36" s="150"/>
      <c r="F36" s="151">
        <v>0.930379746835443</v>
      </c>
      <c r="G36" s="93">
        <f t="shared" si="1"/>
        <v>0.930379746835443</v>
      </c>
      <c r="I36" s="152" t="str">
        <f t="shared" si="2"/>
        <v>Transition Probability from state 2 to state 1 on day 26 (CHG)</v>
      </c>
      <c r="J36" s="150"/>
      <c r="K36" s="151">
        <v>1</v>
      </c>
      <c r="L36" s="93">
        <f t="shared" si="3"/>
        <v>1</v>
      </c>
      <c r="M36" s="60"/>
      <c r="N36" s="56" t="str">
        <f t="shared" si="4"/>
        <v>Transition Probability from state 3 to state 1 on day 26 (CHG)</v>
      </c>
      <c r="O36" s="61"/>
      <c r="P36" s="151">
        <v>0</v>
      </c>
      <c r="Q36" s="93">
        <f t="shared" si="5"/>
        <v>0</v>
      </c>
      <c r="R36" s="69"/>
      <c r="S36" s="56" t="str">
        <f t="shared" si="6"/>
        <v>Transition Probability from state 4 to state 1 on day 26 (CHG)</v>
      </c>
      <c r="T36" s="61"/>
      <c r="U36" s="151">
        <v>0</v>
      </c>
      <c r="V36" s="93">
        <f t="shared" si="7"/>
        <v>0</v>
      </c>
      <c r="W36" s="69"/>
      <c r="X36" s="56" t="str">
        <f t="shared" si="8"/>
        <v>Transition Probability from state 6 to state 1 on day 26 (CHG)</v>
      </c>
      <c r="Y36" s="61"/>
      <c r="Z36" s="151">
        <v>0</v>
      </c>
      <c r="AA36" s="93">
        <f t="shared" si="9"/>
        <v>0</v>
      </c>
      <c r="AB36" s="9"/>
      <c r="AC36" s="83"/>
    </row>
    <row r="37" spans="2:29" ht="17" thickTop="1" thickBot="1" x14ac:dyDescent="0.25">
      <c r="B37" s="83"/>
      <c r="C37" s="149">
        <v>27</v>
      </c>
      <c r="D37" s="56" t="str">
        <f t="shared" si="0"/>
        <v>Transition Probability from state 1 to state 1 on day 27 (CHG)</v>
      </c>
      <c r="E37" s="150"/>
      <c r="F37" s="151">
        <v>0.91503267973856206</v>
      </c>
      <c r="G37" s="93">
        <f t="shared" si="1"/>
        <v>0.91503267973856206</v>
      </c>
      <c r="I37" s="152" t="str">
        <f t="shared" si="2"/>
        <v>Transition Probability from state 2 to state 1 on day 27 (CHG)</v>
      </c>
      <c r="J37" s="150"/>
      <c r="K37" s="151">
        <v>0.5</v>
      </c>
      <c r="L37" s="93">
        <f t="shared" si="3"/>
        <v>0.5</v>
      </c>
      <c r="M37" s="60"/>
      <c r="N37" s="56" t="str">
        <f t="shared" si="4"/>
        <v>Transition Probability from state 3 to state 1 on day 27 (CHG)</v>
      </c>
      <c r="O37" s="61"/>
      <c r="P37" s="151">
        <v>0</v>
      </c>
      <c r="Q37" s="93">
        <f t="shared" si="5"/>
        <v>0</v>
      </c>
      <c r="R37" s="69"/>
      <c r="S37" s="56" t="str">
        <f t="shared" si="6"/>
        <v>Transition Probability from state 4 to state 1 on day 27 (CHG)</v>
      </c>
      <c r="T37" s="61"/>
      <c r="U37" s="151">
        <v>0</v>
      </c>
      <c r="V37" s="93">
        <f t="shared" si="7"/>
        <v>0</v>
      </c>
      <c r="W37" s="69"/>
      <c r="X37" s="56" t="str">
        <f t="shared" si="8"/>
        <v>Transition Probability from state 6 to state 1 on day 27 (CHG)</v>
      </c>
      <c r="Y37" s="61"/>
      <c r="Z37" s="151">
        <v>0</v>
      </c>
      <c r="AA37" s="93">
        <f t="shared" si="9"/>
        <v>0</v>
      </c>
      <c r="AB37" s="9"/>
      <c r="AC37" s="83"/>
    </row>
    <row r="38" spans="2:29" ht="17" thickTop="1" thickBot="1" x14ac:dyDescent="0.25">
      <c r="B38" s="83"/>
      <c r="C38" s="149">
        <v>28</v>
      </c>
      <c r="D38" s="56" t="str">
        <f t="shared" si="0"/>
        <v>Transition Probability from state 1 to state 1 on day 28 (CHG)</v>
      </c>
      <c r="E38" s="150"/>
      <c r="F38" s="151">
        <v>0.92198581560283688</v>
      </c>
      <c r="G38" s="93">
        <f t="shared" si="1"/>
        <v>0.92198581560283688</v>
      </c>
      <c r="I38" s="152" t="str">
        <f t="shared" si="2"/>
        <v>Transition Probability from state 2 to state 1 on day 28 (CHG)</v>
      </c>
      <c r="J38" s="150"/>
      <c r="K38" s="151">
        <v>0.7142857142857143</v>
      </c>
      <c r="L38" s="93">
        <f t="shared" si="3"/>
        <v>0.7142857142857143</v>
      </c>
      <c r="M38" s="60"/>
      <c r="N38" s="56" t="str">
        <f t="shared" si="4"/>
        <v>Transition Probability from state 3 to state 1 on day 28 (CHG)</v>
      </c>
      <c r="O38" s="61"/>
      <c r="P38" s="151">
        <v>0</v>
      </c>
      <c r="Q38" s="93">
        <f t="shared" si="5"/>
        <v>0</v>
      </c>
      <c r="R38" s="69"/>
      <c r="S38" s="56" t="str">
        <f t="shared" si="6"/>
        <v>Transition Probability from state 4 to state 1 on day 28 (CHG)</v>
      </c>
      <c r="T38" s="61"/>
      <c r="U38" s="151">
        <v>0</v>
      </c>
      <c r="V38" s="93">
        <f t="shared" si="7"/>
        <v>0</v>
      </c>
      <c r="W38" s="69"/>
      <c r="X38" s="56" t="str">
        <f t="shared" si="8"/>
        <v>Transition Probability from state 6 to state 1 on day 28 (CHG)</v>
      </c>
      <c r="Y38" s="61"/>
      <c r="Z38" s="151">
        <v>1</v>
      </c>
      <c r="AA38" s="93">
        <f t="shared" si="9"/>
        <v>1</v>
      </c>
      <c r="AB38" s="9"/>
      <c r="AC38" s="83"/>
    </row>
    <row r="39" spans="2:29" ht="17" thickTop="1" thickBot="1" x14ac:dyDescent="0.25">
      <c r="B39" s="83"/>
      <c r="C39" s="149">
        <v>29</v>
      </c>
      <c r="D39" s="56" t="str">
        <f t="shared" si="0"/>
        <v>Transition Probability from state 1 to state 1 on day 29 (CHG)</v>
      </c>
      <c r="E39" s="150"/>
      <c r="F39" s="151">
        <v>0.91911764705882348</v>
      </c>
      <c r="G39" s="93">
        <f t="shared" si="1"/>
        <v>0.91911764705882348</v>
      </c>
      <c r="I39" s="152" t="str">
        <f t="shared" si="2"/>
        <v>Transition Probability from state 2 to state 1 on day 29 (CHG)</v>
      </c>
      <c r="J39" s="150"/>
      <c r="K39" s="151">
        <v>1</v>
      </c>
      <c r="L39" s="93">
        <f t="shared" si="3"/>
        <v>1</v>
      </c>
      <c r="M39" s="60"/>
      <c r="N39" s="56" t="str">
        <f t="shared" si="4"/>
        <v>Transition Probability from state 3 to state 1 on day 29 (CHG)</v>
      </c>
      <c r="O39" s="61"/>
      <c r="P39" s="151">
        <v>0</v>
      </c>
      <c r="Q39" s="93">
        <f t="shared" si="5"/>
        <v>0</v>
      </c>
      <c r="R39" s="69"/>
      <c r="S39" s="56" t="str">
        <f t="shared" si="6"/>
        <v>Transition Probability from state 4 to state 1 on day 29 (CHG)</v>
      </c>
      <c r="T39" s="61"/>
      <c r="U39" s="151">
        <v>0</v>
      </c>
      <c r="V39" s="93">
        <f t="shared" si="7"/>
        <v>0</v>
      </c>
      <c r="W39" s="69"/>
      <c r="X39" s="56" t="str">
        <f t="shared" si="8"/>
        <v>Transition Probability from state 6 to state 1 on day 29 (CHG)</v>
      </c>
      <c r="Y39" s="61"/>
      <c r="Z39" s="151">
        <v>0</v>
      </c>
      <c r="AA39" s="93">
        <f t="shared" si="9"/>
        <v>0</v>
      </c>
      <c r="AB39" s="9"/>
      <c r="AC39" s="83"/>
    </row>
    <row r="40" spans="2:29" ht="17" thickTop="1" thickBot="1" x14ac:dyDescent="0.25">
      <c r="B40" s="83"/>
      <c r="C40" s="149">
        <v>30</v>
      </c>
      <c r="D40" s="56" t="str">
        <f t="shared" si="0"/>
        <v>Transition Probability from state 1 to state 1 on day 30 (CHG)</v>
      </c>
      <c r="E40" s="150"/>
      <c r="F40" s="151">
        <v>0.9140625</v>
      </c>
      <c r="G40" s="93">
        <f t="shared" si="1"/>
        <v>0.9140625</v>
      </c>
      <c r="I40" s="152" t="str">
        <f t="shared" si="2"/>
        <v>Transition Probability from state 2 to state 1 on day 30 (CHG)</v>
      </c>
      <c r="J40" s="150"/>
      <c r="K40" s="151">
        <v>1</v>
      </c>
      <c r="L40" s="93">
        <f t="shared" si="3"/>
        <v>1</v>
      </c>
      <c r="M40" s="60"/>
      <c r="N40" s="56" t="str">
        <f t="shared" si="4"/>
        <v>Transition Probability from state 3 to state 1 on day 30 (CHG)</v>
      </c>
      <c r="O40" s="61"/>
      <c r="P40" s="151">
        <v>0</v>
      </c>
      <c r="Q40" s="93">
        <f t="shared" si="5"/>
        <v>0</v>
      </c>
      <c r="R40" s="69"/>
      <c r="S40" s="56" t="str">
        <f t="shared" si="6"/>
        <v>Transition Probability from state 4 to state 1 on day 30 (CHG)</v>
      </c>
      <c r="T40" s="61"/>
      <c r="U40" s="151">
        <v>0</v>
      </c>
      <c r="V40" s="93">
        <f t="shared" si="7"/>
        <v>0</v>
      </c>
      <c r="W40" s="69"/>
      <c r="X40" s="56" t="str">
        <f t="shared" si="8"/>
        <v>Transition Probability from state 6 to state 1 on day 30 (CHG)</v>
      </c>
      <c r="Y40" s="61"/>
      <c r="Z40" s="151">
        <v>1</v>
      </c>
      <c r="AA40" s="93">
        <f t="shared" si="9"/>
        <v>1</v>
      </c>
      <c r="AB40" s="9"/>
      <c r="AC40" s="83"/>
    </row>
    <row r="41" spans="2:29" ht="16" thickTop="1" x14ac:dyDescent="0.2">
      <c r="B41" s="83"/>
      <c r="AB41" s="9"/>
      <c r="AC41" s="83"/>
    </row>
    <row r="42" spans="2:29" x14ac:dyDescent="0.2">
      <c r="B42" s="83"/>
      <c r="D42" s="231" t="s">
        <v>184</v>
      </c>
      <c r="E42" s="231"/>
      <c r="F42" s="231"/>
      <c r="G42" s="231"/>
      <c r="I42" s="232" t="s">
        <v>194</v>
      </c>
      <c r="J42" s="233"/>
      <c r="K42" s="233"/>
      <c r="L42" s="234"/>
      <c r="N42" s="231" t="s">
        <v>195</v>
      </c>
      <c r="O42" s="231"/>
      <c r="P42" s="231"/>
      <c r="Q42" s="231"/>
      <c r="S42" s="232" t="s">
        <v>196</v>
      </c>
      <c r="T42" s="233"/>
      <c r="U42" s="233"/>
      <c r="V42" s="234"/>
      <c r="X42" s="231" t="s">
        <v>197</v>
      </c>
      <c r="Y42" s="231"/>
      <c r="Z42" s="231"/>
      <c r="AA42" s="231"/>
      <c r="AB42" s="9"/>
      <c r="AC42" s="83"/>
    </row>
    <row r="43" spans="2:29" ht="16" thickBot="1" x14ac:dyDescent="0.25">
      <c r="B43" s="83"/>
      <c r="D43" s="195" t="str">
        <f>"Transition Probability from state 1 to state 2 on day"&amp; " "&amp;C11&amp;" "&amp;"(CHG)"</f>
        <v>Transition Probability from state 1 to state 2 on day 1 (CHG)</v>
      </c>
      <c r="E43" s="196"/>
      <c r="F43" s="197">
        <v>3.2119914346895075E-3</v>
      </c>
      <c r="G43" s="198">
        <f>IF(E43="",F43,E43)</f>
        <v>3.2119914346895075E-3</v>
      </c>
      <c r="I43" s="195" t="str">
        <f>"Transition Probability from state 2 to state 2 on day"&amp; " "&amp;C11&amp;" "&amp;"(CHG)"</f>
        <v>Transition Probability from state 2 to state 2 on day 1 (CHG)</v>
      </c>
      <c r="J43" s="196"/>
      <c r="K43" s="197">
        <v>0</v>
      </c>
      <c r="L43" s="198">
        <f>IF(J43="",K43,J43)</f>
        <v>0</v>
      </c>
      <c r="N43" s="195" t="str">
        <f>"Transition Probability from state 3 to state 2 on day"&amp; " "&amp;C11&amp;" "&amp;"(CHG)"</f>
        <v>Transition Probability from state 3 to state 2 on day 1 (CHG)</v>
      </c>
      <c r="O43" s="196"/>
      <c r="P43" s="197">
        <v>0</v>
      </c>
      <c r="Q43" s="198">
        <f>IF(O43="",P43,O43)</f>
        <v>0</v>
      </c>
      <c r="R43" s="69"/>
      <c r="S43" s="195" t="str">
        <f>"Transition Probability from state 4 to state 2 on day"&amp; " "&amp;C11&amp;" "&amp;"(CHG)"</f>
        <v>Transition Probability from state 4 to state 2 on day 1 (CHG)</v>
      </c>
      <c r="T43" s="196"/>
      <c r="U43" s="197">
        <v>0</v>
      </c>
      <c r="V43" s="198">
        <f>IF(T43="",U43,T43)</f>
        <v>0</v>
      </c>
      <c r="W43" s="69"/>
      <c r="X43" s="195" t="str">
        <f>"Transition Probability from state 6 to state 2 on day"&amp; " "&amp;C11&amp;" "&amp;"(CHG)"</f>
        <v>Transition Probability from state 6 to state 2 on day 1 (CHG)</v>
      </c>
      <c r="Y43" s="196"/>
      <c r="Z43" s="197">
        <v>0</v>
      </c>
      <c r="AA43" s="198">
        <f>IF(Y43="",Z43,Y43)</f>
        <v>0</v>
      </c>
      <c r="AB43" s="9"/>
      <c r="AC43" s="83"/>
    </row>
    <row r="44" spans="2:29" ht="17" thickTop="1" thickBot="1" x14ac:dyDescent="0.25">
      <c r="B44" s="83"/>
      <c r="D44" s="56" t="str">
        <f t="shared" ref="D44:D72" si="10">"Transition Probability from state 1 to state 2 on day"&amp; " "&amp;C12&amp;" "&amp;"(CHG)"</f>
        <v>Transition Probability from state 1 to state 2 on day 2 (CHG)</v>
      </c>
      <c r="E44" s="61"/>
      <c r="F44" s="151">
        <v>2.6258205689277898E-2</v>
      </c>
      <c r="G44" s="93">
        <f t="shared" ref="G44:G72" si="11">IF(E44="",F44,E44)</f>
        <v>2.6258205689277898E-2</v>
      </c>
      <c r="I44" s="56" t="str">
        <f t="shared" ref="I44:I72" si="12">"Transition Probability from state 2 to state 2 on day"&amp; " "&amp;C12&amp;" "&amp;"(CHG)"</f>
        <v>Transition Probability from state 2 to state 2 on day 2 (CHG)</v>
      </c>
      <c r="J44" s="61"/>
      <c r="K44" s="151">
        <v>0</v>
      </c>
      <c r="L44" s="93">
        <f t="shared" ref="L44:L72" si="13">IF(J44="",K44,J44)</f>
        <v>0</v>
      </c>
      <c r="N44" s="56" t="str">
        <f t="shared" ref="N44:N72" si="14">"Transition Probability from state 3 to state 2 on day"&amp; " "&amp;C12&amp;" "&amp;"(CHG)"</f>
        <v>Transition Probability from state 3 to state 2 on day 2 (CHG)</v>
      </c>
      <c r="O44" s="61"/>
      <c r="P44" s="151">
        <v>0</v>
      </c>
      <c r="Q44" s="93">
        <f t="shared" ref="Q44:Q72" si="15">IF(O44="",P44,O44)</f>
        <v>0</v>
      </c>
      <c r="R44" s="69"/>
      <c r="S44" s="56" t="str">
        <f t="shared" ref="S44:S72" si="16">"Transition Probability from state 4 to state 2 on day"&amp; " "&amp;C12&amp;" "&amp;"(CHG)"</f>
        <v>Transition Probability from state 4 to state 2 on day 2 (CHG)</v>
      </c>
      <c r="T44" s="61"/>
      <c r="U44" s="151">
        <v>0</v>
      </c>
      <c r="V44" s="93">
        <f t="shared" ref="V44:V72" si="17">IF(T44="",U44,T44)</f>
        <v>0</v>
      </c>
      <c r="W44" s="69"/>
      <c r="X44" s="56" t="str">
        <f t="shared" ref="X44:X72" si="18">"Transition Probability from state 6 to state 2 on day"&amp; " "&amp;C12&amp;" "&amp;"(CHG)"</f>
        <v>Transition Probability from state 6 to state 2 on day 2 (CHG)</v>
      </c>
      <c r="Y44" s="61"/>
      <c r="Z44" s="151">
        <v>0</v>
      </c>
      <c r="AA44" s="93">
        <f t="shared" ref="AA44:AA72" si="19">IF(Y44="",Z44,Y44)</f>
        <v>0</v>
      </c>
      <c r="AB44" s="9"/>
      <c r="AC44" s="83"/>
    </row>
    <row r="45" spans="2:29" ht="17" thickTop="1" thickBot="1" x14ac:dyDescent="0.25">
      <c r="B45" s="83"/>
      <c r="D45" s="56" t="str">
        <f t="shared" si="10"/>
        <v>Transition Probability from state 1 to state 2 on day 3 (CHG)</v>
      </c>
      <c r="E45" s="61"/>
      <c r="F45" s="151">
        <v>1.992966002344666E-2</v>
      </c>
      <c r="G45" s="93">
        <f t="shared" si="11"/>
        <v>1.992966002344666E-2</v>
      </c>
      <c r="I45" s="56" t="str">
        <f t="shared" si="12"/>
        <v>Transition Probability from state 2 to state 2 on day 3 (CHG)</v>
      </c>
      <c r="J45" s="61"/>
      <c r="K45" s="151">
        <v>4.1666666666666664E-2</v>
      </c>
      <c r="L45" s="93">
        <f t="shared" si="13"/>
        <v>4.1666666666666664E-2</v>
      </c>
      <c r="N45" s="56" t="str">
        <f t="shared" si="14"/>
        <v>Transition Probability from state 3 to state 2 on day 3 (CHG)</v>
      </c>
      <c r="O45" s="61"/>
      <c r="P45" s="151">
        <v>0</v>
      </c>
      <c r="Q45" s="93">
        <f t="shared" si="15"/>
        <v>0</v>
      </c>
      <c r="R45" s="69"/>
      <c r="S45" s="56" t="str">
        <f t="shared" si="16"/>
        <v>Transition Probability from state 4 to state 2 on day 3 (CHG)</v>
      </c>
      <c r="T45" s="61"/>
      <c r="U45" s="151">
        <v>0</v>
      </c>
      <c r="V45" s="93">
        <f t="shared" si="17"/>
        <v>0</v>
      </c>
      <c r="W45" s="69"/>
      <c r="X45" s="56" t="str">
        <f t="shared" si="18"/>
        <v>Transition Probability from state 6 to state 2 on day 3 (CHG)</v>
      </c>
      <c r="Y45" s="61"/>
      <c r="Z45" s="151">
        <v>0</v>
      </c>
      <c r="AA45" s="93">
        <f t="shared" si="19"/>
        <v>0</v>
      </c>
      <c r="AB45" s="9"/>
      <c r="AC45" s="83"/>
    </row>
    <row r="46" spans="2:29" ht="17" thickTop="1" thickBot="1" x14ac:dyDescent="0.25">
      <c r="B46" s="83"/>
      <c r="D46" s="56" t="str">
        <f t="shared" si="10"/>
        <v>Transition Probability from state 1 to state 2 on day 4 (CHG)</v>
      </c>
      <c r="E46" s="61"/>
      <c r="F46" s="151">
        <v>2.4296675191815855E-2</v>
      </c>
      <c r="G46" s="93">
        <f t="shared" si="11"/>
        <v>2.4296675191815855E-2</v>
      </c>
      <c r="I46" s="56" t="str">
        <f t="shared" si="12"/>
        <v>Transition Probability from state 2 to state 2 on day 4 (CHG)</v>
      </c>
      <c r="J46" s="61"/>
      <c r="K46" s="151">
        <v>0</v>
      </c>
      <c r="L46" s="93">
        <f t="shared" si="13"/>
        <v>0</v>
      </c>
      <c r="N46" s="56" t="str">
        <f t="shared" si="14"/>
        <v>Transition Probability from state 3 to state 2 on day 4 (CHG)</v>
      </c>
      <c r="O46" s="61"/>
      <c r="P46" s="151">
        <v>0</v>
      </c>
      <c r="Q46" s="93">
        <f t="shared" si="15"/>
        <v>0</v>
      </c>
      <c r="R46" s="69"/>
      <c r="S46" s="56" t="str">
        <f t="shared" si="16"/>
        <v>Transition Probability from state 4 to state 2 on day 4 (CHG)</v>
      </c>
      <c r="T46" s="61"/>
      <c r="U46" s="151">
        <v>0</v>
      </c>
      <c r="V46" s="93">
        <f t="shared" si="17"/>
        <v>0</v>
      </c>
      <c r="W46" s="69"/>
      <c r="X46" s="56" t="str">
        <f t="shared" si="18"/>
        <v>Transition Probability from state 6 to state 2 on day 4 (CHG)</v>
      </c>
      <c r="Y46" s="61"/>
      <c r="Z46" s="151">
        <v>0</v>
      </c>
      <c r="AA46" s="93">
        <f t="shared" si="19"/>
        <v>0</v>
      </c>
      <c r="AB46" s="9"/>
      <c r="AC46" s="83"/>
    </row>
    <row r="47" spans="2:29" ht="17" thickTop="1" thickBot="1" x14ac:dyDescent="0.25">
      <c r="B47" s="83"/>
      <c r="D47" s="56" t="str">
        <f t="shared" si="10"/>
        <v>Transition Probability from state 1 to state 2 on day 5 (CHG)</v>
      </c>
      <c r="E47" s="61"/>
      <c r="F47" s="151">
        <v>1.510989010989011E-2</v>
      </c>
      <c r="G47" s="93">
        <f t="shared" si="11"/>
        <v>1.510989010989011E-2</v>
      </c>
      <c r="I47" s="56" t="str">
        <f t="shared" si="12"/>
        <v>Transition Probability from state 2 to state 2 on day 5 (CHG)</v>
      </c>
      <c r="J47" s="61"/>
      <c r="K47" s="151">
        <v>5.2631578947368418E-2</v>
      </c>
      <c r="L47" s="93">
        <f t="shared" si="13"/>
        <v>5.2631578947368418E-2</v>
      </c>
      <c r="N47" s="56" t="str">
        <f t="shared" si="14"/>
        <v>Transition Probability from state 3 to state 2 on day 5 (CHG)</v>
      </c>
      <c r="O47" s="61"/>
      <c r="P47" s="151">
        <v>0</v>
      </c>
      <c r="Q47" s="93">
        <f t="shared" si="15"/>
        <v>0</v>
      </c>
      <c r="R47" s="69"/>
      <c r="S47" s="56" t="str">
        <f t="shared" si="16"/>
        <v>Transition Probability from state 4 to state 2 on day 5 (CHG)</v>
      </c>
      <c r="T47" s="61"/>
      <c r="U47" s="151">
        <v>0</v>
      </c>
      <c r="V47" s="93">
        <f t="shared" si="17"/>
        <v>0</v>
      </c>
      <c r="W47" s="69"/>
      <c r="X47" s="56" t="str">
        <f t="shared" si="18"/>
        <v>Transition Probability from state 6 to state 2 on day 5 (CHG)</v>
      </c>
      <c r="Y47" s="61"/>
      <c r="Z47" s="151">
        <v>0</v>
      </c>
      <c r="AA47" s="93">
        <f t="shared" si="19"/>
        <v>0</v>
      </c>
      <c r="AB47" s="9"/>
      <c r="AC47" s="83"/>
    </row>
    <row r="48" spans="2:29" ht="17" thickTop="1" thickBot="1" x14ac:dyDescent="0.25">
      <c r="B48" s="83"/>
      <c r="D48" s="56" t="str">
        <f t="shared" si="10"/>
        <v>Transition Probability from state 1 to state 2 on day 6 (CHG)</v>
      </c>
      <c r="E48" s="61"/>
      <c r="F48" s="151">
        <v>2.1406727828746176E-2</v>
      </c>
      <c r="G48" s="93">
        <f t="shared" si="11"/>
        <v>2.1406727828746176E-2</v>
      </c>
      <c r="I48" s="56" t="str">
        <f t="shared" si="12"/>
        <v>Transition Probability from state 2 to state 2 on day 6 (CHG)</v>
      </c>
      <c r="J48" s="61"/>
      <c r="K48" s="151">
        <v>0</v>
      </c>
      <c r="L48" s="93">
        <f t="shared" si="13"/>
        <v>0</v>
      </c>
      <c r="N48" s="56" t="str">
        <f t="shared" si="14"/>
        <v>Transition Probability from state 3 to state 2 on day 6 (CHG)</v>
      </c>
      <c r="O48" s="61"/>
      <c r="P48" s="151">
        <v>0</v>
      </c>
      <c r="Q48" s="93">
        <f t="shared" si="15"/>
        <v>0</v>
      </c>
      <c r="R48" s="69"/>
      <c r="S48" s="56" t="str">
        <f t="shared" si="16"/>
        <v>Transition Probability from state 4 to state 2 on day 6 (CHG)</v>
      </c>
      <c r="T48" s="61"/>
      <c r="U48" s="151">
        <v>0</v>
      </c>
      <c r="V48" s="93">
        <f t="shared" si="17"/>
        <v>0</v>
      </c>
      <c r="W48" s="69"/>
      <c r="X48" s="56" t="str">
        <f t="shared" si="18"/>
        <v>Transition Probability from state 6 to state 2 on day 6 (CHG)</v>
      </c>
      <c r="Y48" s="61"/>
      <c r="Z48" s="151">
        <v>0</v>
      </c>
      <c r="AA48" s="93">
        <f t="shared" si="19"/>
        <v>0</v>
      </c>
      <c r="AB48" s="9"/>
      <c r="AC48" s="83"/>
    </row>
    <row r="49" spans="2:29" ht="17" thickTop="1" thickBot="1" x14ac:dyDescent="0.25">
      <c r="B49" s="83"/>
      <c r="D49" s="56" t="str">
        <f t="shared" si="10"/>
        <v>Transition Probability from state 1 to state 2 on day 7 (CHG)</v>
      </c>
      <c r="E49" s="61"/>
      <c r="F49" s="151">
        <v>2.4013722126929673E-2</v>
      </c>
      <c r="G49" s="93">
        <f t="shared" si="11"/>
        <v>2.4013722126929673E-2</v>
      </c>
      <c r="I49" s="56" t="str">
        <f t="shared" si="12"/>
        <v>Transition Probability from state 2 to state 2 on day 7 (CHG)</v>
      </c>
      <c r="J49" s="61"/>
      <c r="K49" s="151">
        <v>7.1428571428571425E-2</v>
      </c>
      <c r="L49" s="93">
        <f t="shared" si="13"/>
        <v>7.1428571428571425E-2</v>
      </c>
      <c r="N49" s="56" t="str">
        <f t="shared" si="14"/>
        <v>Transition Probability from state 3 to state 2 on day 7 (CHG)</v>
      </c>
      <c r="O49" s="61"/>
      <c r="P49" s="151">
        <v>0</v>
      </c>
      <c r="Q49" s="93">
        <f t="shared" si="15"/>
        <v>0</v>
      </c>
      <c r="R49" s="69"/>
      <c r="S49" s="56" t="str">
        <f t="shared" si="16"/>
        <v>Transition Probability from state 4 to state 2 on day 7 (CHG)</v>
      </c>
      <c r="T49" s="61"/>
      <c r="U49" s="151">
        <v>0</v>
      </c>
      <c r="V49" s="93">
        <f t="shared" si="17"/>
        <v>0</v>
      </c>
      <c r="W49" s="69"/>
      <c r="X49" s="56" t="str">
        <f t="shared" si="18"/>
        <v>Transition Probability from state 6 to state 2 on day 7 (CHG)</v>
      </c>
      <c r="Y49" s="61"/>
      <c r="Z49" s="151">
        <v>0</v>
      </c>
      <c r="AA49" s="93">
        <f t="shared" si="19"/>
        <v>0</v>
      </c>
      <c r="AB49" s="9"/>
      <c r="AC49" s="83"/>
    </row>
    <row r="50" spans="2:29" ht="17" thickTop="1" thickBot="1" x14ac:dyDescent="0.25">
      <c r="B50" s="83"/>
      <c r="D50" s="56" t="str">
        <f t="shared" si="10"/>
        <v>Transition Probability from state 1 to state 2 on day 8 (CHG)</v>
      </c>
      <c r="E50" s="61"/>
      <c r="F50" s="151">
        <v>3.2075471698113207E-2</v>
      </c>
      <c r="G50" s="93">
        <f t="shared" si="11"/>
        <v>3.2075471698113207E-2</v>
      </c>
      <c r="I50" s="56" t="str">
        <f t="shared" si="12"/>
        <v>Transition Probability from state 2 to state 2 on day 8 (CHG)</v>
      </c>
      <c r="J50" s="61"/>
      <c r="K50" s="151">
        <v>0</v>
      </c>
      <c r="L50" s="93">
        <f t="shared" si="13"/>
        <v>0</v>
      </c>
      <c r="N50" s="56" t="str">
        <f t="shared" si="14"/>
        <v>Transition Probability from state 3 to state 2 on day 8 (CHG)</v>
      </c>
      <c r="O50" s="61"/>
      <c r="P50" s="151">
        <v>0</v>
      </c>
      <c r="Q50" s="93">
        <f t="shared" si="15"/>
        <v>0</v>
      </c>
      <c r="R50" s="69"/>
      <c r="S50" s="56" t="str">
        <f t="shared" si="16"/>
        <v>Transition Probability from state 4 to state 2 on day 8 (CHG)</v>
      </c>
      <c r="T50" s="61"/>
      <c r="U50" s="151">
        <v>1</v>
      </c>
      <c r="V50" s="93">
        <f t="shared" si="17"/>
        <v>1</v>
      </c>
      <c r="W50" s="69"/>
      <c r="X50" s="56" t="str">
        <f t="shared" si="18"/>
        <v>Transition Probability from state 6 to state 2 on day 8 (CHG)</v>
      </c>
      <c r="Y50" s="61"/>
      <c r="Z50" s="151">
        <v>0</v>
      </c>
      <c r="AA50" s="93">
        <f t="shared" si="19"/>
        <v>0</v>
      </c>
      <c r="AB50" s="9"/>
      <c r="AC50" s="83"/>
    </row>
    <row r="51" spans="2:29" ht="17" thickTop="1" thickBot="1" x14ac:dyDescent="0.25">
      <c r="B51" s="83"/>
      <c r="D51" s="56" t="str">
        <f t="shared" si="10"/>
        <v>Transition Probability from state 1 to state 2 on day 9 (CHG)</v>
      </c>
      <c r="E51" s="61"/>
      <c r="F51" s="151">
        <v>1.8711018711018712E-2</v>
      </c>
      <c r="G51" s="93">
        <f t="shared" si="11"/>
        <v>1.8711018711018712E-2</v>
      </c>
      <c r="I51" s="56" t="str">
        <f t="shared" si="12"/>
        <v>Transition Probability from state 2 to state 2 on day 9 (CHG)</v>
      </c>
      <c r="J51" s="61"/>
      <c r="K51" s="151">
        <v>0</v>
      </c>
      <c r="L51" s="93">
        <f t="shared" si="13"/>
        <v>0</v>
      </c>
      <c r="N51" s="56" t="str">
        <f t="shared" si="14"/>
        <v>Transition Probability from state 3 to state 2 on day 9 (CHG)</v>
      </c>
      <c r="O51" s="61"/>
      <c r="P51" s="151">
        <v>0</v>
      </c>
      <c r="Q51" s="93">
        <f t="shared" si="15"/>
        <v>0</v>
      </c>
      <c r="R51" s="69"/>
      <c r="S51" s="56" t="str">
        <f t="shared" si="16"/>
        <v>Transition Probability from state 4 to state 2 on day 9 (CHG)</v>
      </c>
      <c r="T51" s="61"/>
      <c r="U51" s="151">
        <v>0</v>
      </c>
      <c r="V51" s="93">
        <f t="shared" si="17"/>
        <v>0</v>
      </c>
      <c r="W51" s="69"/>
      <c r="X51" s="56" t="str">
        <f t="shared" si="18"/>
        <v>Transition Probability from state 6 to state 2 on day 9 (CHG)</v>
      </c>
      <c r="Y51" s="61"/>
      <c r="Z51" s="151">
        <v>0</v>
      </c>
      <c r="AA51" s="93">
        <f t="shared" si="19"/>
        <v>0</v>
      </c>
      <c r="AB51" s="9"/>
      <c r="AC51" s="83"/>
    </row>
    <row r="52" spans="2:29" ht="17" thickTop="1" thickBot="1" x14ac:dyDescent="0.25">
      <c r="B52" s="83"/>
      <c r="D52" s="56" t="str">
        <f t="shared" si="10"/>
        <v>Transition Probability from state 1 to state 2 on day 10 (CHG)</v>
      </c>
      <c r="E52" s="61"/>
      <c r="F52" s="151">
        <v>3.7946428571428568E-2</v>
      </c>
      <c r="G52" s="93">
        <f t="shared" si="11"/>
        <v>3.7946428571428568E-2</v>
      </c>
      <c r="H52" s="143"/>
      <c r="I52" s="56" t="str">
        <f t="shared" si="12"/>
        <v>Transition Probability from state 2 to state 2 on day 10 (CHG)</v>
      </c>
      <c r="J52" s="61"/>
      <c r="K52" s="151">
        <v>0</v>
      </c>
      <c r="L52" s="93">
        <f t="shared" si="13"/>
        <v>0</v>
      </c>
      <c r="M52" s="143"/>
      <c r="N52" s="56" t="str">
        <f t="shared" si="14"/>
        <v>Transition Probability from state 3 to state 2 on day 10 (CHG)</v>
      </c>
      <c r="O52" s="61"/>
      <c r="P52" s="151">
        <v>0</v>
      </c>
      <c r="Q52" s="93">
        <f t="shared" si="15"/>
        <v>0</v>
      </c>
      <c r="R52" s="69"/>
      <c r="S52" s="56" t="str">
        <f t="shared" si="16"/>
        <v>Transition Probability from state 4 to state 2 on day 10 (CHG)</v>
      </c>
      <c r="T52" s="61"/>
      <c r="U52" s="151">
        <v>0</v>
      </c>
      <c r="V52" s="93">
        <f t="shared" si="17"/>
        <v>0</v>
      </c>
      <c r="W52" s="69"/>
      <c r="X52" s="56" t="str">
        <f t="shared" si="18"/>
        <v>Transition Probability from state 6 to state 2 on day 10 (CHG)</v>
      </c>
      <c r="Y52" s="61"/>
      <c r="Z52" s="151">
        <v>0</v>
      </c>
      <c r="AA52" s="93">
        <f t="shared" si="19"/>
        <v>0</v>
      </c>
      <c r="AB52" s="9"/>
      <c r="AC52" s="83"/>
    </row>
    <row r="53" spans="2:29" ht="17" thickTop="1" thickBot="1" x14ac:dyDescent="0.25">
      <c r="B53" s="83"/>
      <c r="D53" s="56" t="str">
        <f t="shared" si="10"/>
        <v>Transition Probability from state 1 to state 2 on day 11 (CHG)</v>
      </c>
      <c r="E53" s="61"/>
      <c r="F53" s="151">
        <v>1.7543859649122806E-2</v>
      </c>
      <c r="G53" s="93">
        <f t="shared" si="11"/>
        <v>1.7543859649122806E-2</v>
      </c>
      <c r="I53" s="56" t="str">
        <f t="shared" si="12"/>
        <v>Transition Probability from state 2 to state 2 on day 11 (CHG)</v>
      </c>
      <c r="J53" s="61"/>
      <c r="K53" s="151">
        <v>0</v>
      </c>
      <c r="L53" s="93">
        <f t="shared" si="13"/>
        <v>0</v>
      </c>
      <c r="N53" s="56" t="str">
        <f t="shared" si="14"/>
        <v>Transition Probability from state 3 to state 2 on day 11 (CHG)</v>
      </c>
      <c r="O53" s="61"/>
      <c r="P53" s="151">
        <v>0</v>
      </c>
      <c r="Q53" s="93">
        <f t="shared" si="15"/>
        <v>0</v>
      </c>
      <c r="R53" s="69"/>
      <c r="S53" s="56" t="str">
        <f t="shared" si="16"/>
        <v>Transition Probability from state 4 to state 2 on day 11 (CHG)</v>
      </c>
      <c r="T53" s="61"/>
      <c r="U53" s="151">
        <v>0</v>
      </c>
      <c r="V53" s="93">
        <f t="shared" si="17"/>
        <v>0</v>
      </c>
      <c r="W53" s="69"/>
      <c r="X53" s="56" t="str">
        <f t="shared" si="18"/>
        <v>Transition Probability from state 6 to state 2 on day 11 (CHG)</v>
      </c>
      <c r="Y53" s="61"/>
      <c r="Z53" s="151">
        <v>0</v>
      </c>
      <c r="AA53" s="93">
        <f t="shared" si="19"/>
        <v>0</v>
      </c>
      <c r="AB53" s="9"/>
      <c r="AC53" s="83"/>
    </row>
    <row r="54" spans="2:29" ht="17" thickTop="1" thickBot="1" x14ac:dyDescent="0.25">
      <c r="B54" s="83"/>
      <c r="D54" s="56" t="str">
        <f t="shared" si="10"/>
        <v>Transition Probability from state 1 to state 2 on day 12 (CHG)</v>
      </c>
      <c r="E54" s="61"/>
      <c r="F54" s="151">
        <v>1.5915119363395226E-2</v>
      </c>
      <c r="G54" s="93">
        <f t="shared" si="11"/>
        <v>1.5915119363395226E-2</v>
      </c>
      <c r="I54" s="56" t="str">
        <f t="shared" si="12"/>
        <v>Transition Probability from state 2 to state 2 on day 12 (CHG)</v>
      </c>
      <c r="J54" s="61"/>
      <c r="K54" s="151">
        <v>0</v>
      </c>
      <c r="L54" s="93">
        <f t="shared" si="13"/>
        <v>0</v>
      </c>
      <c r="N54" s="56" t="str">
        <f t="shared" si="14"/>
        <v>Transition Probability from state 3 to state 2 on day 12 (CHG)</v>
      </c>
      <c r="O54" s="61"/>
      <c r="P54" s="151">
        <v>0</v>
      </c>
      <c r="Q54" s="93">
        <f t="shared" si="15"/>
        <v>0</v>
      </c>
      <c r="R54" s="69"/>
      <c r="S54" s="56" t="str">
        <f t="shared" si="16"/>
        <v>Transition Probability from state 4 to state 2 on day 12 (CHG)</v>
      </c>
      <c r="T54" s="61"/>
      <c r="U54" s="151">
        <v>0</v>
      </c>
      <c r="V54" s="93">
        <f t="shared" si="17"/>
        <v>0</v>
      </c>
      <c r="W54" s="69"/>
      <c r="X54" s="56" t="str">
        <f t="shared" si="18"/>
        <v>Transition Probability from state 6 to state 2 on day 12 (CHG)</v>
      </c>
      <c r="Y54" s="61"/>
      <c r="Z54" s="151">
        <v>0.33333333333333331</v>
      </c>
      <c r="AA54" s="93">
        <f t="shared" si="19"/>
        <v>0.33333333333333331</v>
      </c>
      <c r="AB54" s="9"/>
      <c r="AC54" s="83"/>
    </row>
    <row r="55" spans="2:29" ht="17" thickTop="1" thickBot="1" x14ac:dyDescent="0.25">
      <c r="B55" s="83"/>
      <c r="D55" s="56" t="str">
        <f t="shared" si="10"/>
        <v>Transition Probability from state 1 to state 2 on day 13 (CHG)</v>
      </c>
      <c r="E55" s="61"/>
      <c r="F55" s="151">
        <v>2.2792022792022793E-2</v>
      </c>
      <c r="G55" s="93">
        <f t="shared" si="11"/>
        <v>2.2792022792022793E-2</v>
      </c>
      <c r="I55" s="56" t="str">
        <f t="shared" si="12"/>
        <v>Transition Probability from state 2 to state 2 on day 13 (CHG)</v>
      </c>
      <c r="J55" s="61"/>
      <c r="K55" s="151">
        <v>0.2857142857142857</v>
      </c>
      <c r="L55" s="93">
        <f t="shared" si="13"/>
        <v>0.2857142857142857</v>
      </c>
      <c r="N55" s="56" t="str">
        <f t="shared" si="14"/>
        <v>Transition Probability from state 3 to state 2 on day 13 (CHG)</v>
      </c>
      <c r="O55" s="61"/>
      <c r="P55" s="151">
        <v>0</v>
      </c>
      <c r="Q55" s="93">
        <f t="shared" si="15"/>
        <v>0</v>
      </c>
      <c r="R55" s="69"/>
      <c r="S55" s="56" t="str">
        <f t="shared" si="16"/>
        <v>Transition Probability from state 4 to state 2 on day 13 (CHG)</v>
      </c>
      <c r="T55" s="61"/>
      <c r="U55" s="151">
        <v>0</v>
      </c>
      <c r="V55" s="93">
        <f t="shared" si="17"/>
        <v>0</v>
      </c>
      <c r="W55" s="69"/>
      <c r="X55" s="56" t="str">
        <f t="shared" si="18"/>
        <v>Transition Probability from state 6 to state 2 on day 13 (CHG)</v>
      </c>
      <c r="Y55" s="61"/>
      <c r="Z55" s="151">
        <v>0</v>
      </c>
      <c r="AA55" s="93">
        <f t="shared" si="19"/>
        <v>0</v>
      </c>
      <c r="AB55" s="9"/>
      <c r="AC55" s="83"/>
    </row>
    <row r="56" spans="2:29" ht="17" thickTop="1" thickBot="1" x14ac:dyDescent="0.25">
      <c r="B56" s="83"/>
      <c r="D56" s="56" t="str">
        <f t="shared" si="10"/>
        <v>Transition Probability from state 1 to state 2 on day 14 (CHG)</v>
      </c>
      <c r="E56" s="61"/>
      <c r="F56" s="151">
        <v>3.0674846625766871E-2</v>
      </c>
      <c r="G56" s="93">
        <f t="shared" si="11"/>
        <v>3.0674846625766871E-2</v>
      </c>
      <c r="I56" s="56" t="str">
        <f t="shared" si="12"/>
        <v>Transition Probability from state 2 to state 2 on day 14 (CHG)</v>
      </c>
      <c r="J56" s="61"/>
      <c r="K56" s="151">
        <v>0</v>
      </c>
      <c r="L56" s="93">
        <f t="shared" si="13"/>
        <v>0</v>
      </c>
      <c r="N56" s="56" t="str">
        <f t="shared" si="14"/>
        <v>Transition Probability from state 3 to state 2 on day 14 (CHG)</v>
      </c>
      <c r="O56" s="61"/>
      <c r="P56" s="151">
        <v>0</v>
      </c>
      <c r="Q56" s="93">
        <f t="shared" si="15"/>
        <v>0</v>
      </c>
      <c r="R56" s="69"/>
      <c r="S56" s="56" t="str">
        <f t="shared" si="16"/>
        <v>Transition Probability from state 4 to state 2 on day 14 (CHG)</v>
      </c>
      <c r="T56" s="61"/>
      <c r="U56" s="151">
        <v>0</v>
      </c>
      <c r="V56" s="93">
        <f t="shared" si="17"/>
        <v>0</v>
      </c>
      <c r="W56" s="69"/>
      <c r="X56" s="56" t="str">
        <f t="shared" si="18"/>
        <v>Transition Probability from state 6 to state 2 on day 14 (CHG)</v>
      </c>
      <c r="Y56" s="61"/>
      <c r="Z56" s="151">
        <v>0</v>
      </c>
      <c r="AA56" s="93">
        <f t="shared" si="19"/>
        <v>0</v>
      </c>
      <c r="AB56" s="9"/>
      <c r="AC56" s="83"/>
    </row>
    <row r="57" spans="2:29" ht="17" thickTop="1" thickBot="1" x14ac:dyDescent="0.25">
      <c r="B57" s="83"/>
      <c r="D57" s="56" t="str">
        <f t="shared" si="10"/>
        <v>Transition Probability from state 1 to state 2 on day 15 (CHG)</v>
      </c>
      <c r="E57" s="61"/>
      <c r="F57" s="151">
        <v>1.6891891891891893E-2</v>
      </c>
      <c r="G57" s="93">
        <f t="shared" si="11"/>
        <v>1.6891891891891893E-2</v>
      </c>
      <c r="I57" s="56" t="str">
        <f t="shared" si="12"/>
        <v>Transition Probability from state 2 to state 2 on day 15 (CHG)</v>
      </c>
      <c r="J57" s="61"/>
      <c r="K57" s="151">
        <v>0</v>
      </c>
      <c r="L57" s="93">
        <f t="shared" si="13"/>
        <v>0</v>
      </c>
      <c r="N57" s="56" t="str">
        <f t="shared" si="14"/>
        <v>Transition Probability from state 3 to state 2 on day 15 (CHG)</v>
      </c>
      <c r="O57" s="61"/>
      <c r="P57" s="151">
        <v>0</v>
      </c>
      <c r="Q57" s="93">
        <f t="shared" si="15"/>
        <v>0</v>
      </c>
      <c r="R57" s="69"/>
      <c r="S57" s="56" t="str">
        <f t="shared" si="16"/>
        <v>Transition Probability from state 4 to state 2 on day 15 (CHG)</v>
      </c>
      <c r="T57" s="61"/>
      <c r="U57" s="151">
        <v>0</v>
      </c>
      <c r="V57" s="93">
        <f t="shared" si="17"/>
        <v>0</v>
      </c>
      <c r="W57" s="69"/>
      <c r="X57" s="56" t="str">
        <f t="shared" si="18"/>
        <v>Transition Probability from state 6 to state 2 on day 15 (CHG)</v>
      </c>
      <c r="Y57" s="61"/>
      <c r="Z57" s="151">
        <v>0</v>
      </c>
      <c r="AA57" s="93">
        <f t="shared" si="19"/>
        <v>0</v>
      </c>
      <c r="AB57" s="9"/>
      <c r="AC57" s="83"/>
    </row>
    <row r="58" spans="2:29" ht="17" thickTop="1" thickBot="1" x14ac:dyDescent="0.25">
      <c r="B58" s="83"/>
      <c r="D58" s="56" t="str">
        <f t="shared" si="10"/>
        <v>Transition Probability from state 1 to state 2 on day 16 (CHG)</v>
      </c>
      <c r="E58" s="61"/>
      <c r="F58" s="151">
        <v>3.8869257950530034E-2</v>
      </c>
      <c r="G58" s="93">
        <f t="shared" si="11"/>
        <v>3.8869257950530034E-2</v>
      </c>
      <c r="I58" s="56" t="str">
        <f t="shared" si="12"/>
        <v>Transition Probability from state 2 to state 2 on day 16 (CHG)</v>
      </c>
      <c r="J58" s="61"/>
      <c r="K58" s="151">
        <v>0</v>
      </c>
      <c r="L58" s="93">
        <f t="shared" si="13"/>
        <v>0</v>
      </c>
      <c r="N58" s="56" t="str">
        <f t="shared" si="14"/>
        <v>Transition Probability from state 3 to state 2 on day 16 (CHG)</v>
      </c>
      <c r="O58" s="61"/>
      <c r="P58" s="151">
        <v>0</v>
      </c>
      <c r="Q58" s="93">
        <f t="shared" si="15"/>
        <v>0</v>
      </c>
      <c r="R58" s="69"/>
      <c r="S58" s="56" t="str">
        <f t="shared" si="16"/>
        <v>Transition Probability from state 4 to state 2 on day 16 (CHG)</v>
      </c>
      <c r="T58" s="61"/>
      <c r="U58" s="151">
        <v>0</v>
      </c>
      <c r="V58" s="93">
        <f t="shared" si="17"/>
        <v>0</v>
      </c>
      <c r="W58" s="69"/>
      <c r="X58" s="56" t="str">
        <f t="shared" si="18"/>
        <v>Transition Probability from state 6 to state 2 on day 16 (CHG)</v>
      </c>
      <c r="Y58" s="61"/>
      <c r="Z58" s="151">
        <v>0</v>
      </c>
      <c r="AA58" s="93">
        <f t="shared" si="19"/>
        <v>0</v>
      </c>
      <c r="AB58" s="9"/>
      <c r="AC58" s="83"/>
    </row>
    <row r="59" spans="2:29" ht="17" thickTop="1" thickBot="1" x14ac:dyDescent="0.25">
      <c r="B59" s="83"/>
      <c r="D59" s="56" t="str">
        <f t="shared" si="10"/>
        <v>Transition Probability from state 1 to state 2 on day 17 (CHG)</v>
      </c>
      <c r="E59" s="61"/>
      <c r="F59" s="151">
        <v>3.3962264150943396E-2</v>
      </c>
      <c r="G59" s="93">
        <f t="shared" si="11"/>
        <v>3.3962264150943396E-2</v>
      </c>
      <c r="I59" s="56" t="str">
        <f t="shared" si="12"/>
        <v>Transition Probability from state 2 to state 2 on day 17 (CHG)</v>
      </c>
      <c r="J59" s="61"/>
      <c r="K59" s="151">
        <v>9.0909090909090912E-2</v>
      </c>
      <c r="L59" s="93">
        <f t="shared" si="13"/>
        <v>9.0909090909090912E-2</v>
      </c>
      <c r="N59" s="56" t="str">
        <f t="shared" si="14"/>
        <v>Transition Probability from state 3 to state 2 on day 17 (CHG)</v>
      </c>
      <c r="O59" s="61"/>
      <c r="P59" s="151">
        <v>0</v>
      </c>
      <c r="Q59" s="93">
        <f t="shared" si="15"/>
        <v>0</v>
      </c>
      <c r="R59" s="69"/>
      <c r="S59" s="56" t="str">
        <f t="shared" si="16"/>
        <v>Transition Probability from state 4 to state 2 on day 17 (CHG)</v>
      </c>
      <c r="T59" s="61"/>
      <c r="U59" s="151">
        <v>0</v>
      </c>
      <c r="V59" s="93">
        <f t="shared" si="17"/>
        <v>0</v>
      </c>
      <c r="W59" s="69"/>
      <c r="X59" s="56" t="str">
        <f t="shared" si="18"/>
        <v>Transition Probability from state 6 to state 2 on day 17 (CHG)</v>
      </c>
      <c r="Y59" s="61"/>
      <c r="Z59" s="151">
        <v>1</v>
      </c>
      <c r="AA59" s="93">
        <f t="shared" si="19"/>
        <v>1</v>
      </c>
      <c r="AB59" s="9"/>
      <c r="AC59" s="83"/>
    </row>
    <row r="60" spans="2:29" ht="17" thickTop="1" thickBot="1" x14ac:dyDescent="0.25">
      <c r="B60" s="83"/>
      <c r="D60" s="56" t="str">
        <f t="shared" si="10"/>
        <v>Transition Probability from state 1 to state 2 on day 18 (CHG)</v>
      </c>
      <c r="E60" s="61"/>
      <c r="F60" s="151">
        <v>2.8455284552845527E-2</v>
      </c>
      <c r="G60" s="93">
        <f t="shared" si="11"/>
        <v>2.8455284552845527E-2</v>
      </c>
      <c r="I60" s="56" t="str">
        <f t="shared" si="12"/>
        <v>Transition Probability from state 2 to state 2 on day 18 (CHG)</v>
      </c>
      <c r="J60" s="61"/>
      <c r="K60" s="151">
        <v>0</v>
      </c>
      <c r="L60" s="93">
        <f t="shared" si="13"/>
        <v>0</v>
      </c>
      <c r="N60" s="56" t="str">
        <f t="shared" si="14"/>
        <v>Transition Probability from state 3 to state 2 on day 18 (CHG)</v>
      </c>
      <c r="O60" s="61"/>
      <c r="P60" s="151">
        <v>0</v>
      </c>
      <c r="Q60" s="93">
        <f t="shared" si="15"/>
        <v>0</v>
      </c>
      <c r="R60" s="69"/>
      <c r="S60" s="56" t="str">
        <f t="shared" si="16"/>
        <v>Transition Probability from state 4 to state 2 on day 18 (CHG)</v>
      </c>
      <c r="T60" s="61"/>
      <c r="U60" s="151">
        <v>0</v>
      </c>
      <c r="V60" s="93">
        <f t="shared" si="17"/>
        <v>0</v>
      </c>
      <c r="W60" s="69"/>
      <c r="X60" s="56" t="str">
        <f t="shared" si="18"/>
        <v>Transition Probability from state 6 to state 2 on day 18 (CHG)</v>
      </c>
      <c r="Y60" s="61"/>
      <c r="Z60" s="151">
        <v>0</v>
      </c>
      <c r="AA60" s="93">
        <f t="shared" si="19"/>
        <v>0</v>
      </c>
      <c r="AB60" s="9"/>
      <c r="AC60" s="83"/>
    </row>
    <row r="61" spans="2:29" ht="17" thickTop="1" thickBot="1" x14ac:dyDescent="0.25">
      <c r="B61" s="83"/>
      <c r="D61" s="56" t="str">
        <f t="shared" si="10"/>
        <v>Transition Probability from state 1 to state 2 on day 19 (CHG)</v>
      </c>
      <c r="E61" s="61"/>
      <c r="F61" s="151">
        <v>2.100840336134454E-2</v>
      </c>
      <c r="G61" s="93">
        <f t="shared" si="11"/>
        <v>2.100840336134454E-2</v>
      </c>
      <c r="I61" s="56" t="str">
        <f t="shared" si="12"/>
        <v>Transition Probability from state 2 to state 2 on day 19 (CHG)</v>
      </c>
      <c r="J61" s="61"/>
      <c r="K61" s="151">
        <v>0</v>
      </c>
      <c r="L61" s="93">
        <f t="shared" si="13"/>
        <v>0</v>
      </c>
      <c r="N61" s="56" t="str">
        <f t="shared" si="14"/>
        <v>Transition Probability from state 3 to state 2 on day 19 (CHG)</v>
      </c>
      <c r="O61" s="61"/>
      <c r="P61" s="151">
        <v>0</v>
      </c>
      <c r="Q61" s="93">
        <f t="shared" si="15"/>
        <v>0</v>
      </c>
      <c r="R61" s="69"/>
      <c r="S61" s="56" t="str">
        <f t="shared" si="16"/>
        <v>Transition Probability from state 4 to state 2 on day 19 (CHG)</v>
      </c>
      <c r="T61" s="61"/>
      <c r="U61" s="151">
        <v>0</v>
      </c>
      <c r="V61" s="93">
        <f t="shared" si="17"/>
        <v>0</v>
      </c>
      <c r="W61" s="69"/>
      <c r="X61" s="56" t="str">
        <f t="shared" si="18"/>
        <v>Transition Probability from state 6 to state 2 on day 19 (CHG)</v>
      </c>
      <c r="Y61" s="61"/>
      <c r="Z61" s="151">
        <v>0</v>
      </c>
      <c r="AA61" s="93">
        <f t="shared" si="19"/>
        <v>0</v>
      </c>
      <c r="AB61" s="9"/>
      <c r="AC61" s="83"/>
    </row>
    <row r="62" spans="2:29" ht="17" thickTop="1" thickBot="1" x14ac:dyDescent="0.25">
      <c r="B62" s="83"/>
      <c r="D62" s="56" t="str">
        <f t="shared" si="10"/>
        <v>Transition Probability from state 1 to state 2 on day 20 (CHG)</v>
      </c>
      <c r="E62" s="61"/>
      <c r="F62" s="151">
        <v>8.6206896551724137E-3</v>
      </c>
      <c r="G62" s="93">
        <f t="shared" si="11"/>
        <v>8.6206896551724137E-3</v>
      </c>
      <c r="I62" s="56" t="str">
        <f t="shared" si="12"/>
        <v>Transition Probability from state 2 to state 2 on day 20 (CHG)</v>
      </c>
      <c r="J62" s="61"/>
      <c r="K62" s="151">
        <v>0</v>
      </c>
      <c r="L62" s="93">
        <f t="shared" si="13"/>
        <v>0</v>
      </c>
      <c r="N62" s="56" t="str">
        <f t="shared" si="14"/>
        <v>Transition Probability from state 3 to state 2 on day 20 (CHG)</v>
      </c>
      <c r="O62" s="61"/>
      <c r="P62" s="151">
        <v>0</v>
      </c>
      <c r="Q62" s="93">
        <f t="shared" si="15"/>
        <v>0</v>
      </c>
      <c r="R62" s="69"/>
      <c r="S62" s="56" t="str">
        <f t="shared" si="16"/>
        <v>Transition Probability from state 4 to state 2 on day 20 (CHG)</v>
      </c>
      <c r="T62" s="61"/>
      <c r="U62" s="151">
        <v>0</v>
      </c>
      <c r="V62" s="93">
        <f t="shared" si="17"/>
        <v>0</v>
      </c>
      <c r="W62" s="69"/>
      <c r="X62" s="56" t="str">
        <f t="shared" si="18"/>
        <v>Transition Probability from state 6 to state 2 on day 20 (CHG)</v>
      </c>
      <c r="Y62" s="61"/>
      <c r="Z62" s="151">
        <v>0</v>
      </c>
      <c r="AA62" s="93">
        <f t="shared" si="19"/>
        <v>0</v>
      </c>
      <c r="AB62" s="9"/>
      <c r="AC62" s="83"/>
    </row>
    <row r="63" spans="2:29" ht="17" thickTop="1" thickBot="1" x14ac:dyDescent="0.25">
      <c r="B63" s="83"/>
      <c r="D63" s="56" t="str">
        <f t="shared" si="10"/>
        <v>Transition Probability from state 1 to state 2 on day 21 (CHG)</v>
      </c>
      <c r="E63" s="61"/>
      <c r="F63" s="151">
        <v>3.1674208144796379E-2</v>
      </c>
      <c r="G63" s="93">
        <f t="shared" si="11"/>
        <v>3.1674208144796379E-2</v>
      </c>
      <c r="I63" s="56" t="str">
        <f t="shared" si="12"/>
        <v>Transition Probability from state 2 to state 2 on day 21 (CHG)</v>
      </c>
      <c r="J63" s="61"/>
      <c r="K63" s="151">
        <v>0</v>
      </c>
      <c r="L63" s="93">
        <f t="shared" si="13"/>
        <v>0</v>
      </c>
      <c r="N63" s="56" t="str">
        <f t="shared" si="14"/>
        <v>Transition Probability from state 3 to state 2 on day 21 (CHG)</v>
      </c>
      <c r="O63" s="61"/>
      <c r="P63" s="151">
        <v>0</v>
      </c>
      <c r="Q63" s="93">
        <f t="shared" si="15"/>
        <v>0</v>
      </c>
      <c r="R63" s="69"/>
      <c r="S63" s="56" t="str">
        <f t="shared" si="16"/>
        <v>Transition Probability from state 4 to state 2 on day 21 (CHG)</v>
      </c>
      <c r="T63" s="61"/>
      <c r="U63" s="151">
        <v>0</v>
      </c>
      <c r="V63" s="93">
        <f t="shared" si="17"/>
        <v>0</v>
      </c>
      <c r="W63" s="69"/>
      <c r="X63" s="56" t="str">
        <f t="shared" si="18"/>
        <v>Transition Probability from state 6 to state 2 on day 21 (CHG)</v>
      </c>
      <c r="Y63" s="61"/>
      <c r="Z63" s="151">
        <v>0</v>
      </c>
      <c r="AA63" s="93">
        <f t="shared" si="19"/>
        <v>0</v>
      </c>
      <c r="AB63" s="9"/>
      <c r="AC63" s="83"/>
    </row>
    <row r="64" spans="2:29" ht="17" thickTop="1" thickBot="1" x14ac:dyDescent="0.25">
      <c r="B64" s="83"/>
      <c r="D64" s="56" t="str">
        <f t="shared" si="10"/>
        <v>Transition Probability from state 1 to state 2 on day 22 (CHG)</v>
      </c>
      <c r="E64" s="61"/>
      <c r="F64" s="151">
        <v>2.4630541871921183E-2</v>
      </c>
      <c r="G64" s="93">
        <f t="shared" si="11"/>
        <v>2.4630541871921183E-2</v>
      </c>
      <c r="I64" s="56" t="str">
        <f t="shared" si="12"/>
        <v>Transition Probability from state 2 to state 2 on day 22 (CHG)</v>
      </c>
      <c r="J64" s="61"/>
      <c r="K64" s="151">
        <v>0</v>
      </c>
      <c r="L64" s="93">
        <f t="shared" si="13"/>
        <v>0</v>
      </c>
      <c r="N64" s="56" t="str">
        <f t="shared" si="14"/>
        <v>Transition Probability from state 3 to state 2 on day 22 (CHG)</v>
      </c>
      <c r="O64" s="61"/>
      <c r="P64" s="151">
        <v>0</v>
      </c>
      <c r="Q64" s="93">
        <f t="shared" si="15"/>
        <v>0</v>
      </c>
      <c r="R64" s="69"/>
      <c r="S64" s="56" t="str">
        <f t="shared" si="16"/>
        <v>Transition Probability from state 4 to state 2 on day 22 (CHG)</v>
      </c>
      <c r="T64" s="61"/>
      <c r="U64" s="151">
        <v>0</v>
      </c>
      <c r="V64" s="93">
        <f t="shared" si="17"/>
        <v>0</v>
      </c>
      <c r="W64" s="69"/>
      <c r="X64" s="56" t="str">
        <f t="shared" si="18"/>
        <v>Transition Probability from state 6 to state 2 on day 22 (CHG)</v>
      </c>
      <c r="Y64" s="61"/>
      <c r="Z64" s="151">
        <v>0</v>
      </c>
      <c r="AA64" s="93">
        <f t="shared" si="19"/>
        <v>0</v>
      </c>
      <c r="AB64" s="9"/>
      <c r="AC64" s="83"/>
    </row>
    <row r="65" spans="2:29" ht="17" thickTop="1" thickBot="1" x14ac:dyDescent="0.25">
      <c r="B65" s="83"/>
      <c r="D65" s="56" t="str">
        <f t="shared" si="10"/>
        <v>Transition Probability from state 1 to state 2 on day 23 (CHG)</v>
      </c>
      <c r="E65" s="61"/>
      <c r="F65" s="151">
        <v>3.0769230769230771E-2</v>
      </c>
      <c r="G65" s="93">
        <f t="shared" si="11"/>
        <v>3.0769230769230771E-2</v>
      </c>
      <c r="I65" s="56" t="str">
        <f t="shared" si="12"/>
        <v>Transition Probability from state 2 to state 2 on day 23 (CHG)</v>
      </c>
      <c r="J65" s="61"/>
      <c r="K65" s="151">
        <v>0</v>
      </c>
      <c r="L65" s="93">
        <f t="shared" si="13"/>
        <v>0</v>
      </c>
      <c r="N65" s="56" t="str">
        <f t="shared" si="14"/>
        <v>Transition Probability from state 3 to state 2 on day 23 (CHG)</v>
      </c>
      <c r="O65" s="61"/>
      <c r="P65" s="151">
        <v>0</v>
      </c>
      <c r="Q65" s="93">
        <f t="shared" si="15"/>
        <v>0</v>
      </c>
      <c r="R65" s="69"/>
      <c r="S65" s="56" t="str">
        <f t="shared" si="16"/>
        <v>Transition Probability from state 4 to state 2 on day 23 (CHG)</v>
      </c>
      <c r="T65" s="61"/>
      <c r="U65" s="151">
        <v>0</v>
      </c>
      <c r="V65" s="93">
        <f t="shared" si="17"/>
        <v>0</v>
      </c>
      <c r="W65" s="69"/>
      <c r="X65" s="56" t="str">
        <f t="shared" si="18"/>
        <v>Transition Probability from state 6 to state 2 on day 23 (CHG)</v>
      </c>
      <c r="Y65" s="61"/>
      <c r="Z65" s="151">
        <v>1</v>
      </c>
      <c r="AA65" s="93">
        <f t="shared" si="19"/>
        <v>1</v>
      </c>
      <c r="AB65" s="9"/>
      <c r="AC65" s="83"/>
    </row>
    <row r="66" spans="2:29" ht="17" thickTop="1" thickBot="1" x14ac:dyDescent="0.25">
      <c r="B66" s="83"/>
      <c r="D66" s="56" t="str">
        <f t="shared" si="10"/>
        <v>Transition Probability from state 1 to state 2 on day 24 (CHG)</v>
      </c>
      <c r="E66" s="61"/>
      <c r="F66" s="151">
        <v>1.1299435028248588E-2</v>
      </c>
      <c r="G66" s="93">
        <f t="shared" si="11"/>
        <v>1.1299435028248588E-2</v>
      </c>
      <c r="I66" s="56" t="str">
        <f t="shared" si="12"/>
        <v>Transition Probability from state 2 to state 2 on day 24 (CHG)</v>
      </c>
      <c r="J66" s="61"/>
      <c r="K66" s="151">
        <v>0</v>
      </c>
      <c r="L66" s="93">
        <f t="shared" si="13"/>
        <v>0</v>
      </c>
      <c r="N66" s="56" t="str">
        <f t="shared" si="14"/>
        <v>Transition Probability from state 3 to state 2 on day 24 (CHG)</v>
      </c>
      <c r="O66" s="61"/>
      <c r="P66" s="151">
        <v>0</v>
      </c>
      <c r="Q66" s="93">
        <f t="shared" si="15"/>
        <v>0</v>
      </c>
      <c r="R66" s="69"/>
      <c r="S66" s="56" t="str">
        <f t="shared" si="16"/>
        <v>Transition Probability from state 4 to state 2 on day 24 (CHG)</v>
      </c>
      <c r="T66" s="61"/>
      <c r="U66" s="151">
        <v>0</v>
      </c>
      <c r="V66" s="93">
        <f t="shared" si="17"/>
        <v>0</v>
      </c>
      <c r="W66" s="69"/>
      <c r="X66" s="56" t="str">
        <f t="shared" si="18"/>
        <v>Transition Probability from state 6 to state 2 on day 24 (CHG)</v>
      </c>
      <c r="Y66" s="61"/>
      <c r="Z66" s="151">
        <v>0</v>
      </c>
      <c r="AA66" s="93">
        <f t="shared" si="19"/>
        <v>0</v>
      </c>
      <c r="AB66" s="9"/>
      <c r="AC66" s="83"/>
    </row>
    <row r="67" spans="2:29" ht="17" thickTop="1" thickBot="1" x14ac:dyDescent="0.25">
      <c r="B67" s="83"/>
      <c r="D67" s="56" t="str">
        <f t="shared" si="10"/>
        <v>Transition Probability from state 1 to state 2 on day 25 (CHG)</v>
      </c>
      <c r="E67" s="61"/>
      <c r="F67" s="151">
        <v>2.8571428571428571E-2</v>
      </c>
      <c r="G67" s="93">
        <f t="shared" si="11"/>
        <v>2.8571428571428571E-2</v>
      </c>
      <c r="I67" s="56" t="str">
        <f t="shared" si="12"/>
        <v>Transition Probability from state 2 to state 2 on day 25 (CHG)</v>
      </c>
      <c r="J67" s="61"/>
      <c r="K67" s="151">
        <v>0.5</v>
      </c>
      <c r="L67" s="93">
        <f t="shared" si="13"/>
        <v>0.5</v>
      </c>
      <c r="N67" s="56" t="str">
        <f t="shared" si="14"/>
        <v>Transition Probability from state 3 to state 2 on day 25 (CHG)</v>
      </c>
      <c r="O67" s="61"/>
      <c r="P67" s="151">
        <v>0</v>
      </c>
      <c r="Q67" s="93">
        <f t="shared" si="15"/>
        <v>0</v>
      </c>
      <c r="R67" s="69"/>
      <c r="S67" s="56" t="str">
        <f t="shared" si="16"/>
        <v>Transition Probability from state 4 to state 2 on day 25 (CHG)</v>
      </c>
      <c r="T67" s="61"/>
      <c r="U67" s="151">
        <v>0</v>
      </c>
      <c r="V67" s="93">
        <f t="shared" si="17"/>
        <v>0</v>
      </c>
      <c r="W67" s="69"/>
      <c r="X67" s="56" t="str">
        <f t="shared" si="18"/>
        <v>Transition Probability from state 6 to state 2 on day 25 (CHG)</v>
      </c>
      <c r="Y67" s="61"/>
      <c r="Z67" s="151">
        <v>0</v>
      </c>
      <c r="AA67" s="93">
        <f t="shared" si="19"/>
        <v>0</v>
      </c>
      <c r="AB67" s="9"/>
      <c r="AC67" s="83"/>
    </row>
    <row r="68" spans="2:29" ht="17" thickTop="1" thickBot="1" x14ac:dyDescent="0.25">
      <c r="B68" s="83"/>
      <c r="D68" s="56" t="str">
        <f t="shared" si="10"/>
        <v>Transition Probability from state 1 to state 2 on day 26 (CHG)</v>
      </c>
      <c r="E68" s="61"/>
      <c r="F68" s="151">
        <v>1.2658227848101266E-2</v>
      </c>
      <c r="G68" s="93">
        <f t="shared" si="11"/>
        <v>1.2658227848101266E-2</v>
      </c>
      <c r="I68" s="56" t="str">
        <f t="shared" si="12"/>
        <v>Transition Probability from state 2 to state 2 on day 26 (CHG)</v>
      </c>
      <c r="J68" s="61"/>
      <c r="K68" s="151">
        <v>0</v>
      </c>
      <c r="L68" s="93">
        <f t="shared" si="13"/>
        <v>0</v>
      </c>
      <c r="N68" s="56" t="str">
        <f t="shared" si="14"/>
        <v>Transition Probability from state 3 to state 2 on day 26 (CHG)</v>
      </c>
      <c r="O68" s="61"/>
      <c r="P68" s="151">
        <v>0</v>
      </c>
      <c r="Q68" s="93">
        <f t="shared" si="15"/>
        <v>0</v>
      </c>
      <c r="R68" s="69"/>
      <c r="S68" s="56" t="str">
        <f t="shared" si="16"/>
        <v>Transition Probability from state 4 to state 2 on day 26 (CHG)</v>
      </c>
      <c r="T68" s="61"/>
      <c r="U68" s="151">
        <v>0</v>
      </c>
      <c r="V68" s="93">
        <f t="shared" si="17"/>
        <v>0</v>
      </c>
      <c r="W68" s="69"/>
      <c r="X68" s="56" t="str">
        <f t="shared" si="18"/>
        <v>Transition Probability from state 6 to state 2 on day 26 (CHG)</v>
      </c>
      <c r="Y68" s="61"/>
      <c r="Z68" s="151">
        <v>0</v>
      </c>
      <c r="AA68" s="93">
        <f t="shared" si="19"/>
        <v>0</v>
      </c>
      <c r="AB68" s="9"/>
      <c r="AC68" s="83"/>
    </row>
    <row r="69" spans="2:29" ht="17" thickTop="1" thickBot="1" x14ac:dyDescent="0.25">
      <c r="B69" s="83"/>
      <c r="D69" s="56" t="str">
        <f t="shared" si="10"/>
        <v>Transition Probability from state 1 to state 2 on day 27 (CHG)</v>
      </c>
      <c r="E69" s="61"/>
      <c r="F69" s="151">
        <v>3.2679738562091505E-2</v>
      </c>
      <c r="G69" s="93">
        <f t="shared" si="11"/>
        <v>3.2679738562091505E-2</v>
      </c>
      <c r="I69" s="56" t="str">
        <f t="shared" si="12"/>
        <v>Transition Probability from state 2 to state 2 on day 27 (CHG)</v>
      </c>
      <c r="J69" s="61"/>
      <c r="K69" s="151">
        <v>0.5</v>
      </c>
      <c r="L69" s="93">
        <f t="shared" si="13"/>
        <v>0.5</v>
      </c>
      <c r="N69" s="56" t="str">
        <f t="shared" si="14"/>
        <v>Transition Probability from state 3 to state 2 on day 27 (CHG)</v>
      </c>
      <c r="O69" s="61"/>
      <c r="P69" s="151">
        <v>0</v>
      </c>
      <c r="Q69" s="93">
        <f t="shared" si="15"/>
        <v>0</v>
      </c>
      <c r="R69" s="69"/>
      <c r="S69" s="56" t="str">
        <f t="shared" si="16"/>
        <v>Transition Probability from state 4 to state 2 on day 27 (CHG)</v>
      </c>
      <c r="T69" s="61"/>
      <c r="U69" s="151">
        <v>0</v>
      </c>
      <c r="V69" s="93">
        <f t="shared" si="17"/>
        <v>0</v>
      </c>
      <c r="W69" s="69"/>
      <c r="X69" s="56" t="str">
        <f t="shared" si="18"/>
        <v>Transition Probability from state 6 to state 2 on day 27 (CHG)</v>
      </c>
      <c r="Y69" s="61"/>
      <c r="Z69" s="151">
        <v>1</v>
      </c>
      <c r="AA69" s="93">
        <f t="shared" si="19"/>
        <v>1</v>
      </c>
      <c r="AB69" s="9"/>
      <c r="AC69" s="83"/>
    </row>
    <row r="70" spans="2:29" ht="17" thickTop="1" thickBot="1" x14ac:dyDescent="0.25">
      <c r="B70" s="83"/>
      <c r="D70" s="56" t="str">
        <f t="shared" si="10"/>
        <v>Transition Probability from state 1 to state 2 on day 28 (CHG)</v>
      </c>
      <c r="E70" s="61"/>
      <c r="F70" s="151">
        <v>2.1276595744680851E-2</v>
      </c>
      <c r="G70" s="93">
        <f t="shared" si="11"/>
        <v>2.1276595744680851E-2</v>
      </c>
      <c r="I70" s="56" t="str">
        <f t="shared" si="12"/>
        <v>Transition Probability from state 2 to state 2 on day 28 (CHG)</v>
      </c>
      <c r="J70" s="61"/>
      <c r="K70" s="151">
        <v>0</v>
      </c>
      <c r="L70" s="93">
        <f t="shared" si="13"/>
        <v>0</v>
      </c>
      <c r="N70" s="56" t="str">
        <f t="shared" si="14"/>
        <v>Transition Probability from state 3 to state 2 on day 28 (CHG)</v>
      </c>
      <c r="O70" s="61"/>
      <c r="P70" s="151">
        <v>0</v>
      </c>
      <c r="Q70" s="93">
        <f t="shared" si="15"/>
        <v>0</v>
      </c>
      <c r="R70" s="69"/>
      <c r="S70" s="56" t="str">
        <f t="shared" si="16"/>
        <v>Transition Probability from state 4 to state 2 on day 28 (CHG)</v>
      </c>
      <c r="T70" s="61"/>
      <c r="U70" s="151">
        <v>0</v>
      </c>
      <c r="V70" s="93">
        <f t="shared" si="17"/>
        <v>0</v>
      </c>
      <c r="W70" s="69"/>
      <c r="X70" s="56" t="str">
        <f t="shared" si="18"/>
        <v>Transition Probability from state 6 to state 2 on day 28 (CHG)</v>
      </c>
      <c r="Y70" s="61"/>
      <c r="Z70" s="151">
        <v>0</v>
      </c>
      <c r="AA70" s="93">
        <f t="shared" si="19"/>
        <v>0</v>
      </c>
      <c r="AB70" s="9"/>
      <c r="AC70" s="83"/>
    </row>
    <row r="71" spans="2:29" ht="17" thickTop="1" thickBot="1" x14ac:dyDescent="0.25">
      <c r="B71" s="83"/>
      <c r="D71" s="56" t="str">
        <f t="shared" si="10"/>
        <v>Transition Probability from state 1 to state 2 on day 29 (CHG)</v>
      </c>
      <c r="E71" s="61"/>
      <c r="F71" s="151">
        <v>1.4705882352941176E-2</v>
      </c>
      <c r="G71" s="93">
        <f t="shared" si="11"/>
        <v>1.4705882352941176E-2</v>
      </c>
      <c r="I71" s="56" t="str">
        <f t="shared" si="12"/>
        <v>Transition Probability from state 2 to state 2 on day 29 (CHG)</v>
      </c>
      <c r="J71" s="61"/>
      <c r="K71" s="151">
        <v>0</v>
      </c>
      <c r="L71" s="93">
        <f t="shared" si="13"/>
        <v>0</v>
      </c>
      <c r="N71" s="56" t="str">
        <f t="shared" si="14"/>
        <v>Transition Probability from state 3 to state 2 on day 29 (CHG)</v>
      </c>
      <c r="O71" s="61"/>
      <c r="P71" s="151">
        <v>0</v>
      </c>
      <c r="Q71" s="93">
        <f t="shared" si="15"/>
        <v>0</v>
      </c>
      <c r="R71" s="69"/>
      <c r="S71" s="56" t="str">
        <f t="shared" si="16"/>
        <v>Transition Probability from state 4 to state 2 on day 29 (CHG)</v>
      </c>
      <c r="T71" s="61"/>
      <c r="U71" s="151">
        <v>0</v>
      </c>
      <c r="V71" s="93">
        <f t="shared" si="17"/>
        <v>0</v>
      </c>
      <c r="W71" s="69"/>
      <c r="X71" s="56" t="str">
        <f t="shared" si="18"/>
        <v>Transition Probability from state 6 to state 2 on day 29 (CHG)</v>
      </c>
      <c r="Y71" s="61"/>
      <c r="Z71" s="151">
        <v>0</v>
      </c>
      <c r="AA71" s="93">
        <f t="shared" si="19"/>
        <v>0</v>
      </c>
      <c r="AB71" s="9"/>
      <c r="AC71" s="83"/>
    </row>
    <row r="72" spans="2:29" ht="17" thickTop="1" thickBot="1" x14ac:dyDescent="0.25">
      <c r="B72" s="83"/>
      <c r="D72" s="56" t="str">
        <f t="shared" si="10"/>
        <v>Transition Probability from state 1 to state 2 on day 30 (CHG)</v>
      </c>
      <c r="E72" s="61"/>
      <c r="F72" s="151">
        <v>2.34375E-2</v>
      </c>
      <c r="G72" s="93">
        <f t="shared" si="11"/>
        <v>2.34375E-2</v>
      </c>
      <c r="I72" s="56" t="str">
        <f t="shared" si="12"/>
        <v>Transition Probability from state 2 to state 2 on day 30 (CHG)</v>
      </c>
      <c r="J72" s="61"/>
      <c r="K72" s="151">
        <v>0</v>
      </c>
      <c r="L72" s="93">
        <f t="shared" si="13"/>
        <v>0</v>
      </c>
      <c r="N72" s="56" t="str">
        <f t="shared" si="14"/>
        <v>Transition Probability from state 3 to state 2 on day 30 (CHG)</v>
      </c>
      <c r="O72" s="61"/>
      <c r="P72" s="151">
        <v>0</v>
      </c>
      <c r="Q72" s="93">
        <f t="shared" si="15"/>
        <v>0</v>
      </c>
      <c r="R72" s="69"/>
      <c r="S72" s="56" t="str">
        <f t="shared" si="16"/>
        <v>Transition Probability from state 4 to state 2 on day 30 (CHG)</v>
      </c>
      <c r="T72" s="61"/>
      <c r="U72" s="151">
        <v>0</v>
      </c>
      <c r="V72" s="93">
        <f t="shared" si="17"/>
        <v>0</v>
      </c>
      <c r="W72" s="69"/>
      <c r="X72" s="56" t="str">
        <f t="shared" si="18"/>
        <v>Transition Probability from state 6 to state 2 on day 30 (CHG)</v>
      </c>
      <c r="Y72" s="61"/>
      <c r="Z72" s="151">
        <v>0</v>
      </c>
      <c r="AA72" s="93">
        <f t="shared" si="19"/>
        <v>0</v>
      </c>
      <c r="AB72" s="9"/>
      <c r="AC72" s="83"/>
    </row>
    <row r="73" spans="2:29" ht="16" thickTop="1" x14ac:dyDescent="0.2">
      <c r="B73" s="83"/>
      <c r="AB73" s="9"/>
      <c r="AC73" s="83"/>
    </row>
    <row r="74" spans="2:29" x14ac:dyDescent="0.2">
      <c r="B74" s="83"/>
      <c r="D74" s="231" t="s">
        <v>185</v>
      </c>
      <c r="E74" s="231"/>
      <c r="F74" s="231"/>
      <c r="G74" s="231"/>
      <c r="I74" s="231" t="s">
        <v>198</v>
      </c>
      <c r="J74" s="231"/>
      <c r="K74" s="231"/>
      <c r="L74" s="231"/>
      <c r="N74" s="232" t="s">
        <v>199</v>
      </c>
      <c r="O74" s="233"/>
      <c r="P74" s="233"/>
      <c r="Q74" s="234"/>
      <c r="S74" s="231" t="s">
        <v>200</v>
      </c>
      <c r="T74" s="231"/>
      <c r="U74" s="231"/>
      <c r="V74" s="231"/>
      <c r="X74" s="231" t="s">
        <v>201</v>
      </c>
      <c r="Y74" s="231"/>
      <c r="Z74" s="231"/>
      <c r="AA74" s="231"/>
      <c r="AB74" s="9"/>
      <c r="AC74" s="83"/>
    </row>
    <row r="75" spans="2:29" ht="16" thickBot="1" x14ac:dyDescent="0.25">
      <c r="B75" s="83"/>
      <c r="D75" s="195" t="str">
        <f>"Transition Probability from state 1 to state 3 on day"&amp; " "&amp;C11&amp;" "&amp;"(CHG)"</f>
        <v>Transition Probability from state 1 to state 3 on day 1 (CHG)</v>
      </c>
      <c r="E75" s="196"/>
      <c r="F75" s="197">
        <v>0</v>
      </c>
      <c r="G75" s="198">
        <f>IF(E75="",F75,E75)</f>
        <v>0</v>
      </c>
      <c r="I75" s="195" t="str">
        <f>"Transition Probability from state 2 to state 3 on day"&amp; " "&amp;C11&amp;" "&amp;"(CHG)"</f>
        <v>Transition Probability from state 2 to state 3 on day 1 (CHG)</v>
      </c>
      <c r="J75" s="196"/>
      <c r="K75" s="197">
        <v>0</v>
      </c>
      <c r="L75" s="198">
        <f>IF(J75="",K75,J75)</f>
        <v>0</v>
      </c>
      <c r="N75" s="195" t="str">
        <f>"Transition Probability from state 3 to state 3 on day"&amp; " "&amp;C11&amp;" "&amp;"(CHG)"</f>
        <v>Transition Probability from state 3 to state 3 on day 1 (CHG)</v>
      </c>
      <c r="O75" s="196"/>
      <c r="P75" s="197">
        <v>0</v>
      </c>
      <c r="Q75" s="198">
        <f>IF(O75="",P75,O75)</f>
        <v>0</v>
      </c>
      <c r="R75" s="69"/>
      <c r="S75" s="195" t="str">
        <f>"Transition Probability from state 4 to state 3 on day"&amp; " "&amp;C11&amp;" "&amp;"(CHG)"</f>
        <v>Transition Probability from state 4 to state 3 on day 1 (CHG)</v>
      </c>
      <c r="T75" s="196"/>
      <c r="U75" s="197">
        <v>0</v>
      </c>
      <c r="V75" s="198">
        <f>IF(T75="",U75,T75)</f>
        <v>0</v>
      </c>
      <c r="W75" s="69"/>
      <c r="X75" s="195" t="str">
        <f>"Transition Probability from state 6 to state 3 on day"&amp; " "&amp;C11&amp;" "&amp;"(CHG)"</f>
        <v>Transition Probability from state 6 to state 3 on day 1 (CHG)</v>
      </c>
      <c r="Y75" s="196"/>
      <c r="Z75" s="197">
        <v>0</v>
      </c>
      <c r="AA75" s="198">
        <f>IF(Y75="",Z75,Y75)</f>
        <v>0</v>
      </c>
      <c r="AB75" s="9"/>
      <c r="AC75" s="83"/>
    </row>
    <row r="76" spans="2:29" ht="17" thickTop="1" thickBot="1" x14ac:dyDescent="0.25">
      <c r="B76" s="83"/>
      <c r="D76" s="56" t="str">
        <f t="shared" ref="D76:D104" si="20">"Transition Probability from state 1 to state 3 on day"&amp; " "&amp;C12&amp;" "&amp;"(CHG)"</f>
        <v>Transition Probability from state 1 to state 3 on day 2 (CHG)</v>
      </c>
      <c r="E76" s="61"/>
      <c r="F76" s="151">
        <v>0</v>
      </c>
      <c r="G76" s="93">
        <f t="shared" ref="G76:G104" si="21">IF(E76="",F76,E76)</f>
        <v>0</v>
      </c>
      <c r="I76" s="56" t="str">
        <f t="shared" ref="I76:I104" si="22">"Transition Probability from state 2 to state 3 on day"&amp; " "&amp;C12&amp;" "&amp;"(CHG)"</f>
        <v>Transition Probability from state 2 to state 3 on day 2 (CHG)</v>
      </c>
      <c r="J76" s="61"/>
      <c r="K76" s="151">
        <v>0</v>
      </c>
      <c r="L76" s="93">
        <f t="shared" ref="L76:L104" si="23">IF(J76="",K76,J76)</f>
        <v>0</v>
      </c>
      <c r="N76" s="56" t="str">
        <f t="shared" ref="N76:N104" si="24">"Transition Probability from state 3 to state 3 on day"&amp; " "&amp;C12&amp;" "&amp;"(CHG)"</f>
        <v>Transition Probability from state 3 to state 3 on day 2 (CHG)</v>
      </c>
      <c r="O76" s="61"/>
      <c r="P76" s="151">
        <v>0</v>
      </c>
      <c r="Q76" s="93">
        <f t="shared" ref="Q76:Q104" si="25">IF(O76="",P76,O76)</f>
        <v>0</v>
      </c>
      <c r="R76" s="69"/>
      <c r="S76" s="56" t="str">
        <f t="shared" ref="S76:S104" si="26">"Transition Probability from state 4 to state 3 on day"&amp; " "&amp;C12&amp;" "&amp;"(CHG)"</f>
        <v>Transition Probability from state 4 to state 3 on day 2 (CHG)</v>
      </c>
      <c r="T76" s="61"/>
      <c r="U76" s="151">
        <v>0</v>
      </c>
      <c r="V76" s="93">
        <f t="shared" ref="V76:V104" si="27">IF(T76="",U76,T76)</f>
        <v>0</v>
      </c>
      <c r="W76" s="69"/>
      <c r="X76" s="56" t="str">
        <f t="shared" ref="X76:X104" si="28">"Transition Probability from state 6 to state 3 on day"&amp; " "&amp;C12&amp;" "&amp;"(CHG)"</f>
        <v>Transition Probability from state 6 to state 3 on day 2 (CHG)</v>
      </c>
      <c r="Y76" s="61"/>
      <c r="Z76" s="151">
        <v>0</v>
      </c>
      <c r="AA76" s="93">
        <f t="shared" ref="AA76:AA104" si="29">IF(Y76="",Z76,Y76)</f>
        <v>0</v>
      </c>
      <c r="AB76" s="9"/>
      <c r="AC76" s="83"/>
    </row>
    <row r="77" spans="2:29" ht="17" thickTop="1" thickBot="1" x14ac:dyDescent="0.25">
      <c r="B77" s="83"/>
      <c r="D77" s="56" t="str">
        <f t="shared" si="20"/>
        <v>Transition Probability from state 1 to state 3 on day 3 (CHG)</v>
      </c>
      <c r="E77" s="61"/>
      <c r="F77" s="151">
        <v>0</v>
      </c>
      <c r="G77" s="93">
        <f t="shared" si="21"/>
        <v>0</v>
      </c>
      <c r="I77" s="56" t="str">
        <f t="shared" si="22"/>
        <v>Transition Probability from state 2 to state 3 on day 3 (CHG)</v>
      </c>
      <c r="J77" s="61"/>
      <c r="K77" s="151">
        <v>0</v>
      </c>
      <c r="L77" s="93">
        <f t="shared" si="23"/>
        <v>0</v>
      </c>
      <c r="M77" s="148"/>
      <c r="N77" s="56" t="str">
        <f t="shared" si="24"/>
        <v>Transition Probability from state 3 to state 3 on day 3 (CHG)</v>
      </c>
      <c r="O77" s="61"/>
      <c r="P77" s="151">
        <v>0</v>
      </c>
      <c r="Q77" s="93">
        <f t="shared" si="25"/>
        <v>0</v>
      </c>
      <c r="R77" s="69"/>
      <c r="S77" s="56" t="str">
        <f t="shared" si="26"/>
        <v>Transition Probability from state 4 to state 3 on day 3 (CHG)</v>
      </c>
      <c r="T77" s="61"/>
      <c r="U77" s="151">
        <v>0</v>
      </c>
      <c r="V77" s="93">
        <f t="shared" si="27"/>
        <v>0</v>
      </c>
      <c r="W77" s="69"/>
      <c r="X77" s="56" t="str">
        <f t="shared" si="28"/>
        <v>Transition Probability from state 6 to state 3 on day 3 (CHG)</v>
      </c>
      <c r="Y77" s="61"/>
      <c r="Z77" s="151">
        <v>0</v>
      </c>
      <c r="AA77" s="93">
        <f t="shared" si="29"/>
        <v>0</v>
      </c>
      <c r="AB77" s="9"/>
      <c r="AC77" s="83"/>
    </row>
    <row r="78" spans="2:29" ht="17" thickTop="1" thickBot="1" x14ac:dyDescent="0.25">
      <c r="B78" s="83"/>
      <c r="D78" s="56" t="str">
        <f t="shared" si="20"/>
        <v>Transition Probability from state 1 to state 3 on day 4 (CHG)</v>
      </c>
      <c r="E78" s="61"/>
      <c r="F78" s="151">
        <v>0</v>
      </c>
      <c r="G78" s="93">
        <f t="shared" si="21"/>
        <v>0</v>
      </c>
      <c r="I78" s="56" t="str">
        <f t="shared" si="22"/>
        <v>Transition Probability from state 2 to state 3 on day 4 (CHG)</v>
      </c>
      <c r="J78" s="61"/>
      <c r="K78" s="151">
        <v>0</v>
      </c>
      <c r="L78" s="93">
        <f t="shared" si="23"/>
        <v>0</v>
      </c>
      <c r="N78" s="56" t="str">
        <f t="shared" si="24"/>
        <v>Transition Probability from state 3 to state 3 on day 4 (CHG)</v>
      </c>
      <c r="O78" s="61"/>
      <c r="P78" s="151">
        <v>0</v>
      </c>
      <c r="Q78" s="93">
        <f t="shared" si="25"/>
        <v>0</v>
      </c>
      <c r="R78" s="69"/>
      <c r="S78" s="56" t="str">
        <f t="shared" si="26"/>
        <v>Transition Probability from state 4 to state 3 on day 4 (CHG)</v>
      </c>
      <c r="T78" s="61"/>
      <c r="U78" s="151">
        <v>0</v>
      </c>
      <c r="V78" s="93">
        <f t="shared" si="27"/>
        <v>0</v>
      </c>
      <c r="W78" s="69"/>
      <c r="X78" s="56" t="str">
        <f t="shared" si="28"/>
        <v>Transition Probability from state 6 to state 3 on day 4 (CHG)</v>
      </c>
      <c r="Y78" s="61"/>
      <c r="Z78" s="151">
        <v>0</v>
      </c>
      <c r="AA78" s="93">
        <f t="shared" si="29"/>
        <v>0</v>
      </c>
      <c r="AB78" s="9"/>
      <c r="AC78" s="83"/>
    </row>
    <row r="79" spans="2:29" ht="17" thickTop="1" thickBot="1" x14ac:dyDescent="0.25">
      <c r="B79" s="83"/>
      <c r="D79" s="56" t="str">
        <f t="shared" si="20"/>
        <v>Transition Probability from state 1 to state 3 on day 5 (CHG)</v>
      </c>
      <c r="E79" s="61"/>
      <c r="F79" s="151">
        <v>0</v>
      </c>
      <c r="G79" s="93">
        <f t="shared" si="21"/>
        <v>0</v>
      </c>
      <c r="I79" s="56" t="str">
        <f t="shared" si="22"/>
        <v>Transition Probability from state 2 to state 3 on day 5 (CHG)</v>
      </c>
      <c r="J79" s="61"/>
      <c r="K79" s="151">
        <v>0</v>
      </c>
      <c r="L79" s="93">
        <f t="shared" si="23"/>
        <v>0</v>
      </c>
      <c r="N79" s="56" t="str">
        <f t="shared" si="24"/>
        <v>Transition Probability from state 3 to state 3 on day 5 (CHG)</v>
      </c>
      <c r="O79" s="61"/>
      <c r="P79" s="151">
        <v>0</v>
      </c>
      <c r="Q79" s="93">
        <f t="shared" si="25"/>
        <v>0</v>
      </c>
      <c r="R79" s="69"/>
      <c r="S79" s="56" t="str">
        <f t="shared" si="26"/>
        <v>Transition Probability from state 4 to state 3 on day 5 (CHG)</v>
      </c>
      <c r="T79" s="61"/>
      <c r="U79" s="151">
        <v>0</v>
      </c>
      <c r="V79" s="93">
        <f t="shared" si="27"/>
        <v>0</v>
      </c>
      <c r="W79" s="69"/>
      <c r="X79" s="56" t="str">
        <f t="shared" si="28"/>
        <v>Transition Probability from state 6 to state 3 on day 5 (CHG)</v>
      </c>
      <c r="Y79" s="61"/>
      <c r="Z79" s="151">
        <v>0</v>
      </c>
      <c r="AA79" s="93">
        <f t="shared" si="29"/>
        <v>0</v>
      </c>
      <c r="AB79" s="9"/>
      <c r="AC79" s="83"/>
    </row>
    <row r="80" spans="2:29" ht="17" thickTop="1" thickBot="1" x14ac:dyDescent="0.25">
      <c r="B80" s="83"/>
      <c r="D80" s="56" t="str">
        <f t="shared" si="20"/>
        <v>Transition Probability from state 1 to state 3 on day 6 (CHG)</v>
      </c>
      <c r="E80" s="61"/>
      <c r="F80" s="151">
        <v>0</v>
      </c>
      <c r="G80" s="93">
        <f t="shared" si="21"/>
        <v>0</v>
      </c>
      <c r="I80" s="56" t="str">
        <f t="shared" si="22"/>
        <v>Transition Probability from state 2 to state 3 on day 6 (CHG)</v>
      </c>
      <c r="J80" s="61"/>
      <c r="K80" s="151">
        <v>0</v>
      </c>
      <c r="L80" s="93">
        <f t="shared" si="23"/>
        <v>0</v>
      </c>
      <c r="N80" s="56" t="str">
        <f t="shared" si="24"/>
        <v>Transition Probability from state 3 to state 3 on day 6 (CHG)</v>
      </c>
      <c r="O80" s="61"/>
      <c r="P80" s="151">
        <v>0</v>
      </c>
      <c r="Q80" s="93">
        <f t="shared" si="25"/>
        <v>0</v>
      </c>
      <c r="R80" s="69"/>
      <c r="S80" s="56" t="str">
        <f t="shared" si="26"/>
        <v>Transition Probability from state 4 to state 3 on day 6 (CHG)</v>
      </c>
      <c r="T80" s="61"/>
      <c r="U80" s="151">
        <v>0</v>
      </c>
      <c r="V80" s="93">
        <f t="shared" si="27"/>
        <v>0</v>
      </c>
      <c r="W80" s="69"/>
      <c r="X80" s="56" t="str">
        <f t="shared" si="28"/>
        <v>Transition Probability from state 6 to state 3 on day 6 (CHG)</v>
      </c>
      <c r="Y80" s="61"/>
      <c r="Z80" s="151">
        <v>0</v>
      </c>
      <c r="AA80" s="93">
        <f t="shared" si="29"/>
        <v>0</v>
      </c>
      <c r="AB80" s="9"/>
      <c r="AC80" s="83"/>
    </row>
    <row r="81" spans="2:29" ht="17" thickTop="1" thickBot="1" x14ac:dyDescent="0.25">
      <c r="B81" s="83"/>
      <c r="D81" s="56" t="str">
        <f t="shared" si="20"/>
        <v>Transition Probability from state 1 to state 3 on day 7 (CHG)</v>
      </c>
      <c r="E81" s="61"/>
      <c r="F81" s="151">
        <v>0</v>
      </c>
      <c r="G81" s="93">
        <f t="shared" si="21"/>
        <v>0</v>
      </c>
      <c r="I81" s="56" t="str">
        <f t="shared" si="22"/>
        <v>Transition Probability from state 2 to state 3 on day 7 (CHG)</v>
      </c>
      <c r="J81" s="61"/>
      <c r="K81" s="151">
        <v>0</v>
      </c>
      <c r="L81" s="93">
        <f t="shared" si="23"/>
        <v>0</v>
      </c>
      <c r="N81" s="56" t="str">
        <f t="shared" si="24"/>
        <v>Transition Probability from state 3 to state 3 on day 7 (CHG)</v>
      </c>
      <c r="O81" s="61"/>
      <c r="P81" s="151">
        <v>0</v>
      </c>
      <c r="Q81" s="93">
        <f t="shared" si="25"/>
        <v>0</v>
      </c>
      <c r="R81" s="69"/>
      <c r="S81" s="56" t="str">
        <f t="shared" si="26"/>
        <v>Transition Probability from state 4 to state 3 on day 7 (CHG)</v>
      </c>
      <c r="T81" s="61"/>
      <c r="U81" s="151">
        <v>0</v>
      </c>
      <c r="V81" s="93">
        <f t="shared" si="27"/>
        <v>0</v>
      </c>
      <c r="W81" s="69"/>
      <c r="X81" s="56" t="str">
        <f t="shared" si="28"/>
        <v>Transition Probability from state 6 to state 3 on day 7 (CHG)</v>
      </c>
      <c r="Y81" s="61"/>
      <c r="Z81" s="151">
        <v>0</v>
      </c>
      <c r="AA81" s="93">
        <f t="shared" si="29"/>
        <v>0</v>
      </c>
      <c r="AB81" s="9"/>
      <c r="AC81" s="83"/>
    </row>
    <row r="82" spans="2:29" ht="17" thickTop="1" thickBot="1" x14ac:dyDescent="0.25">
      <c r="B82" s="83"/>
      <c r="D82" s="56" t="str">
        <f t="shared" si="20"/>
        <v>Transition Probability from state 1 to state 3 on day 8 (CHG)</v>
      </c>
      <c r="E82" s="61"/>
      <c r="F82" s="151">
        <v>0</v>
      </c>
      <c r="G82" s="93">
        <f t="shared" si="21"/>
        <v>0</v>
      </c>
      <c r="I82" s="56" t="str">
        <f t="shared" si="22"/>
        <v>Transition Probability from state 2 to state 3 on day 8 (CHG)</v>
      </c>
      <c r="J82" s="61"/>
      <c r="K82" s="151">
        <v>0</v>
      </c>
      <c r="L82" s="93">
        <f t="shared" si="23"/>
        <v>0</v>
      </c>
      <c r="N82" s="56" t="str">
        <f t="shared" si="24"/>
        <v>Transition Probability from state 3 to state 3 on day 8 (CHG)</v>
      </c>
      <c r="O82" s="61"/>
      <c r="P82" s="151">
        <v>0</v>
      </c>
      <c r="Q82" s="93">
        <f t="shared" si="25"/>
        <v>0</v>
      </c>
      <c r="R82" s="69"/>
      <c r="S82" s="56" t="str">
        <f t="shared" si="26"/>
        <v>Transition Probability from state 4 to state 3 on day 8 (CHG)</v>
      </c>
      <c r="T82" s="61"/>
      <c r="U82" s="151">
        <v>0</v>
      </c>
      <c r="V82" s="93">
        <f t="shared" si="27"/>
        <v>0</v>
      </c>
      <c r="W82" s="69"/>
      <c r="X82" s="56" t="str">
        <f t="shared" si="28"/>
        <v>Transition Probability from state 6 to state 3 on day 8 (CHG)</v>
      </c>
      <c r="Y82" s="61"/>
      <c r="Z82" s="151">
        <v>0</v>
      </c>
      <c r="AA82" s="93">
        <f t="shared" si="29"/>
        <v>0</v>
      </c>
      <c r="AB82" s="9"/>
      <c r="AC82" s="83"/>
    </row>
    <row r="83" spans="2:29" ht="17" thickTop="1" thickBot="1" x14ac:dyDescent="0.25">
      <c r="B83" s="83"/>
      <c r="D83" s="56" t="str">
        <f t="shared" si="20"/>
        <v>Transition Probability from state 1 to state 3 on day 9 (CHG)</v>
      </c>
      <c r="E83" s="61"/>
      <c r="F83" s="151">
        <v>0</v>
      </c>
      <c r="G83" s="93">
        <f t="shared" si="21"/>
        <v>0</v>
      </c>
      <c r="I83" s="56" t="str">
        <f t="shared" si="22"/>
        <v>Transition Probability from state 2 to state 3 on day 9 (CHG)</v>
      </c>
      <c r="J83" s="61"/>
      <c r="K83" s="151">
        <v>0</v>
      </c>
      <c r="L83" s="93">
        <f t="shared" si="23"/>
        <v>0</v>
      </c>
      <c r="N83" s="56" t="str">
        <f t="shared" si="24"/>
        <v>Transition Probability from state 3 to state 3 on day 9 (CHG)</v>
      </c>
      <c r="O83" s="61"/>
      <c r="P83" s="151">
        <v>0</v>
      </c>
      <c r="Q83" s="93">
        <f t="shared" si="25"/>
        <v>0</v>
      </c>
      <c r="R83" s="69"/>
      <c r="S83" s="56" t="str">
        <f t="shared" si="26"/>
        <v>Transition Probability from state 4 to state 3 on day 9 (CHG)</v>
      </c>
      <c r="T83" s="61"/>
      <c r="U83" s="151">
        <v>0</v>
      </c>
      <c r="V83" s="93">
        <f t="shared" si="27"/>
        <v>0</v>
      </c>
      <c r="W83" s="69"/>
      <c r="X83" s="56" t="str">
        <f t="shared" si="28"/>
        <v>Transition Probability from state 6 to state 3 on day 9 (CHG)</v>
      </c>
      <c r="Y83" s="61"/>
      <c r="Z83" s="151">
        <v>0</v>
      </c>
      <c r="AA83" s="93">
        <f t="shared" si="29"/>
        <v>0</v>
      </c>
      <c r="AB83" s="9"/>
      <c r="AC83" s="83"/>
    </row>
    <row r="84" spans="2:29" ht="17" thickTop="1" thickBot="1" x14ac:dyDescent="0.25">
      <c r="B84" s="83"/>
      <c r="D84" s="56" t="str">
        <f t="shared" si="20"/>
        <v>Transition Probability from state 1 to state 3 on day 10 (CHG)</v>
      </c>
      <c r="E84" s="61"/>
      <c r="F84" s="151">
        <v>0</v>
      </c>
      <c r="G84" s="93">
        <f t="shared" si="21"/>
        <v>0</v>
      </c>
      <c r="H84" s="146"/>
      <c r="I84" s="56" t="str">
        <f t="shared" si="22"/>
        <v>Transition Probability from state 2 to state 3 on day 10 (CHG)</v>
      </c>
      <c r="J84" s="61"/>
      <c r="K84" s="151">
        <v>0</v>
      </c>
      <c r="L84" s="93">
        <f t="shared" si="23"/>
        <v>0</v>
      </c>
      <c r="M84" s="146"/>
      <c r="N84" s="56" t="str">
        <f t="shared" si="24"/>
        <v>Transition Probability from state 3 to state 3 on day 10 (CHG)</v>
      </c>
      <c r="O84" s="61"/>
      <c r="P84" s="151">
        <v>0</v>
      </c>
      <c r="Q84" s="93">
        <f t="shared" si="25"/>
        <v>0</v>
      </c>
      <c r="R84" s="69"/>
      <c r="S84" s="56" t="str">
        <f t="shared" si="26"/>
        <v>Transition Probability from state 4 to state 3 on day 10 (CHG)</v>
      </c>
      <c r="T84" s="61"/>
      <c r="U84" s="151">
        <v>0</v>
      </c>
      <c r="V84" s="93">
        <f t="shared" si="27"/>
        <v>0</v>
      </c>
      <c r="W84" s="69"/>
      <c r="X84" s="56" t="str">
        <f t="shared" si="28"/>
        <v>Transition Probability from state 6 to state 3 on day 10 (CHG)</v>
      </c>
      <c r="Y84" s="61"/>
      <c r="Z84" s="151">
        <v>0</v>
      </c>
      <c r="AA84" s="93">
        <f t="shared" si="29"/>
        <v>0</v>
      </c>
      <c r="AB84" s="9"/>
      <c r="AC84" s="83"/>
    </row>
    <row r="85" spans="2:29" ht="17" thickTop="1" thickBot="1" x14ac:dyDescent="0.25">
      <c r="B85" s="83"/>
      <c r="D85" s="56" t="str">
        <f t="shared" si="20"/>
        <v>Transition Probability from state 1 to state 3 on day 11 (CHG)</v>
      </c>
      <c r="E85" s="61"/>
      <c r="F85" s="151">
        <v>0</v>
      </c>
      <c r="G85" s="93">
        <f t="shared" si="21"/>
        <v>0</v>
      </c>
      <c r="I85" s="56" t="str">
        <f t="shared" si="22"/>
        <v>Transition Probability from state 2 to state 3 on day 11 (CHG)</v>
      </c>
      <c r="J85" s="61"/>
      <c r="K85" s="151">
        <v>0</v>
      </c>
      <c r="L85" s="93">
        <f t="shared" si="23"/>
        <v>0</v>
      </c>
      <c r="N85" s="56" t="str">
        <f t="shared" si="24"/>
        <v>Transition Probability from state 3 to state 3 on day 11 (CHG)</v>
      </c>
      <c r="O85" s="61"/>
      <c r="P85" s="151">
        <v>0</v>
      </c>
      <c r="Q85" s="93">
        <f t="shared" si="25"/>
        <v>0</v>
      </c>
      <c r="R85" s="69"/>
      <c r="S85" s="56" t="str">
        <f t="shared" si="26"/>
        <v>Transition Probability from state 4 to state 3 on day 11 (CHG)</v>
      </c>
      <c r="T85" s="61"/>
      <c r="U85" s="151">
        <v>0</v>
      </c>
      <c r="V85" s="93">
        <f t="shared" si="27"/>
        <v>0</v>
      </c>
      <c r="W85" s="69"/>
      <c r="X85" s="56" t="str">
        <f t="shared" si="28"/>
        <v>Transition Probability from state 6 to state 3 on day 11 (CHG)</v>
      </c>
      <c r="Y85" s="61"/>
      <c r="Z85" s="151">
        <v>0</v>
      </c>
      <c r="AA85" s="93">
        <f t="shared" si="29"/>
        <v>0</v>
      </c>
      <c r="AB85" s="9"/>
      <c r="AC85" s="83"/>
    </row>
    <row r="86" spans="2:29" ht="17" thickTop="1" thickBot="1" x14ac:dyDescent="0.25">
      <c r="B86" s="83"/>
      <c r="D86" s="56" t="str">
        <f t="shared" si="20"/>
        <v>Transition Probability from state 1 to state 3 on day 12 (CHG)</v>
      </c>
      <c r="E86" s="61"/>
      <c r="F86" s="151">
        <v>0</v>
      </c>
      <c r="G86" s="93">
        <f t="shared" si="21"/>
        <v>0</v>
      </c>
      <c r="I86" s="56" t="str">
        <f t="shared" si="22"/>
        <v>Transition Probability from state 2 to state 3 on day 12 (CHG)</v>
      </c>
      <c r="J86" s="61"/>
      <c r="K86" s="151">
        <v>0</v>
      </c>
      <c r="L86" s="93">
        <f t="shared" si="23"/>
        <v>0</v>
      </c>
      <c r="N86" s="56" t="str">
        <f t="shared" si="24"/>
        <v>Transition Probability from state 3 to state 3 on day 12 (CHG)</v>
      </c>
      <c r="O86" s="61"/>
      <c r="P86" s="151">
        <v>0</v>
      </c>
      <c r="Q86" s="93">
        <f t="shared" si="25"/>
        <v>0</v>
      </c>
      <c r="R86" s="69"/>
      <c r="S86" s="56" t="str">
        <f t="shared" si="26"/>
        <v>Transition Probability from state 4 to state 3 on day 12 (CHG)</v>
      </c>
      <c r="T86" s="61"/>
      <c r="U86" s="151">
        <v>0</v>
      </c>
      <c r="V86" s="93">
        <f t="shared" si="27"/>
        <v>0</v>
      </c>
      <c r="W86" s="69"/>
      <c r="X86" s="56" t="str">
        <f t="shared" si="28"/>
        <v>Transition Probability from state 6 to state 3 on day 12 (CHG)</v>
      </c>
      <c r="Y86" s="61"/>
      <c r="Z86" s="151">
        <v>0</v>
      </c>
      <c r="AA86" s="93">
        <f t="shared" si="29"/>
        <v>0</v>
      </c>
      <c r="AB86" s="9"/>
      <c r="AC86" s="83"/>
    </row>
    <row r="87" spans="2:29" ht="17" thickTop="1" thickBot="1" x14ac:dyDescent="0.25">
      <c r="B87" s="83"/>
      <c r="D87" s="56" t="str">
        <f t="shared" si="20"/>
        <v>Transition Probability from state 1 to state 3 on day 13 (CHG)</v>
      </c>
      <c r="E87" s="61"/>
      <c r="F87" s="151">
        <v>0</v>
      </c>
      <c r="G87" s="93">
        <f t="shared" si="21"/>
        <v>0</v>
      </c>
      <c r="I87" s="56" t="str">
        <f t="shared" si="22"/>
        <v>Transition Probability from state 2 to state 3 on day 13 (CHG)</v>
      </c>
      <c r="J87" s="61"/>
      <c r="K87" s="151">
        <v>0</v>
      </c>
      <c r="L87" s="93">
        <f t="shared" si="23"/>
        <v>0</v>
      </c>
      <c r="N87" s="56" t="str">
        <f t="shared" si="24"/>
        <v>Transition Probability from state 3 to state 3 on day 13 (CHG)</v>
      </c>
      <c r="O87" s="61"/>
      <c r="P87" s="151">
        <v>0</v>
      </c>
      <c r="Q87" s="93">
        <f t="shared" si="25"/>
        <v>0</v>
      </c>
      <c r="R87" s="69"/>
      <c r="S87" s="56" t="str">
        <f t="shared" si="26"/>
        <v>Transition Probability from state 4 to state 3 on day 13 (CHG)</v>
      </c>
      <c r="T87" s="61"/>
      <c r="U87" s="151">
        <v>0</v>
      </c>
      <c r="V87" s="93">
        <f t="shared" si="27"/>
        <v>0</v>
      </c>
      <c r="W87" s="69"/>
      <c r="X87" s="56" t="str">
        <f t="shared" si="28"/>
        <v>Transition Probability from state 6 to state 3 on day 13 (CHG)</v>
      </c>
      <c r="Y87" s="61"/>
      <c r="Z87" s="151">
        <v>0</v>
      </c>
      <c r="AA87" s="93">
        <f t="shared" si="29"/>
        <v>0</v>
      </c>
      <c r="AB87" s="9"/>
      <c r="AC87" s="83"/>
    </row>
    <row r="88" spans="2:29" ht="17" thickTop="1" thickBot="1" x14ac:dyDescent="0.25">
      <c r="B88" s="83"/>
      <c r="D88" s="56" t="str">
        <f t="shared" si="20"/>
        <v>Transition Probability from state 1 to state 3 on day 14 (CHG)</v>
      </c>
      <c r="E88" s="61"/>
      <c r="F88" s="151">
        <v>0</v>
      </c>
      <c r="G88" s="93">
        <f t="shared" si="21"/>
        <v>0</v>
      </c>
      <c r="I88" s="56" t="str">
        <f t="shared" si="22"/>
        <v>Transition Probability from state 2 to state 3 on day 14 (CHG)</v>
      </c>
      <c r="J88" s="61"/>
      <c r="K88" s="151">
        <v>0</v>
      </c>
      <c r="L88" s="93">
        <f t="shared" si="23"/>
        <v>0</v>
      </c>
      <c r="N88" s="56" t="str">
        <f t="shared" si="24"/>
        <v>Transition Probability from state 3 to state 3 on day 14 (CHG)</v>
      </c>
      <c r="O88" s="61"/>
      <c r="P88" s="151">
        <v>0</v>
      </c>
      <c r="Q88" s="93">
        <f t="shared" si="25"/>
        <v>0</v>
      </c>
      <c r="R88" s="69"/>
      <c r="S88" s="56" t="str">
        <f t="shared" si="26"/>
        <v>Transition Probability from state 4 to state 3 on day 14 (CHG)</v>
      </c>
      <c r="T88" s="61"/>
      <c r="U88" s="151">
        <v>0</v>
      </c>
      <c r="V88" s="93">
        <f t="shared" si="27"/>
        <v>0</v>
      </c>
      <c r="W88" s="69"/>
      <c r="X88" s="56" t="str">
        <f t="shared" si="28"/>
        <v>Transition Probability from state 6 to state 3 on day 14 (CHG)</v>
      </c>
      <c r="Y88" s="61"/>
      <c r="Z88" s="151">
        <v>0</v>
      </c>
      <c r="AA88" s="93">
        <f t="shared" si="29"/>
        <v>0</v>
      </c>
      <c r="AB88" s="9"/>
      <c r="AC88" s="83"/>
    </row>
    <row r="89" spans="2:29" ht="17" thickTop="1" thickBot="1" x14ac:dyDescent="0.25">
      <c r="B89" s="83"/>
      <c r="D89" s="56" t="str">
        <f t="shared" si="20"/>
        <v>Transition Probability from state 1 to state 3 on day 15 (CHG)</v>
      </c>
      <c r="E89" s="61"/>
      <c r="F89" s="151">
        <v>0</v>
      </c>
      <c r="G89" s="93">
        <f t="shared" si="21"/>
        <v>0</v>
      </c>
      <c r="I89" s="56" t="str">
        <f t="shared" si="22"/>
        <v>Transition Probability from state 2 to state 3 on day 15 (CHG)</v>
      </c>
      <c r="J89" s="61"/>
      <c r="K89" s="151">
        <v>0</v>
      </c>
      <c r="L89" s="93">
        <f t="shared" si="23"/>
        <v>0</v>
      </c>
      <c r="N89" s="56" t="str">
        <f t="shared" si="24"/>
        <v>Transition Probability from state 3 to state 3 on day 15 (CHG)</v>
      </c>
      <c r="O89" s="61"/>
      <c r="P89" s="151">
        <v>0</v>
      </c>
      <c r="Q89" s="93">
        <f t="shared" si="25"/>
        <v>0</v>
      </c>
      <c r="R89" s="69"/>
      <c r="S89" s="56" t="str">
        <f t="shared" si="26"/>
        <v>Transition Probability from state 4 to state 3 on day 15 (CHG)</v>
      </c>
      <c r="T89" s="61"/>
      <c r="U89" s="151">
        <v>0</v>
      </c>
      <c r="V89" s="93">
        <f t="shared" si="27"/>
        <v>0</v>
      </c>
      <c r="W89" s="69"/>
      <c r="X89" s="56" t="str">
        <f t="shared" si="28"/>
        <v>Transition Probability from state 6 to state 3 on day 15 (CHG)</v>
      </c>
      <c r="Y89" s="61"/>
      <c r="Z89" s="151">
        <v>0</v>
      </c>
      <c r="AA89" s="93">
        <f t="shared" si="29"/>
        <v>0</v>
      </c>
      <c r="AB89" s="9"/>
      <c r="AC89" s="83"/>
    </row>
    <row r="90" spans="2:29" ht="17" thickTop="1" thickBot="1" x14ac:dyDescent="0.25">
      <c r="B90" s="83"/>
      <c r="D90" s="56" t="str">
        <f t="shared" si="20"/>
        <v>Transition Probability from state 1 to state 3 on day 16 (CHG)</v>
      </c>
      <c r="E90" s="61"/>
      <c r="F90" s="151">
        <v>0</v>
      </c>
      <c r="G90" s="93">
        <f t="shared" si="21"/>
        <v>0</v>
      </c>
      <c r="I90" s="56" t="str">
        <f t="shared" si="22"/>
        <v>Transition Probability from state 2 to state 3 on day 16 (CHG)</v>
      </c>
      <c r="J90" s="61"/>
      <c r="K90" s="151">
        <v>0</v>
      </c>
      <c r="L90" s="93">
        <f t="shared" si="23"/>
        <v>0</v>
      </c>
      <c r="N90" s="56" t="str">
        <f t="shared" si="24"/>
        <v>Transition Probability from state 3 to state 3 on day 16 (CHG)</v>
      </c>
      <c r="O90" s="61"/>
      <c r="P90" s="151">
        <v>0</v>
      </c>
      <c r="Q90" s="93">
        <f t="shared" si="25"/>
        <v>0</v>
      </c>
      <c r="R90" s="69"/>
      <c r="S90" s="56" t="str">
        <f t="shared" si="26"/>
        <v>Transition Probability from state 4 to state 3 on day 16 (CHG)</v>
      </c>
      <c r="T90" s="61"/>
      <c r="U90" s="151">
        <v>0</v>
      </c>
      <c r="V90" s="93">
        <f t="shared" si="27"/>
        <v>0</v>
      </c>
      <c r="W90" s="69"/>
      <c r="X90" s="56" t="str">
        <f t="shared" si="28"/>
        <v>Transition Probability from state 6 to state 3 on day 16 (CHG)</v>
      </c>
      <c r="Y90" s="61"/>
      <c r="Z90" s="151">
        <v>0</v>
      </c>
      <c r="AA90" s="93">
        <f t="shared" si="29"/>
        <v>0</v>
      </c>
      <c r="AB90" s="9"/>
      <c r="AC90" s="83"/>
    </row>
    <row r="91" spans="2:29" ht="17" thickTop="1" thickBot="1" x14ac:dyDescent="0.25">
      <c r="B91" s="83"/>
      <c r="D91" s="56" t="str">
        <f t="shared" si="20"/>
        <v>Transition Probability from state 1 to state 3 on day 17 (CHG)</v>
      </c>
      <c r="E91" s="61"/>
      <c r="F91" s="151">
        <v>0</v>
      </c>
      <c r="G91" s="93">
        <f t="shared" si="21"/>
        <v>0</v>
      </c>
      <c r="I91" s="56" t="str">
        <f t="shared" si="22"/>
        <v>Transition Probability from state 2 to state 3 on day 17 (CHG)</v>
      </c>
      <c r="J91" s="61"/>
      <c r="K91" s="151">
        <v>0</v>
      </c>
      <c r="L91" s="93">
        <f t="shared" si="23"/>
        <v>0</v>
      </c>
      <c r="N91" s="56" t="str">
        <f t="shared" si="24"/>
        <v>Transition Probability from state 3 to state 3 on day 17 (CHG)</v>
      </c>
      <c r="O91" s="61"/>
      <c r="P91" s="151">
        <v>0</v>
      </c>
      <c r="Q91" s="93">
        <f t="shared" si="25"/>
        <v>0</v>
      </c>
      <c r="R91" s="69"/>
      <c r="S91" s="56" t="str">
        <f t="shared" si="26"/>
        <v>Transition Probability from state 4 to state 3 on day 17 (CHG)</v>
      </c>
      <c r="T91" s="61"/>
      <c r="U91" s="151">
        <v>0</v>
      </c>
      <c r="V91" s="93">
        <f t="shared" si="27"/>
        <v>0</v>
      </c>
      <c r="W91" s="69"/>
      <c r="X91" s="56" t="str">
        <f t="shared" si="28"/>
        <v>Transition Probability from state 6 to state 3 on day 17 (CHG)</v>
      </c>
      <c r="Y91" s="61"/>
      <c r="Z91" s="151">
        <v>0</v>
      </c>
      <c r="AA91" s="93">
        <f t="shared" si="29"/>
        <v>0</v>
      </c>
      <c r="AB91" s="9"/>
      <c r="AC91" s="83"/>
    </row>
    <row r="92" spans="2:29" ht="17" thickTop="1" thickBot="1" x14ac:dyDescent="0.25">
      <c r="B92" s="83"/>
      <c r="D92" s="56" t="str">
        <f t="shared" si="20"/>
        <v>Transition Probability from state 1 to state 3 on day 18 (CHG)</v>
      </c>
      <c r="E92" s="61"/>
      <c r="F92" s="151">
        <v>0</v>
      </c>
      <c r="G92" s="93">
        <f t="shared" si="21"/>
        <v>0</v>
      </c>
      <c r="I92" s="56" t="str">
        <f t="shared" si="22"/>
        <v>Transition Probability from state 2 to state 3 on day 18 (CHG)</v>
      </c>
      <c r="J92" s="61"/>
      <c r="K92" s="151">
        <v>0</v>
      </c>
      <c r="L92" s="93">
        <f t="shared" si="23"/>
        <v>0</v>
      </c>
      <c r="N92" s="56" t="str">
        <f t="shared" si="24"/>
        <v>Transition Probability from state 3 to state 3 on day 18 (CHG)</v>
      </c>
      <c r="O92" s="61"/>
      <c r="P92" s="151">
        <v>0</v>
      </c>
      <c r="Q92" s="93">
        <f t="shared" si="25"/>
        <v>0</v>
      </c>
      <c r="R92" s="69"/>
      <c r="S92" s="56" t="str">
        <f t="shared" si="26"/>
        <v>Transition Probability from state 4 to state 3 on day 18 (CHG)</v>
      </c>
      <c r="T92" s="61"/>
      <c r="U92" s="151">
        <v>0</v>
      </c>
      <c r="V92" s="93">
        <f t="shared" si="27"/>
        <v>0</v>
      </c>
      <c r="W92" s="69"/>
      <c r="X92" s="56" t="str">
        <f t="shared" si="28"/>
        <v>Transition Probability from state 6 to state 3 on day 18 (CHG)</v>
      </c>
      <c r="Y92" s="61"/>
      <c r="Z92" s="151">
        <v>0</v>
      </c>
      <c r="AA92" s="93">
        <f t="shared" si="29"/>
        <v>0</v>
      </c>
      <c r="AB92" s="9"/>
      <c r="AC92" s="83"/>
    </row>
    <row r="93" spans="2:29" ht="17" thickTop="1" thickBot="1" x14ac:dyDescent="0.25">
      <c r="B93" s="83"/>
      <c r="D93" s="56" t="str">
        <f t="shared" si="20"/>
        <v>Transition Probability from state 1 to state 3 on day 19 (CHG)</v>
      </c>
      <c r="E93" s="61"/>
      <c r="F93" s="151">
        <v>0</v>
      </c>
      <c r="G93" s="93">
        <f t="shared" si="21"/>
        <v>0</v>
      </c>
      <c r="I93" s="56" t="str">
        <f t="shared" si="22"/>
        <v>Transition Probability from state 2 to state 3 on day 19 (CHG)</v>
      </c>
      <c r="J93" s="61"/>
      <c r="K93" s="151">
        <v>0</v>
      </c>
      <c r="L93" s="93">
        <f t="shared" si="23"/>
        <v>0</v>
      </c>
      <c r="N93" s="56" t="str">
        <f t="shared" si="24"/>
        <v>Transition Probability from state 3 to state 3 on day 19 (CHG)</v>
      </c>
      <c r="O93" s="61"/>
      <c r="P93" s="151">
        <v>0</v>
      </c>
      <c r="Q93" s="93">
        <f t="shared" si="25"/>
        <v>0</v>
      </c>
      <c r="R93" s="69"/>
      <c r="S93" s="56" t="str">
        <f t="shared" si="26"/>
        <v>Transition Probability from state 4 to state 3 on day 19 (CHG)</v>
      </c>
      <c r="T93" s="61"/>
      <c r="U93" s="151">
        <v>0</v>
      </c>
      <c r="V93" s="93">
        <f t="shared" si="27"/>
        <v>0</v>
      </c>
      <c r="W93" s="69"/>
      <c r="X93" s="56" t="str">
        <f t="shared" si="28"/>
        <v>Transition Probability from state 6 to state 3 on day 19 (CHG)</v>
      </c>
      <c r="Y93" s="61"/>
      <c r="Z93" s="151">
        <v>0</v>
      </c>
      <c r="AA93" s="93">
        <f t="shared" si="29"/>
        <v>0</v>
      </c>
      <c r="AB93" s="9"/>
      <c r="AC93" s="83"/>
    </row>
    <row r="94" spans="2:29" ht="17" thickTop="1" thickBot="1" x14ac:dyDescent="0.25">
      <c r="B94" s="83"/>
      <c r="D94" s="56" t="str">
        <f t="shared" si="20"/>
        <v>Transition Probability from state 1 to state 3 on day 20 (CHG)</v>
      </c>
      <c r="E94" s="61"/>
      <c r="F94" s="151">
        <v>0</v>
      </c>
      <c r="G94" s="93">
        <f t="shared" si="21"/>
        <v>0</v>
      </c>
      <c r="I94" s="56" t="str">
        <f t="shared" si="22"/>
        <v>Transition Probability from state 2 to state 3 on day 20 (CHG)</v>
      </c>
      <c r="J94" s="61"/>
      <c r="K94" s="151">
        <v>0</v>
      </c>
      <c r="L94" s="93">
        <f t="shared" si="23"/>
        <v>0</v>
      </c>
      <c r="N94" s="56" t="str">
        <f t="shared" si="24"/>
        <v>Transition Probability from state 3 to state 3 on day 20 (CHG)</v>
      </c>
      <c r="O94" s="61"/>
      <c r="P94" s="151">
        <v>0</v>
      </c>
      <c r="Q94" s="93">
        <f t="shared" si="25"/>
        <v>0</v>
      </c>
      <c r="R94" s="69"/>
      <c r="S94" s="56" t="str">
        <f t="shared" si="26"/>
        <v>Transition Probability from state 4 to state 3 on day 20 (CHG)</v>
      </c>
      <c r="T94" s="61"/>
      <c r="U94" s="151">
        <v>0</v>
      </c>
      <c r="V94" s="93">
        <f t="shared" si="27"/>
        <v>0</v>
      </c>
      <c r="W94" s="69"/>
      <c r="X94" s="56" t="str">
        <f t="shared" si="28"/>
        <v>Transition Probability from state 6 to state 3 on day 20 (CHG)</v>
      </c>
      <c r="Y94" s="61"/>
      <c r="Z94" s="151">
        <v>0</v>
      </c>
      <c r="AA94" s="93">
        <f t="shared" si="29"/>
        <v>0</v>
      </c>
      <c r="AB94" s="9"/>
      <c r="AC94" s="83"/>
    </row>
    <row r="95" spans="2:29" ht="17" thickTop="1" thickBot="1" x14ac:dyDescent="0.25">
      <c r="B95" s="83"/>
      <c r="D95" s="56" t="str">
        <f t="shared" si="20"/>
        <v>Transition Probability from state 1 to state 3 on day 21 (CHG)</v>
      </c>
      <c r="E95" s="61"/>
      <c r="F95" s="151">
        <v>0</v>
      </c>
      <c r="G95" s="93">
        <f t="shared" si="21"/>
        <v>0</v>
      </c>
      <c r="I95" s="56" t="str">
        <f t="shared" si="22"/>
        <v>Transition Probability from state 2 to state 3 on day 21 (CHG)</v>
      </c>
      <c r="J95" s="61"/>
      <c r="K95" s="151">
        <v>0</v>
      </c>
      <c r="L95" s="93">
        <f t="shared" si="23"/>
        <v>0</v>
      </c>
      <c r="N95" s="56" t="str">
        <f t="shared" si="24"/>
        <v>Transition Probability from state 3 to state 3 on day 21 (CHG)</v>
      </c>
      <c r="O95" s="61"/>
      <c r="P95" s="151">
        <v>0</v>
      </c>
      <c r="Q95" s="93">
        <f t="shared" si="25"/>
        <v>0</v>
      </c>
      <c r="R95" s="69"/>
      <c r="S95" s="56" t="str">
        <f t="shared" si="26"/>
        <v>Transition Probability from state 4 to state 3 on day 21 (CHG)</v>
      </c>
      <c r="T95" s="61"/>
      <c r="U95" s="151">
        <v>0</v>
      </c>
      <c r="V95" s="93">
        <f t="shared" si="27"/>
        <v>0</v>
      </c>
      <c r="W95" s="69"/>
      <c r="X95" s="56" t="str">
        <f t="shared" si="28"/>
        <v>Transition Probability from state 6 to state 3 on day 21 (CHG)</v>
      </c>
      <c r="Y95" s="61"/>
      <c r="Z95" s="151">
        <v>0</v>
      </c>
      <c r="AA95" s="93">
        <f t="shared" si="29"/>
        <v>0</v>
      </c>
      <c r="AB95" s="9"/>
      <c r="AC95" s="83"/>
    </row>
    <row r="96" spans="2:29" ht="17" thickTop="1" thickBot="1" x14ac:dyDescent="0.25">
      <c r="B96" s="83"/>
      <c r="D96" s="56" t="str">
        <f t="shared" si="20"/>
        <v>Transition Probability from state 1 to state 3 on day 22 (CHG)</v>
      </c>
      <c r="E96" s="61"/>
      <c r="F96" s="151">
        <v>0</v>
      </c>
      <c r="G96" s="93">
        <f t="shared" si="21"/>
        <v>0</v>
      </c>
      <c r="I96" s="56" t="str">
        <f t="shared" si="22"/>
        <v>Transition Probability from state 2 to state 3 on day 22 (CHG)</v>
      </c>
      <c r="J96" s="61"/>
      <c r="K96" s="151">
        <v>0</v>
      </c>
      <c r="L96" s="93">
        <f t="shared" si="23"/>
        <v>0</v>
      </c>
      <c r="N96" s="56" t="str">
        <f t="shared" si="24"/>
        <v>Transition Probability from state 3 to state 3 on day 22 (CHG)</v>
      </c>
      <c r="O96" s="61"/>
      <c r="P96" s="151">
        <v>0</v>
      </c>
      <c r="Q96" s="93">
        <f t="shared" si="25"/>
        <v>0</v>
      </c>
      <c r="R96" s="69"/>
      <c r="S96" s="56" t="str">
        <f t="shared" si="26"/>
        <v>Transition Probability from state 4 to state 3 on day 22 (CHG)</v>
      </c>
      <c r="T96" s="61"/>
      <c r="U96" s="151">
        <v>0</v>
      </c>
      <c r="V96" s="93">
        <f t="shared" si="27"/>
        <v>0</v>
      </c>
      <c r="W96" s="69"/>
      <c r="X96" s="56" t="str">
        <f t="shared" si="28"/>
        <v>Transition Probability from state 6 to state 3 on day 22 (CHG)</v>
      </c>
      <c r="Y96" s="61"/>
      <c r="Z96" s="151">
        <v>0</v>
      </c>
      <c r="AA96" s="93">
        <f t="shared" si="29"/>
        <v>0</v>
      </c>
      <c r="AB96" s="9"/>
      <c r="AC96" s="83"/>
    </row>
    <row r="97" spans="2:29" ht="17" thickTop="1" thickBot="1" x14ac:dyDescent="0.25">
      <c r="B97" s="83"/>
      <c r="D97" s="56" t="str">
        <f t="shared" si="20"/>
        <v>Transition Probability from state 1 to state 3 on day 23 (CHG)</v>
      </c>
      <c r="E97" s="61"/>
      <c r="F97" s="151">
        <v>0</v>
      </c>
      <c r="G97" s="93">
        <f t="shared" si="21"/>
        <v>0</v>
      </c>
      <c r="I97" s="56" t="str">
        <f t="shared" si="22"/>
        <v>Transition Probability from state 2 to state 3 on day 23 (CHG)</v>
      </c>
      <c r="J97" s="61"/>
      <c r="K97" s="151">
        <v>0</v>
      </c>
      <c r="L97" s="93">
        <f t="shared" si="23"/>
        <v>0</v>
      </c>
      <c r="N97" s="56" t="str">
        <f t="shared" si="24"/>
        <v>Transition Probability from state 3 to state 3 on day 23 (CHG)</v>
      </c>
      <c r="O97" s="61"/>
      <c r="P97" s="151">
        <v>0</v>
      </c>
      <c r="Q97" s="93">
        <f t="shared" si="25"/>
        <v>0</v>
      </c>
      <c r="R97" s="69"/>
      <c r="S97" s="56" t="str">
        <f t="shared" si="26"/>
        <v>Transition Probability from state 4 to state 3 on day 23 (CHG)</v>
      </c>
      <c r="T97" s="61"/>
      <c r="U97" s="151">
        <v>0</v>
      </c>
      <c r="V97" s="93">
        <f t="shared" si="27"/>
        <v>0</v>
      </c>
      <c r="W97" s="69"/>
      <c r="X97" s="56" t="str">
        <f t="shared" si="28"/>
        <v>Transition Probability from state 6 to state 3 on day 23 (CHG)</v>
      </c>
      <c r="Y97" s="61"/>
      <c r="Z97" s="151">
        <v>0</v>
      </c>
      <c r="AA97" s="93">
        <f t="shared" si="29"/>
        <v>0</v>
      </c>
      <c r="AB97" s="9"/>
      <c r="AC97" s="83"/>
    </row>
    <row r="98" spans="2:29" ht="17" thickTop="1" thickBot="1" x14ac:dyDescent="0.25">
      <c r="B98" s="83"/>
      <c r="D98" s="56" t="str">
        <f t="shared" si="20"/>
        <v>Transition Probability from state 1 to state 3 on day 24 (CHG)</v>
      </c>
      <c r="E98" s="61"/>
      <c r="F98" s="151">
        <v>0</v>
      </c>
      <c r="G98" s="93">
        <f t="shared" si="21"/>
        <v>0</v>
      </c>
      <c r="I98" s="56" t="str">
        <f t="shared" si="22"/>
        <v>Transition Probability from state 2 to state 3 on day 24 (CHG)</v>
      </c>
      <c r="J98" s="61"/>
      <c r="K98" s="151">
        <v>0</v>
      </c>
      <c r="L98" s="93">
        <f t="shared" si="23"/>
        <v>0</v>
      </c>
      <c r="N98" s="56" t="str">
        <f t="shared" si="24"/>
        <v>Transition Probability from state 3 to state 3 on day 24 (CHG)</v>
      </c>
      <c r="O98" s="61"/>
      <c r="P98" s="151">
        <v>0</v>
      </c>
      <c r="Q98" s="93">
        <f t="shared" si="25"/>
        <v>0</v>
      </c>
      <c r="R98" s="69"/>
      <c r="S98" s="56" t="str">
        <f t="shared" si="26"/>
        <v>Transition Probability from state 4 to state 3 on day 24 (CHG)</v>
      </c>
      <c r="T98" s="61"/>
      <c r="U98" s="151">
        <v>0</v>
      </c>
      <c r="V98" s="93">
        <f t="shared" si="27"/>
        <v>0</v>
      </c>
      <c r="W98" s="69"/>
      <c r="X98" s="56" t="str">
        <f t="shared" si="28"/>
        <v>Transition Probability from state 6 to state 3 on day 24 (CHG)</v>
      </c>
      <c r="Y98" s="61"/>
      <c r="Z98" s="151">
        <v>0</v>
      </c>
      <c r="AA98" s="93">
        <f t="shared" si="29"/>
        <v>0</v>
      </c>
      <c r="AB98" s="9"/>
      <c r="AC98" s="83"/>
    </row>
    <row r="99" spans="2:29" ht="17" thickTop="1" thickBot="1" x14ac:dyDescent="0.25">
      <c r="B99" s="83"/>
      <c r="D99" s="56" t="str">
        <f t="shared" si="20"/>
        <v>Transition Probability from state 1 to state 3 on day 25 (CHG)</v>
      </c>
      <c r="E99" s="61"/>
      <c r="F99" s="151">
        <v>0</v>
      </c>
      <c r="G99" s="93">
        <f t="shared" si="21"/>
        <v>0</v>
      </c>
      <c r="I99" s="56" t="str">
        <f t="shared" si="22"/>
        <v>Transition Probability from state 2 to state 3 on day 25 (CHG)</v>
      </c>
      <c r="J99" s="61"/>
      <c r="K99" s="151">
        <v>0</v>
      </c>
      <c r="L99" s="93">
        <f t="shared" si="23"/>
        <v>0</v>
      </c>
      <c r="N99" s="56" t="str">
        <f t="shared" si="24"/>
        <v>Transition Probability from state 3 to state 3 on day 25 (CHG)</v>
      </c>
      <c r="O99" s="61"/>
      <c r="P99" s="151">
        <v>0</v>
      </c>
      <c r="Q99" s="93">
        <f t="shared" si="25"/>
        <v>0</v>
      </c>
      <c r="R99" s="69"/>
      <c r="S99" s="56" t="str">
        <f t="shared" si="26"/>
        <v>Transition Probability from state 4 to state 3 on day 25 (CHG)</v>
      </c>
      <c r="T99" s="61"/>
      <c r="U99" s="151">
        <v>0</v>
      </c>
      <c r="V99" s="93">
        <f t="shared" si="27"/>
        <v>0</v>
      </c>
      <c r="W99" s="69"/>
      <c r="X99" s="56" t="str">
        <f t="shared" si="28"/>
        <v>Transition Probability from state 6 to state 3 on day 25 (CHG)</v>
      </c>
      <c r="Y99" s="61"/>
      <c r="Z99" s="151">
        <v>0</v>
      </c>
      <c r="AA99" s="93">
        <f t="shared" si="29"/>
        <v>0</v>
      </c>
      <c r="AB99" s="9"/>
      <c r="AC99" s="83"/>
    </row>
    <row r="100" spans="2:29" ht="17" thickTop="1" thickBot="1" x14ac:dyDescent="0.25">
      <c r="B100" s="83"/>
      <c r="D100" s="56" t="str">
        <f t="shared" si="20"/>
        <v>Transition Probability from state 1 to state 3 on day 26 (CHG)</v>
      </c>
      <c r="E100" s="61"/>
      <c r="F100" s="151">
        <v>0</v>
      </c>
      <c r="G100" s="93">
        <f t="shared" si="21"/>
        <v>0</v>
      </c>
      <c r="I100" s="56" t="str">
        <f t="shared" si="22"/>
        <v>Transition Probability from state 2 to state 3 on day 26 (CHG)</v>
      </c>
      <c r="J100" s="61"/>
      <c r="K100" s="151">
        <v>0</v>
      </c>
      <c r="L100" s="93">
        <f t="shared" si="23"/>
        <v>0</v>
      </c>
      <c r="N100" s="56" t="str">
        <f t="shared" si="24"/>
        <v>Transition Probability from state 3 to state 3 on day 26 (CHG)</v>
      </c>
      <c r="O100" s="61"/>
      <c r="P100" s="151">
        <v>0</v>
      </c>
      <c r="Q100" s="93">
        <f t="shared" si="25"/>
        <v>0</v>
      </c>
      <c r="R100" s="69"/>
      <c r="S100" s="56" t="str">
        <f t="shared" si="26"/>
        <v>Transition Probability from state 4 to state 3 on day 26 (CHG)</v>
      </c>
      <c r="T100" s="61"/>
      <c r="U100" s="151">
        <v>0</v>
      </c>
      <c r="V100" s="93">
        <f t="shared" si="27"/>
        <v>0</v>
      </c>
      <c r="W100" s="69"/>
      <c r="X100" s="56" t="str">
        <f t="shared" si="28"/>
        <v>Transition Probability from state 6 to state 3 on day 26 (CHG)</v>
      </c>
      <c r="Y100" s="61"/>
      <c r="Z100" s="151">
        <v>0</v>
      </c>
      <c r="AA100" s="93">
        <f t="shared" si="29"/>
        <v>0</v>
      </c>
      <c r="AB100" s="9"/>
      <c r="AC100" s="83"/>
    </row>
    <row r="101" spans="2:29" ht="17" thickTop="1" thickBot="1" x14ac:dyDescent="0.25">
      <c r="B101" s="83"/>
      <c r="D101" s="56" t="str">
        <f t="shared" si="20"/>
        <v>Transition Probability from state 1 to state 3 on day 27 (CHG)</v>
      </c>
      <c r="E101" s="61"/>
      <c r="F101" s="151">
        <v>0</v>
      </c>
      <c r="G101" s="93">
        <f t="shared" si="21"/>
        <v>0</v>
      </c>
      <c r="I101" s="56" t="str">
        <f t="shared" si="22"/>
        <v>Transition Probability from state 2 to state 3 on day 27 (CHG)</v>
      </c>
      <c r="J101" s="61"/>
      <c r="K101" s="151">
        <v>0</v>
      </c>
      <c r="L101" s="93">
        <f t="shared" si="23"/>
        <v>0</v>
      </c>
      <c r="N101" s="56" t="str">
        <f t="shared" si="24"/>
        <v>Transition Probability from state 3 to state 3 on day 27 (CHG)</v>
      </c>
      <c r="O101" s="61"/>
      <c r="P101" s="151">
        <v>0</v>
      </c>
      <c r="Q101" s="93">
        <f t="shared" si="25"/>
        <v>0</v>
      </c>
      <c r="R101" s="69"/>
      <c r="S101" s="56" t="str">
        <f t="shared" si="26"/>
        <v>Transition Probability from state 4 to state 3 on day 27 (CHG)</v>
      </c>
      <c r="T101" s="61"/>
      <c r="U101" s="151">
        <v>0</v>
      </c>
      <c r="V101" s="93">
        <f t="shared" si="27"/>
        <v>0</v>
      </c>
      <c r="W101" s="69"/>
      <c r="X101" s="56" t="str">
        <f t="shared" si="28"/>
        <v>Transition Probability from state 6 to state 3 on day 27 (CHG)</v>
      </c>
      <c r="Y101" s="61"/>
      <c r="Z101" s="151">
        <v>0</v>
      </c>
      <c r="AA101" s="93">
        <f t="shared" si="29"/>
        <v>0</v>
      </c>
      <c r="AB101" s="9"/>
      <c r="AC101" s="83"/>
    </row>
    <row r="102" spans="2:29" ht="17" thickTop="1" thickBot="1" x14ac:dyDescent="0.25">
      <c r="B102" s="83"/>
      <c r="D102" s="56" t="str">
        <f t="shared" si="20"/>
        <v>Transition Probability from state 1 to state 3 on day 28 (CHG)</v>
      </c>
      <c r="E102" s="61"/>
      <c r="F102" s="151">
        <v>0</v>
      </c>
      <c r="G102" s="93">
        <f t="shared" si="21"/>
        <v>0</v>
      </c>
      <c r="I102" s="56" t="str">
        <f t="shared" si="22"/>
        <v>Transition Probability from state 2 to state 3 on day 28 (CHG)</v>
      </c>
      <c r="J102" s="61"/>
      <c r="K102" s="151">
        <v>0</v>
      </c>
      <c r="L102" s="93">
        <f t="shared" si="23"/>
        <v>0</v>
      </c>
      <c r="N102" s="56" t="str">
        <f t="shared" si="24"/>
        <v>Transition Probability from state 3 to state 3 on day 28 (CHG)</v>
      </c>
      <c r="O102" s="61"/>
      <c r="P102" s="151">
        <v>0</v>
      </c>
      <c r="Q102" s="93">
        <f t="shared" si="25"/>
        <v>0</v>
      </c>
      <c r="R102" s="69"/>
      <c r="S102" s="56" t="str">
        <f t="shared" si="26"/>
        <v>Transition Probability from state 4 to state 3 on day 28 (CHG)</v>
      </c>
      <c r="T102" s="61"/>
      <c r="U102" s="151">
        <v>0</v>
      </c>
      <c r="V102" s="93">
        <f t="shared" si="27"/>
        <v>0</v>
      </c>
      <c r="W102" s="69"/>
      <c r="X102" s="56" t="str">
        <f t="shared" si="28"/>
        <v>Transition Probability from state 6 to state 3 on day 28 (CHG)</v>
      </c>
      <c r="Y102" s="61"/>
      <c r="Z102" s="151">
        <v>0</v>
      </c>
      <c r="AA102" s="93">
        <f t="shared" si="29"/>
        <v>0</v>
      </c>
      <c r="AB102" s="9"/>
      <c r="AC102" s="83"/>
    </row>
    <row r="103" spans="2:29" ht="17" thickTop="1" thickBot="1" x14ac:dyDescent="0.25">
      <c r="B103" s="83"/>
      <c r="D103" s="56" t="str">
        <f t="shared" si="20"/>
        <v>Transition Probability from state 1 to state 3 on day 29 (CHG)</v>
      </c>
      <c r="E103" s="61"/>
      <c r="F103" s="151">
        <v>0</v>
      </c>
      <c r="G103" s="93">
        <f t="shared" si="21"/>
        <v>0</v>
      </c>
      <c r="I103" s="56" t="str">
        <f t="shared" si="22"/>
        <v>Transition Probability from state 2 to state 3 on day 29 (CHG)</v>
      </c>
      <c r="J103" s="61"/>
      <c r="K103" s="151">
        <v>0</v>
      </c>
      <c r="L103" s="93">
        <f t="shared" si="23"/>
        <v>0</v>
      </c>
      <c r="N103" s="56" t="str">
        <f t="shared" si="24"/>
        <v>Transition Probability from state 3 to state 3 on day 29 (CHG)</v>
      </c>
      <c r="O103" s="61"/>
      <c r="P103" s="151">
        <v>0</v>
      </c>
      <c r="Q103" s="93">
        <f t="shared" si="25"/>
        <v>0</v>
      </c>
      <c r="R103" s="69"/>
      <c r="S103" s="56" t="str">
        <f t="shared" si="26"/>
        <v>Transition Probability from state 4 to state 3 on day 29 (CHG)</v>
      </c>
      <c r="T103" s="61"/>
      <c r="U103" s="151">
        <v>0</v>
      </c>
      <c r="V103" s="93">
        <f t="shared" si="27"/>
        <v>0</v>
      </c>
      <c r="W103" s="69"/>
      <c r="X103" s="56" t="str">
        <f t="shared" si="28"/>
        <v>Transition Probability from state 6 to state 3 on day 29 (CHG)</v>
      </c>
      <c r="Y103" s="61"/>
      <c r="Z103" s="151">
        <v>0</v>
      </c>
      <c r="AA103" s="93">
        <f t="shared" si="29"/>
        <v>0</v>
      </c>
      <c r="AB103" s="9"/>
      <c r="AC103" s="83"/>
    </row>
    <row r="104" spans="2:29" ht="17" thickTop="1" thickBot="1" x14ac:dyDescent="0.25">
      <c r="B104" s="83"/>
      <c r="D104" s="56" t="str">
        <f t="shared" si="20"/>
        <v>Transition Probability from state 1 to state 3 on day 30 (CHG)</v>
      </c>
      <c r="E104" s="61"/>
      <c r="F104" s="151">
        <v>0</v>
      </c>
      <c r="G104" s="93">
        <f t="shared" si="21"/>
        <v>0</v>
      </c>
      <c r="I104" s="56" t="str">
        <f t="shared" si="22"/>
        <v>Transition Probability from state 2 to state 3 on day 30 (CHG)</v>
      </c>
      <c r="J104" s="61"/>
      <c r="K104" s="151">
        <v>0</v>
      </c>
      <c r="L104" s="93">
        <f t="shared" si="23"/>
        <v>0</v>
      </c>
      <c r="N104" s="56" t="str">
        <f t="shared" si="24"/>
        <v>Transition Probability from state 3 to state 3 on day 30 (CHG)</v>
      </c>
      <c r="O104" s="61"/>
      <c r="P104" s="151">
        <v>0</v>
      </c>
      <c r="Q104" s="93">
        <f t="shared" si="25"/>
        <v>0</v>
      </c>
      <c r="R104" s="69"/>
      <c r="S104" s="56" t="str">
        <f t="shared" si="26"/>
        <v>Transition Probability from state 4 to state 3 on day 30 (CHG)</v>
      </c>
      <c r="T104" s="61"/>
      <c r="U104" s="151">
        <v>0</v>
      </c>
      <c r="V104" s="93">
        <f t="shared" si="27"/>
        <v>0</v>
      </c>
      <c r="W104" s="69"/>
      <c r="X104" s="56" t="str">
        <f t="shared" si="28"/>
        <v>Transition Probability from state 6 to state 3 on day 30 (CHG)</v>
      </c>
      <c r="Y104" s="61"/>
      <c r="Z104" s="151">
        <v>0</v>
      </c>
      <c r="AA104" s="93">
        <f t="shared" si="29"/>
        <v>0</v>
      </c>
      <c r="AB104" s="9"/>
      <c r="AC104" s="83"/>
    </row>
    <row r="105" spans="2:29" ht="16" thickTop="1" x14ac:dyDescent="0.2">
      <c r="B105" s="83"/>
      <c r="AB105" s="9"/>
      <c r="AC105" s="83"/>
    </row>
    <row r="106" spans="2:29" x14ac:dyDescent="0.2">
      <c r="B106" s="83"/>
      <c r="D106" s="231" t="s">
        <v>187</v>
      </c>
      <c r="E106" s="231"/>
      <c r="F106" s="231"/>
      <c r="G106" s="231"/>
      <c r="I106" s="231" t="s">
        <v>202</v>
      </c>
      <c r="J106" s="231"/>
      <c r="K106" s="231"/>
      <c r="L106" s="231"/>
      <c r="N106" s="231" t="s">
        <v>203</v>
      </c>
      <c r="O106" s="231"/>
      <c r="P106" s="231"/>
      <c r="Q106" s="231"/>
      <c r="S106" s="231" t="s">
        <v>204</v>
      </c>
      <c r="T106" s="231"/>
      <c r="U106" s="231"/>
      <c r="V106" s="231"/>
      <c r="X106" s="231" t="s">
        <v>205</v>
      </c>
      <c r="Y106" s="231"/>
      <c r="Z106" s="231"/>
      <c r="AA106" s="231"/>
      <c r="AB106" s="9"/>
      <c r="AC106" s="83"/>
    </row>
    <row r="107" spans="2:29" ht="16" thickBot="1" x14ac:dyDescent="0.25">
      <c r="B107" s="83"/>
      <c r="D107" s="195" t="str">
        <f>"Transition Probability from state 1 to state 4 on day"&amp; " "&amp;C11&amp;" "&amp;"(CHG)"</f>
        <v>Transition Probability from state 1 to state 4 on day 1 (CHG)</v>
      </c>
      <c r="E107" s="196"/>
      <c r="F107" s="197">
        <v>0</v>
      </c>
      <c r="G107" s="198">
        <f>IF(E107="",F107,E107)</f>
        <v>0</v>
      </c>
      <c r="I107" s="195" t="str">
        <f>"Transition Probability from state 2 to state 4 on day"&amp; " "&amp;C11&amp;" "&amp;"(CHG)"</f>
        <v>Transition Probability from state 2 to state 4 on day 1 (CHG)</v>
      </c>
      <c r="J107" s="196"/>
      <c r="K107" s="197">
        <v>0</v>
      </c>
      <c r="L107" s="198">
        <f>IF(J107="",K107,J107)</f>
        <v>0</v>
      </c>
      <c r="N107" s="195" t="str">
        <f>"Transition Probability from state 3 to state 4 on day"&amp; " "&amp;C11&amp;" "&amp;"(CHG)"</f>
        <v>Transition Probability from state 3 to state 4 on day 1 (CHG)</v>
      </c>
      <c r="O107" s="196"/>
      <c r="P107" s="197">
        <v>0</v>
      </c>
      <c r="Q107" s="198">
        <f>IF(O107="",P107,O107)</f>
        <v>0</v>
      </c>
      <c r="S107" s="195" t="str">
        <f>"Transition Probability from state 4 to state 4 on day"&amp; " "&amp;C11&amp;" "&amp;"(CHG)"</f>
        <v>Transition Probability from state 4 to state 4 on day 1 (CHG)</v>
      </c>
      <c r="T107" s="199"/>
      <c r="U107" s="197">
        <v>0</v>
      </c>
      <c r="V107" s="198">
        <f>IF(T107="",U107,T107)</f>
        <v>0</v>
      </c>
      <c r="X107" s="195" t="str">
        <f>"Transition Probability from state 6 to state 4 on day"&amp; " "&amp;C11&amp;" "&amp;"(CHG)"</f>
        <v>Transition Probability from state 6 to state 4 on day 1 (CHG)</v>
      </c>
      <c r="Y107" s="199"/>
      <c r="Z107" s="197">
        <v>0</v>
      </c>
      <c r="AA107" s="198">
        <f>IF(Y107="",Z107,Y107)</f>
        <v>0</v>
      </c>
      <c r="AB107" s="9"/>
      <c r="AC107" s="83"/>
    </row>
    <row r="108" spans="2:29" ht="17" thickTop="1" thickBot="1" x14ac:dyDescent="0.25">
      <c r="B108" s="83"/>
      <c r="D108" s="56" t="str">
        <f t="shared" ref="D108:D136" si="30">"Transition Probability from state 1 to state 4 on day"&amp; " "&amp;C12&amp;" "&amp;"(CHG)"</f>
        <v>Transition Probability from state 1 to state 4 on day 2 (CHG)</v>
      </c>
      <c r="E108" s="61"/>
      <c r="F108" s="151">
        <v>0</v>
      </c>
      <c r="G108" s="93">
        <f t="shared" ref="G108:G136" si="31">IF(E108="",F108,E108)</f>
        <v>0</v>
      </c>
      <c r="I108" s="56" t="str">
        <f t="shared" ref="I108:I136" si="32">"Transition Probability from state 2 to state 4 on day"&amp; " "&amp;C12&amp;" "&amp;"(CHG)"</f>
        <v>Transition Probability from state 2 to state 4 on day 2 (CHG)</v>
      </c>
      <c r="J108" s="61"/>
      <c r="K108" s="151">
        <v>0</v>
      </c>
      <c r="L108" s="93">
        <f t="shared" ref="L108:L136" si="33">IF(J108="",K108,J108)</f>
        <v>0</v>
      </c>
      <c r="N108" s="56" t="str">
        <f t="shared" ref="N108:N136" si="34">"Transition Probability from state 3 to state 4 on day"&amp; " "&amp;C12&amp;" "&amp;"(CHG)"</f>
        <v>Transition Probability from state 3 to state 4 on day 2 (CHG)</v>
      </c>
      <c r="O108" s="61"/>
      <c r="P108" s="151">
        <v>0</v>
      </c>
      <c r="Q108" s="93">
        <f t="shared" ref="Q108:Q136" si="35">IF(O108="",P108,O108)</f>
        <v>0</v>
      </c>
      <c r="S108" s="56" t="str">
        <f t="shared" ref="S108:S136" si="36">"Transition Probability from state 4 to state 4 on day"&amp; " "&amp;C12&amp;" "&amp;"(CHG)"</f>
        <v>Transition Probability from state 4 to state 4 on day 2 (CHG)</v>
      </c>
      <c r="T108" s="150"/>
      <c r="U108" s="151">
        <v>0</v>
      </c>
      <c r="V108" s="93">
        <f t="shared" ref="V108:V136" si="37">IF(T108="",U108,T108)</f>
        <v>0</v>
      </c>
      <c r="X108" s="56" t="str">
        <f t="shared" ref="X108:X136" si="38">"Transition Probability from state 6 to state 4 on day"&amp; " "&amp;C12&amp;" "&amp;"(CHG)"</f>
        <v>Transition Probability from state 6 to state 4 on day 2 (CHG)</v>
      </c>
      <c r="Y108" s="150"/>
      <c r="Z108" s="151">
        <v>0</v>
      </c>
      <c r="AA108" s="93">
        <f t="shared" ref="AA108:AA136" si="39">IF(Y108="",Z108,Y108)</f>
        <v>0</v>
      </c>
      <c r="AB108" s="9"/>
      <c r="AC108" s="83"/>
    </row>
    <row r="109" spans="2:29" ht="17" thickTop="1" thickBot="1" x14ac:dyDescent="0.25">
      <c r="B109" s="83"/>
      <c r="D109" s="56" t="str">
        <f t="shared" si="30"/>
        <v>Transition Probability from state 1 to state 4 on day 3 (CHG)</v>
      </c>
      <c r="E109" s="61"/>
      <c r="F109" s="151">
        <v>0</v>
      </c>
      <c r="G109" s="93">
        <f t="shared" si="31"/>
        <v>0</v>
      </c>
      <c r="I109" s="56" t="str">
        <f t="shared" si="32"/>
        <v>Transition Probability from state 2 to state 4 on day 3 (CHG)</v>
      </c>
      <c r="J109" s="61"/>
      <c r="K109" s="151">
        <v>0</v>
      </c>
      <c r="L109" s="93">
        <f t="shared" si="33"/>
        <v>0</v>
      </c>
      <c r="N109" s="56" t="str">
        <f t="shared" si="34"/>
        <v>Transition Probability from state 3 to state 4 on day 3 (CHG)</v>
      </c>
      <c r="O109" s="61"/>
      <c r="P109" s="151">
        <v>0</v>
      </c>
      <c r="Q109" s="93">
        <f t="shared" si="35"/>
        <v>0</v>
      </c>
      <c r="S109" s="56" t="str">
        <f t="shared" si="36"/>
        <v>Transition Probability from state 4 to state 4 on day 3 (CHG)</v>
      </c>
      <c r="T109" s="150"/>
      <c r="U109" s="151">
        <v>0</v>
      </c>
      <c r="V109" s="93">
        <f t="shared" si="37"/>
        <v>0</v>
      </c>
      <c r="X109" s="56" t="str">
        <f t="shared" si="38"/>
        <v>Transition Probability from state 6 to state 4 on day 3 (CHG)</v>
      </c>
      <c r="Y109" s="150"/>
      <c r="Z109" s="151">
        <v>0</v>
      </c>
      <c r="AA109" s="93">
        <f t="shared" si="39"/>
        <v>0</v>
      </c>
      <c r="AB109" s="9"/>
      <c r="AC109" s="83"/>
    </row>
    <row r="110" spans="2:29" ht="17" thickTop="1" thickBot="1" x14ac:dyDescent="0.25">
      <c r="B110" s="83"/>
      <c r="D110" s="56" t="str">
        <f t="shared" si="30"/>
        <v>Transition Probability from state 1 to state 4 on day 4 (CHG)</v>
      </c>
      <c r="E110" s="61"/>
      <c r="F110" s="151">
        <v>0</v>
      </c>
      <c r="G110" s="93">
        <f t="shared" si="31"/>
        <v>0</v>
      </c>
      <c r="I110" s="56" t="str">
        <f t="shared" si="32"/>
        <v>Transition Probability from state 2 to state 4 on day 4 (CHG)</v>
      </c>
      <c r="J110" s="61"/>
      <c r="K110" s="151">
        <v>0</v>
      </c>
      <c r="L110" s="93">
        <f t="shared" si="33"/>
        <v>0</v>
      </c>
      <c r="N110" s="56" t="str">
        <f t="shared" si="34"/>
        <v>Transition Probability from state 3 to state 4 on day 4 (CHG)</v>
      </c>
      <c r="O110" s="61"/>
      <c r="P110" s="151">
        <v>0</v>
      </c>
      <c r="Q110" s="93">
        <f t="shared" si="35"/>
        <v>0</v>
      </c>
      <c r="S110" s="56" t="str">
        <f t="shared" si="36"/>
        <v>Transition Probability from state 4 to state 4 on day 4 (CHG)</v>
      </c>
      <c r="T110" s="150"/>
      <c r="U110" s="151">
        <v>0</v>
      </c>
      <c r="V110" s="93">
        <f t="shared" si="37"/>
        <v>0</v>
      </c>
      <c r="X110" s="56" t="str">
        <f t="shared" si="38"/>
        <v>Transition Probability from state 6 to state 4 on day 4 (CHG)</v>
      </c>
      <c r="Y110" s="150"/>
      <c r="Z110" s="151">
        <v>0</v>
      </c>
      <c r="AA110" s="93">
        <f t="shared" si="39"/>
        <v>0</v>
      </c>
      <c r="AB110" s="9"/>
      <c r="AC110" s="83"/>
    </row>
    <row r="111" spans="2:29" ht="17" thickTop="1" thickBot="1" x14ac:dyDescent="0.25">
      <c r="B111" s="83"/>
      <c r="D111" s="56" t="str">
        <f t="shared" si="30"/>
        <v>Transition Probability from state 1 to state 4 on day 5 (CHG)</v>
      </c>
      <c r="E111" s="61"/>
      <c r="F111" s="151">
        <v>0</v>
      </c>
      <c r="G111" s="93">
        <f t="shared" si="31"/>
        <v>0</v>
      </c>
      <c r="I111" s="56" t="str">
        <f t="shared" si="32"/>
        <v>Transition Probability from state 2 to state 4 on day 5 (CHG)</v>
      </c>
      <c r="J111" s="61"/>
      <c r="K111" s="151">
        <v>0</v>
      </c>
      <c r="L111" s="93">
        <f t="shared" si="33"/>
        <v>0</v>
      </c>
      <c r="N111" s="56" t="str">
        <f t="shared" si="34"/>
        <v>Transition Probability from state 3 to state 4 on day 5 (CHG)</v>
      </c>
      <c r="O111" s="61"/>
      <c r="P111" s="151">
        <v>0</v>
      </c>
      <c r="Q111" s="93">
        <f t="shared" si="35"/>
        <v>0</v>
      </c>
      <c r="S111" s="56" t="str">
        <f t="shared" si="36"/>
        <v>Transition Probability from state 4 to state 4 on day 5 (CHG)</v>
      </c>
      <c r="T111" s="150"/>
      <c r="U111" s="151">
        <v>0</v>
      </c>
      <c r="V111" s="93">
        <f t="shared" si="37"/>
        <v>0</v>
      </c>
      <c r="X111" s="56" t="str">
        <f t="shared" si="38"/>
        <v>Transition Probability from state 6 to state 4 on day 5 (CHG)</v>
      </c>
      <c r="Y111" s="150"/>
      <c r="Z111" s="151">
        <v>0</v>
      </c>
      <c r="AA111" s="93">
        <f t="shared" si="39"/>
        <v>0</v>
      </c>
      <c r="AB111" s="9"/>
      <c r="AC111" s="83"/>
    </row>
    <row r="112" spans="2:29" ht="17" thickTop="1" thickBot="1" x14ac:dyDescent="0.25">
      <c r="B112" s="83"/>
      <c r="D112" s="56" t="str">
        <f t="shared" si="30"/>
        <v>Transition Probability from state 1 to state 4 on day 6 (CHG)</v>
      </c>
      <c r="E112" s="61"/>
      <c r="F112" s="151">
        <v>0</v>
      </c>
      <c r="G112" s="93">
        <f t="shared" si="31"/>
        <v>0</v>
      </c>
      <c r="I112" s="56" t="str">
        <f t="shared" si="32"/>
        <v>Transition Probability from state 2 to state 4 on day 6 (CHG)</v>
      </c>
      <c r="J112" s="61"/>
      <c r="K112" s="151">
        <v>0</v>
      </c>
      <c r="L112" s="93">
        <f t="shared" si="33"/>
        <v>0</v>
      </c>
      <c r="N112" s="56" t="str">
        <f t="shared" si="34"/>
        <v>Transition Probability from state 3 to state 4 on day 6 (CHG)</v>
      </c>
      <c r="O112" s="61"/>
      <c r="P112" s="151">
        <v>0</v>
      </c>
      <c r="Q112" s="93">
        <f t="shared" si="35"/>
        <v>0</v>
      </c>
      <c r="S112" s="56" t="str">
        <f t="shared" si="36"/>
        <v>Transition Probability from state 4 to state 4 on day 6 (CHG)</v>
      </c>
      <c r="T112" s="150"/>
      <c r="U112" s="151">
        <v>0</v>
      </c>
      <c r="V112" s="93">
        <f t="shared" si="37"/>
        <v>0</v>
      </c>
      <c r="X112" s="56" t="str">
        <f t="shared" si="38"/>
        <v>Transition Probability from state 6 to state 4 on day 6 (CHG)</v>
      </c>
      <c r="Y112" s="150"/>
      <c r="Z112" s="151">
        <v>0</v>
      </c>
      <c r="AA112" s="93">
        <f t="shared" si="39"/>
        <v>0</v>
      </c>
      <c r="AB112" s="9"/>
      <c r="AC112" s="83"/>
    </row>
    <row r="113" spans="2:29" ht="17" thickTop="1" thickBot="1" x14ac:dyDescent="0.25">
      <c r="B113" s="83"/>
      <c r="D113" s="56" t="str">
        <f t="shared" si="30"/>
        <v>Transition Probability from state 1 to state 4 on day 7 (CHG)</v>
      </c>
      <c r="E113" s="61"/>
      <c r="F113" s="151">
        <v>1.7152658662092624E-3</v>
      </c>
      <c r="G113" s="93">
        <f t="shared" si="31"/>
        <v>1.7152658662092624E-3</v>
      </c>
      <c r="I113" s="56" t="str">
        <f t="shared" si="32"/>
        <v>Transition Probability from state 2 to state 4 on day 7 (CHG)</v>
      </c>
      <c r="J113" s="61"/>
      <c r="K113" s="151">
        <v>0</v>
      </c>
      <c r="L113" s="93">
        <f t="shared" si="33"/>
        <v>0</v>
      </c>
      <c r="N113" s="56" t="str">
        <f t="shared" si="34"/>
        <v>Transition Probability from state 3 to state 4 on day 7 (CHG)</v>
      </c>
      <c r="O113" s="61"/>
      <c r="P113" s="151">
        <v>0</v>
      </c>
      <c r="Q113" s="93">
        <f t="shared" si="35"/>
        <v>0</v>
      </c>
      <c r="S113" s="56" t="str">
        <f t="shared" si="36"/>
        <v>Transition Probability from state 4 to state 4 on day 7 (CHG)</v>
      </c>
      <c r="T113" s="150"/>
      <c r="U113" s="151">
        <v>0</v>
      </c>
      <c r="V113" s="93">
        <f t="shared" si="37"/>
        <v>0</v>
      </c>
      <c r="X113" s="56" t="str">
        <f t="shared" si="38"/>
        <v>Transition Probability from state 6 to state 4 on day 7 (CHG)</v>
      </c>
      <c r="Y113" s="150"/>
      <c r="Z113" s="151">
        <v>0</v>
      </c>
      <c r="AA113" s="93">
        <f t="shared" si="39"/>
        <v>0</v>
      </c>
      <c r="AB113" s="9"/>
      <c r="AC113" s="83"/>
    </row>
    <row r="114" spans="2:29" ht="17" thickTop="1" thickBot="1" x14ac:dyDescent="0.25">
      <c r="B114" s="83"/>
      <c r="D114" s="56" t="str">
        <f t="shared" si="30"/>
        <v>Transition Probability from state 1 to state 4 on day 8 (CHG)</v>
      </c>
      <c r="E114" s="61"/>
      <c r="F114" s="151">
        <v>1.8867924528301887E-3</v>
      </c>
      <c r="G114" s="93">
        <f t="shared" si="31"/>
        <v>1.8867924528301887E-3</v>
      </c>
      <c r="I114" s="56" t="str">
        <f t="shared" si="32"/>
        <v>Transition Probability from state 2 to state 4 on day 8 (CHG)</v>
      </c>
      <c r="J114" s="61"/>
      <c r="K114" s="151">
        <v>0</v>
      </c>
      <c r="L114" s="93">
        <f t="shared" si="33"/>
        <v>0</v>
      </c>
      <c r="N114" s="56" t="str">
        <f t="shared" si="34"/>
        <v>Transition Probability from state 3 to state 4 on day 8 (CHG)</v>
      </c>
      <c r="O114" s="61"/>
      <c r="P114" s="151">
        <v>0</v>
      </c>
      <c r="Q114" s="93">
        <f t="shared" si="35"/>
        <v>0</v>
      </c>
      <c r="S114" s="56" t="str">
        <f t="shared" si="36"/>
        <v>Transition Probability from state 4 to state 4 on day 8 (CHG)</v>
      </c>
      <c r="T114" s="150"/>
      <c r="U114" s="151">
        <v>0</v>
      </c>
      <c r="V114" s="93">
        <f t="shared" si="37"/>
        <v>0</v>
      </c>
      <c r="X114" s="56" t="str">
        <f t="shared" si="38"/>
        <v>Transition Probability from state 6 to state 4 on day 8 (CHG)</v>
      </c>
      <c r="Y114" s="150"/>
      <c r="Z114" s="151">
        <v>0</v>
      </c>
      <c r="AA114" s="93">
        <f t="shared" si="39"/>
        <v>0</v>
      </c>
      <c r="AB114" s="9"/>
      <c r="AC114" s="83"/>
    </row>
    <row r="115" spans="2:29" ht="17" thickTop="1" thickBot="1" x14ac:dyDescent="0.25">
      <c r="B115" s="83"/>
      <c r="D115" s="56" t="str">
        <f t="shared" si="30"/>
        <v>Transition Probability from state 1 to state 4 on day 9 (CHG)</v>
      </c>
      <c r="E115" s="61"/>
      <c r="F115" s="151">
        <v>0</v>
      </c>
      <c r="G115" s="93">
        <f t="shared" si="31"/>
        <v>0</v>
      </c>
      <c r="I115" s="56" t="str">
        <f t="shared" si="32"/>
        <v>Transition Probability from state 2 to state 4 on day 9 (CHG)</v>
      </c>
      <c r="J115" s="61"/>
      <c r="K115" s="151">
        <v>0</v>
      </c>
      <c r="L115" s="93">
        <f t="shared" si="33"/>
        <v>0</v>
      </c>
      <c r="N115" s="56" t="str">
        <f t="shared" si="34"/>
        <v>Transition Probability from state 3 to state 4 on day 9 (CHG)</v>
      </c>
      <c r="O115" s="61"/>
      <c r="P115" s="151">
        <v>0</v>
      </c>
      <c r="Q115" s="93">
        <f t="shared" si="35"/>
        <v>0</v>
      </c>
      <c r="S115" s="56" t="str">
        <f t="shared" si="36"/>
        <v>Transition Probability from state 4 to state 4 on day 9 (CHG)</v>
      </c>
      <c r="T115" s="150"/>
      <c r="U115" s="151">
        <v>0</v>
      </c>
      <c r="V115" s="93">
        <f t="shared" si="37"/>
        <v>0</v>
      </c>
      <c r="X115" s="56" t="str">
        <f t="shared" si="38"/>
        <v>Transition Probability from state 6 to state 4 on day 9 (CHG)</v>
      </c>
      <c r="Y115" s="150"/>
      <c r="Z115" s="151">
        <v>0</v>
      </c>
      <c r="AA115" s="93">
        <f t="shared" si="39"/>
        <v>0</v>
      </c>
      <c r="AB115" s="9"/>
      <c r="AC115" s="83"/>
    </row>
    <row r="116" spans="2:29" ht="17" thickTop="1" thickBot="1" x14ac:dyDescent="0.25">
      <c r="B116" s="83"/>
      <c r="D116" s="56" t="str">
        <f t="shared" si="30"/>
        <v>Transition Probability from state 1 to state 4 on day 10 (CHG)</v>
      </c>
      <c r="E116" s="61"/>
      <c r="F116" s="151">
        <v>0</v>
      </c>
      <c r="G116" s="93">
        <f t="shared" si="31"/>
        <v>0</v>
      </c>
      <c r="H116" s="145"/>
      <c r="I116" s="56" t="str">
        <f t="shared" si="32"/>
        <v>Transition Probability from state 2 to state 4 on day 10 (CHG)</v>
      </c>
      <c r="J116" s="61"/>
      <c r="K116" s="151">
        <v>0</v>
      </c>
      <c r="L116" s="93">
        <f t="shared" si="33"/>
        <v>0</v>
      </c>
      <c r="M116" s="145"/>
      <c r="N116" s="56" t="str">
        <f t="shared" si="34"/>
        <v>Transition Probability from state 3 to state 4 on day 10 (CHG)</v>
      </c>
      <c r="O116" s="61"/>
      <c r="P116" s="151">
        <v>0</v>
      </c>
      <c r="Q116" s="93">
        <f t="shared" si="35"/>
        <v>0</v>
      </c>
      <c r="R116" s="145"/>
      <c r="S116" s="56" t="str">
        <f t="shared" si="36"/>
        <v>Transition Probability from state 4 to state 4 on day 10 (CHG)</v>
      </c>
      <c r="T116" s="150"/>
      <c r="U116" s="151">
        <v>0</v>
      </c>
      <c r="V116" s="93">
        <f t="shared" si="37"/>
        <v>0</v>
      </c>
      <c r="W116" s="145"/>
      <c r="X116" s="56" t="str">
        <f t="shared" si="38"/>
        <v>Transition Probability from state 6 to state 4 on day 10 (CHG)</v>
      </c>
      <c r="Y116" s="150"/>
      <c r="Z116" s="151">
        <v>0</v>
      </c>
      <c r="AA116" s="93">
        <f t="shared" si="39"/>
        <v>0</v>
      </c>
      <c r="AB116" s="9"/>
      <c r="AC116" s="83"/>
    </row>
    <row r="117" spans="2:29" ht="17" thickTop="1" thickBot="1" x14ac:dyDescent="0.25">
      <c r="B117" s="83"/>
      <c r="D117" s="56" t="str">
        <f t="shared" si="30"/>
        <v>Transition Probability from state 1 to state 4 on day 11 (CHG)</v>
      </c>
      <c r="E117" s="61"/>
      <c r="F117" s="151">
        <v>0</v>
      </c>
      <c r="G117" s="93">
        <f t="shared" si="31"/>
        <v>0</v>
      </c>
      <c r="I117" s="56" t="str">
        <f t="shared" si="32"/>
        <v>Transition Probability from state 2 to state 4 on day 11 (CHG)</v>
      </c>
      <c r="J117" s="61"/>
      <c r="K117" s="151">
        <v>0</v>
      </c>
      <c r="L117" s="93">
        <f t="shared" si="33"/>
        <v>0</v>
      </c>
      <c r="N117" s="56" t="str">
        <f t="shared" si="34"/>
        <v>Transition Probability from state 3 to state 4 on day 11 (CHG)</v>
      </c>
      <c r="O117" s="61"/>
      <c r="P117" s="151">
        <v>0</v>
      </c>
      <c r="Q117" s="93">
        <f t="shared" si="35"/>
        <v>0</v>
      </c>
      <c r="S117" s="56" t="str">
        <f t="shared" si="36"/>
        <v>Transition Probability from state 4 to state 4 on day 11 (CHG)</v>
      </c>
      <c r="T117" s="150"/>
      <c r="U117" s="151">
        <v>0</v>
      </c>
      <c r="V117" s="93">
        <f t="shared" si="37"/>
        <v>0</v>
      </c>
      <c r="X117" s="56" t="str">
        <f t="shared" si="38"/>
        <v>Transition Probability from state 6 to state 4 on day 11 (CHG)</v>
      </c>
      <c r="Y117" s="150"/>
      <c r="Z117" s="151">
        <v>0</v>
      </c>
      <c r="AA117" s="93">
        <f t="shared" si="39"/>
        <v>0</v>
      </c>
      <c r="AB117" s="9"/>
      <c r="AC117" s="83"/>
    </row>
    <row r="118" spans="2:29" ht="17" thickTop="1" thickBot="1" x14ac:dyDescent="0.25">
      <c r="B118" s="83"/>
      <c r="D118" s="56" t="str">
        <f t="shared" si="30"/>
        <v>Transition Probability from state 1 to state 4 on day 12 (CHG)</v>
      </c>
      <c r="E118" s="61"/>
      <c r="F118" s="151">
        <v>0</v>
      </c>
      <c r="G118" s="93">
        <f t="shared" si="31"/>
        <v>0</v>
      </c>
      <c r="I118" s="56" t="str">
        <f t="shared" si="32"/>
        <v>Transition Probability from state 2 to state 4 on day 12 (CHG)</v>
      </c>
      <c r="J118" s="61"/>
      <c r="K118" s="151">
        <v>0</v>
      </c>
      <c r="L118" s="93">
        <f t="shared" si="33"/>
        <v>0</v>
      </c>
      <c r="N118" s="56" t="str">
        <f t="shared" si="34"/>
        <v>Transition Probability from state 3 to state 4 on day 12 (CHG)</v>
      </c>
      <c r="O118" s="61"/>
      <c r="P118" s="151">
        <v>0</v>
      </c>
      <c r="Q118" s="93">
        <f t="shared" si="35"/>
        <v>0</v>
      </c>
      <c r="S118" s="56" t="str">
        <f t="shared" si="36"/>
        <v>Transition Probability from state 4 to state 4 on day 12 (CHG)</v>
      </c>
      <c r="T118" s="150"/>
      <c r="U118" s="151">
        <v>0</v>
      </c>
      <c r="V118" s="93">
        <f t="shared" si="37"/>
        <v>0</v>
      </c>
      <c r="X118" s="56" t="str">
        <f t="shared" si="38"/>
        <v>Transition Probability from state 6 to state 4 on day 12 (CHG)</v>
      </c>
      <c r="Y118" s="150"/>
      <c r="Z118" s="151">
        <v>0</v>
      </c>
      <c r="AA118" s="93">
        <f t="shared" si="39"/>
        <v>0</v>
      </c>
      <c r="AB118" s="9"/>
      <c r="AC118" s="83"/>
    </row>
    <row r="119" spans="2:29" ht="17" thickTop="1" thickBot="1" x14ac:dyDescent="0.25">
      <c r="B119" s="83"/>
      <c r="D119" s="56" t="str">
        <f t="shared" si="30"/>
        <v>Transition Probability from state 1 to state 4 on day 13 (CHG)</v>
      </c>
      <c r="E119" s="61"/>
      <c r="F119" s="151">
        <v>0</v>
      </c>
      <c r="G119" s="93">
        <f t="shared" si="31"/>
        <v>0</v>
      </c>
      <c r="I119" s="56" t="str">
        <f t="shared" si="32"/>
        <v>Transition Probability from state 2 to state 4 on day 13 (CHG)</v>
      </c>
      <c r="J119" s="61"/>
      <c r="K119" s="151">
        <v>0</v>
      </c>
      <c r="L119" s="93">
        <f t="shared" si="33"/>
        <v>0</v>
      </c>
      <c r="N119" s="56" t="str">
        <f t="shared" si="34"/>
        <v>Transition Probability from state 3 to state 4 on day 13 (CHG)</v>
      </c>
      <c r="O119" s="61"/>
      <c r="P119" s="151">
        <v>0</v>
      </c>
      <c r="Q119" s="93">
        <f t="shared" si="35"/>
        <v>0</v>
      </c>
      <c r="S119" s="56" t="str">
        <f t="shared" si="36"/>
        <v>Transition Probability from state 4 to state 4 on day 13 (CHG)</v>
      </c>
      <c r="T119" s="150"/>
      <c r="U119" s="151">
        <v>0</v>
      </c>
      <c r="V119" s="93">
        <f t="shared" si="37"/>
        <v>0</v>
      </c>
      <c r="X119" s="56" t="str">
        <f t="shared" si="38"/>
        <v>Transition Probability from state 6 to state 4 on day 13 (CHG)</v>
      </c>
      <c r="Y119" s="150"/>
      <c r="Z119" s="151">
        <v>0</v>
      </c>
      <c r="AA119" s="93">
        <f t="shared" si="39"/>
        <v>0</v>
      </c>
      <c r="AB119" s="9"/>
      <c r="AC119" s="83"/>
    </row>
    <row r="120" spans="2:29" ht="17" thickTop="1" thickBot="1" x14ac:dyDescent="0.25">
      <c r="B120" s="83"/>
      <c r="D120" s="56" t="str">
        <f t="shared" si="30"/>
        <v>Transition Probability from state 1 to state 4 on day 14 (CHG)</v>
      </c>
      <c r="E120" s="61"/>
      <c r="F120" s="151">
        <v>0</v>
      </c>
      <c r="G120" s="93">
        <f t="shared" si="31"/>
        <v>0</v>
      </c>
      <c r="I120" s="56" t="str">
        <f t="shared" si="32"/>
        <v>Transition Probability from state 2 to state 4 on day 14 (CHG)</v>
      </c>
      <c r="J120" s="61"/>
      <c r="K120" s="151">
        <v>0</v>
      </c>
      <c r="L120" s="93">
        <f t="shared" si="33"/>
        <v>0</v>
      </c>
      <c r="N120" s="56" t="str">
        <f t="shared" si="34"/>
        <v>Transition Probability from state 3 to state 4 on day 14 (CHG)</v>
      </c>
      <c r="O120" s="61"/>
      <c r="P120" s="151">
        <v>0</v>
      </c>
      <c r="Q120" s="93">
        <f t="shared" si="35"/>
        <v>0</v>
      </c>
      <c r="S120" s="56" t="str">
        <f t="shared" si="36"/>
        <v>Transition Probability from state 4 to state 4 on day 14 (CHG)</v>
      </c>
      <c r="T120" s="150"/>
      <c r="U120" s="151">
        <v>0</v>
      </c>
      <c r="V120" s="93">
        <f t="shared" si="37"/>
        <v>0</v>
      </c>
      <c r="X120" s="56" t="str">
        <f t="shared" si="38"/>
        <v>Transition Probability from state 6 to state 4 on day 14 (CHG)</v>
      </c>
      <c r="Y120" s="150"/>
      <c r="Z120" s="151">
        <v>0</v>
      </c>
      <c r="AA120" s="93">
        <f t="shared" si="39"/>
        <v>0</v>
      </c>
      <c r="AB120" s="9"/>
      <c r="AC120" s="83"/>
    </row>
    <row r="121" spans="2:29" ht="17" thickTop="1" thickBot="1" x14ac:dyDescent="0.25">
      <c r="B121" s="83"/>
      <c r="D121" s="56" t="str">
        <f t="shared" si="30"/>
        <v>Transition Probability from state 1 to state 4 on day 15 (CHG)</v>
      </c>
      <c r="E121" s="61"/>
      <c r="F121" s="151">
        <v>3.3783783783783786E-3</v>
      </c>
      <c r="G121" s="93">
        <f t="shared" si="31"/>
        <v>3.3783783783783786E-3</v>
      </c>
      <c r="I121" s="56" t="str">
        <f t="shared" si="32"/>
        <v>Transition Probability from state 2 to state 4 on day 15 (CHG)</v>
      </c>
      <c r="J121" s="61"/>
      <c r="K121" s="151">
        <v>0</v>
      </c>
      <c r="L121" s="93">
        <f t="shared" si="33"/>
        <v>0</v>
      </c>
      <c r="N121" s="56" t="str">
        <f t="shared" si="34"/>
        <v>Transition Probability from state 3 to state 4 on day 15 (CHG)</v>
      </c>
      <c r="O121" s="61"/>
      <c r="P121" s="151">
        <v>0</v>
      </c>
      <c r="Q121" s="93">
        <f t="shared" si="35"/>
        <v>0</v>
      </c>
      <c r="S121" s="56" t="str">
        <f t="shared" si="36"/>
        <v>Transition Probability from state 4 to state 4 on day 15 (CHG)</v>
      </c>
      <c r="T121" s="150"/>
      <c r="U121" s="151">
        <v>0</v>
      </c>
      <c r="V121" s="93">
        <f t="shared" si="37"/>
        <v>0</v>
      </c>
      <c r="X121" s="56" t="str">
        <f t="shared" si="38"/>
        <v>Transition Probability from state 6 to state 4 on day 15 (CHG)</v>
      </c>
      <c r="Y121" s="150"/>
      <c r="Z121" s="151">
        <v>0</v>
      </c>
      <c r="AA121" s="93">
        <f t="shared" si="39"/>
        <v>0</v>
      </c>
      <c r="AB121" s="9"/>
      <c r="AC121" s="83"/>
    </row>
    <row r="122" spans="2:29" ht="17" thickTop="1" thickBot="1" x14ac:dyDescent="0.25">
      <c r="B122" s="83"/>
      <c r="D122" s="56" t="str">
        <f t="shared" si="30"/>
        <v>Transition Probability from state 1 to state 4 on day 16 (CHG)</v>
      </c>
      <c r="E122" s="61"/>
      <c r="F122" s="151">
        <v>0</v>
      </c>
      <c r="G122" s="93">
        <f t="shared" si="31"/>
        <v>0</v>
      </c>
      <c r="I122" s="56" t="str">
        <f t="shared" si="32"/>
        <v>Transition Probability from state 2 to state 4 on day 16 (CHG)</v>
      </c>
      <c r="J122" s="61"/>
      <c r="K122" s="151">
        <v>0</v>
      </c>
      <c r="L122" s="93">
        <f t="shared" si="33"/>
        <v>0</v>
      </c>
      <c r="N122" s="56" t="str">
        <f t="shared" si="34"/>
        <v>Transition Probability from state 3 to state 4 on day 16 (CHG)</v>
      </c>
      <c r="O122" s="61"/>
      <c r="P122" s="151">
        <v>0</v>
      </c>
      <c r="Q122" s="93">
        <f t="shared" si="35"/>
        <v>0</v>
      </c>
      <c r="S122" s="56" t="str">
        <f t="shared" si="36"/>
        <v>Transition Probability from state 4 to state 4 on day 16 (CHG)</v>
      </c>
      <c r="T122" s="150"/>
      <c r="U122" s="151">
        <v>0</v>
      </c>
      <c r="V122" s="93">
        <f t="shared" si="37"/>
        <v>0</v>
      </c>
      <c r="X122" s="56" t="str">
        <f t="shared" si="38"/>
        <v>Transition Probability from state 6 to state 4 on day 16 (CHG)</v>
      </c>
      <c r="Y122" s="150"/>
      <c r="Z122" s="151">
        <v>0</v>
      </c>
      <c r="AA122" s="93">
        <f t="shared" si="39"/>
        <v>0</v>
      </c>
      <c r="AB122" s="9"/>
      <c r="AC122" s="83"/>
    </row>
    <row r="123" spans="2:29" ht="17" thickTop="1" thickBot="1" x14ac:dyDescent="0.25">
      <c r="B123" s="83"/>
      <c r="D123" s="56" t="str">
        <f t="shared" si="30"/>
        <v>Transition Probability from state 1 to state 4 on day 17 (CHG)</v>
      </c>
      <c r="E123" s="61"/>
      <c r="F123" s="151">
        <v>0</v>
      </c>
      <c r="G123" s="93">
        <f t="shared" si="31"/>
        <v>0</v>
      </c>
      <c r="I123" s="56" t="str">
        <f t="shared" si="32"/>
        <v>Transition Probability from state 2 to state 4 on day 17 (CHG)</v>
      </c>
      <c r="J123" s="61"/>
      <c r="K123" s="151">
        <v>0</v>
      </c>
      <c r="L123" s="93">
        <f t="shared" si="33"/>
        <v>0</v>
      </c>
      <c r="N123" s="56" t="str">
        <f t="shared" si="34"/>
        <v>Transition Probability from state 3 to state 4 on day 17 (CHG)</v>
      </c>
      <c r="O123" s="61"/>
      <c r="P123" s="151">
        <v>0</v>
      </c>
      <c r="Q123" s="93">
        <f t="shared" si="35"/>
        <v>0</v>
      </c>
      <c r="S123" s="56" t="str">
        <f t="shared" si="36"/>
        <v>Transition Probability from state 4 to state 4 on day 17 (CHG)</v>
      </c>
      <c r="T123" s="150"/>
      <c r="U123" s="151">
        <v>0</v>
      </c>
      <c r="V123" s="93">
        <f t="shared" si="37"/>
        <v>0</v>
      </c>
      <c r="X123" s="56" t="str">
        <f t="shared" si="38"/>
        <v>Transition Probability from state 6 to state 4 on day 17 (CHG)</v>
      </c>
      <c r="Y123" s="150"/>
      <c r="Z123" s="151">
        <v>0</v>
      </c>
      <c r="AA123" s="93">
        <f t="shared" si="39"/>
        <v>0</v>
      </c>
      <c r="AB123" s="9"/>
      <c r="AC123" s="83"/>
    </row>
    <row r="124" spans="2:29" ht="17" thickTop="1" thickBot="1" x14ac:dyDescent="0.25">
      <c r="B124" s="83"/>
      <c r="D124" s="56" t="str">
        <f t="shared" si="30"/>
        <v>Transition Probability from state 1 to state 4 on day 18 (CHG)</v>
      </c>
      <c r="E124" s="61"/>
      <c r="F124" s="151">
        <v>0</v>
      </c>
      <c r="G124" s="93">
        <f t="shared" si="31"/>
        <v>0</v>
      </c>
      <c r="I124" s="56" t="str">
        <f t="shared" si="32"/>
        <v>Transition Probability from state 2 to state 4 on day 18 (CHG)</v>
      </c>
      <c r="J124" s="61"/>
      <c r="K124" s="151">
        <v>0</v>
      </c>
      <c r="L124" s="93">
        <f t="shared" si="33"/>
        <v>0</v>
      </c>
      <c r="N124" s="56" t="str">
        <f t="shared" si="34"/>
        <v>Transition Probability from state 3 to state 4 on day 18 (CHG)</v>
      </c>
      <c r="O124" s="61"/>
      <c r="P124" s="151">
        <v>0</v>
      </c>
      <c r="Q124" s="93">
        <f t="shared" si="35"/>
        <v>0</v>
      </c>
      <c r="S124" s="56" t="str">
        <f t="shared" si="36"/>
        <v>Transition Probability from state 4 to state 4 on day 18 (CHG)</v>
      </c>
      <c r="T124" s="150"/>
      <c r="U124" s="151">
        <v>0</v>
      </c>
      <c r="V124" s="93">
        <f t="shared" si="37"/>
        <v>0</v>
      </c>
      <c r="X124" s="56" t="str">
        <f t="shared" si="38"/>
        <v>Transition Probability from state 6 to state 4 on day 18 (CHG)</v>
      </c>
      <c r="Y124" s="150"/>
      <c r="Z124" s="151">
        <v>0</v>
      </c>
      <c r="AA124" s="93">
        <f t="shared" si="39"/>
        <v>0</v>
      </c>
      <c r="AB124" s="9"/>
      <c r="AC124" s="83"/>
    </row>
    <row r="125" spans="2:29" ht="17" thickTop="1" thickBot="1" x14ac:dyDescent="0.25">
      <c r="B125" s="83"/>
      <c r="D125" s="56" t="str">
        <f t="shared" si="30"/>
        <v>Transition Probability from state 1 to state 4 on day 19 (CHG)</v>
      </c>
      <c r="E125" s="61"/>
      <c r="F125" s="151">
        <v>0</v>
      </c>
      <c r="G125" s="93">
        <f t="shared" si="31"/>
        <v>0</v>
      </c>
      <c r="I125" s="56" t="str">
        <f t="shared" si="32"/>
        <v>Transition Probability from state 2 to state 4 on day 19 (CHG)</v>
      </c>
      <c r="J125" s="61"/>
      <c r="K125" s="151">
        <v>0</v>
      </c>
      <c r="L125" s="93">
        <f t="shared" si="33"/>
        <v>0</v>
      </c>
      <c r="N125" s="56" t="str">
        <f t="shared" si="34"/>
        <v>Transition Probability from state 3 to state 4 on day 19 (CHG)</v>
      </c>
      <c r="O125" s="61"/>
      <c r="P125" s="151">
        <v>0</v>
      </c>
      <c r="Q125" s="93">
        <f t="shared" si="35"/>
        <v>0</v>
      </c>
      <c r="S125" s="56" t="str">
        <f t="shared" si="36"/>
        <v>Transition Probability from state 4 to state 4 on day 19 (CHG)</v>
      </c>
      <c r="T125" s="150"/>
      <c r="U125" s="151">
        <v>0</v>
      </c>
      <c r="V125" s="93">
        <f t="shared" si="37"/>
        <v>0</v>
      </c>
      <c r="X125" s="56" t="str">
        <f t="shared" si="38"/>
        <v>Transition Probability from state 6 to state 4 on day 19 (CHG)</v>
      </c>
      <c r="Y125" s="150"/>
      <c r="Z125" s="151">
        <v>0</v>
      </c>
      <c r="AA125" s="93">
        <f t="shared" si="39"/>
        <v>0</v>
      </c>
      <c r="AB125" s="9"/>
      <c r="AC125" s="83"/>
    </row>
    <row r="126" spans="2:29" ht="17" thickTop="1" thickBot="1" x14ac:dyDescent="0.25">
      <c r="B126" s="83"/>
      <c r="D126" s="56" t="str">
        <f t="shared" si="30"/>
        <v>Transition Probability from state 1 to state 4 on day 20 (CHG)</v>
      </c>
      <c r="E126" s="61"/>
      <c r="F126" s="151">
        <v>0</v>
      </c>
      <c r="G126" s="93">
        <f t="shared" si="31"/>
        <v>0</v>
      </c>
      <c r="I126" s="56" t="str">
        <f t="shared" si="32"/>
        <v>Transition Probability from state 2 to state 4 on day 20 (CHG)</v>
      </c>
      <c r="J126" s="61"/>
      <c r="K126" s="151">
        <v>0</v>
      </c>
      <c r="L126" s="93">
        <f t="shared" si="33"/>
        <v>0</v>
      </c>
      <c r="N126" s="56" t="str">
        <f t="shared" si="34"/>
        <v>Transition Probability from state 3 to state 4 on day 20 (CHG)</v>
      </c>
      <c r="O126" s="61"/>
      <c r="P126" s="151">
        <v>0</v>
      </c>
      <c r="Q126" s="93">
        <f t="shared" si="35"/>
        <v>0</v>
      </c>
      <c r="S126" s="56" t="str">
        <f t="shared" si="36"/>
        <v>Transition Probability from state 4 to state 4 on day 20 (CHG)</v>
      </c>
      <c r="T126" s="150"/>
      <c r="U126" s="151">
        <v>0</v>
      </c>
      <c r="V126" s="93">
        <f t="shared" si="37"/>
        <v>0</v>
      </c>
      <c r="X126" s="56" t="str">
        <f t="shared" si="38"/>
        <v>Transition Probability from state 6 to state 4 on day 20 (CHG)</v>
      </c>
      <c r="Y126" s="150"/>
      <c r="Z126" s="151">
        <v>0</v>
      </c>
      <c r="AA126" s="93">
        <f t="shared" si="39"/>
        <v>0</v>
      </c>
      <c r="AB126" s="9"/>
      <c r="AC126" s="83"/>
    </row>
    <row r="127" spans="2:29" ht="17" thickTop="1" thickBot="1" x14ac:dyDescent="0.25">
      <c r="B127" s="83"/>
      <c r="D127" s="56" t="str">
        <f t="shared" si="30"/>
        <v>Transition Probability from state 1 to state 4 on day 21 (CHG)</v>
      </c>
      <c r="E127" s="61"/>
      <c r="F127" s="151">
        <v>0</v>
      </c>
      <c r="G127" s="93">
        <f t="shared" si="31"/>
        <v>0</v>
      </c>
      <c r="I127" s="56" t="str">
        <f t="shared" si="32"/>
        <v>Transition Probability from state 2 to state 4 on day 21 (CHG)</v>
      </c>
      <c r="J127" s="61"/>
      <c r="K127" s="151">
        <v>0</v>
      </c>
      <c r="L127" s="93">
        <f t="shared" si="33"/>
        <v>0</v>
      </c>
      <c r="N127" s="56" t="str">
        <f t="shared" si="34"/>
        <v>Transition Probability from state 3 to state 4 on day 21 (CHG)</v>
      </c>
      <c r="O127" s="61"/>
      <c r="P127" s="151">
        <v>0</v>
      </c>
      <c r="Q127" s="93">
        <f t="shared" si="35"/>
        <v>0</v>
      </c>
      <c r="S127" s="56" t="str">
        <f t="shared" si="36"/>
        <v>Transition Probability from state 4 to state 4 on day 21 (CHG)</v>
      </c>
      <c r="T127" s="150"/>
      <c r="U127" s="151">
        <v>0</v>
      </c>
      <c r="V127" s="93">
        <f t="shared" si="37"/>
        <v>0</v>
      </c>
      <c r="X127" s="56" t="str">
        <f t="shared" si="38"/>
        <v>Transition Probability from state 6 to state 4 on day 21 (CHG)</v>
      </c>
      <c r="Y127" s="150"/>
      <c r="Z127" s="151">
        <v>0</v>
      </c>
      <c r="AA127" s="93">
        <f t="shared" si="39"/>
        <v>0</v>
      </c>
      <c r="AB127" s="9"/>
      <c r="AC127" s="83"/>
    </row>
    <row r="128" spans="2:29" ht="17" thickTop="1" thickBot="1" x14ac:dyDescent="0.25">
      <c r="B128" s="83"/>
      <c r="D128" s="56" t="str">
        <f t="shared" si="30"/>
        <v>Transition Probability from state 1 to state 4 on day 22 (CHG)</v>
      </c>
      <c r="E128" s="61"/>
      <c r="F128" s="151">
        <v>0</v>
      </c>
      <c r="G128" s="93">
        <f t="shared" si="31"/>
        <v>0</v>
      </c>
      <c r="I128" s="56" t="str">
        <f t="shared" si="32"/>
        <v>Transition Probability from state 2 to state 4 on day 22 (CHG)</v>
      </c>
      <c r="J128" s="61"/>
      <c r="K128" s="151">
        <v>0</v>
      </c>
      <c r="L128" s="93">
        <f t="shared" si="33"/>
        <v>0</v>
      </c>
      <c r="N128" s="56" t="str">
        <f t="shared" si="34"/>
        <v>Transition Probability from state 3 to state 4 on day 22 (CHG)</v>
      </c>
      <c r="O128" s="61"/>
      <c r="P128" s="151">
        <v>0</v>
      </c>
      <c r="Q128" s="93">
        <f t="shared" si="35"/>
        <v>0</v>
      </c>
      <c r="S128" s="56" t="str">
        <f t="shared" si="36"/>
        <v>Transition Probability from state 4 to state 4 on day 22 (CHG)</v>
      </c>
      <c r="T128" s="150"/>
      <c r="U128" s="151">
        <v>0</v>
      </c>
      <c r="V128" s="93">
        <f t="shared" si="37"/>
        <v>0</v>
      </c>
      <c r="X128" s="56" t="str">
        <f t="shared" si="38"/>
        <v>Transition Probability from state 6 to state 4 on day 22 (CHG)</v>
      </c>
      <c r="Y128" s="150"/>
      <c r="Z128" s="151">
        <v>0</v>
      </c>
      <c r="AA128" s="93">
        <f t="shared" si="39"/>
        <v>0</v>
      </c>
      <c r="AB128" s="9"/>
      <c r="AC128" s="83"/>
    </row>
    <row r="129" spans="2:29" ht="17" thickTop="1" thickBot="1" x14ac:dyDescent="0.25">
      <c r="B129" s="83"/>
      <c r="D129" s="56" t="str">
        <f t="shared" si="30"/>
        <v>Transition Probability from state 1 to state 4 on day 23 (CHG)</v>
      </c>
      <c r="E129" s="61"/>
      <c r="F129" s="151">
        <v>0</v>
      </c>
      <c r="G129" s="93">
        <f t="shared" si="31"/>
        <v>0</v>
      </c>
      <c r="I129" s="56" t="str">
        <f t="shared" si="32"/>
        <v>Transition Probability from state 2 to state 4 on day 23 (CHG)</v>
      </c>
      <c r="J129" s="61"/>
      <c r="K129" s="151">
        <v>0</v>
      </c>
      <c r="L129" s="93">
        <f t="shared" si="33"/>
        <v>0</v>
      </c>
      <c r="N129" s="56" t="str">
        <f t="shared" si="34"/>
        <v>Transition Probability from state 3 to state 4 on day 23 (CHG)</v>
      </c>
      <c r="O129" s="61"/>
      <c r="P129" s="151">
        <v>0</v>
      </c>
      <c r="Q129" s="93">
        <f t="shared" si="35"/>
        <v>0</v>
      </c>
      <c r="S129" s="56" t="str">
        <f t="shared" si="36"/>
        <v>Transition Probability from state 4 to state 4 on day 23 (CHG)</v>
      </c>
      <c r="T129" s="150"/>
      <c r="U129" s="151">
        <v>0</v>
      </c>
      <c r="V129" s="93">
        <f t="shared" si="37"/>
        <v>0</v>
      </c>
      <c r="X129" s="56" t="str">
        <f t="shared" si="38"/>
        <v>Transition Probability from state 6 to state 4 on day 23 (CHG)</v>
      </c>
      <c r="Y129" s="150"/>
      <c r="Z129" s="151">
        <v>0</v>
      </c>
      <c r="AA129" s="93">
        <f t="shared" si="39"/>
        <v>0</v>
      </c>
      <c r="AB129" s="9"/>
      <c r="AC129" s="83"/>
    </row>
    <row r="130" spans="2:29" ht="17" thickTop="1" thickBot="1" x14ac:dyDescent="0.25">
      <c r="B130" s="83"/>
      <c r="D130" s="56" t="str">
        <f t="shared" si="30"/>
        <v>Transition Probability from state 1 to state 4 on day 24 (CHG)</v>
      </c>
      <c r="E130" s="61"/>
      <c r="F130" s="151">
        <v>0</v>
      </c>
      <c r="G130" s="93">
        <f t="shared" si="31"/>
        <v>0</v>
      </c>
      <c r="I130" s="56" t="str">
        <f t="shared" si="32"/>
        <v>Transition Probability from state 2 to state 4 on day 24 (CHG)</v>
      </c>
      <c r="J130" s="61"/>
      <c r="K130" s="151">
        <v>0</v>
      </c>
      <c r="L130" s="93">
        <f t="shared" si="33"/>
        <v>0</v>
      </c>
      <c r="N130" s="56" t="str">
        <f t="shared" si="34"/>
        <v>Transition Probability from state 3 to state 4 on day 24 (CHG)</v>
      </c>
      <c r="O130" s="61"/>
      <c r="P130" s="151">
        <v>0</v>
      </c>
      <c r="Q130" s="93">
        <f t="shared" si="35"/>
        <v>0</v>
      </c>
      <c r="S130" s="56" t="str">
        <f t="shared" si="36"/>
        <v>Transition Probability from state 4 to state 4 on day 24 (CHG)</v>
      </c>
      <c r="T130" s="150"/>
      <c r="U130" s="151">
        <v>0</v>
      </c>
      <c r="V130" s="93">
        <f t="shared" si="37"/>
        <v>0</v>
      </c>
      <c r="X130" s="56" t="str">
        <f t="shared" si="38"/>
        <v>Transition Probability from state 6 to state 4 on day 24 (CHG)</v>
      </c>
      <c r="Y130" s="150"/>
      <c r="Z130" s="151">
        <v>0</v>
      </c>
      <c r="AA130" s="93">
        <f t="shared" si="39"/>
        <v>0</v>
      </c>
      <c r="AB130" s="9"/>
      <c r="AC130" s="83"/>
    </row>
    <row r="131" spans="2:29" ht="17" thickTop="1" thickBot="1" x14ac:dyDescent="0.25">
      <c r="B131" s="83"/>
      <c r="D131" s="56" t="str">
        <f t="shared" si="30"/>
        <v>Transition Probability from state 1 to state 4 on day 25 (CHG)</v>
      </c>
      <c r="E131" s="61"/>
      <c r="F131" s="151">
        <v>0</v>
      </c>
      <c r="G131" s="93">
        <f t="shared" si="31"/>
        <v>0</v>
      </c>
      <c r="I131" s="56" t="str">
        <f t="shared" si="32"/>
        <v>Transition Probability from state 2 to state 4 on day 25 (CHG)</v>
      </c>
      <c r="J131" s="61"/>
      <c r="K131" s="151">
        <v>0</v>
      </c>
      <c r="L131" s="93">
        <f t="shared" si="33"/>
        <v>0</v>
      </c>
      <c r="N131" s="56" t="str">
        <f t="shared" si="34"/>
        <v>Transition Probability from state 3 to state 4 on day 25 (CHG)</v>
      </c>
      <c r="O131" s="61"/>
      <c r="P131" s="151">
        <v>0</v>
      </c>
      <c r="Q131" s="93">
        <f t="shared" si="35"/>
        <v>0</v>
      </c>
      <c r="S131" s="56" t="str">
        <f t="shared" si="36"/>
        <v>Transition Probability from state 4 to state 4 on day 25 (CHG)</v>
      </c>
      <c r="T131" s="150"/>
      <c r="U131" s="151">
        <v>0</v>
      </c>
      <c r="V131" s="93">
        <f t="shared" si="37"/>
        <v>0</v>
      </c>
      <c r="X131" s="56" t="str">
        <f t="shared" si="38"/>
        <v>Transition Probability from state 6 to state 4 on day 25 (CHG)</v>
      </c>
      <c r="Y131" s="150"/>
      <c r="Z131" s="151">
        <v>0</v>
      </c>
      <c r="AA131" s="93">
        <f t="shared" si="39"/>
        <v>0</v>
      </c>
      <c r="AB131" s="9"/>
      <c r="AC131" s="83"/>
    </row>
    <row r="132" spans="2:29" ht="17" thickTop="1" thickBot="1" x14ac:dyDescent="0.25">
      <c r="B132" s="83"/>
      <c r="D132" s="56" t="str">
        <f t="shared" si="30"/>
        <v>Transition Probability from state 1 to state 4 on day 26 (CHG)</v>
      </c>
      <c r="E132" s="61"/>
      <c r="F132" s="151">
        <v>0</v>
      </c>
      <c r="G132" s="93">
        <f t="shared" si="31"/>
        <v>0</v>
      </c>
      <c r="I132" s="56" t="str">
        <f t="shared" si="32"/>
        <v>Transition Probability from state 2 to state 4 on day 26 (CHG)</v>
      </c>
      <c r="J132" s="61"/>
      <c r="K132" s="151">
        <v>0</v>
      </c>
      <c r="L132" s="93">
        <f t="shared" si="33"/>
        <v>0</v>
      </c>
      <c r="N132" s="56" t="str">
        <f t="shared" si="34"/>
        <v>Transition Probability from state 3 to state 4 on day 26 (CHG)</v>
      </c>
      <c r="O132" s="61"/>
      <c r="P132" s="151">
        <v>0</v>
      </c>
      <c r="Q132" s="93">
        <f t="shared" si="35"/>
        <v>0</v>
      </c>
      <c r="S132" s="56" t="str">
        <f t="shared" si="36"/>
        <v>Transition Probability from state 4 to state 4 on day 26 (CHG)</v>
      </c>
      <c r="T132" s="150"/>
      <c r="U132" s="151">
        <v>0</v>
      </c>
      <c r="V132" s="93">
        <f t="shared" si="37"/>
        <v>0</v>
      </c>
      <c r="X132" s="56" t="str">
        <f t="shared" si="38"/>
        <v>Transition Probability from state 6 to state 4 on day 26 (CHG)</v>
      </c>
      <c r="Y132" s="150"/>
      <c r="Z132" s="151">
        <v>0</v>
      </c>
      <c r="AA132" s="93">
        <f t="shared" si="39"/>
        <v>0</v>
      </c>
      <c r="AB132" s="9"/>
      <c r="AC132" s="83"/>
    </row>
    <row r="133" spans="2:29" ht="17" thickTop="1" thickBot="1" x14ac:dyDescent="0.25">
      <c r="B133" s="83"/>
      <c r="D133" s="56" t="str">
        <f t="shared" si="30"/>
        <v>Transition Probability from state 1 to state 4 on day 27 (CHG)</v>
      </c>
      <c r="E133" s="61"/>
      <c r="F133" s="151">
        <v>0</v>
      </c>
      <c r="G133" s="93">
        <f t="shared" si="31"/>
        <v>0</v>
      </c>
      <c r="I133" s="56" t="str">
        <f t="shared" si="32"/>
        <v>Transition Probability from state 2 to state 4 on day 27 (CHG)</v>
      </c>
      <c r="J133" s="61"/>
      <c r="K133" s="151">
        <v>0</v>
      </c>
      <c r="L133" s="93">
        <f t="shared" si="33"/>
        <v>0</v>
      </c>
      <c r="N133" s="56" t="str">
        <f t="shared" si="34"/>
        <v>Transition Probability from state 3 to state 4 on day 27 (CHG)</v>
      </c>
      <c r="O133" s="61"/>
      <c r="P133" s="151">
        <v>0</v>
      </c>
      <c r="Q133" s="93">
        <f t="shared" si="35"/>
        <v>0</v>
      </c>
      <c r="S133" s="56" t="str">
        <f t="shared" si="36"/>
        <v>Transition Probability from state 4 to state 4 on day 27 (CHG)</v>
      </c>
      <c r="T133" s="150"/>
      <c r="U133" s="151">
        <v>0</v>
      </c>
      <c r="V133" s="93">
        <f t="shared" si="37"/>
        <v>0</v>
      </c>
      <c r="X133" s="56" t="str">
        <f t="shared" si="38"/>
        <v>Transition Probability from state 6 to state 4 on day 27 (CHG)</v>
      </c>
      <c r="Y133" s="150"/>
      <c r="Z133" s="151">
        <v>0</v>
      </c>
      <c r="AA133" s="93">
        <f t="shared" si="39"/>
        <v>0</v>
      </c>
      <c r="AB133" s="9"/>
      <c r="AC133" s="83"/>
    </row>
    <row r="134" spans="2:29" ht="17" thickTop="1" thickBot="1" x14ac:dyDescent="0.25">
      <c r="B134" s="83"/>
      <c r="D134" s="56" t="str">
        <f t="shared" si="30"/>
        <v>Transition Probability from state 1 to state 4 on day 28 (CHG)</v>
      </c>
      <c r="E134" s="61"/>
      <c r="F134" s="151">
        <v>0</v>
      </c>
      <c r="G134" s="93">
        <f t="shared" si="31"/>
        <v>0</v>
      </c>
      <c r="I134" s="56" t="str">
        <f t="shared" si="32"/>
        <v>Transition Probability from state 2 to state 4 on day 28 (CHG)</v>
      </c>
      <c r="J134" s="61"/>
      <c r="K134" s="151">
        <v>0</v>
      </c>
      <c r="L134" s="93">
        <f t="shared" si="33"/>
        <v>0</v>
      </c>
      <c r="N134" s="56" t="str">
        <f t="shared" si="34"/>
        <v>Transition Probability from state 3 to state 4 on day 28 (CHG)</v>
      </c>
      <c r="O134" s="61"/>
      <c r="P134" s="151">
        <v>0</v>
      </c>
      <c r="Q134" s="93">
        <f t="shared" si="35"/>
        <v>0</v>
      </c>
      <c r="S134" s="56" t="str">
        <f t="shared" si="36"/>
        <v>Transition Probability from state 4 to state 4 on day 28 (CHG)</v>
      </c>
      <c r="T134" s="150"/>
      <c r="U134" s="151">
        <v>0</v>
      </c>
      <c r="V134" s="93">
        <f t="shared" si="37"/>
        <v>0</v>
      </c>
      <c r="X134" s="56" t="str">
        <f t="shared" si="38"/>
        <v>Transition Probability from state 6 to state 4 on day 28 (CHG)</v>
      </c>
      <c r="Y134" s="150"/>
      <c r="Z134" s="151">
        <v>0</v>
      </c>
      <c r="AA134" s="93">
        <f t="shared" si="39"/>
        <v>0</v>
      </c>
      <c r="AB134" s="9"/>
      <c r="AC134" s="83"/>
    </row>
    <row r="135" spans="2:29" ht="17" thickTop="1" thickBot="1" x14ac:dyDescent="0.25">
      <c r="B135" s="83"/>
      <c r="D135" s="56" t="str">
        <f t="shared" si="30"/>
        <v>Transition Probability from state 1 to state 4 on day 29 (CHG)</v>
      </c>
      <c r="E135" s="61"/>
      <c r="F135" s="151">
        <v>0</v>
      </c>
      <c r="G135" s="93">
        <f t="shared" si="31"/>
        <v>0</v>
      </c>
      <c r="I135" s="56" t="str">
        <f t="shared" si="32"/>
        <v>Transition Probability from state 2 to state 4 on day 29 (CHG)</v>
      </c>
      <c r="J135" s="61"/>
      <c r="K135" s="151">
        <v>0</v>
      </c>
      <c r="L135" s="93">
        <f t="shared" si="33"/>
        <v>0</v>
      </c>
      <c r="N135" s="56" t="str">
        <f t="shared" si="34"/>
        <v>Transition Probability from state 3 to state 4 on day 29 (CHG)</v>
      </c>
      <c r="O135" s="61"/>
      <c r="P135" s="151">
        <v>0</v>
      </c>
      <c r="Q135" s="93">
        <f t="shared" si="35"/>
        <v>0</v>
      </c>
      <c r="S135" s="56" t="str">
        <f t="shared" si="36"/>
        <v>Transition Probability from state 4 to state 4 on day 29 (CHG)</v>
      </c>
      <c r="T135" s="150"/>
      <c r="U135" s="151">
        <v>0</v>
      </c>
      <c r="V135" s="93">
        <f t="shared" si="37"/>
        <v>0</v>
      </c>
      <c r="X135" s="56" t="str">
        <f t="shared" si="38"/>
        <v>Transition Probability from state 6 to state 4 on day 29 (CHG)</v>
      </c>
      <c r="Y135" s="150"/>
      <c r="Z135" s="151">
        <v>0</v>
      </c>
      <c r="AA135" s="93">
        <f t="shared" si="39"/>
        <v>0</v>
      </c>
      <c r="AB135" s="9"/>
      <c r="AC135" s="83"/>
    </row>
    <row r="136" spans="2:29" ht="17" thickTop="1" thickBot="1" x14ac:dyDescent="0.25">
      <c r="B136" s="83"/>
      <c r="D136" s="56" t="str">
        <f t="shared" si="30"/>
        <v>Transition Probability from state 1 to state 4 on day 30 (CHG)</v>
      </c>
      <c r="E136" s="61"/>
      <c r="F136" s="151">
        <v>0</v>
      </c>
      <c r="G136" s="93">
        <f t="shared" si="31"/>
        <v>0</v>
      </c>
      <c r="I136" s="56" t="str">
        <f t="shared" si="32"/>
        <v>Transition Probability from state 2 to state 4 on day 30 (CHG)</v>
      </c>
      <c r="J136" s="61"/>
      <c r="K136" s="151">
        <v>0</v>
      </c>
      <c r="L136" s="93">
        <f t="shared" si="33"/>
        <v>0</v>
      </c>
      <c r="N136" s="56" t="str">
        <f t="shared" si="34"/>
        <v>Transition Probability from state 3 to state 4 on day 30 (CHG)</v>
      </c>
      <c r="O136" s="61"/>
      <c r="P136" s="151">
        <v>0</v>
      </c>
      <c r="Q136" s="93">
        <f t="shared" si="35"/>
        <v>0</v>
      </c>
      <c r="S136" s="56" t="str">
        <f t="shared" si="36"/>
        <v>Transition Probability from state 4 to state 4 on day 30 (CHG)</v>
      </c>
      <c r="T136" s="150"/>
      <c r="U136" s="151">
        <v>0</v>
      </c>
      <c r="V136" s="93">
        <f t="shared" si="37"/>
        <v>0</v>
      </c>
      <c r="X136" s="56" t="str">
        <f t="shared" si="38"/>
        <v>Transition Probability from state 6 to state 4 on day 30 (CHG)</v>
      </c>
      <c r="Y136" s="150"/>
      <c r="Z136" s="151">
        <v>0</v>
      </c>
      <c r="AA136" s="93">
        <f t="shared" si="39"/>
        <v>0</v>
      </c>
      <c r="AB136" s="9"/>
      <c r="AC136" s="83"/>
    </row>
    <row r="137" spans="2:29" ht="16" thickTop="1" x14ac:dyDescent="0.2">
      <c r="B137" s="83"/>
      <c r="AB137" s="9"/>
      <c r="AC137" s="83"/>
    </row>
    <row r="138" spans="2:29" x14ac:dyDescent="0.2">
      <c r="B138" s="83"/>
      <c r="D138" s="231" t="s">
        <v>186</v>
      </c>
      <c r="E138" s="231"/>
      <c r="F138" s="231"/>
      <c r="G138" s="231"/>
      <c r="I138" s="231" t="s">
        <v>206</v>
      </c>
      <c r="J138" s="231"/>
      <c r="K138" s="231"/>
      <c r="L138" s="231"/>
      <c r="N138" s="231" t="s">
        <v>207</v>
      </c>
      <c r="O138" s="231"/>
      <c r="P138" s="231"/>
      <c r="Q138" s="231"/>
      <c r="S138" s="231" t="s">
        <v>208</v>
      </c>
      <c r="T138" s="231"/>
      <c r="U138" s="231"/>
      <c r="V138" s="231"/>
      <c r="X138" s="231" t="s">
        <v>209</v>
      </c>
      <c r="Y138" s="231"/>
      <c r="Z138" s="231"/>
      <c r="AA138" s="231"/>
      <c r="AB138" s="9"/>
      <c r="AC138" s="83"/>
    </row>
    <row r="139" spans="2:29" ht="16" thickBot="1" x14ac:dyDescent="0.25">
      <c r="B139" s="83"/>
      <c r="D139" s="195" t="str">
        <f>"Transition Probability from state 1 to state 5 on day"&amp; " "&amp;C11&amp;" "&amp;"(CHG)"</f>
        <v>Transition Probability from state 1 to state 5 on day 1 (CHG)</v>
      </c>
      <c r="E139" s="196"/>
      <c r="F139" s="197">
        <v>0</v>
      </c>
      <c r="G139" s="198">
        <f>IF(E139="",F139,E139)</f>
        <v>0</v>
      </c>
      <c r="I139" s="195" t="str">
        <f>"Transition Probability from state 2 to state 5 on day"&amp; " "&amp;C11&amp;" "&amp;"(CHG)"</f>
        <v>Transition Probability from state 2 to state 5 on day 1 (CHG)</v>
      </c>
      <c r="J139" s="196"/>
      <c r="K139" s="197">
        <v>0</v>
      </c>
      <c r="L139" s="198">
        <f>IF(J139="",K139,J139)</f>
        <v>0</v>
      </c>
      <c r="N139" s="195" t="str">
        <f>"Transition Probability from state 3 to state 5 on day"&amp; " "&amp;C11&amp;" "&amp;"(CHG)"</f>
        <v>Transition Probability from state 3 to state 5 on day 1 (CHG)</v>
      </c>
      <c r="O139" s="196"/>
      <c r="P139" s="197">
        <v>0</v>
      </c>
      <c r="Q139" s="198">
        <f>IF(O139="",P139,O139)</f>
        <v>0</v>
      </c>
      <c r="S139" s="195" t="str">
        <f>"Transition Probability from state 4 to state 5 on day"&amp; " "&amp;C11&amp;" "&amp;"(CHG)"</f>
        <v>Transition Probability from state 4 to state 5 on day 1 (CHG)</v>
      </c>
      <c r="T139" s="199"/>
      <c r="U139" s="197">
        <v>0</v>
      </c>
      <c r="V139" s="198">
        <f>IF(T139="",U139,T139)</f>
        <v>0</v>
      </c>
      <c r="X139" s="195" t="str">
        <f>"Transition Probability from state 6 to state 5 on day"&amp; " "&amp;C11&amp;" "&amp;"(CHG)"</f>
        <v>Transition Probability from state 6 to state 5 on day 1 (CHG)</v>
      </c>
      <c r="Y139" s="199"/>
      <c r="Z139" s="197">
        <v>0</v>
      </c>
      <c r="AA139" s="198">
        <f>IF(Y139="",Z139,Y139)</f>
        <v>0</v>
      </c>
      <c r="AB139" s="9"/>
      <c r="AC139" s="83"/>
    </row>
    <row r="140" spans="2:29" ht="17" thickTop="1" thickBot="1" x14ac:dyDescent="0.25">
      <c r="B140" s="83"/>
      <c r="D140" s="56" t="str">
        <f t="shared" ref="D140:D168" si="40">"Transition Probability from state 1 to state 5 on day"&amp; " "&amp;C12&amp;" "&amp;"(CHG)"</f>
        <v>Transition Probability from state 1 to state 5 on day 2 (CHG)</v>
      </c>
      <c r="E140" s="61"/>
      <c r="F140" s="151">
        <v>0</v>
      </c>
      <c r="G140" s="93">
        <f t="shared" ref="G140:G168" si="41">IF(E140="",F140,E140)</f>
        <v>0</v>
      </c>
      <c r="I140" s="56" t="str">
        <f t="shared" ref="I140:I168" si="42">"Transition Probability from state 2 to state 5 on day"&amp; " "&amp;C12&amp;" "&amp;"(CHG)"</f>
        <v>Transition Probability from state 2 to state 5 on day 2 (CHG)</v>
      </c>
      <c r="J140" s="61"/>
      <c r="K140" s="151">
        <v>0</v>
      </c>
      <c r="L140" s="93">
        <f t="shared" ref="L140:L168" si="43">IF(J140="",K140,J140)</f>
        <v>0</v>
      </c>
      <c r="N140" s="56" t="str">
        <f t="shared" ref="N140:N168" si="44">"Transition Probability from state 3 to state 5 on day"&amp; " "&amp;C12&amp;" "&amp;"(CHG)"</f>
        <v>Transition Probability from state 3 to state 5 on day 2 (CHG)</v>
      </c>
      <c r="O140" s="61"/>
      <c r="P140" s="151">
        <v>0</v>
      </c>
      <c r="Q140" s="93">
        <f t="shared" ref="Q140:Q168" si="45">IF(O140="",P140,O140)</f>
        <v>0</v>
      </c>
      <c r="S140" s="56" t="str">
        <f t="shared" ref="S140:S168" si="46">"Transition Probability from state 4 to state 5 on day"&amp; " "&amp;C12&amp;" "&amp;"(CHG)"</f>
        <v>Transition Probability from state 4 to state 5 on day 2 (CHG)</v>
      </c>
      <c r="T140" s="150"/>
      <c r="U140" s="151">
        <v>0</v>
      </c>
      <c r="V140" s="93">
        <f t="shared" ref="V140:V168" si="47">IF(T140="",U140,T140)</f>
        <v>0</v>
      </c>
      <c r="X140" s="56" t="str">
        <f t="shared" ref="X140:X168" si="48">"Transition Probability from state 6 to state 5 on day"&amp; " "&amp;C12&amp;" "&amp;"(CHG)"</f>
        <v>Transition Probability from state 6 to state 5 on day 2 (CHG)</v>
      </c>
      <c r="Y140" s="150"/>
      <c r="Z140" s="151">
        <v>0</v>
      </c>
      <c r="AA140" s="93">
        <f t="shared" ref="AA140:AA168" si="49">IF(Y140="",Z140,Y140)</f>
        <v>0</v>
      </c>
      <c r="AB140" s="9"/>
      <c r="AC140" s="83"/>
    </row>
    <row r="141" spans="2:29" ht="17" thickTop="1" thickBot="1" x14ac:dyDescent="0.25">
      <c r="B141" s="83"/>
      <c r="D141" s="56" t="str">
        <f t="shared" si="40"/>
        <v>Transition Probability from state 1 to state 5 on day 3 (CHG)</v>
      </c>
      <c r="E141" s="61"/>
      <c r="F141" s="151">
        <v>0</v>
      </c>
      <c r="G141" s="93">
        <f t="shared" si="41"/>
        <v>0</v>
      </c>
      <c r="I141" s="56" t="str">
        <f t="shared" si="42"/>
        <v>Transition Probability from state 2 to state 5 on day 3 (CHG)</v>
      </c>
      <c r="J141" s="61"/>
      <c r="K141" s="151">
        <v>0</v>
      </c>
      <c r="L141" s="93">
        <f t="shared" si="43"/>
        <v>0</v>
      </c>
      <c r="N141" s="56" t="str">
        <f t="shared" si="44"/>
        <v>Transition Probability from state 3 to state 5 on day 3 (CHG)</v>
      </c>
      <c r="O141" s="61"/>
      <c r="P141" s="151">
        <v>0</v>
      </c>
      <c r="Q141" s="93">
        <f t="shared" si="45"/>
        <v>0</v>
      </c>
      <c r="S141" s="56" t="str">
        <f t="shared" si="46"/>
        <v>Transition Probability from state 4 to state 5 on day 3 (CHG)</v>
      </c>
      <c r="T141" s="150"/>
      <c r="U141" s="151">
        <v>0</v>
      </c>
      <c r="V141" s="93">
        <f t="shared" si="47"/>
        <v>0</v>
      </c>
      <c r="X141" s="56" t="str">
        <f t="shared" si="48"/>
        <v>Transition Probability from state 6 to state 5 on day 3 (CHG)</v>
      </c>
      <c r="Y141" s="150"/>
      <c r="Z141" s="151">
        <v>0</v>
      </c>
      <c r="AA141" s="93">
        <f t="shared" si="49"/>
        <v>0</v>
      </c>
      <c r="AB141" s="9"/>
      <c r="AC141" s="83"/>
    </row>
    <row r="142" spans="2:29" ht="17" thickTop="1" thickBot="1" x14ac:dyDescent="0.25">
      <c r="B142" s="83"/>
      <c r="D142" s="56" t="str">
        <f t="shared" si="40"/>
        <v>Transition Probability from state 1 to state 5 on day 4 (CHG)</v>
      </c>
      <c r="E142" s="61"/>
      <c r="F142" s="151">
        <v>0</v>
      </c>
      <c r="G142" s="93">
        <f t="shared" si="41"/>
        <v>0</v>
      </c>
      <c r="I142" s="56" t="str">
        <f t="shared" si="42"/>
        <v>Transition Probability from state 2 to state 5 on day 4 (CHG)</v>
      </c>
      <c r="J142" s="61"/>
      <c r="K142" s="151">
        <v>0</v>
      </c>
      <c r="L142" s="93">
        <f t="shared" si="43"/>
        <v>0</v>
      </c>
      <c r="N142" s="56" t="str">
        <f t="shared" si="44"/>
        <v>Transition Probability from state 3 to state 5 on day 4 (CHG)</v>
      </c>
      <c r="O142" s="61"/>
      <c r="P142" s="151">
        <v>0</v>
      </c>
      <c r="Q142" s="93">
        <f t="shared" si="45"/>
        <v>0</v>
      </c>
      <c r="S142" s="56" t="str">
        <f t="shared" si="46"/>
        <v>Transition Probability from state 4 to state 5 on day 4 (CHG)</v>
      </c>
      <c r="T142" s="150"/>
      <c r="U142" s="151">
        <v>0</v>
      </c>
      <c r="V142" s="93">
        <f t="shared" si="47"/>
        <v>0</v>
      </c>
      <c r="X142" s="56" t="str">
        <f t="shared" si="48"/>
        <v>Transition Probability from state 6 to state 5 on day 4 (CHG)</v>
      </c>
      <c r="Y142" s="150"/>
      <c r="Z142" s="151">
        <v>0</v>
      </c>
      <c r="AA142" s="93">
        <f t="shared" si="49"/>
        <v>0</v>
      </c>
      <c r="AB142" s="9"/>
      <c r="AC142" s="83"/>
    </row>
    <row r="143" spans="2:29" ht="17" thickTop="1" thickBot="1" x14ac:dyDescent="0.25">
      <c r="B143" s="83"/>
      <c r="D143" s="56" t="str">
        <f t="shared" si="40"/>
        <v>Transition Probability from state 1 to state 5 on day 5 (CHG)</v>
      </c>
      <c r="E143" s="61"/>
      <c r="F143" s="151">
        <v>1.3736263736263737E-3</v>
      </c>
      <c r="G143" s="93">
        <f t="shared" si="41"/>
        <v>1.3736263736263737E-3</v>
      </c>
      <c r="I143" s="56" t="str">
        <f t="shared" si="42"/>
        <v>Transition Probability from state 2 to state 5 on day 5 (CHG)</v>
      </c>
      <c r="J143" s="61"/>
      <c r="K143" s="151">
        <v>0</v>
      </c>
      <c r="L143" s="93">
        <f t="shared" si="43"/>
        <v>0</v>
      </c>
      <c r="N143" s="56" t="str">
        <f t="shared" si="44"/>
        <v>Transition Probability from state 3 to state 5 on day 5 (CHG)</v>
      </c>
      <c r="O143" s="61"/>
      <c r="P143" s="151">
        <v>0</v>
      </c>
      <c r="Q143" s="93">
        <f t="shared" si="45"/>
        <v>0</v>
      </c>
      <c r="S143" s="56" t="str">
        <f t="shared" si="46"/>
        <v>Transition Probability from state 4 to state 5 on day 5 (CHG)</v>
      </c>
      <c r="T143" s="150"/>
      <c r="U143" s="151">
        <v>0</v>
      </c>
      <c r="V143" s="93">
        <f t="shared" si="47"/>
        <v>0</v>
      </c>
      <c r="X143" s="56" t="str">
        <f t="shared" si="48"/>
        <v>Transition Probability from state 6 to state 5 on day 5 (CHG)</v>
      </c>
      <c r="Y143" s="150"/>
      <c r="Z143" s="151">
        <v>0</v>
      </c>
      <c r="AA143" s="93">
        <f t="shared" si="49"/>
        <v>0</v>
      </c>
      <c r="AB143" s="9"/>
      <c r="AC143" s="83"/>
    </row>
    <row r="144" spans="2:29" ht="17" thickTop="1" thickBot="1" x14ac:dyDescent="0.25">
      <c r="B144" s="83"/>
      <c r="D144" s="56" t="str">
        <f t="shared" si="40"/>
        <v>Transition Probability from state 1 to state 5 on day 6 (CHG)</v>
      </c>
      <c r="E144" s="61"/>
      <c r="F144" s="151">
        <v>3.0581039755351682E-3</v>
      </c>
      <c r="G144" s="93">
        <f t="shared" si="41"/>
        <v>3.0581039755351682E-3</v>
      </c>
      <c r="I144" s="56" t="str">
        <f t="shared" si="42"/>
        <v>Transition Probability from state 2 to state 5 on day 6 (CHG)</v>
      </c>
      <c r="J144" s="61"/>
      <c r="K144" s="151">
        <v>0</v>
      </c>
      <c r="L144" s="93">
        <f t="shared" si="43"/>
        <v>0</v>
      </c>
      <c r="N144" s="56" t="str">
        <f t="shared" si="44"/>
        <v>Transition Probability from state 3 to state 5 on day 6 (CHG)</v>
      </c>
      <c r="O144" s="61"/>
      <c r="P144" s="151">
        <v>0</v>
      </c>
      <c r="Q144" s="93">
        <f t="shared" si="45"/>
        <v>0</v>
      </c>
      <c r="S144" s="56" t="str">
        <f t="shared" si="46"/>
        <v>Transition Probability from state 4 to state 5 on day 6 (CHG)</v>
      </c>
      <c r="T144" s="150"/>
      <c r="U144" s="151">
        <v>0</v>
      </c>
      <c r="V144" s="93">
        <f t="shared" si="47"/>
        <v>0</v>
      </c>
      <c r="X144" s="56" t="str">
        <f t="shared" si="48"/>
        <v>Transition Probability from state 6 to state 5 on day 6 (CHG)</v>
      </c>
      <c r="Y144" s="150"/>
      <c r="Z144" s="151">
        <v>0</v>
      </c>
      <c r="AA144" s="93">
        <f t="shared" si="49"/>
        <v>0</v>
      </c>
      <c r="AB144" s="9"/>
      <c r="AC144" s="83"/>
    </row>
    <row r="145" spans="2:29" ht="17" thickTop="1" thickBot="1" x14ac:dyDescent="0.25">
      <c r="B145" s="83"/>
      <c r="D145" s="56" t="str">
        <f t="shared" si="40"/>
        <v>Transition Probability from state 1 to state 5 on day 7 (CHG)</v>
      </c>
      <c r="E145" s="61"/>
      <c r="F145" s="151">
        <v>0</v>
      </c>
      <c r="G145" s="93">
        <f t="shared" si="41"/>
        <v>0</v>
      </c>
      <c r="I145" s="56" t="str">
        <f t="shared" si="42"/>
        <v>Transition Probability from state 2 to state 5 on day 7 (CHG)</v>
      </c>
      <c r="J145" s="61"/>
      <c r="K145" s="151">
        <v>0</v>
      </c>
      <c r="L145" s="93">
        <f t="shared" si="43"/>
        <v>0</v>
      </c>
      <c r="N145" s="56" t="str">
        <f t="shared" si="44"/>
        <v>Transition Probability from state 3 to state 5 on day 7 (CHG)</v>
      </c>
      <c r="O145" s="61"/>
      <c r="P145" s="151">
        <v>0</v>
      </c>
      <c r="Q145" s="93">
        <f t="shared" si="45"/>
        <v>0</v>
      </c>
      <c r="S145" s="56" t="str">
        <f t="shared" si="46"/>
        <v>Transition Probability from state 4 to state 5 on day 7 (CHG)</v>
      </c>
      <c r="T145" s="150"/>
      <c r="U145" s="151">
        <v>0</v>
      </c>
      <c r="V145" s="93">
        <f t="shared" si="47"/>
        <v>0</v>
      </c>
      <c r="X145" s="56" t="str">
        <f t="shared" si="48"/>
        <v>Transition Probability from state 6 to state 5 on day 7 (CHG)</v>
      </c>
      <c r="Y145" s="150"/>
      <c r="Z145" s="151">
        <v>0</v>
      </c>
      <c r="AA145" s="93">
        <f t="shared" si="49"/>
        <v>0</v>
      </c>
      <c r="AB145" s="9"/>
      <c r="AC145" s="83"/>
    </row>
    <row r="146" spans="2:29" ht="17" thickTop="1" thickBot="1" x14ac:dyDescent="0.25">
      <c r="B146" s="83"/>
      <c r="D146" s="56" t="str">
        <f t="shared" si="40"/>
        <v>Transition Probability from state 1 to state 5 on day 8 (CHG)</v>
      </c>
      <c r="E146" s="61"/>
      <c r="F146" s="151">
        <v>3.7735849056603774E-3</v>
      </c>
      <c r="G146" s="93">
        <f t="shared" si="41"/>
        <v>3.7735849056603774E-3</v>
      </c>
      <c r="I146" s="56" t="str">
        <f t="shared" si="42"/>
        <v>Transition Probability from state 2 to state 5 on day 8 (CHG)</v>
      </c>
      <c r="J146" s="61"/>
      <c r="K146" s="151">
        <v>0</v>
      </c>
      <c r="L146" s="93">
        <f t="shared" si="43"/>
        <v>0</v>
      </c>
      <c r="N146" s="56" t="str">
        <f t="shared" si="44"/>
        <v>Transition Probability from state 3 to state 5 on day 8 (CHG)</v>
      </c>
      <c r="O146" s="61"/>
      <c r="P146" s="151">
        <v>0</v>
      </c>
      <c r="Q146" s="93">
        <f t="shared" si="45"/>
        <v>0</v>
      </c>
      <c r="S146" s="56" t="str">
        <f t="shared" si="46"/>
        <v>Transition Probability from state 4 to state 5 on day 8 (CHG)</v>
      </c>
      <c r="T146" s="150"/>
      <c r="U146" s="151">
        <v>0</v>
      </c>
      <c r="V146" s="93">
        <f t="shared" si="47"/>
        <v>0</v>
      </c>
      <c r="X146" s="56" t="str">
        <f t="shared" si="48"/>
        <v>Transition Probability from state 6 to state 5 on day 8 (CHG)</v>
      </c>
      <c r="Y146" s="150"/>
      <c r="Z146" s="151">
        <v>0</v>
      </c>
      <c r="AA146" s="93">
        <f t="shared" si="49"/>
        <v>0</v>
      </c>
      <c r="AB146" s="9"/>
      <c r="AC146" s="83"/>
    </row>
    <row r="147" spans="2:29" ht="17" thickTop="1" thickBot="1" x14ac:dyDescent="0.25">
      <c r="B147" s="83"/>
      <c r="D147" s="56" t="str">
        <f t="shared" si="40"/>
        <v>Transition Probability from state 1 to state 5 on day 9 (CHG)</v>
      </c>
      <c r="E147" s="61"/>
      <c r="F147" s="151">
        <v>2.0790020790020791E-3</v>
      </c>
      <c r="G147" s="93">
        <f t="shared" si="41"/>
        <v>2.0790020790020791E-3</v>
      </c>
      <c r="I147" s="56" t="str">
        <f t="shared" si="42"/>
        <v>Transition Probability from state 2 to state 5 on day 9 (CHG)</v>
      </c>
      <c r="J147" s="61"/>
      <c r="K147" s="151">
        <v>5.5555555555555552E-2</v>
      </c>
      <c r="L147" s="93">
        <f t="shared" si="43"/>
        <v>5.5555555555555552E-2</v>
      </c>
      <c r="N147" s="56" t="str">
        <f t="shared" si="44"/>
        <v>Transition Probability from state 3 to state 5 on day 9 (CHG)</v>
      </c>
      <c r="O147" s="61"/>
      <c r="P147" s="151">
        <v>0</v>
      </c>
      <c r="Q147" s="93">
        <f t="shared" si="45"/>
        <v>0</v>
      </c>
      <c r="S147" s="56" t="str">
        <f t="shared" si="46"/>
        <v>Transition Probability from state 4 to state 5 on day 9 (CHG)</v>
      </c>
      <c r="T147" s="150"/>
      <c r="U147" s="151">
        <v>0</v>
      </c>
      <c r="V147" s="93">
        <f t="shared" si="47"/>
        <v>0</v>
      </c>
      <c r="X147" s="56" t="str">
        <f t="shared" si="48"/>
        <v>Transition Probability from state 6 to state 5 on day 9 (CHG)</v>
      </c>
      <c r="Y147" s="150"/>
      <c r="Z147" s="151">
        <v>0</v>
      </c>
      <c r="AA147" s="93">
        <f t="shared" si="49"/>
        <v>0</v>
      </c>
      <c r="AB147" s="9"/>
      <c r="AC147" s="83"/>
    </row>
    <row r="148" spans="2:29" ht="17" thickTop="1" thickBot="1" x14ac:dyDescent="0.25">
      <c r="B148" s="83"/>
      <c r="D148" s="56" t="str">
        <f t="shared" si="40"/>
        <v>Transition Probability from state 1 to state 5 on day 10 (CHG)</v>
      </c>
      <c r="E148" s="61"/>
      <c r="F148" s="151">
        <v>4.464285714285714E-3</v>
      </c>
      <c r="G148" s="93">
        <f t="shared" si="41"/>
        <v>4.464285714285714E-3</v>
      </c>
      <c r="H148" s="143"/>
      <c r="I148" s="56" t="str">
        <f t="shared" si="42"/>
        <v>Transition Probability from state 2 to state 5 on day 10 (CHG)</v>
      </c>
      <c r="J148" s="61"/>
      <c r="K148" s="151">
        <v>0</v>
      </c>
      <c r="L148" s="93">
        <f t="shared" si="43"/>
        <v>0</v>
      </c>
      <c r="M148" s="143"/>
      <c r="N148" s="56" t="str">
        <f t="shared" si="44"/>
        <v>Transition Probability from state 3 to state 5 on day 10 (CHG)</v>
      </c>
      <c r="O148" s="61"/>
      <c r="P148" s="151">
        <v>0</v>
      </c>
      <c r="Q148" s="93">
        <f t="shared" si="45"/>
        <v>0</v>
      </c>
      <c r="R148" s="143"/>
      <c r="S148" s="56" t="str">
        <f t="shared" si="46"/>
        <v>Transition Probability from state 4 to state 5 on day 10 (CHG)</v>
      </c>
      <c r="T148" s="150"/>
      <c r="U148" s="151">
        <v>0</v>
      </c>
      <c r="V148" s="93">
        <f t="shared" si="47"/>
        <v>0</v>
      </c>
      <c r="W148" s="143"/>
      <c r="X148" s="56" t="str">
        <f t="shared" si="48"/>
        <v>Transition Probability from state 6 to state 5 on day 10 (CHG)</v>
      </c>
      <c r="Y148" s="150"/>
      <c r="Z148" s="151">
        <v>0.5</v>
      </c>
      <c r="AA148" s="93">
        <f t="shared" si="49"/>
        <v>0.5</v>
      </c>
      <c r="AB148" s="9"/>
      <c r="AC148" s="83"/>
    </row>
    <row r="149" spans="2:29" ht="17" thickTop="1" thickBot="1" x14ac:dyDescent="0.25">
      <c r="B149" s="83"/>
      <c r="D149" s="56" t="str">
        <f t="shared" si="40"/>
        <v>Transition Probability from state 1 to state 5 on day 11 (CHG)</v>
      </c>
      <c r="E149" s="61"/>
      <c r="F149" s="151">
        <v>7.5187969924812026E-3</v>
      </c>
      <c r="G149" s="93">
        <f t="shared" si="41"/>
        <v>7.5187969924812026E-3</v>
      </c>
      <c r="I149" s="56" t="str">
        <f t="shared" si="42"/>
        <v>Transition Probability from state 2 to state 5 on day 11 (CHG)</v>
      </c>
      <c r="J149" s="61"/>
      <c r="K149" s="151">
        <v>0</v>
      </c>
      <c r="L149" s="93">
        <f t="shared" si="43"/>
        <v>0</v>
      </c>
      <c r="N149" s="56" t="str">
        <f t="shared" si="44"/>
        <v>Transition Probability from state 3 to state 5 on day 11 (CHG)</v>
      </c>
      <c r="O149" s="61"/>
      <c r="P149" s="151">
        <v>0</v>
      </c>
      <c r="Q149" s="93">
        <f t="shared" si="45"/>
        <v>0</v>
      </c>
      <c r="S149" s="56" t="str">
        <f t="shared" si="46"/>
        <v>Transition Probability from state 4 to state 5 on day 11 (CHG)</v>
      </c>
      <c r="T149" s="150"/>
      <c r="U149" s="151">
        <v>0</v>
      </c>
      <c r="V149" s="93">
        <f t="shared" si="47"/>
        <v>0</v>
      </c>
      <c r="X149" s="56" t="str">
        <f t="shared" si="48"/>
        <v>Transition Probability from state 6 to state 5 on day 11 (CHG)</v>
      </c>
      <c r="Y149" s="150"/>
      <c r="Z149" s="151">
        <v>0.5</v>
      </c>
      <c r="AA149" s="93">
        <f t="shared" si="49"/>
        <v>0.5</v>
      </c>
      <c r="AB149" s="9"/>
      <c r="AC149" s="83"/>
    </row>
    <row r="150" spans="2:29" ht="17" thickTop="1" thickBot="1" x14ac:dyDescent="0.25">
      <c r="B150" s="83"/>
      <c r="D150" s="56" t="str">
        <f t="shared" si="40"/>
        <v>Transition Probability from state 1 to state 5 on day 12 (CHG)</v>
      </c>
      <c r="E150" s="61"/>
      <c r="F150" s="151">
        <v>0</v>
      </c>
      <c r="G150" s="93">
        <f t="shared" si="41"/>
        <v>0</v>
      </c>
      <c r="I150" s="56" t="str">
        <f t="shared" si="42"/>
        <v>Transition Probability from state 2 to state 5 on day 12 (CHG)</v>
      </c>
      <c r="J150" s="61"/>
      <c r="K150" s="151">
        <v>0</v>
      </c>
      <c r="L150" s="93">
        <f t="shared" si="43"/>
        <v>0</v>
      </c>
      <c r="N150" s="56" t="str">
        <f t="shared" si="44"/>
        <v>Transition Probability from state 3 to state 5 on day 12 (CHG)</v>
      </c>
      <c r="O150" s="61"/>
      <c r="P150" s="151">
        <v>0</v>
      </c>
      <c r="Q150" s="93">
        <f t="shared" si="45"/>
        <v>0</v>
      </c>
      <c r="S150" s="56" t="str">
        <f t="shared" si="46"/>
        <v>Transition Probability from state 4 to state 5 on day 12 (CHG)</v>
      </c>
      <c r="T150" s="150"/>
      <c r="U150" s="151">
        <v>0</v>
      </c>
      <c r="V150" s="93">
        <f t="shared" si="47"/>
        <v>0</v>
      </c>
      <c r="X150" s="56" t="str">
        <f t="shared" si="48"/>
        <v>Transition Probability from state 6 to state 5 on day 12 (CHG)</v>
      </c>
      <c r="Y150" s="150"/>
      <c r="Z150" s="151">
        <v>0.33333333333333331</v>
      </c>
      <c r="AA150" s="93">
        <f t="shared" si="49"/>
        <v>0.33333333333333331</v>
      </c>
      <c r="AB150" s="9"/>
      <c r="AC150" s="83"/>
    </row>
    <row r="151" spans="2:29" ht="17" thickTop="1" thickBot="1" x14ac:dyDescent="0.25">
      <c r="B151" s="83"/>
      <c r="D151" s="56" t="str">
        <f t="shared" si="40"/>
        <v>Transition Probability from state 1 to state 5 on day 13 (CHG)</v>
      </c>
      <c r="E151" s="61"/>
      <c r="F151" s="151">
        <v>0</v>
      </c>
      <c r="G151" s="93">
        <f t="shared" si="41"/>
        <v>0</v>
      </c>
      <c r="I151" s="56" t="str">
        <f t="shared" si="42"/>
        <v>Transition Probability from state 2 to state 5 on day 13 (CHG)</v>
      </c>
      <c r="J151" s="61"/>
      <c r="K151" s="151">
        <v>0</v>
      </c>
      <c r="L151" s="93">
        <f t="shared" si="43"/>
        <v>0</v>
      </c>
      <c r="N151" s="56" t="str">
        <f t="shared" si="44"/>
        <v>Transition Probability from state 3 to state 5 on day 13 (CHG)</v>
      </c>
      <c r="O151" s="61"/>
      <c r="P151" s="151">
        <v>0</v>
      </c>
      <c r="Q151" s="93">
        <f t="shared" si="45"/>
        <v>0</v>
      </c>
      <c r="S151" s="56" t="str">
        <f t="shared" si="46"/>
        <v>Transition Probability from state 4 to state 5 on day 13 (CHG)</v>
      </c>
      <c r="T151" s="150"/>
      <c r="U151" s="151">
        <v>0</v>
      </c>
      <c r="V151" s="93">
        <f t="shared" si="47"/>
        <v>0</v>
      </c>
      <c r="X151" s="56" t="str">
        <f t="shared" si="48"/>
        <v>Transition Probability from state 6 to state 5 on day 13 (CHG)</v>
      </c>
      <c r="Y151" s="150"/>
      <c r="Z151" s="151">
        <v>0.75</v>
      </c>
      <c r="AA151" s="93">
        <f t="shared" si="49"/>
        <v>0.75</v>
      </c>
      <c r="AB151" s="9"/>
      <c r="AC151" s="83"/>
    </row>
    <row r="152" spans="2:29" ht="17" thickTop="1" thickBot="1" x14ac:dyDescent="0.25">
      <c r="B152" s="83"/>
      <c r="D152" s="56" t="str">
        <f t="shared" si="40"/>
        <v>Transition Probability from state 1 to state 5 on day 14 (CHG)</v>
      </c>
      <c r="E152" s="61"/>
      <c r="F152" s="151">
        <v>6.1349693251533744E-3</v>
      </c>
      <c r="G152" s="93">
        <f t="shared" si="41"/>
        <v>6.1349693251533744E-3</v>
      </c>
      <c r="I152" s="56" t="str">
        <f t="shared" si="42"/>
        <v>Transition Probability from state 2 to state 5 on day 14 (CHG)</v>
      </c>
      <c r="J152" s="61"/>
      <c r="K152" s="151">
        <v>0</v>
      </c>
      <c r="L152" s="93">
        <f t="shared" si="43"/>
        <v>0</v>
      </c>
      <c r="N152" s="56" t="str">
        <f t="shared" si="44"/>
        <v>Transition Probability from state 3 to state 5 on day 14 (CHG)</v>
      </c>
      <c r="O152" s="61"/>
      <c r="P152" s="151">
        <v>0</v>
      </c>
      <c r="Q152" s="93">
        <f t="shared" si="45"/>
        <v>0</v>
      </c>
      <c r="S152" s="56" t="str">
        <f t="shared" si="46"/>
        <v>Transition Probability from state 4 to state 5 on day 14 (CHG)</v>
      </c>
      <c r="T152" s="150"/>
      <c r="U152" s="151">
        <v>0</v>
      </c>
      <c r="V152" s="93">
        <f t="shared" si="47"/>
        <v>0</v>
      </c>
      <c r="X152" s="56" t="str">
        <f t="shared" si="48"/>
        <v>Transition Probability from state 6 to state 5 on day 14 (CHG)</v>
      </c>
      <c r="Y152" s="150"/>
      <c r="Z152" s="151">
        <v>0</v>
      </c>
      <c r="AA152" s="93">
        <f t="shared" si="49"/>
        <v>0</v>
      </c>
      <c r="AB152" s="9"/>
      <c r="AC152" s="83"/>
    </row>
    <row r="153" spans="2:29" ht="17" thickTop="1" thickBot="1" x14ac:dyDescent="0.25">
      <c r="B153" s="83"/>
      <c r="D153" s="56" t="str">
        <f t="shared" si="40"/>
        <v>Transition Probability from state 1 to state 5 on day 15 (CHG)</v>
      </c>
      <c r="E153" s="61"/>
      <c r="F153" s="151">
        <v>0</v>
      </c>
      <c r="G153" s="93">
        <f t="shared" si="41"/>
        <v>0</v>
      </c>
      <c r="I153" s="56" t="str">
        <f t="shared" si="42"/>
        <v>Transition Probability from state 2 to state 5 on day 15 (CHG)</v>
      </c>
      <c r="J153" s="61"/>
      <c r="K153" s="151">
        <v>0</v>
      </c>
      <c r="L153" s="93">
        <f t="shared" si="43"/>
        <v>0</v>
      </c>
      <c r="N153" s="56" t="str">
        <f t="shared" si="44"/>
        <v>Transition Probability from state 3 to state 5 on day 15 (CHG)</v>
      </c>
      <c r="O153" s="61"/>
      <c r="P153" s="151">
        <v>0</v>
      </c>
      <c r="Q153" s="93">
        <f t="shared" si="45"/>
        <v>0</v>
      </c>
      <c r="S153" s="56" t="str">
        <f t="shared" si="46"/>
        <v>Transition Probability from state 4 to state 5 on day 15 (CHG)</v>
      </c>
      <c r="T153" s="150"/>
      <c r="U153" s="151">
        <v>0</v>
      </c>
      <c r="V153" s="93">
        <f t="shared" si="47"/>
        <v>0</v>
      </c>
      <c r="X153" s="56" t="str">
        <f t="shared" si="48"/>
        <v>Transition Probability from state 6 to state 5 on day 15 (CHG)</v>
      </c>
      <c r="Y153" s="150"/>
      <c r="Z153" s="151">
        <v>0.33333333333333331</v>
      </c>
      <c r="AA153" s="93">
        <f t="shared" si="49"/>
        <v>0.33333333333333331</v>
      </c>
      <c r="AB153" s="9"/>
      <c r="AC153" s="83"/>
    </row>
    <row r="154" spans="2:29" ht="17" thickTop="1" thickBot="1" x14ac:dyDescent="0.25">
      <c r="B154" s="83"/>
      <c r="D154" s="56" t="str">
        <f t="shared" si="40"/>
        <v>Transition Probability from state 1 to state 5 on day 16 (CHG)</v>
      </c>
      <c r="E154" s="61"/>
      <c r="F154" s="151">
        <v>0</v>
      </c>
      <c r="G154" s="93">
        <f t="shared" si="41"/>
        <v>0</v>
      </c>
      <c r="I154" s="56" t="str">
        <f t="shared" si="42"/>
        <v>Transition Probability from state 2 to state 5 on day 16 (CHG)</v>
      </c>
      <c r="J154" s="61"/>
      <c r="K154" s="151">
        <v>0</v>
      </c>
      <c r="L154" s="93">
        <f t="shared" si="43"/>
        <v>0</v>
      </c>
      <c r="N154" s="56" t="str">
        <f t="shared" si="44"/>
        <v>Transition Probability from state 3 to state 5 on day 16 (CHG)</v>
      </c>
      <c r="O154" s="61"/>
      <c r="P154" s="151">
        <v>0</v>
      </c>
      <c r="Q154" s="93">
        <f t="shared" si="45"/>
        <v>0</v>
      </c>
      <c r="S154" s="56" t="str">
        <f t="shared" si="46"/>
        <v>Transition Probability from state 4 to state 5 on day 16 (CHG)</v>
      </c>
      <c r="T154" s="150"/>
      <c r="U154" s="151">
        <v>0</v>
      </c>
      <c r="V154" s="93">
        <f t="shared" si="47"/>
        <v>0</v>
      </c>
      <c r="X154" s="56" t="str">
        <f t="shared" si="48"/>
        <v>Transition Probability from state 6 to state 5 on day 16 (CHG)</v>
      </c>
      <c r="Y154" s="150"/>
      <c r="Z154" s="151">
        <v>0</v>
      </c>
      <c r="AA154" s="93">
        <f t="shared" si="49"/>
        <v>0</v>
      </c>
      <c r="AB154" s="9"/>
      <c r="AC154" s="83"/>
    </row>
    <row r="155" spans="2:29" ht="17" thickTop="1" thickBot="1" x14ac:dyDescent="0.25">
      <c r="B155" s="83"/>
      <c r="D155" s="56" t="str">
        <f t="shared" si="40"/>
        <v>Transition Probability from state 1 to state 5 on day 17 (CHG)</v>
      </c>
      <c r="E155" s="61"/>
      <c r="F155" s="151">
        <v>0</v>
      </c>
      <c r="G155" s="93">
        <f t="shared" si="41"/>
        <v>0</v>
      </c>
      <c r="I155" s="56" t="str">
        <f t="shared" si="42"/>
        <v>Transition Probability from state 2 to state 5 on day 17 (CHG)</v>
      </c>
      <c r="J155" s="61"/>
      <c r="K155" s="151">
        <v>0</v>
      </c>
      <c r="L155" s="93">
        <f t="shared" si="43"/>
        <v>0</v>
      </c>
      <c r="N155" s="56" t="str">
        <f t="shared" si="44"/>
        <v>Transition Probability from state 3 to state 5 on day 17 (CHG)</v>
      </c>
      <c r="O155" s="61"/>
      <c r="P155" s="151">
        <v>0</v>
      </c>
      <c r="Q155" s="93">
        <f t="shared" si="45"/>
        <v>0</v>
      </c>
      <c r="S155" s="56" t="str">
        <f t="shared" si="46"/>
        <v>Transition Probability from state 4 to state 5 on day 17 (CHG)</v>
      </c>
      <c r="T155" s="150"/>
      <c r="U155" s="151">
        <v>0</v>
      </c>
      <c r="V155" s="93">
        <f t="shared" si="47"/>
        <v>0</v>
      </c>
      <c r="X155" s="56" t="str">
        <f t="shared" si="48"/>
        <v>Transition Probability from state 6 to state 5 on day 17 (CHG)</v>
      </c>
      <c r="Y155" s="150"/>
      <c r="Z155" s="151">
        <v>0</v>
      </c>
      <c r="AA155" s="93">
        <f t="shared" si="49"/>
        <v>0</v>
      </c>
      <c r="AB155" s="9"/>
      <c r="AC155" s="83"/>
    </row>
    <row r="156" spans="2:29" ht="17" thickTop="1" thickBot="1" x14ac:dyDescent="0.25">
      <c r="B156" s="83"/>
      <c r="D156" s="56" t="str">
        <f t="shared" si="40"/>
        <v>Transition Probability from state 1 to state 5 on day 18 (CHG)</v>
      </c>
      <c r="E156" s="61"/>
      <c r="F156" s="151">
        <v>0</v>
      </c>
      <c r="G156" s="93">
        <f t="shared" si="41"/>
        <v>0</v>
      </c>
      <c r="I156" s="56" t="str">
        <f t="shared" si="42"/>
        <v>Transition Probability from state 2 to state 5 on day 18 (CHG)</v>
      </c>
      <c r="J156" s="61"/>
      <c r="K156" s="151">
        <v>0</v>
      </c>
      <c r="L156" s="93">
        <f t="shared" si="43"/>
        <v>0</v>
      </c>
      <c r="N156" s="56" t="str">
        <f t="shared" si="44"/>
        <v>Transition Probability from state 3 to state 5 on day 18 (CHG)</v>
      </c>
      <c r="O156" s="61"/>
      <c r="P156" s="151">
        <v>0</v>
      </c>
      <c r="Q156" s="93">
        <f t="shared" si="45"/>
        <v>0</v>
      </c>
      <c r="S156" s="56" t="str">
        <f t="shared" si="46"/>
        <v>Transition Probability from state 4 to state 5 on day 18 (CHG)</v>
      </c>
      <c r="T156" s="150"/>
      <c r="U156" s="151">
        <v>0</v>
      </c>
      <c r="V156" s="93">
        <f t="shared" si="47"/>
        <v>0</v>
      </c>
      <c r="X156" s="56" t="str">
        <f t="shared" si="48"/>
        <v>Transition Probability from state 6 to state 5 on day 18 (CHG)</v>
      </c>
      <c r="Y156" s="150"/>
      <c r="Z156" s="151">
        <v>0</v>
      </c>
      <c r="AA156" s="93">
        <f t="shared" si="49"/>
        <v>0</v>
      </c>
      <c r="AB156" s="9"/>
      <c r="AC156" s="83"/>
    </row>
    <row r="157" spans="2:29" ht="17" thickTop="1" thickBot="1" x14ac:dyDescent="0.25">
      <c r="B157" s="83"/>
      <c r="D157" s="56" t="str">
        <f t="shared" si="40"/>
        <v>Transition Probability from state 1 to state 5 on day 19 (CHG)</v>
      </c>
      <c r="E157" s="61"/>
      <c r="F157" s="151">
        <v>4.2016806722689074E-3</v>
      </c>
      <c r="G157" s="93">
        <f t="shared" si="41"/>
        <v>4.2016806722689074E-3</v>
      </c>
      <c r="I157" s="56" t="str">
        <f t="shared" si="42"/>
        <v>Transition Probability from state 2 to state 5 on day 19 (CHG)</v>
      </c>
      <c r="J157" s="61"/>
      <c r="K157" s="151">
        <v>0</v>
      </c>
      <c r="L157" s="93">
        <f t="shared" si="43"/>
        <v>0</v>
      </c>
      <c r="N157" s="56" t="str">
        <f t="shared" si="44"/>
        <v>Transition Probability from state 3 to state 5 on day 19 (CHG)</v>
      </c>
      <c r="O157" s="61"/>
      <c r="P157" s="151">
        <v>0</v>
      </c>
      <c r="Q157" s="93">
        <f t="shared" si="45"/>
        <v>0</v>
      </c>
      <c r="S157" s="56" t="str">
        <f t="shared" si="46"/>
        <v>Transition Probability from state 4 to state 5 on day 19 (CHG)</v>
      </c>
      <c r="T157" s="150"/>
      <c r="U157" s="151">
        <v>0</v>
      </c>
      <c r="V157" s="93">
        <f t="shared" si="47"/>
        <v>0</v>
      </c>
      <c r="X157" s="56" t="str">
        <f t="shared" si="48"/>
        <v>Transition Probability from state 6 to state 5 on day 19 (CHG)</v>
      </c>
      <c r="Y157" s="150"/>
      <c r="Z157" s="151">
        <v>0</v>
      </c>
      <c r="AA157" s="93">
        <f t="shared" si="49"/>
        <v>0</v>
      </c>
      <c r="AB157" s="9"/>
      <c r="AC157" s="83"/>
    </row>
    <row r="158" spans="2:29" ht="17" thickTop="1" thickBot="1" x14ac:dyDescent="0.25">
      <c r="B158" s="83"/>
      <c r="D158" s="56" t="str">
        <f t="shared" si="40"/>
        <v>Transition Probability from state 1 to state 5 on day 20 (CHG)</v>
      </c>
      <c r="E158" s="61"/>
      <c r="F158" s="151">
        <v>0</v>
      </c>
      <c r="G158" s="93">
        <f t="shared" si="41"/>
        <v>0</v>
      </c>
      <c r="I158" s="56" t="str">
        <f t="shared" si="42"/>
        <v>Transition Probability from state 2 to state 5 on day 20 (CHG)</v>
      </c>
      <c r="J158" s="61"/>
      <c r="K158" s="151">
        <v>0</v>
      </c>
      <c r="L158" s="93">
        <f t="shared" si="43"/>
        <v>0</v>
      </c>
      <c r="N158" s="56" t="str">
        <f t="shared" si="44"/>
        <v>Transition Probability from state 3 to state 5 on day 20 (CHG)</v>
      </c>
      <c r="O158" s="61"/>
      <c r="P158" s="151">
        <v>0</v>
      </c>
      <c r="Q158" s="93">
        <f t="shared" si="45"/>
        <v>0</v>
      </c>
      <c r="S158" s="56" t="str">
        <f t="shared" si="46"/>
        <v>Transition Probability from state 4 to state 5 on day 20 (CHG)</v>
      </c>
      <c r="T158" s="150"/>
      <c r="U158" s="151">
        <v>0</v>
      </c>
      <c r="V158" s="93">
        <f t="shared" si="47"/>
        <v>0</v>
      </c>
      <c r="X158" s="56" t="str">
        <f t="shared" si="48"/>
        <v>Transition Probability from state 6 to state 5 on day 20 (CHG)</v>
      </c>
      <c r="Y158" s="150"/>
      <c r="Z158" s="151">
        <v>0</v>
      </c>
      <c r="AA158" s="93">
        <f t="shared" si="49"/>
        <v>0</v>
      </c>
      <c r="AB158" s="9"/>
      <c r="AC158" s="83"/>
    </row>
    <row r="159" spans="2:29" ht="17" thickTop="1" thickBot="1" x14ac:dyDescent="0.25">
      <c r="B159" s="83"/>
      <c r="D159" s="56" t="str">
        <f t="shared" si="40"/>
        <v>Transition Probability from state 1 to state 5 on day 21 (CHG)</v>
      </c>
      <c r="E159" s="61"/>
      <c r="F159" s="151">
        <v>4.5248868778280547E-3</v>
      </c>
      <c r="G159" s="93">
        <f t="shared" si="41"/>
        <v>4.5248868778280547E-3</v>
      </c>
      <c r="I159" s="56" t="str">
        <f t="shared" si="42"/>
        <v>Transition Probability from state 2 to state 5 on day 21 (CHG)</v>
      </c>
      <c r="J159" s="61"/>
      <c r="K159" s="151">
        <v>0</v>
      </c>
      <c r="L159" s="93">
        <f t="shared" si="43"/>
        <v>0</v>
      </c>
      <c r="N159" s="56" t="str">
        <f t="shared" si="44"/>
        <v>Transition Probability from state 3 to state 5 on day 21 (CHG)</v>
      </c>
      <c r="O159" s="61"/>
      <c r="P159" s="151">
        <v>0</v>
      </c>
      <c r="Q159" s="93">
        <f t="shared" si="45"/>
        <v>0</v>
      </c>
      <c r="S159" s="56" t="str">
        <f t="shared" si="46"/>
        <v>Transition Probability from state 4 to state 5 on day 21 (CHG)</v>
      </c>
      <c r="T159" s="150"/>
      <c r="U159" s="151">
        <v>0</v>
      </c>
      <c r="V159" s="93">
        <f t="shared" si="47"/>
        <v>0</v>
      </c>
      <c r="X159" s="56" t="str">
        <f t="shared" si="48"/>
        <v>Transition Probability from state 6 to state 5 on day 21 (CHG)</v>
      </c>
      <c r="Y159" s="150"/>
      <c r="Z159" s="151">
        <v>0</v>
      </c>
      <c r="AA159" s="93">
        <f t="shared" si="49"/>
        <v>0</v>
      </c>
      <c r="AB159" s="9"/>
      <c r="AC159" s="83"/>
    </row>
    <row r="160" spans="2:29" ht="17" thickTop="1" thickBot="1" x14ac:dyDescent="0.25">
      <c r="B160" s="83"/>
      <c r="D160" s="56" t="str">
        <f t="shared" si="40"/>
        <v>Transition Probability from state 1 to state 5 on day 22 (CHG)</v>
      </c>
      <c r="E160" s="61"/>
      <c r="F160" s="151">
        <v>0</v>
      </c>
      <c r="G160" s="93">
        <f t="shared" si="41"/>
        <v>0</v>
      </c>
      <c r="I160" s="56" t="str">
        <f t="shared" si="42"/>
        <v>Transition Probability from state 2 to state 5 on day 22 (CHG)</v>
      </c>
      <c r="J160" s="61"/>
      <c r="K160" s="151">
        <v>0</v>
      </c>
      <c r="L160" s="93">
        <f t="shared" si="43"/>
        <v>0</v>
      </c>
      <c r="N160" s="56" t="str">
        <f t="shared" si="44"/>
        <v>Transition Probability from state 3 to state 5 on day 22 (CHG)</v>
      </c>
      <c r="O160" s="61"/>
      <c r="P160" s="151">
        <v>0</v>
      </c>
      <c r="Q160" s="93">
        <f t="shared" si="45"/>
        <v>0</v>
      </c>
      <c r="S160" s="56" t="str">
        <f t="shared" si="46"/>
        <v>Transition Probability from state 4 to state 5 on day 22 (CHG)</v>
      </c>
      <c r="T160" s="150"/>
      <c r="U160" s="151">
        <v>0</v>
      </c>
      <c r="V160" s="93">
        <f t="shared" si="47"/>
        <v>0</v>
      </c>
      <c r="X160" s="56" t="str">
        <f t="shared" si="48"/>
        <v>Transition Probability from state 6 to state 5 on day 22 (CHG)</v>
      </c>
      <c r="Y160" s="150"/>
      <c r="Z160" s="151">
        <v>0</v>
      </c>
      <c r="AA160" s="93">
        <f t="shared" si="49"/>
        <v>0</v>
      </c>
      <c r="AB160" s="9"/>
      <c r="AC160" s="83"/>
    </row>
    <row r="161" spans="2:29" ht="17" thickTop="1" thickBot="1" x14ac:dyDescent="0.25">
      <c r="B161" s="83"/>
      <c r="D161" s="56" t="str">
        <f t="shared" si="40"/>
        <v>Transition Probability from state 1 to state 5 on day 23 (CHG)</v>
      </c>
      <c r="E161" s="61"/>
      <c r="F161" s="151">
        <v>5.1282051282051282E-3</v>
      </c>
      <c r="G161" s="93">
        <f t="shared" si="41"/>
        <v>5.1282051282051282E-3</v>
      </c>
      <c r="I161" s="56" t="str">
        <f t="shared" si="42"/>
        <v>Transition Probability from state 2 to state 5 on day 23 (CHG)</v>
      </c>
      <c r="J161" s="61"/>
      <c r="K161" s="151">
        <v>0</v>
      </c>
      <c r="L161" s="93">
        <f t="shared" si="43"/>
        <v>0</v>
      </c>
      <c r="N161" s="56" t="str">
        <f t="shared" si="44"/>
        <v>Transition Probability from state 3 to state 5 on day 23 (CHG)</v>
      </c>
      <c r="O161" s="61"/>
      <c r="P161" s="151">
        <v>0</v>
      </c>
      <c r="Q161" s="93">
        <f t="shared" si="45"/>
        <v>0</v>
      </c>
      <c r="S161" s="56" t="str">
        <f t="shared" si="46"/>
        <v>Transition Probability from state 4 to state 5 on day 23 (CHG)</v>
      </c>
      <c r="T161" s="150"/>
      <c r="U161" s="151">
        <v>0</v>
      </c>
      <c r="V161" s="93">
        <f t="shared" si="47"/>
        <v>0</v>
      </c>
      <c r="X161" s="56" t="str">
        <f t="shared" si="48"/>
        <v>Transition Probability from state 6 to state 5 on day 23 (CHG)</v>
      </c>
      <c r="Y161" s="150"/>
      <c r="Z161" s="151">
        <v>0</v>
      </c>
      <c r="AA161" s="93">
        <f t="shared" si="49"/>
        <v>0</v>
      </c>
      <c r="AB161" s="9"/>
      <c r="AC161" s="83"/>
    </row>
    <row r="162" spans="2:29" ht="17" thickTop="1" thickBot="1" x14ac:dyDescent="0.25">
      <c r="B162" s="83"/>
      <c r="D162" s="56" t="str">
        <f t="shared" si="40"/>
        <v>Transition Probability from state 1 to state 5 on day 24 (CHG)</v>
      </c>
      <c r="E162" s="61"/>
      <c r="F162" s="151">
        <v>0</v>
      </c>
      <c r="G162" s="93">
        <f t="shared" si="41"/>
        <v>0</v>
      </c>
      <c r="I162" s="56" t="str">
        <f t="shared" si="42"/>
        <v>Transition Probability from state 2 to state 5 on day 24 (CHG)</v>
      </c>
      <c r="J162" s="61"/>
      <c r="K162" s="151">
        <v>0</v>
      </c>
      <c r="L162" s="93">
        <f t="shared" si="43"/>
        <v>0</v>
      </c>
      <c r="N162" s="56" t="str">
        <f t="shared" si="44"/>
        <v>Transition Probability from state 3 to state 5 on day 24 (CHG)</v>
      </c>
      <c r="O162" s="61"/>
      <c r="P162" s="151">
        <v>0</v>
      </c>
      <c r="Q162" s="93">
        <f t="shared" si="45"/>
        <v>0</v>
      </c>
      <c r="S162" s="56" t="str">
        <f t="shared" si="46"/>
        <v>Transition Probability from state 4 to state 5 on day 24 (CHG)</v>
      </c>
      <c r="T162" s="150"/>
      <c r="U162" s="151">
        <v>0</v>
      </c>
      <c r="V162" s="93">
        <f t="shared" si="47"/>
        <v>0</v>
      </c>
      <c r="X162" s="56" t="str">
        <f t="shared" si="48"/>
        <v>Transition Probability from state 6 to state 5 on day 24 (CHG)</v>
      </c>
      <c r="Y162" s="150"/>
      <c r="Z162" s="151">
        <v>0</v>
      </c>
      <c r="AA162" s="93">
        <f t="shared" si="49"/>
        <v>0</v>
      </c>
      <c r="AB162" s="9"/>
      <c r="AC162" s="83"/>
    </row>
    <row r="163" spans="2:29" ht="17" thickTop="1" thickBot="1" x14ac:dyDescent="0.25">
      <c r="B163" s="83"/>
      <c r="D163" s="56" t="str">
        <f t="shared" si="40"/>
        <v>Transition Probability from state 1 to state 5 on day 25 (CHG)</v>
      </c>
      <c r="E163" s="61"/>
      <c r="F163" s="151">
        <v>0</v>
      </c>
      <c r="G163" s="93">
        <f t="shared" si="41"/>
        <v>0</v>
      </c>
      <c r="I163" s="56" t="str">
        <f t="shared" si="42"/>
        <v>Transition Probability from state 2 to state 5 on day 25 (CHG)</v>
      </c>
      <c r="J163" s="61"/>
      <c r="K163" s="151">
        <v>0</v>
      </c>
      <c r="L163" s="93">
        <f t="shared" si="43"/>
        <v>0</v>
      </c>
      <c r="N163" s="56" t="str">
        <f t="shared" si="44"/>
        <v>Transition Probability from state 3 to state 5 on day 25 (CHG)</v>
      </c>
      <c r="O163" s="61"/>
      <c r="P163" s="151">
        <v>0</v>
      </c>
      <c r="Q163" s="93">
        <f t="shared" si="45"/>
        <v>0</v>
      </c>
      <c r="S163" s="56" t="str">
        <f t="shared" si="46"/>
        <v>Transition Probability from state 4 to state 5 on day 25 (CHG)</v>
      </c>
      <c r="T163" s="150"/>
      <c r="U163" s="151">
        <v>0</v>
      </c>
      <c r="V163" s="93">
        <f t="shared" si="47"/>
        <v>0</v>
      </c>
      <c r="X163" s="56" t="str">
        <f t="shared" si="48"/>
        <v>Transition Probability from state 6 to state 5 on day 25 (CHG)</v>
      </c>
      <c r="Y163" s="150"/>
      <c r="Z163" s="151">
        <v>1</v>
      </c>
      <c r="AA163" s="93">
        <f t="shared" si="49"/>
        <v>1</v>
      </c>
      <c r="AB163" s="9"/>
      <c r="AC163" s="83"/>
    </row>
    <row r="164" spans="2:29" ht="17" thickTop="1" thickBot="1" x14ac:dyDescent="0.25">
      <c r="B164" s="83"/>
      <c r="D164" s="56" t="str">
        <f t="shared" si="40"/>
        <v>Transition Probability from state 1 to state 5 on day 26 (CHG)</v>
      </c>
      <c r="E164" s="61"/>
      <c r="F164" s="151">
        <v>6.3291139240506328E-3</v>
      </c>
      <c r="G164" s="93">
        <f t="shared" si="41"/>
        <v>6.3291139240506328E-3</v>
      </c>
      <c r="I164" s="56" t="str">
        <f t="shared" si="42"/>
        <v>Transition Probability from state 2 to state 5 on day 26 (CHG)</v>
      </c>
      <c r="J164" s="61"/>
      <c r="K164" s="151">
        <v>0</v>
      </c>
      <c r="L164" s="93">
        <f t="shared" si="43"/>
        <v>0</v>
      </c>
      <c r="N164" s="56" t="str">
        <f t="shared" si="44"/>
        <v>Transition Probability from state 3 to state 5 on day 26 (CHG)</v>
      </c>
      <c r="O164" s="61"/>
      <c r="P164" s="151">
        <v>0</v>
      </c>
      <c r="Q164" s="93">
        <f t="shared" si="45"/>
        <v>0</v>
      </c>
      <c r="S164" s="56" t="str">
        <f t="shared" si="46"/>
        <v>Transition Probability from state 4 to state 5 on day 26 (CHG)</v>
      </c>
      <c r="T164" s="150"/>
      <c r="U164" s="151">
        <v>0</v>
      </c>
      <c r="V164" s="93">
        <f t="shared" si="47"/>
        <v>0</v>
      </c>
      <c r="X164" s="56" t="str">
        <f t="shared" si="48"/>
        <v>Transition Probability from state 6 to state 5 on day 26 (CHG)</v>
      </c>
      <c r="Y164" s="150"/>
      <c r="Z164" s="151">
        <v>0</v>
      </c>
      <c r="AA164" s="93">
        <f t="shared" si="49"/>
        <v>0</v>
      </c>
      <c r="AB164" s="9"/>
      <c r="AC164" s="83"/>
    </row>
    <row r="165" spans="2:29" ht="17" thickTop="1" thickBot="1" x14ac:dyDescent="0.25">
      <c r="B165" s="83"/>
      <c r="D165" s="56" t="str">
        <f t="shared" si="40"/>
        <v>Transition Probability from state 1 to state 5 on day 27 (CHG)</v>
      </c>
      <c r="E165" s="61"/>
      <c r="F165" s="151">
        <v>0</v>
      </c>
      <c r="G165" s="93">
        <f t="shared" si="41"/>
        <v>0</v>
      </c>
      <c r="I165" s="56" t="str">
        <f t="shared" si="42"/>
        <v>Transition Probability from state 2 to state 5 on day 27 (CHG)</v>
      </c>
      <c r="J165" s="61"/>
      <c r="K165" s="151">
        <v>0</v>
      </c>
      <c r="L165" s="93">
        <f t="shared" si="43"/>
        <v>0</v>
      </c>
      <c r="N165" s="56" t="str">
        <f t="shared" si="44"/>
        <v>Transition Probability from state 3 to state 5 on day 27 (CHG)</v>
      </c>
      <c r="O165" s="61"/>
      <c r="P165" s="151">
        <v>0</v>
      </c>
      <c r="Q165" s="93">
        <f t="shared" si="45"/>
        <v>0</v>
      </c>
      <c r="S165" s="56" t="str">
        <f t="shared" si="46"/>
        <v>Transition Probability from state 4 to state 5 on day 27 (CHG)</v>
      </c>
      <c r="T165" s="150"/>
      <c r="U165" s="151">
        <v>0</v>
      </c>
      <c r="V165" s="93">
        <f t="shared" si="47"/>
        <v>0</v>
      </c>
      <c r="X165" s="56" t="str">
        <f t="shared" si="48"/>
        <v>Transition Probability from state 6 to state 5 on day 27 (CHG)</v>
      </c>
      <c r="Y165" s="150"/>
      <c r="Z165" s="151">
        <v>0</v>
      </c>
      <c r="AA165" s="93">
        <f t="shared" si="49"/>
        <v>0</v>
      </c>
      <c r="AB165" s="9"/>
      <c r="AC165" s="83"/>
    </row>
    <row r="166" spans="2:29" ht="17" thickTop="1" thickBot="1" x14ac:dyDescent="0.25">
      <c r="B166" s="83"/>
      <c r="D166" s="56" t="str">
        <f t="shared" si="40"/>
        <v>Transition Probability from state 1 to state 5 on day 28 (CHG)</v>
      </c>
      <c r="E166" s="61"/>
      <c r="F166" s="151">
        <v>0</v>
      </c>
      <c r="G166" s="93">
        <f t="shared" si="41"/>
        <v>0</v>
      </c>
      <c r="I166" s="56" t="str">
        <f t="shared" si="42"/>
        <v>Transition Probability from state 2 to state 5 on day 28 (CHG)</v>
      </c>
      <c r="J166" s="61"/>
      <c r="K166" s="151">
        <v>0.14285714285714285</v>
      </c>
      <c r="L166" s="93">
        <f t="shared" si="43"/>
        <v>0.14285714285714285</v>
      </c>
      <c r="N166" s="56" t="str">
        <f t="shared" si="44"/>
        <v>Transition Probability from state 3 to state 5 on day 28 (CHG)</v>
      </c>
      <c r="O166" s="61"/>
      <c r="P166" s="151">
        <v>0</v>
      </c>
      <c r="Q166" s="93">
        <f t="shared" si="45"/>
        <v>0</v>
      </c>
      <c r="S166" s="56" t="str">
        <f t="shared" si="46"/>
        <v>Transition Probability from state 4 to state 5 on day 28 (CHG)</v>
      </c>
      <c r="T166" s="150"/>
      <c r="U166" s="151">
        <v>0</v>
      </c>
      <c r="V166" s="93">
        <f t="shared" si="47"/>
        <v>0</v>
      </c>
      <c r="X166" s="56" t="str">
        <f t="shared" si="48"/>
        <v>Transition Probability from state 6 to state 5 on day 28 (CHG)</v>
      </c>
      <c r="Y166" s="150"/>
      <c r="Z166" s="151">
        <v>0</v>
      </c>
      <c r="AA166" s="93">
        <f t="shared" si="49"/>
        <v>0</v>
      </c>
      <c r="AB166" s="9"/>
      <c r="AC166" s="83"/>
    </row>
    <row r="167" spans="2:29" ht="17" thickTop="1" thickBot="1" x14ac:dyDescent="0.25">
      <c r="B167" s="83"/>
      <c r="D167" s="56" t="str">
        <f t="shared" si="40"/>
        <v>Transition Probability from state 1 to state 5 on day 29 (CHG)</v>
      </c>
      <c r="E167" s="61"/>
      <c r="F167" s="151">
        <v>0</v>
      </c>
      <c r="G167" s="93">
        <f t="shared" si="41"/>
        <v>0</v>
      </c>
      <c r="I167" s="56" t="str">
        <f t="shared" si="42"/>
        <v>Transition Probability from state 2 to state 5 on day 29 (CHG)</v>
      </c>
      <c r="J167" s="61"/>
      <c r="K167" s="151">
        <v>0</v>
      </c>
      <c r="L167" s="93">
        <f t="shared" si="43"/>
        <v>0</v>
      </c>
      <c r="N167" s="56" t="str">
        <f t="shared" si="44"/>
        <v>Transition Probability from state 3 to state 5 on day 29 (CHG)</v>
      </c>
      <c r="O167" s="61"/>
      <c r="P167" s="151">
        <v>0</v>
      </c>
      <c r="Q167" s="93">
        <f t="shared" si="45"/>
        <v>0</v>
      </c>
      <c r="S167" s="56" t="str">
        <f t="shared" si="46"/>
        <v>Transition Probability from state 4 to state 5 on day 29 (CHG)</v>
      </c>
      <c r="T167" s="150"/>
      <c r="U167" s="151">
        <v>0</v>
      </c>
      <c r="V167" s="93">
        <f t="shared" si="47"/>
        <v>0</v>
      </c>
      <c r="X167" s="56" t="str">
        <f t="shared" si="48"/>
        <v>Transition Probability from state 6 to state 5 on day 29 (CHG)</v>
      </c>
      <c r="Y167" s="150"/>
      <c r="Z167" s="151">
        <v>0</v>
      </c>
      <c r="AA167" s="93">
        <f t="shared" si="49"/>
        <v>0</v>
      </c>
      <c r="AB167" s="9"/>
      <c r="AC167" s="83"/>
    </row>
    <row r="168" spans="2:29" ht="17" thickTop="1" thickBot="1" x14ac:dyDescent="0.25">
      <c r="B168" s="83"/>
      <c r="D168" s="56" t="str">
        <f t="shared" si="40"/>
        <v>Transition Probability from state 1 to state 5 on day 30 (CHG)</v>
      </c>
      <c r="E168" s="61"/>
      <c r="F168" s="151">
        <v>0</v>
      </c>
      <c r="G168" s="93">
        <f t="shared" si="41"/>
        <v>0</v>
      </c>
      <c r="I168" s="56" t="str">
        <f t="shared" si="42"/>
        <v>Transition Probability from state 2 to state 5 on day 30 (CHG)</v>
      </c>
      <c r="J168" s="61"/>
      <c r="K168" s="151">
        <v>0</v>
      </c>
      <c r="L168" s="93">
        <f t="shared" si="43"/>
        <v>0</v>
      </c>
      <c r="N168" s="56" t="str">
        <f t="shared" si="44"/>
        <v>Transition Probability from state 3 to state 5 on day 30 (CHG)</v>
      </c>
      <c r="O168" s="61"/>
      <c r="P168" s="151">
        <v>0</v>
      </c>
      <c r="Q168" s="93">
        <f t="shared" si="45"/>
        <v>0</v>
      </c>
      <c r="S168" s="56" t="str">
        <f t="shared" si="46"/>
        <v>Transition Probability from state 4 to state 5 on day 30 (CHG)</v>
      </c>
      <c r="T168" s="150"/>
      <c r="U168" s="151">
        <v>0</v>
      </c>
      <c r="V168" s="93">
        <f t="shared" si="47"/>
        <v>0</v>
      </c>
      <c r="X168" s="56" t="str">
        <f t="shared" si="48"/>
        <v>Transition Probability from state 6 to state 5 on day 30 (CHG)</v>
      </c>
      <c r="Y168" s="150"/>
      <c r="Z168" s="151">
        <v>0</v>
      </c>
      <c r="AA168" s="93">
        <f t="shared" si="49"/>
        <v>0</v>
      </c>
      <c r="AB168" s="9"/>
      <c r="AC168" s="83"/>
    </row>
    <row r="169" spans="2:29" ht="16" thickTop="1" x14ac:dyDescent="0.2">
      <c r="B169" s="83"/>
      <c r="AB169" s="9"/>
      <c r="AC169" s="83"/>
    </row>
    <row r="170" spans="2:29" x14ac:dyDescent="0.2">
      <c r="B170" s="83"/>
      <c r="AB170" s="9"/>
      <c r="AC170" s="83"/>
    </row>
    <row r="171" spans="2:29" x14ac:dyDescent="0.2">
      <c r="B171" s="83"/>
      <c r="D171" s="231" t="s">
        <v>210</v>
      </c>
      <c r="E171" s="231"/>
      <c r="F171" s="231"/>
      <c r="G171" s="231"/>
      <c r="AB171" s="9"/>
      <c r="AC171" s="83"/>
    </row>
    <row r="172" spans="2:29" ht="16" thickBot="1" x14ac:dyDescent="0.25">
      <c r="B172" s="83"/>
      <c r="D172" s="195" t="str">
        <f t="shared" ref="D172:D201" si="50">"Transition Probability from state 5 to state 6 on day"&amp; " "&amp;C11&amp;" "&amp;"(CHG)"</f>
        <v>Transition Probability from state 5 to state 6 on day 1 (CHG)</v>
      </c>
      <c r="E172" s="196"/>
      <c r="F172" s="197">
        <v>0</v>
      </c>
      <c r="G172" s="198">
        <f>IF(E172="",F172,E172)</f>
        <v>0</v>
      </c>
      <c r="AB172" s="9"/>
      <c r="AC172" s="83"/>
    </row>
    <row r="173" spans="2:29" ht="17" thickTop="1" thickBot="1" x14ac:dyDescent="0.25">
      <c r="B173" s="83"/>
      <c r="D173" s="56" t="str">
        <f t="shared" si="50"/>
        <v>Transition Probability from state 5 to state 6 on day 2 (CHG)</v>
      </c>
      <c r="E173" s="61"/>
      <c r="F173" s="151">
        <v>0</v>
      </c>
      <c r="G173" s="93">
        <f t="shared" ref="G173:G201" si="51">IF(E173="",F173,E173)</f>
        <v>0</v>
      </c>
      <c r="AB173" s="9"/>
      <c r="AC173" s="83"/>
    </row>
    <row r="174" spans="2:29" ht="17" thickTop="1" thickBot="1" x14ac:dyDescent="0.25">
      <c r="B174" s="83"/>
      <c r="D174" s="56" t="str">
        <f t="shared" si="50"/>
        <v>Transition Probability from state 5 to state 6 on day 3 (CHG)</v>
      </c>
      <c r="E174" s="61"/>
      <c r="F174" s="151">
        <v>0</v>
      </c>
      <c r="G174" s="93">
        <f t="shared" si="51"/>
        <v>0</v>
      </c>
      <c r="AB174" s="9"/>
      <c r="AC174" s="83"/>
    </row>
    <row r="175" spans="2:29" ht="17" thickTop="1" thickBot="1" x14ac:dyDescent="0.25">
      <c r="B175" s="83"/>
      <c r="D175" s="56" t="str">
        <f t="shared" si="50"/>
        <v>Transition Probability from state 5 to state 6 on day 4 (CHG)</v>
      </c>
      <c r="E175" s="61"/>
      <c r="F175" s="151">
        <v>0</v>
      </c>
      <c r="G175" s="93">
        <f t="shared" si="51"/>
        <v>0</v>
      </c>
      <c r="AB175" s="9"/>
      <c r="AC175" s="83"/>
    </row>
    <row r="176" spans="2:29" ht="17" thickTop="1" thickBot="1" x14ac:dyDescent="0.25">
      <c r="B176" s="83"/>
      <c r="D176" s="56" t="str">
        <f t="shared" si="50"/>
        <v>Transition Probability from state 5 to state 6 on day 5 (CHG)</v>
      </c>
      <c r="E176" s="61"/>
      <c r="F176" s="151">
        <v>0</v>
      </c>
      <c r="G176" s="93">
        <f t="shared" si="51"/>
        <v>0</v>
      </c>
      <c r="AB176" s="9"/>
      <c r="AC176" s="83"/>
    </row>
    <row r="177" spans="2:29" ht="17" thickTop="1" thickBot="1" x14ac:dyDescent="0.25">
      <c r="B177" s="83"/>
      <c r="D177" s="56" t="str">
        <f t="shared" si="50"/>
        <v>Transition Probability from state 5 to state 6 on day 6 (CHG)</v>
      </c>
      <c r="E177" s="61"/>
      <c r="F177" s="151">
        <v>1</v>
      </c>
      <c r="G177" s="93">
        <f t="shared" si="51"/>
        <v>1</v>
      </c>
      <c r="AB177" s="9"/>
      <c r="AC177" s="83"/>
    </row>
    <row r="178" spans="2:29" ht="17" thickTop="1" thickBot="1" x14ac:dyDescent="0.25">
      <c r="B178" s="83"/>
      <c r="D178" s="56" t="str">
        <f t="shared" si="50"/>
        <v>Transition Probability from state 5 to state 6 on day 7 (CHG)</v>
      </c>
      <c r="E178" s="61"/>
      <c r="F178" s="151">
        <v>1</v>
      </c>
      <c r="G178" s="93">
        <f t="shared" si="51"/>
        <v>1</v>
      </c>
      <c r="AB178" s="9"/>
      <c r="AC178" s="83"/>
    </row>
    <row r="179" spans="2:29" ht="17" thickTop="1" thickBot="1" x14ac:dyDescent="0.25">
      <c r="B179" s="83"/>
      <c r="D179" s="56" t="str">
        <f t="shared" si="50"/>
        <v>Transition Probability from state 5 to state 6 on day 8 (CHG)</v>
      </c>
      <c r="E179" s="61"/>
      <c r="F179" s="151">
        <v>0</v>
      </c>
      <c r="G179" s="93">
        <f t="shared" si="51"/>
        <v>0</v>
      </c>
      <c r="AB179" s="9"/>
      <c r="AC179" s="83"/>
    </row>
    <row r="180" spans="2:29" ht="17" thickTop="1" thickBot="1" x14ac:dyDescent="0.25">
      <c r="B180" s="83"/>
      <c r="D180" s="56" t="str">
        <f t="shared" si="50"/>
        <v>Transition Probability from state 5 to state 6 on day 9 (CHG)</v>
      </c>
      <c r="E180" s="61"/>
      <c r="F180" s="151">
        <v>1</v>
      </c>
      <c r="G180" s="93">
        <f t="shared" si="51"/>
        <v>1</v>
      </c>
      <c r="AB180" s="9"/>
      <c r="AC180" s="83"/>
    </row>
    <row r="181" spans="2:29" ht="17" thickTop="1" thickBot="1" x14ac:dyDescent="0.25">
      <c r="B181" s="83"/>
      <c r="D181" s="56" t="str">
        <f t="shared" si="50"/>
        <v>Transition Probability from state 5 to state 6 on day 10 (CHG)</v>
      </c>
      <c r="E181" s="61"/>
      <c r="F181" s="151">
        <v>1</v>
      </c>
      <c r="G181" s="93">
        <f t="shared" si="51"/>
        <v>1</v>
      </c>
      <c r="AB181" s="9"/>
      <c r="AC181" s="83"/>
    </row>
    <row r="182" spans="2:29" ht="17" thickTop="1" thickBot="1" x14ac:dyDescent="0.25">
      <c r="B182" s="83"/>
      <c r="D182" s="56" t="str">
        <f t="shared" si="50"/>
        <v>Transition Probability from state 5 to state 6 on day 11 (CHG)</v>
      </c>
      <c r="E182" s="61"/>
      <c r="F182" s="151">
        <v>1</v>
      </c>
      <c r="G182" s="93">
        <f t="shared" si="51"/>
        <v>1</v>
      </c>
      <c r="AB182" s="9"/>
      <c r="AC182" s="83"/>
    </row>
    <row r="183" spans="2:29" ht="17" thickTop="1" thickBot="1" x14ac:dyDescent="0.25">
      <c r="B183" s="83"/>
      <c r="D183" s="56" t="str">
        <f t="shared" si="50"/>
        <v>Transition Probability from state 5 to state 6 on day 12 (CHG)</v>
      </c>
      <c r="E183" s="61"/>
      <c r="F183" s="151">
        <v>1</v>
      </c>
      <c r="G183" s="93">
        <f t="shared" si="51"/>
        <v>1</v>
      </c>
      <c r="AB183" s="9"/>
      <c r="AC183" s="83"/>
    </row>
    <row r="184" spans="2:29" ht="17" thickTop="1" thickBot="1" x14ac:dyDescent="0.25">
      <c r="B184" s="83"/>
      <c r="D184" s="56" t="str">
        <f t="shared" si="50"/>
        <v>Transition Probability from state 5 to state 6 on day 13 (CHG)</v>
      </c>
      <c r="E184" s="61"/>
      <c r="F184" s="151">
        <v>1</v>
      </c>
      <c r="G184" s="93">
        <f t="shared" si="51"/>
        <v>1</v>
      </c>
      <c r="AB184" s="9"/>
      <c r="AC184" s="83"/>
    </row>
    <row r="185" spans="2:29" ht="17" thickTop="1" thickBot="1" x14ac:dyDescent="0.25">
      <c r="B185" s="83"/>
      <c r="D185" s="56" t="str">
        <f t="shared" si="50"/>
        <v>Transition Probability from state 5 to state 6 on day 14 (CHG)</v>
      </c>
      <c r="E185" s="61"/>
      <c r="F185" s="151">
        <v>1</v>
      </c>
      <c r="G185" s="93">
        <f t="shared" si="51"/>
        <v>1</v>
      </c>
      <c r="AB185" s="9"/>
      <c r="AC185" s="83"/>
    </row>
    <row r="186" spans="2:29" ht="17" thickTop="1" thickBot="1" x14ac:dyDescent="0.25">
      <c r="B186" s="83"/>
      <c r="D186" s="56" t="str">
        <f t="shared" si="50"/>
        <v>Transition Probability from state 5 to state 6 on day 15 (CHG)</v>
      </c>
      <c r="E186" s="61"/>
      <c r="F186" s="151">
        <v>1</v>
      </c>
      <c r="G186" s="93">
        <f t="shared" si="51"/>
        <v>1</v>
      </c>
      <c r="AB186" s="9"/>
      <c r="AC186" s="83"/>
    </row>
    <row r="187" spans="2:29" ht="17" thickTop="1" thickBot="1" x14ac:dyDescent="0.25">
      <c r="B187" s="83"/>
      <c r="D187" s="56" t="str">
        <f t="shared" si="50"/>
        <v>Transition Probability from state 5 to state 6 on day 16 (CHG)</v>
      </c>
      <c r="E187" s="61"/>
      <c r="F187" s="151">
        <v>1</v>
      </c>
      <c r="G187" s="93">
        <f t="shared" si="51"/>
        <v>1</v>
      </c>
      <c r="AB187" s="9"/>
      <c r="AC187" s="83"/>
    </row>
    <row r="188" spans="2:29" ht="17" thickTop="1" thickBot="1" x14ac:dyDescent="0.25">
      <c r="B188" s="83"/>
      <c r="D188" s="56" t="str">
        <f t="shared" si="50"/>
        <v>Transition Probability from state 5 to state 6 on day 17 (CHG)</v>
      </c>
      <c r="E188" s="61"/>
      <c r="F188" s="151">
        <v>0</v>
      </c>
      <c r="G188" s="93">
        <f t="shared" si="51"/>
        <v>0</v>
      </c>
      <c r="AB188" s="9"/>
      <c r="AC188" s="83"/>
    </row>
    <row r="189" spans="2:29" ht="17" thickTop="1" thickBot="1" x14ac:dyDescent="0.25">
      <c r="B189" s="83"/>
      <c r="D189" s="56" t="str">
        <f t="shared" si="50"/>
        <v>Transition Probability from state 5 to state 6 on day 18 (CHG)</v>
      </c>
      <c r="E189" s="61"/>
      <c r="F189" s="151">
        <v>0</v>
      </c>
      <c r="G189" s="93">
        <f t="shared" si="51"/>
        <v>0</v>
      </c>
      <c r="AB189" s="9"/>
      <c r="AC189" s="83"/>
    </row>
    <row r="190" spans="2:29" ht="17" thickTop="1" thickBot="1" x14ac:dyDescent="0.25">
      <c r="B190" s="83"/>
      <c r="D190" s="56" t="str">
        <f t="shared" si="50"/>
        <v>Transition Probability from state 5 to state 6 on day 19 (CHG)</v>
      </c>
      <c r="E190" s="61"/>
      <c r="F190" s="151">
        <v>0</v>
      </c>
      <c r="G190" s="93">
        <f t="shared" si="51"/>
        <v>0</v>
      </c>
      <c r="AB190" s="9"/>
      <c r="AC190" s="83"/>
    </row>
    <row r="191" spans="2:29" ht="17" thickTop="1" thickBot="1" x14ac:dyDescent="0.25">
      <c r="B191" s="83"/>
      <c r="D191" s="56" t="str">
        <f t="shared" si="50"/>
        <v>Transition Probability from state 5 to state 6 on day 20 (CHG)</v>
      </c>
      <c r="E191" s="61"/>
      <c r="F191" s="151">
        <v>1</v>
      </c>
      <c r="G191" s="93">
        <f t="shared" si="51"/>
        <v>1</v>
      </c>
      <c r="AB191" s="9"/>
      <c r="AC191" s="83"/>
    </row>
    <row r="192" spans="2:29" ht="17" thickTop="1" thickBot="1" x14ac:dyDescent="0.25">
      <c r="B192" s="83"/>
      <c r="D192" s="56" t="str">
        <f t="shared" si="50"/>
        <v>Transition Probability from state 5 to state 6 on day 21 (CHG)</v>
      </c>
      <c r="E192" s="61"/>
      <c r="F192" s="151">
        <v>0</v>
      </c>
      <c r="G192" s="93">
        <f t="shared" si="51"/>
        <v>0</v>
      </c>
      <c r="AB192" s="9"/>
      <c r="AC192" s="83"/>
    </row>
    <row r="193" spans="2:29" ht="17" thickTop="1" thickBot="1" x14ac:dyDescent="0.25">
      <c r="B193" s="83"/>
      <c r="D193" s="56" t="str">
        <f t="shared" si="50"/>
        <v>Transition Probability from state 5 to state 6 on day 22 (CHG)</v>
      </c>
      <c r="E193" s="61"/>
      <c r="F193" s="151">
        <v>1</v>
      </c>
      <c r="G193" s="93">
        <f t="shared" si="51"/>
        <v>1</v>
      </c>
      <c r="AB193" s="9"/>
      <c r="AC193" s="83"/>
    </row>
    <row r="194" spans="2:29" ht="17" thickTop="1" thickBot="1" x14ac:dyDescent="0.25">
      <c r="B194" s="83"/>
      <c r="D194" s="56" t="str">
        <f t="shared" si="50"/>
        <v>Transition Probability from state 5 to state 6 on day 23 (CHG)</v>
      </c>
      <c r="E194" s="61"/>
      <c r="F194" s="151">
        <v>0</v>
      </c>
      <c r="G194" s="93">
        <f t="shared" si="51"/>
        <v>0</v>
      </c>
      <c r="AB194" s="9"/>
      <c r="AC194" s="83"/>
    </row>
    <row r="195" spans="2:29" ht="17" thickTop="1" thickBot="1" x14ac:dyDescent="0.25">
      <c r="B195" s="83"/>
      <c r="D195" s="56" t="str">
        <f t="shared" si="50"/>
        <v>Transition Probability from state 5 to state 6 on day 24 (CHG)</v>
      </c>
      <c r="E195" s="61"/>
      <c r="F195" s="151">
        <v>1</v>
      </c>
      <c r="G195" s="93">
        <f t="shared" si="51"/>
        <v>1</v>
      </c>
      <c r="AB195" s="9"/>
      <c r="AC195" s="83"/>
    </row>
    <row r="196" spans="2:29" ht="17" thickTop="1" thickBot="1" x14ac:dyDescent="0.25">
      <c r="B196" s="83"/>
      <c r="D196" s="56" t="str">
        <f t="shared" si="50"/>
        <v>Transition Probability from state 5 to state 6 on day 25 (CHG)</v>
      </c>
      <c r="E196" s="61"/>
      <c r="F196" s="151">
        <v>0</v>
      </c>
      <c r="G196" s="93">
        <f t="shared" si="51"/>
        <v>0</v>
      </c>
      <c r="AB196" s="9"/>
      <c r="AC196" s="83"/>
    </row>
    <row r="197" spans="2:29" ht="17" thickTop="1" thickBot="1" x14ac:dyDescent="0.25">
      <c r="B197" s="83"/>
      <c r="D197" s="56" t="str">
        <f t="shared" si="50"/>
        <v>Transition Probability from state 5 to state 6 on day 26 (CHG)</v>
      </c>
      <c r="E197" s="61"/>
      <c r="F197" s="151">
        <v>1</v>
      </c>
      <c r="G197" s="93">
        <f t="shared" si="51"/>
        <v>1</v>
      </c>
      <c r="AB197" s="9"/>
      <c r="AC197" s="83"/>
    </row>
    <row r="198" spans="2:29" ht="17" thickTop="1" thickBot="1" x14ac:dyDescent="0.25">
      <c r="B198" s="83"/>
      <c r="D198" s="56" t="str">
        <f t="shared" si="50"/>
        <v>Transition Probability from state 5 to state 6 on day 27 (CHG)</v>
      </c>
      <c r="E198" s="61"/>
      <c r="F198" s="151">
        <v>1</v>
      </c>
      <c r="G198" s="93">
        <f t="shared" si="51"/>
        <v>1</v>
      </c>
      <c r="AB198" s="9"/>
      <c r="AC198" s="83"/>
    </row>
    <row r="199" spans="2:29" ht="17" thickTop="1" thickBot="1" x14ac:dyDescent="0.25">
      <c r="B199" s="83"/>
      <c r="D199" s="56" t="str">
        <f t="shared" si="50"/>
        <v>Transition Probability from state 5 to state 6 on day 28 (CHG)</v>
      </c>
      <c r="E199" s="61"/>
      <c r="F199" s="151">
        <v>0</v>
      </c>
      <c r="G199" s="93">
        <f t="shared" si="51"/>
        <v>0</v>
      </c>
      <c r="AB199" s="9"/>
      <c r="AC199" s="83"/>
    </row>
    <row r="200" spans="2:29" ht="17" thickTop="1" thickBot="1" x14ac:dyDescent="0.25">
      <c r="B200" s="83"/>
      <c r="D200" s="56" t="str">
        <f t="shared" si="50"/>
        <v>Transition Probability from state 5 to state 6 on day 29 (CHG)</v>
      </c>
      <c r="E200" s="61"/>
      <c r="F200" s="151">
        <v>1</v>
      </c>
      <c r="G200" s="93">
        <f t="shared" si="51"/>
        <v>1</v>
      </c>
      <c r="AB200" s="9"/>
      <c r="AC200" s="83"/>
    </row>
    <row r="201" spans="2:29" ht="17" thickTop="1" thickBot="1" x14ac:dyDescent="0.25">
      <c r="B201" s="83"/>
      <c r="D201" s="56" t="str">
        <f t="shared" si="50"/>
        <v>Transition Probability from state 5 to state 6 on day 30 (CHG)</v>
      </c>
      <c r="E201" s="61"/>
      <c r="F201" s="151">
        <v>0</v>
      </c>
      <c r="G201" s="93">
        <f t="shared" si="51"/>
        <v>0</v>
      </c>
      <c r="AB201" s="9"/>
      <c r="AC201" s="83"/>
    </row>
    <row r="202" spans="2:29" ht="16" thickTop="1" x14ac:dyDescent="0.2">
      <c r="B202" s="83"/>
      <c r="AB202" s="9"/>
      <c r="AC202" s="83"/>
    </row>
    <row r="203" spans="2:29" x14ac:dyDescent="0.2">
      <c r="B203" s="83"/>
      <c r="D203" s="231" t="s">
        <v>188</v>
      </c>
      <c r="E203" s="231"/>
      <c r="F203" s="231"/>
      <c r="G203" s="231"/>
      <c r="I203" s="231" t="s">
        <v>211</v>
      </c>
      <c r="J203" s="231"/>
      <c r="K203" s="231"/>
      <c r="L203" s="231"/>
      <c r="N203" s="231" t="s">
        <v>212</v>
      </c>
      <c r="O203" s="231"/>
      <c r="P203" s="231"/>
      <c r="Q203" s="231"/>
      <c r="S203" s="231" t="s">
        <v>213</v>
      </c>
      <c r="T203" s="231"/>
      <c r="U203" s="231"/>
      <c r="V203" s="231"/>
      <c r="X203" s="231" t="s">
        <v>214</v>
      </c>
      <c r="Y203" s="231"/>
      <c r="Z203" s="231"/>
      <c r="AA203" s="231"/>
      <c r="AB203" s="9"/>
      <c r="AC203" s="83"/>
    </row>
    <row r="204" spans="2:29" ht="16" thickBot="1" x14ac:dyDescent="0.25">
      <c r="B204" s="83"/>
      <c r="D204" s="195" t="str">
        <f t="shared" ref="D204:D233" si="52">"Transition Probability from state 1 to state 7 on day"&amp; " "&amp;C11&amp;" "&amp;"(CHG)"</f>
        <v>Transition Probability from state 1 to state 7 on day 1 (CHG)</v>
      </c>
      <c r="E204" s="196"/>
      <c r="F204" s="197">
        <v>3.2119914346895075E-3</v>
      </c>
      <c r="G204" s="198">
        <f>IF(E204="",F204,E204)</f>
        <v>3.2119914346895075E-3</v>
      </c>
      <c r="I204" s="195" t="str">
        <f t="shared" ref="I204:I233" si="53">"Transition Probability from state 2 to state 7 on day"&amp; " "&amp;C11&amp;" "&amp;"(CHG)"</f>
        <v>Transition Probability from state 2 to state 7 on day 1 (CHG)</v>
      </c>
      <c r="J204" s="196"/>
      <c r="K204" s="197">
        <v>0</v>
      </c>
      <c r="L204" s="198">
        <f>IF(J204="",K204,J204)</f>
        <v>0</v>
      </c>
      <c r="N204" s="195" t="str">
        <f t="shared" ref="N204:N233" si="54">"Transition Probability from state 3 to state 7 on day"&amp; " "&amp;C11&amp;" "&amp;"(CHG)"</f>
        <v>Transition Probability from state 3 to state 7 on day 1 (CHG)</v>
      </c>
      <c r="O204" s="196"/>
      <c r="P204" s="197">
        <v>0</v>
      </c>
      <c r="Q204" s="198">
        <f>IF(O204="",P204,O204)</f>
        <v>0</v>
      </c>
      <c r="S204" s="195" t="str">
        <f t="shared" ref="S204:S233" si="55">"Transition Probability from state 4 to state 7 on day"&amp; " "&amp;C11&amp;" "&amp;"(CHG)"</f>
        <v>Transition Probability from state 4 to state 7 on day 1 (CHG)</v>
      </c>
      <c r="T204" s="196"/>
      <c r="U204" s="197">
        <v>0</v>
      </c>
      <c r="V204" s="198">
        <f>IF(T204="",U204,T204)</f>
        <v>0</v>
      </c>
      <c r="X204" s="195" t="str">
        <f t="shared" ref="X204:X233" si="56">"Transition Probability from state 6 to state 7 on day"&amp; " "&amp;C11&amp;" "&amp;"(CHG)"</f>
        <v>Transition Probability from state 6 to state 7 on day 1 (CHG)</v>
      </c>
      <c r="Y204" s="196"/>
      <c r="Z204" s="197">
        <v>0</v>
      </c>
      <c r="AA204" s="198">
        <f>IF(Y204="",Z204,Y204)</f>
        <v>0</v>
      </c>
      <c r="AB204" s="9"/>
      <c r="AC204" s="83"/>
    </row>
    <row r="205" spans="2:29" ht="17" thickTop="1" thickBot="1" x14ac:dyDescent="0.25">
      <c r="B205" s="83"/>
      <c r="D205" s="56" t="str">
        <f t="shared" si="52"/>
        <v>Transition Probability from state 1 to state 7 on day 2 (CHG)</v>
      </c>
      <c r="E205" s="61"/>
      <c r="F205" s="151">
        <v>1.3129102844638949E-2</v>
      </c>
      <c r="G205" s="93">
        <f t="shared" ref="G205:G233" si="57">IF(E205="",F205,E205)</f>
        <v>1.3129102844638949E-2</v>
      </c>
      <c r="I205" s="56" t="str">
        <f t="shared" si="53"/>
        <v>Transition Probability from state 2 to state 7 on day 2 (CHG)</v>
      </c>
      <c r="J205" s="61"/>
      <c r="K205" s="151">
        <v>0</v>
      </c>
      <c r="L205" s="93">
        <f t="shared" ref="L205:L233" si="58">IF(J205="",K205,J205)</f>
        <v>0</v>
      </c>
      <c r="N205" s="56" t="str">
        <f t="shared" si="54"/>
        <v>Transition Probability from state 3 to state 7 on day 2 (CHG)</v>
      </c>
      <c r="O205" s="61"/>
      <c r="P205" s="151">
        <v>0</v>
      </c>
      <c r="Q205" s="93">
        <f t="shared" ref="Q205:Q233" si="59">IF(O205="",P205,O205)</f>
        <v>0</v>
      </c>
      <c r="S205" s="56" t="str">
        <f t="shared" si="55"/>
        <v>Transition Probability from state 4 to state 7 on day 2 (CHG)</v>
      </c>
      <c r="T205" s="61"/>
      <c r="U205" s="151">
        <v>0</v>
      </c>
      <c r="V205" s="93">
        <f t="shared" ref="V205:V233" si="60">IF(T205="",U205,T205)</f>
        <v>0</v>
      </c>
      <c r="X205" s="56" t="str">
        <f t="shared" si="56"/>
        <v>Transition Probability from state 6 to state 7 on day 2 (CHG)</v>
      </c>
      <c r="Y205" s="61"/>
      <c r="Z205" s="151">
        <v>0</v>
      </c>
      <c r="AA205" s="93">
        <f t="shared" ref="AA205:AA233" si="61">IF(Y205="",Z205,Y205)</f>
        <v>0</v>
      </c>
      <c r="AB205" s="9"/>
      <c r="AC205" s="83"/>
    </row>
    <row r="206" spans="2:29" ht="17" thickTop="1" thickBot="1" x14ac:dyDescent="0.25">
      <c r="B206" s="83"/>
      <c r="D206" s="56" t="str">
        <f t="shared" si="52"/>
        <v>Transition Probability from state 1 to state 7 on day 3 (CHG)</v>
      </c>
      <c r="E206" s="61"/>
      <c r="F206" s="151">
        <v>6.2133645955451351E-2</v>
      </c>
      <c r="G206" s="93">
        <f t="shared" si="57"/>
        <v>6.2133645955451351E-2</v>
      </c>
      <c r="I206" s="56" t="str">
        <f t="shared" si="53"/>
        <v>Transition Probability from state 2 to state 7 on day 3 (CHG)</v>
      </c>
      <c r="J206" s="61"/>
      <c r="K206" s="151">
        <v>0</v>
      </c>
      <c r="L206" s="93">
        <f t="shared" si="58"/>
        <v>0</v>
      </c>
      <c r="N206" s="56" t="str">
        <f t="shared" si="54"/>
        <v>Transition Probability from state 3 to state 7 on day 3 (CHG)</v>
      </c>
      <c r="O206" s="61"/>
      <c r="P206" s="151">
        <v>0</v>
      </c>
      <c r="Q206" s="93">
        <f t="shared" si="59"/>
        <v>0</v>
      </c>
      <c r="S206" s="56" t="str">
        <f t="shared" si="55"/>
        <v>Transition Probability from state 4 to state 7 on day 3 (CHG)</v>
      </c>
      <c r="T206" s="61"/>
      <c r="U206" s="151">
        <v>0</v>
      </c>
      <c r="V206" s="93">
        <f t="shared" si="60"/>
        <v>0</v>
      </c>
      <c r="X206" s="56" t="str">
        <f t="shared" si="56"/>
        <v>Transition Probability from state 6 to state 7 on day 3 (CHG)</v>
      </c>
      <c r="Y206" s="61"/>
      <c r="Z206" s="151">
        <v>0</v>
      </c>
      <c r="AA206" s="93">
        <f t="shared" si="61"/>
        <v>0</v>
      </c>
      <c r="AB206" s="9"/>
      <c r="AC206" s="83"/>
    </row>
    <row r="207" spans="2:29" ht="17" thickTop="1" thickBot="1" x14ac:dyDescent="0.25">
      <c r="B207" s="83"/>
      <c r="D207" s="56" t="str">
        <f t="shared" si="52"/>
        <v>Transition Probability from state 1 to state 7 on day 4 (CHG)</v>
      </c>
      <c r="E207" s="61"/>
      <c r="F207" s="151">
        <v>3.7084398976982097E-2</v>
      </c>
      <c r="G207" s="93">
        <f t="shared" si="57"/>
        <v>3.7084398976982097E-2</v>
      </c>
      <c r="I207" s="56" t="str">
        <f t="shared" si="53"/>
        <v>Transition Probability from state 2 to state 7 on day 4 (CHG)</v>
      </c>
      <c r="J207" s="61"/>
      <c r="K207" s="151">
        <v>0</v>
      </c>
      <c r="L207" s="93">
        <f t="shared" si="58"/>
        <v>0</v>
      </c>
      <c r="N207" s="56" t="str">
        <f t="shared" si="54"/>
        <v>Transition Probability from state 3 to state 7 on day 4 (CHG)</v>
      </c>
      <c r="O207" s="61"/>
      <c r="P207" s="151">
        <v>0</v>
      </c>
      <c r="Q207" s="93">
        <f t="shared" si="59"/>
        <v>0</v>
      </c>
      <c r="S207" s="56" t="str">
        <f t="shared" si="55"/>
        <v>Transition Probability from state 4 to state 7 on day 4 (CHG)</v>
      </c>
      <c r="T207" s="61"/>
      <c r="U207" s="151">
        <v>0</v>
      </c>
      <c r="V207" s="93">
        <f t="shared" si="60"/>
        <v>0</v>
      </c>
      <c r="X207" s="56" t="str">
        <f t="shared" si="56"/>
        <v>Transition Probability from state 6 to state 7 on day 4 (CHG)</v>
      </c>
      <c r="Y207" s="61"/>
      <c r="Z207" s="151">
        <v>0</v>
      </c>
      <c r="AA207" s="93">
        <f t="shared" si="61"/>
        <v>0</v>
      </c>
      <c r="AB207" s="9"/>
      <c r="AC207" s="83"/>
    </row>
    <row r="208" spans="2:29" ht="17" thickTop="1" thickBot="1" x14ac:dyDescent="0.25">
      <c r="B208" s="83"/>
      <c r="D208" s="56" t="str">
        <f t="shared" si="52"/>
        <v>Transition Probability from state 1 to state 7 on day 5 (CHG)</v>
      </c>
      <c r="E208" s="61"/>
      <c r="F208" s="151">
        <v>8.2417582417582416E-2</v>
      </c>
      <c r="G208" s="93">
        <f t="shared" si="57"/>
        <v>8.2417582417582416E-2</v>
      </c>
      <c r="I208" s="56" t="str">
        <f t="shared" si="53"/>
        <v>Transition Probability from state 2 to state 7 on day 5 (CHG)</v>
      </c>
      <c r="J208" s="61"/>
      <c r="K208" s="151">
        <v>0</v>
      </c>
      <c r="L208" s="93">
        <f t="shared" si="58"/>
        <v>0</v>
      </c>
      <c r="N208" s="56" t="str">
        <f t="shared" si="54"/>
        <v>Transition Probability from state 3 to state 7 on day 5 (CHG)</v>
      </c>
      <c r="O208" s="61"/>
      <c r="P208" s="151">
        <v>0</v>
      </c>
      <c r="Q208" s="93">
        <f t="shared" si="59"/>
        <v>0</v>
      </c>
      <c r="S208" s="56" t="str">
        <f t="shared" si="55"/>
        <v>Transition Probability from state 4 to state 7 on day 5 (CHG)</v>
      </c>
      <c r="T208" s="61"/>
      <c r="U208" s="151">
        <v>0</v>
      </c>
      <c r="V208" s="93">
        <f t="shared" si="60"/>
        <v>0</v>
      </c>
      <c r="X208" s="56" t="str">
        <f t="shared" si="56"/>
        <v>Transition Probability from state 6 to state 7 on day 5 (CHG)</v>
      </c>
      <c r="Y208" s="61"/>
      <c r="Z208" s="151">
        <v>0</v>
      </c>
      <c r="AA208" s="93">
        <f t="shared" si="61"/>
        <v>0</v>
      </c>
      <c r="AB208" s="9"/>
      <c r="AC208" s="83"/>
    </row>
    <row r="209" spans="2:29" ht="17" thickTop="1" thickBot="1" x14ac:dyDescent="0.25">
      <c r="B209" s="83"/>
      <c r="D209" s="56" t="str">
        <f t="shared" si="52"/>
        <v>Transition Probability from state 1 to state 7 on day 6 (CHG)</v>
      </c>
      <c r="E209" s="61"/>
      <c r="F209" s="151">
        <v>6.7278287461773695E-2</v>
      </c>
      <c r="G209" s="93">
        <f t="shared" si="57"/>
        <v>6.7278287461773695E-2</v>
      </c>
      <c r="I209" s="56" t="str">
        <f t="shared" si="53"/>
        <v>Transition Probability from state 2 to state 7 on day 6 (CHG)</v>
      </c>
      <c r="J209" s="61"/>
      <c r="K209" s="151">
        <v>0</v>
      </c>
      <c r="L209" s="93">
        <f t="shared" si="58"/>
        <v>0</v>
      </c>
      <c r="N209" s="56" t="str">
        <f t="shared" si="54"/>
        <v>Transition Probability from state 3 to state 7 on day 6 (CHG)</v>
      </c>
      <c r="O209" s="61"/>
      <c r="P209" s="151">
        <v>0</v>
      </c>
      <c r="Q209" s="93">
        <f t="shared" si="59"/>
        <v>0</v>
      </c>
      <c r="S209" s="56" t="str">
        <f t="shared" si="55"/>
        <v>Transition Probability from state 4 to state 7 on day 6 (CHG)</v>
      </c>
      <c r="T209" s="61"/>
      <c r="U209" s="151">
        <v>0</v>
      </c>
      <c r="V209" s="93">
        <f t="shared" si="60"/>
        <v>0</v>
      </c>
      <c r="X209" s="56" t="str">
        <f t="shared" si="56"/>
        <v>Transition Probability from state 6 to state 7 on day 6 (CHG)</v>
      </c>
      <c r="Y209" s="61"/>
      <c r="Z209" s="151">
        <v>0</v>
      </c>
      <c r="AA209" s="93">
        <f t="shared" si="61"/>
        <v>0</v>
      </c>
      <c r="AB209" s="9"/>
      <c r="AC209" s="83"/>
    </row>
    <row r="210" spans="2:29" ht="17" thickTop="1" thickBot="1" x14ac:dyDescent="0.25">
      <c r="B210" s="83"/>
      <c r="D210" s="56" t="str">
        <f t="shared" si="52"/>
        <v>Transition Probability from state 1 to state 7 on day 7 (CHG)</v>
      </c>
      <c r="E210" s="61"/>
      <c r="F210" s="151">
        <v>7.2041166380789029E-2</v>
      </c>
      <c r="G210" s="93">
        <f t="shared" si="57"/>
        <v>7.2041166380789029E-2</v>
      </c>
      <c r="I210" s="56" t="str">
        <f t="shared" si="53"/>
        <v>Transition Probability from state 2 to state 7 on day 7 (CHG)</v>
      </c>
      <c r="J210" s="61"/>
      <c r="K210" s="151">
        <v>0</v>
      </c>
      <c r="L210" s="93">
        <f t="shared" si="58"/>
        <v>0</v>
      </c>
      <c r="N210" s="56" t="str">
        <f t="shared" si="54"/>
        <v>Transition Probability from state 3 to state 7 on day 7 (CHG)</v>
      </c>
      <c r="O210" s="61"/>
      <c r="P210" s="151">
        <v>0</v>
      </c>
      <c r="Q210" s="93">
        <f t="shared" si="59"/>
        <v>0</v>
      </c>
      <c r="S210" s="56" t="str">
        <f t="shared" si="55"/>
        <v>Transition Probability from state 4 to state 7 on day 7 (CHG)</v>
      </c>
      <c r="T210" s="61"/>
      <c r="U210" s="151">
        <v>0</v>
      </c>
      <c r="V210" s="93">
        <f t="shared" si="60"/>
        <v>0</v>
      </c>
      <c r="X210" s="56" t="str">
        <f t="shared" si="56"/>
        <v>Transition Probability from state 6 to state 7 on day 7 (CHG)</v>
      </c>
      <c r="Y210" s="61"/>
      <c r="Z210" s="151">
        <v>0</v>
      </c>
      <c r="AA210" s="93">
        <f t="shared" si="61"/>
        <v>0</v>
      </c>
      <c r="AB210" s="9"/>
      <c r="AC210" s="83"/>
    </row>
    <row r="211" spans="2:29" ht="17" thickTop="1" thickBot="1" x14ac:dyDescent="0.25">
      <c r="B211" s="83"/>
      <c r="D211" s="56" t="str">
        <f t="shared" si="52"/>
        <v>Transition Probability from state 1 to state 7 on day 8 (CHG)</v>
      </c>
      <c r="E211" s="61"/>
      <c r="F211" s="151">
        <v>7.3584905660377356E-2</v>
      </c>
      <c r="G211" s="93">
        <f t="shared" si="57"/>
        <v>7.3584905660377356E-2</v>
      </c>
      <c r="I211" s="56" t="str">
        <f t="shared" si="53"/>
        <v>Transition Probability from state 2 to state 7 on day 8 (CHG)</v>
      </c>
      <c r="J211" s="61"/>
      <c r="K211" s="151">
        <v>0</v>
      </c>
      <c r="L211" s="93">
        <f t="shared" si="58"/>
        <v>0</v>
      </c>
      <c r="N211" s="56" t="str">
        <f t="shared" si="54"/>
        <v>Transition Probability from state 3 to state 7 on day 8 (CHG)</v>
      </c>
      <c r="O211" s="61"/>
      <c r="P211" s="151">
        <v>0</v>
      </c>
      <c r="Q211" s="93">
        <f t="shared" si="59"/>
        <v>0</v>
      </c>
      <c r="S211" s="56" t="str">
        <f t="shared" si="55"/>
        <v>Transition Probability from state 4 to state 7 on day 8 (CHG)</v>
      </c>
      <c r="T211" s="61"/>
      <c r="U211" s="151">
        <v>0</v>
      </c>
      <c r="V211" s="93">
        <f t="shared" si="60"/>
        <v>0</v>
      </c>
      <c r="X211" s="56" t="str">
        <f t="shared" si="56"/>
        <v>Transition Probability from state 6 to state 7 on day 8 (CHG)</v>
      </c>
      <c r="Y211" s="61"/>
      <c r="Z211" s="151">
        <v>0</v>
      </c>
      <c r="AA211" s="93">
        <f t="shared" si="61"/>
        <v>0</v>
      </c>
      <c r="AB211" s="9"/>
      <c r="AC211" s="83"/>
    </row>
    <row r="212" spans="2:29" ht="17" thickTop="1" thickBot="1" x14ac:dyDescent="0.25">
      <c r="B212" s="83"/>
      <c r="D212" s="56" t="str">
        <f t="shared" si="52"/>
        <v>Transition Probability from state 1 to state 7 on day 9 (CHG)</v>
      </c>
      <c r="E212" s="61"/>
      <c r="F212" s="151">
        <v>6.2370062370062374E-2</v>
      </c>
      <c r="G212" s="93">
        <f t="shared" si="57"/>
        <v>6.2370062370062374E-2</v>
      </c>
      <c r="I212" s="56" t="str">
        <f t="shared" si="53"/>
        <v>Transition Probability from state 2 to state 7 on day 9 (CHG)</v>
      </c>
      <c r="J212" s="61"/>
      <c r="K212" s="151">
        <v>0</v>
      </c>
      <c r="L212" s="93">
        <f t="shared" si="58"/>
        <v>0</v>
      </c>
      <c r="N212" s="56" t="str">
        <f t="shared" si="54"/>
        <v>Transition Probability from state 3 to state 7 on day 9 (CHG)</v>
      </c>
      <c r="O212" s="61"/>
      <c r="P212" s="151">
        <v>0</v>
      </c>
      <c r="Q212" s="93">
        <f t="shared" si="59"/>
        <v>0</v>
      </c>
      <c r="S212" s="56" t="str">
        <f t="shared" si="55"/>
        <v>Transition Probability from state 4 to state 7 on day 9 (CHG)</v>
      </c>
      <c r="T212" s="61"/>
      <c r="U212" s="151">
        <v>0</v>
      </c>
      <c r="V212" s="93">
        <f t="shared" si="60"/>
        <v>0</v>
      </c>
      <c r="X212" s="56" t="str">
        <f t="shared" si="56"/>
        <v>Transition Probability from state 6 to state 7 on day 9 (CHG)</v>
      </c>
      <c r="Y212" s="61"/>
      <c r="Z212" s="151">
        <v>0</v>
      </c>
      <c r="AA212" s="93">
        <f t="shared" si="61"/>
        <v>0</v>
      </c>
      <c r="AB212" s="9"/>
      <c r="AC212" s="83"/>
    </row>
    <row r="213" spans="2:29" ht="17" thickTop="1" thickBot="1" x14ac:dyDescent="0.25">
      <c r="B213" s="83"/>
      <c r="D213" s="56" t="str">
        <f t="shared" si="52"/>
        <v>Transition Probability from state 1 to state 7 on day 10 (CHG)</v>
      </c>
      <c r="E213" s="61"/>
      <c r="F213" s="151">
        <v>7.1428571428571425E-2</v>
      </c>
      <c r="G213" s="93">
        <f t="shared" si="57"/>
        <v>7.1428571428571425E-2</v>
      </c>
      <c r="H213" s="143"/>
      <c r="I213" s="56" t="str">
        <f t="shared" si="53"/>
        <v>Transition Probability from state 2 to state 7 on day 10 (CHG)</v>
      </c>
      <c r="J213" s="61"/>
      <c r="K213" s="151">
        <v>0</v>
      </c>
      <c r="L213" s="93">
        <f t="shared" si="58"/>
        <v>0</v>
      </c>
      <c r="M213" s="143"/>
      <c r="N213" s="56" t="str">
        <f t="shared" si="54"/>
        <v>Transition Probability from state 3 to state 7 on day 10 (CHG)</v>
      </c>
      <c r="O213" s="61"/>
      <c r="P213" s="151">
        <v>0</v>
      </c>
      <c r="Q213" s="93">
        <f t="shared" si="59"/>
        <v>0</v>
      </c>
      <c r="R213" s="143"/>
      <c r="S213" s="56" t="str">
        <f t="shared" si="55"/>
        <v>Transition Probability from state 4 to state 7 on day 10 (CHG)</v>
      </c>
      <c r="T213" s="61"/>
      <c r="U213" s="151">
        <v>0</v>
      </c>
      <c r="V213" s="93">
        <f t="shared" si="60"/>
        <v>0</v>
      </c>
      <c r="W213" s="143"/>
      <c r="X213" s="56" t="str">
        <f t="shared" si="56"/>
        <v>Transition Probability from state 6 to state 7 on day 10 (CHG)</v>
      </c>
      <c r="Y213" s="61"/>
      <c r="Z213" s="151">
        <v>0</v>
      </c>
      <c r="AA213" s="93">
        <f t="shared" si="61"/>
        <v>0</v>
      </c>
      <c r="AB213" s="9"/>
      <c r="AC213" s="83"/>
    </row>
    <row r="214" spans="2:29" ht="17" thickTop="1" thickBot="1" x14ac:dyDescent="0.25">
      <c r="B214" s="83"/>
      <c r="D214" s="56" t="str">
        <f t="shared" si="52"/>
        <v>Transition Probability from state 1 to state 7 on day 11 (CHG)</v>
      </c>
      <c r="E214" s="61"/>
      <c r="F214" s="151">
        <v>5.764411027568922E-2</v>
      </c>
      <c r="G214" s="93">
        <f t="shared" si="57"/>
        <v>5.764411027568922E-2</v>
      </c>
      <c r="I214" s="56" t="str">
        <f t="shared" si="53"/>
        <v>Transition Probability from state 2 to state 7 on day 11 (CHG)</v>
      </c>
      <c r="J214" s="61"/>
      <c r="K214" s="151">
        <v>0</v>
      </c>
      <c r="L214" s="93">
        <f t="shared" si="58"/>
        <v>0</v>
      </c>
      <c r="N214" s="56" t="str">
        <f t="shared" si="54"/>
        <v>Transition Probability from state 3 to state 7 on day 11 (CHG)</v>
      </c>
      <c r="O214" s="61"/>
      <c r="P214" s="151">
        <v>0</v>
      </c>
      <c r="Q214" s="93">
        <f t="shared" si="59"/>
        <v>0</v>
      </c>
      <c r="S214" s="56" t="str">
        <f t="shared" si="55"/>
        <v>Transition Probability from state 4 to state 7 on day 11 (CHG)</v>
      </c>
      <c r="T214" s="61"/>
      <c r="U214" s="151">
        <v>0</v>
      </c>
      <c r="V214" s="93">
        <f t="shared" si="60"/>
        <v>0</v>
      </c>
      <c r="X214" s="56" t="str">
        <f t="shared" si="56"/>
        <v>Transition Probability from state 6 to state 7 on day 11 (CHG)</v>
      </c>
      <c r="Y214" s="61"/>
      <c r="Z214" s="151">
        <v>0</v>
      </c>
      <c r="AA214" s="93">
        <f t="shared" si="61"/>
        <v>0</v>
      </c>
      <c r="AB214" s="9"/>
      <c r="AC214" s="83"/>
    </row>
    <row r="215" spans="2:29" ht="17" thickTop="1" thickBot="1" x14ac:dyDescent="0.25">
      <c r="B215" s="83"/>
      <c r="D215" s="56" t="str">
        <f t="shared" si="52"/>
        <v>Transition Probability from state 1 to state 7 on day 12 (CHG)</v>
      </c>
      <c r="E215" s="61"/>
      <c r="F215" s="151">
        <v>6.1007957559681698E-2</v>
      </c>
      <c r="G215" s="93">
        <f t="shared" si="57"/>
        <v>6.1007957559681698E-2</v>
      </c>
      <c r="I215" s="56" t="str">
        <f t="shared" si="53"/>
        <v>Transition Probability from state 2 to state 7 on day 12 (CHG)</v>
      </c>
      <c r="J215" s="61"/>
      <c r="K215" s="151">
        <v>0</v>
      </c>
      <c r="L215" s="93">
        <f t="shared" si="58"/>
        <v>0</v>
      </c>
      <c r="N215" s="56" t="str">
        <f t="shared" si="54"/>
        <v>Transition Probability from state 3 to state 7 on day 12 (CHG)</v>
      </c>
      <c r="O215" s="61"/>
      <c r="P215" s="151">
        <v>0</v>
      </c>
      <c r="Q215" s="93">
        <f t="shared" si="59"/>
        <v>0</v>
      </c>
      <c r="S215" s="56" t="str">
        <f t="shared" si="55"/>
        <v>Transition Probability from state 4 to state 7 on day 12 (CHG)</v>
      </c>
      <c r="T215" s="61"/>
      <c r="U215" s="151">
        <v>0</v>
      </c>
      <c r="V215" s="93">
        <f t="shared" si="60"/>
        <v>0</v>
      </c>
      <c r="X215" s="56" t="str">
        <f t="shared" si="56"/>
        <v>Transition Probability from state 6 to state 7 on day 12 (CHG)</v>
      </c>
      <c r="Y215" s="61"/>
      <c r="Z215" s="151">
        <v>0</v>
      </c>
      <c r="AA215" s="93">
        <f t="shared" si="61"/>
        <v>0</v>
      </c>
      <c r="AB215" s="9"/>
      <c r="AC215" s="83"/>
    </row>
    <row r="216" spans="2:29" ht="17" thickTop="1" thickBot="1" x14ac:dyDescent="0.25">
      <c r="B216" s="83"/>
      <c r="D216" s="56" t="str">
        <f t="shared" si="52"/>
        <v>Transition Probability from state 1 to state 7 on day 13 (CHG)</v>
      </c>
      <c r="E216" s="61"/>
      <c r="F216" s="151">
        <v>4.2735042735042736E-2</v>
      </c>
      <c r="G216" s="93">
        <f t="shared" si="57"/>
        <v>4.2735042735042736E-2</v>
      </c>
      <c r="I216" s="56" t="str">
        <f t="shared" si="53"/>
        <v>Transition Probability from state 2 to state 7 on day 13 (CHG)</v>
      </c>
      <c r="J216" s="61"/>
      <c r="K216" s="151">
        <v>0</v>
      </c>
      <c r="L216" s="93">
        <f t="shared" si="58"/>
        <v>0</v>
      </c>
      <c r="N216" s="56" t="str">
        <f t="shared" si="54"/>
        <v>Transition Probability from state 3 to state 7 on day 13 (CHG)</v>
      </c>
      <c r="O216" s="61"/>
      <c r="P216" s="151">
        <v>0</v>
      </c>
      <c r="Q216" s="93">
        <f t="shared" si="59"/>
        <v>0</v>
      </c>
      <c r="S216" s="56" t="str">
        <f t="shared" si="55"/>
        <v>Transition Probability from state 4 to state 7 on day 13 (CHG)</v>
      </c>
      <c r="T216" s="61"/>
      <c r="U216" s="151">
        <v>0</v>
      </c>
      <c r="V216" s="93">
        <f t="shared" si="60"/>
        <v>0</v>
      </c>
      <c r="X216" s="56" t="str">
        <f t="shared" si="56"/>
        <v>Transition Probability from state 6 to state 7 on day 13 (CHG)</v>
      </c>
      <c r="Y216" s="61"/>
      <c r="Z216" s="151">
        <v>0</v>
      </c>
      <c r="AA216" s="93">
        <f t="shared" si="61"/>
        <v>0</v>
      </c>
      <c r="AB216" s="9"/>
      <c r="AC216" s="83"/>
    </row>
    <row r="217" spans="2:29" ht="17" thickTop="1" thickBot="1" x14ac:dyDescent="0.25">
      <c r="B217" s="83"/>
      <c r="D217" s="56" t="str">
        <f t="shared" si="52"/>
        <v>Transition Probability from state 1 to state 7 on day 14 (CHG)</v>
      </c>
      <c r="E217" s="61"/>
      <c r="F217" s="151">
        <v>6.1349693251533742E-2</v>
      </c>
      <c r="G217" s="93">
        <f t="shared" si="57"/>
        <v>6.1349693251533742E-2</v>
      </c>
      <c r="I217" s="56" t="str">
        <f t="shared" si="53"/>
        <v>Transition Probability from state 2 to state 7 on day 14 (CHG)</v>
      </c>
      <c r="J217" s="61"/>
      <c r="K217" s="151">
        <v>0</v>
      </c>
      <c r="L217" s="93">
        <f t="shared" si="58"/>
        <v>0</v>
      </c>
      <c r="N217" s="56" t="str">
        <f t="shared" si="54"/>
        <v>Transition Probability from state 3 to state 7 on day 14 (CHG)</v>
      </c>
      <c r="O217" s="61"/>
      <c r="P217" s="151">
        <v>0</v>
      </c>
      <c r="Q217" s="93">
        <f t="shared" si="59"/>
        <v>0</v>
      </c>
      <c r="S217" s="56" t="str">
        <f t="shared" si="55"/>
        <v>Transition Probability from state 4 to state 7 on day 14 (CHG)</v>
      </c>
      <c r="T217" s="61"/>
      <c r="U217" s="151">
        <v>0</v>
      </c>
      <c r="V217" s="93">
        <f t="shared" si="60"/>
        <v>0</v>
      </c>
      <c r="X217" s="56" t="str">
        <f t="shared" si="56"/>
        <v>Transition Probability from state 6 to state 7 on day 14 (CHG)</v>
      </c>
      <c r="Y217" s="61"/>
      <c r="Z217" s="151">
        <v>0</v>
      </c>
      <c r="AA217" s="93">
        <f t="shared" si="61"/>
        <v>0</v>
      </c>
      <c r="AB217" s="9"/>
      <c r="AC217" s="83"/>
    </row>
    <row r="218" spans="2:29" ht="17" thickTop="1" thickBot="1" x14ac:dyDescent="0.25">
      <c r="B218" s="83"/>
      <c r="D218" s="56" t="str">
        <f t="shared" si="52"/>
        <v>Transition Probability from state 1 to state 7 on day 15 (CHG)</v>
      </c>
      <c r="E218" s="61"/>
      <c r="F218" s="151">
        <v>4.0540540540540543E-2</v>
      </c>
      <c r="G218" s="93">
        <f t="shared" si="57"/>
        <v>4.0540540540540543E-2</v>
      </c>
      <c r="I218" s="56" t="str">
        <f t="shared" si="53"/>
        <v>Transition Probability from state 2 to state 7 on day 15 (CHG)</v>
      </c>
      <c r="J218" s="61"/>
      <c r="K218" s="151">
        <v>0</v>
      </c>
      <c r="L218" s="93">
        <f t="shared" si="58"/>
        <v>0</v>
      </c>
      <c r="N218" s="56" t="str">
        <f t="shared" si="54"/>
        <v>Transition Probability from state 3 to state 7 on day 15 (CHG)</v>
      </c>
      <c r="O218" s="61"/>
      <c r="P218" s="151">
        <v>0</v>
      </c>
      <c r="Q218" s="93">
        <f t="shared" si="59"/>
        <v>0</v>
      </c>
      <c r="S218" s="56" t="str">
        <f t="shared" si="55"/>
        <v>Transition Probability from state 4 to state 7 on day 15 (CHG)</v>
      </c>
      <c r="T218" s="61"/>
      <c r="U218" s="151">
        <v>0</v>
      </c>
      <c r="V218" s="93">
        <f t="shared" si="60"/>
        <v>0</v>
      </c>
      <c r="X218" s="56" t="str">
        <f t="shared" si="56"/>
        <v>Transition Probability from state 6 to state 7 on day 15 (CHG)</v>
      </c>
      <c r="Y218" s="61"/>
      <c r="Z218" s="151">
        <v>0</v>
      </c>
      <c r="AA218" s="93">
        <f t="shared" si="61"/>
        <v>0</v>
      </c>
      <c r="AB218" s="9"/>
      <c r="AC218" s="83"/>
    </row>
    <row r="219" spans="2:29" ht="17" thickTop="1" thickBot="1" x14ac:dyDescent="0.25">
      <c r="B219" s="83"/>
      <c r="D219" s="56" t="str">
        <f t="shared" si="52"/>
        <v>Transition Probability from state 1 to state 7 on day 16 (CHG)</v>
      </c>
      <c r="E219" s="61"/>
      <c r="F219" s="151">
        <v>4.2402826855123678E-2</v>
      </c>
      <c r="G219" s="93">
        <f t="shared" si="57"/>
        <v>4.2402826855123678E-2</v>
      </c>
      <c r="I219" s="56" t="str">
        <f t="shared" si="53"/>
        <v>Transition Probability from state 2 to state 7 on day 16 (CHG)</v>
      </c>
      <c r="J219" s="61"/>
      <c r="K219" s="151">
        <v>0</v>
      </c>
      <c r="L219" s="93">
        <f t="shared" si="58"/>
        <v>0</v>
      </c>
      <c r="N219" s="56" t="str">
        <f t="shared" si="54"/>
        <v>Transition Probability from state 3 to state 7 on day 16 (CHG)</v>
      </c>
      <c r="O219" s="61"/>
      <c r="P219" s="151">
        <v>0</v>
      </c>
      <c r="Q219" s="93">
        <f t="shared" si="59"/>
        <v>0</v>
      </c>
      <c r="S219" s="56" t="str">
        <f t="shared" si="55"/>
        <v>Transition Probability from state 4 to state 7 on day 16 (CHG)</v>
      </c>
      <c r="T219" s="61"/>
      <c r="U219" s="151">
        <v>0</v>
      </c>
      <c r="V219" s="93">
        <f t="shared" si="60"/>
        <v>0</v>
      </c>
      <c r="X219" s="56" t="str">
        <f t="shared" si="56"/>
        <v>Transition Probability from state 6 to state 7 on day 16 (CHG)</v>
      </c>
      <c r="Y219" s="61"/>
      <c r="Z219" s="151">
        <v>0</v>
      </c>
      <c r="AA219" s="93">
        <f t="shared" si="61"/>
        <v>0</v>
      </c>
      <c r="AB219" s="9"/>
      <c r="AC219" s="83"/>
    </row>
    <row r="220" spans="2:29" ht="17" thickTop="1" thickBot="1" x14ac:dyDescent="0.25">
      <c r="B220" s="83"/>
      <c r="D220" s="56" t="str">
        <f t="shared" si="52"/>
        <v>Transition Probability from state 1 to state 7 on day 17 (CHG)</v>
      </c>
      <c r="E220" s="61"/>
      <c r="F220" s="151">
        <v>5.2830188679245285E-2</v>
      </c>
      <c r="G220" s="93">
        <f t="shared" si="57"/>
        <v>5.2830188679245285E-2</v>
      </c>
      <c r="I220" s="56" t="str">
        <f t="shared" si="53"/>
        <v>Transition Probability from state 2 to state 7 on day 17 (CHG)</v>
      </c>
      <c r="J220" s="61"/>
      <c r="K220" s="151">
        <v>0</v>
      </c>
      <c r="L220" s="93">
        <f t="shared" si="58"/>
        <v>0</v>
      </c>
      <c r="N220" s="56" t="str">
        <f t="shared" si="54"/>
        <v>Transition Probability from state 3 to state 7 on day 17 (CHG)</v>
      </c>
      <c r="O220" s="61"/>
      <c r="P220" s="151">
        <v>0</v>
      </c>
      <c r="Q220" s="93">
        <f t="shared" si="59"/>
        <v>0</v>
      </c>
      <c r="S220" s="56" t="str">
        <f t="shared" si="55"/>
        <v>Transition Probability from state 4 to state 7 on day 17 (CHG)</v>
      </c>
      <c r="T220" s="61"/>
      <c r="U220" s="151">
        <v>0</v>
      </c>
      <c r="V220" s="93">
        <f t="shared" si="60"/>
        <v>0</v>
      </c>
      <c r="X220" s="56" t="str">
        <f t="shared" si="56"/>
        <v>Transition Probability from state 6 to state 7 on day 17 (CHG)</v>
      </c>
      <c r="Y220" s="61"/>
      <c r="Z220" s="151">
        <v>0</v>
      </c>
      <c r="AA220" s="93">
        <f t="shared" si="61"/>
        <v>0</v>
      </c>
      <c r="AB220" s="9"/>
      <c r="AC220" s="83"/>
    </row>
    <row r="221" spans="2:29" ht="17" thickTop="1" thickBot="1" x14ac:dyDescent="0.25">
      <c r="B221" s="83"/>
      <c r="D221" s="56" t="str">
        <f t="shared" si="52"/>
        <v>Transition Probability from state 1 to state 7 on day 18 (CHG)</v>
      </c>
      <c r="E221" s="61"/>
      <c r="F221" s="151">
        <v>3.6585365853658534E-2</v>
      </c>
      <c r="G221" s="93">
        <f t="shared" si="57"/>
        <v>3.6585365853658534E-2</v>
      </c>
      <c r="I221" s="56" t="str">
        <f t="shared" si="53"/>
        <v>Transition Probability from state 2 to state 7 on day 18 (CHG)</v>
      </c>
      <c r="J221" s="61"/>
      <c r="K221" s="151">
        <v>0</v>
      </c>
      <c r="L221" s="93">
        <f t="shared" si="58"/>
        <v>0</v>
      </c>
      <c r="N221" s="56" t="str">
        <f t="shared" si="54"/>
        <v>Transition Probability from state 3 to state 7 on day 18 (CHG)</v>
      </c>
      <c r="O221" s="61"/>
      <c r="P221" s="151">
        <v>0</v>
      </c>
      <c r="Q221" s="93">
        <f t="shared" si="59"/>
        <v>0</v>
      </c>
      <c r="S221" s="56" t="str">
        <f t="shared" si="55"/>
        <v>Transition Probability from state 4 to state 7 on day 18 (CHG)</v>
      </c>
      <c r="T221" s="61"/>
      <c r="U221" s="151">
        <v>0</v>
      </c>
      <c r="V221" s="93">
        <f t="shared" si="60"/>
        <v>0</v>
      </c>
      <c r="X221" s="56" t="str">
        <f t="shared" si="56"/>
        <v>Transition Probability from state 6 to state 7 on day 18 (CHG)</v>
      </c>
      <c r="Y221" s="61"/>
      <c r="Z221" s="151">
        <v>0</v>
      </c>
      <c r="AA221" s="93">
        <f t="shared" si="61"/>
        <v>0</v>
      </c>
      <c r="AB221" s="9"/>
      <c r="AC221" s="83"/>
    </row>
    <row r="222" spans="2:29" ht="17" thickTop="1" thickBot="1" x14ac:dyDescent="0.25">
      <c r="B222" s="83"/>
      <c r="D222" s="56" t="str">
        <f t="shared" si="52"/>
        <v>Transition Probability from state 1 to state 7 on day 19 (CHG)</v>
      </c>
      <c r="E222" s="61"/>
      <c r="F222" s="151">
        <v>1.680672268907563E-2</v>
      </c>
      <c r="G222" s="93">
        <f t="shared" si="57"/>
        <v>1.680672268907563E-2</v>
      </c>
      <c r="I222" s="56" t="str">
        <f t="shared" si="53"/>
        <v>Transition Probability from state 2 to state 7 on day 19 (CHG)</v>
      </c>
      <c r="J222" s="61"/>
      <c r="K222" s="151">
        <v>0</v>
      </c>
      <c r="L222" s="93">
        <f t="shared" si="58"/>
        <v>0</v>
      </c>
      <c r="N222" s="56" t="str">
        <f t="shared" si="54"/>
        <v>Transition Probability from state 3 to state 7 on day 19 (CHG)</v>
      </c>
      <c r="O222" s="61"/>
      <c r="P222" s="151">
        <v>0</v>
      </c>
      <c r="Q222" s="93">
        <f t="shared" si="59"/>
        <v>0</v>
      </c>
      <c r="S222" s="56" t="str">
        <f t="shared" si="55"/>
        <v>Transition Probability from state 4 to state 7 on day 19 (CHG)</v>
      </c>
      <c r="T222" s="61"/>
      <c r="U222" s="151">
        <v>0</v>
      </c>
      <c r="V222" s="93">
        <f t="shared" si="60"/>
        <v>0</v>
      </c>
      <c r="X222" s="56" t="str">
        <f t="shared" si="56"/>
        <v>Transition Probability from state 6 to state 7 on day 19 (CHG)</v>
      </c>
      <c r="Y222" s="61"/>
      <c r="Z222" s="151">
        <v>0</v>
      </c>
      <c r="AA222" s="93">
        <f t="shared" si="61"/>
        <v>0</v>
      </c>
      <c r="AB222" s="9"/>
      <c r="AC222" s="83"/>
    </row>
    <row r="223" spans="2:29" ht="17" thickTop="1" thickBot="1" x14ac:dyDescent="0.25">
      <c r="B223" s="83"/>
      <c r="D223" s="56" t="str">
        <f t="shared" si="52"/>
        <v>Transition Probability from state 1 to state 7 on day 20 (CHG)</v>
      </c>
      <c r="E223" s="61"/>
      <c r="F223" s="151">
        <v>4.7413793103448273E-2</v>
      </c>
      <c r="G223" s="93">
        <f t="shared" si="57"/>
        <v>4.7413793103448273E-2</v>
      </c>
      <c r="I223" s="56" t="str">
        <f t="shared" si="53"/>
        <v>Transition Probability from state 2 to state 7 on day 20 (CHG)</v>
      </c>
      <c r="J223" s="61"/>
      <c r="K223" s="151">
        <v>0</v>
      </c>
      <c r="L223" s="93">
        <f t="shared" si="58"/>
        <v>0</v>
      </c>
      <c r="N223" s="56" t="str">
        <f t="shared" si="54"/>
        <v>Transition Probability from state 3 to state 7 on day 20 (CHG)</v>
      </c>
      <c r="O223" s="61"/>
      <c r="P223" s="151">
        <v>0</v>
      </c>
      <c r="Q223" s="93">
        <f t="shared" si="59"/>
        <v>0</v>
      </c>
      <c r="S223" s="56" t="str">
        <f t="shared" si="55"/>
        <v>Transition Probability from state 4 to state 7 on day 20 (CHG)</v>
      </c>
      <c r="T223" s="61"/>
      <c r="U223" s="151">
        <v>0</v>
      </c>
      <c r="V223" s="93">
        <f t="shared" si="60"/>
        <v>0</v>
      </c>
      <c r="X223" s="56" t="str">
        <f t="shared" si="56"/>
        <v>Transition Probability from state 6 to state 7 on day 20 (CHG)</v>
      </c>
      <c r="Y223" s="61"/>
      <c r="Z223" s="151">
        <v>0</v>
      </c>
      <c r="AA223" s="93">
        <f t="shared" si="61"/>
        <v>0</v>
      </c>
      <c r="AB223" s="9"/>
      <c r="AC223" s="83"/>
    </row>
    <row r="224" spans="2:29" ht="17" thickTop="1" thickBot="1" x14ac:dyDescent="0.25">
      <c r="B224" s="83"/>
      <c r="D224" s="56" t="str">
        <f t="shared" si="52"/>
        <v>Transition Probability from state 1 to state 7 on day 21 (CHG)</v>
      </c>
      <c r="E224" s="61"/>
      <c r="F224" s="151">
        <v>4.5248868778280542E-2</v>
      </c>
      <c r="G224" s="93">
        <f t="shared" si="57"/>
        <v>4.5248868778280542E-2</v>
      </c>
      <c r="I224" s="56" t="str">
        <f t="shared" si="53"/>
        <v>Transition Probability from state 2 to state 7 on day 21 (CHG)</v>
      </c>
      <c r="J224" s="61"/>
      <c r="K224" s="151">
        <v>0</v>
      </c>
      <c r="L224" s="93">
        <f t="shared" si="58"/>
        <v>0</v>
      </c>
      <c r="N224" s="56" t="str">
        <f t="shared" si="54"/>
        <v>Transition Probability from state 3 to state 7 on day 21 (CHG)</v>
      </c>
      <c r="O224" s="61"/>
      <c r="P224" s="151">
        <v>0</v>
      </c>
      <c r="Q224" s="93">
        <f t="shared" si="59"/>
        <v>0</v>
      </c>
      <c r="S224" s="56" t="str">
        <f t="shared" si="55"/>
        <v>Transition Probability from state 4 to state 7 on day 21 (CHG)</v>
      </c>
      <c r="T224" s="61"/>
      <c r="U224" s="151">
        <v>0</v>
      </c>
      <c r="V224" s="93">
        <f t="shared" si="60"/>
        <v>0</v>
      </c>
      <c r="X224" s="56" t="str">
        <f t="shared" si="56"/>
        <v>Transition Probability from state 6 to state 7 on day 21 (CHG)</v>
      </c>
      <c r="Y224" s="61"/>
      <c r="Z224" s="151">
        <v>0</v>
      </c>
      <c r="AA224" s="93">
        <f t="shared" si="61"/>
        <v>0</v>
      </c>
      <c r="AB224" s="9"/>
      <c r="AC224" s="83"/>
    </row>
    <row r="225" spans="2:29" ht="17" thickTop="1" thickBot="1" x14ac:dyDescent="0.25">
      <c r="B225" s="83"/>
      <c r="D225" s="56" t="str">
        <f t="shared" si="52"/>
        <v>Transition Probability from state 1 to state 7 on day 22 (CHG)</v>
      </c>
      <c r="E225" s="61"/>
      <c r="F225" s="151">
        <v>4.4334975369458129E-2</v>
      </c>
      <c r="G225" s="93">
        <f t="shared" si="57"/>
        <v>4.4334975369458129E-2</v>
      </c>
      <c r="I225" s="56" t="str">
        <f t="shared" si="53"/>
        <v>Transition Probability from state 2 to state 7 on day 22 (CHG)</v>
      </c>
      <c r="J225" s="61"/>
      <c r="K225" s="151">
        <v>0</v>
      </c>
      <c r="L225" s="93">
        <f t="shared" si="58"/>
        <v>0</v>
      </c>
      <c r="N225" s="56" t="str">
        <f t="shared" si="54"/>
        <v>Transition Probability from state 3 to state 7 on day 22 (CHG)</v>
      </c>
      <c r="O225" s="61"/>
      <c r="P225" s="151">
        <v>0</v>
      </c>
      <c r="Q225" s="93">
        <f t="shared" si="59"/>
        <v>0</v>
      </c>
      <c r="S225" s="56" t="str">
        <f t="shared" si="55"/>
        <v>Transition Probability from state 4 to state 7 on day 22 (CHG)</v>
      </c>
      <c r="T225" s="61"/>
      <c r="U225" s="151">
        <v>0</v>
      </c>
      <c r="V225" s="93">
        <f t="shared" si="60"/>
        <v>0</v>
      </c>
      <c r="X225" s="56" t="str">
        <f t="shared" si="56"/>
        <v>Transition Probability from state 6 to state 7 on day 22 (CHG)</v>
      </c>
      <c r="Y225" s="61"/>
      <c r="Z225" s="151">
        <v>0</v>
      </c>
      <c r="AA225" s="93">
        <f t="shared" si="61"/>
        <v>0</v>
      </c>
      <c r="AB225" s="9"/>
      <c r="AC225" s="83"/>
    </row>
    <row r="226" spans="2:29" ht="17" thickTop="1" thickBot="1" x14ac:dyDescent="0.25">
      <c r="B226" s="83"/>
      <c r="D226" s="56" t="str">
        <f t="shared" si="52"/>
        <v>Transition Probability from state 1 to state 7 on day 23 (CHG)</v>
      </c>
      <c r="E226" s="61"/>
      <c r="F226" s="151">
        <v>6.6666666666666666E-2</v>
      </c>
      <c r="G226" s="93">
        <f t="shared" si="57"/>
        <v>6.6666666666666666E-2</v>
      </c>
      <c r="I226" s="56" t="str">
        <f t="shared" si="53"/>
        <v>Transition Probability from state 2 to state 7 on day 23 (CHG)</v>
      </c>
      <c r="J226" s="61"/>
      <c r="K226" s="151">
        <v>0</v>
      </c>
      <c r="L226" s="93">
        <f t="shared" si="58"/>
        <v>0</v>
      </c>
      <c r="N226" s="56" t="str">
        <f t="shared" si="54"/>
        <v>Transition Probability from state 3 to state 7 on day 23 (CHG)</v>
      </c>
      <c r="O226" s="61"/>
      <c r="P226" s="151">
        <v>0</v>
      </c>
      <c r="Q226" s="93">
        <f t="shared" si="59"/>
        <v>0</v>
      </c>
      <c r="S226" s="56" t="str">
        <f t="shared" si="55"/>
        <v>Transition Probability from state 4 to state 7 on day 23 (CHG)</v>
      </c>
      <c r="T226" s="61"/>
      <c r="U226" s="151">
        <v>0</v>
      </c>
      <c r="V226" s="93">
        <f t="shared" si="60"/>
        <v>0</v>
      </c>
      <c r="X226" s="56" t="str">
        <f t="shared" si="56"/>
        <v>Transition Probability from state 6 to state 7 on day 23 (CHG)</v>
      </c>
      <c r="Y226" s="61"/>
      <c r="Z226" s="151">
        <v>0</v>
      </c>
      <c r="AA226" s="93">
        <f t="shared" si="61"/>
        <v>0</v>
      </c>
      <c r="AB226" s="9"/>
      <c r="AC226" s="83"/>
    </row>
    <row r="227" spans="2:29" ht="17" thickTop="1" thickBot="1" x14ac:dyDescent="0.25">
      <c r="B227" s="83"/>
      <c r="D227" s="56" t="str">
        <f t="shared" si="52"/>
        <v>Transition Probability from state 1 to state 7 on day 24 (CHG)</v>
      </c>
      <c r="E227" s="61"/>
      <c r="F227" s="151">
        <v>3.3898305084745763E-2</v>
      </c>
      <c r="G227" s="93">
        <f t="shared" si="57"/>
        <v>3.3898305084745763E-2</v>
      </c>
      <c r="I227" s="56" t="str">
        <f t="shared" si="53"/>
        <v>Transition Probability from state 2 to state 7 on day 24 (CHG)</v>
      </c>
      <c r="J227" s="61"/>
      <c r="K227" s="151">
        <v>0</v>
      </c>
      <c r="L227" s="93">
        <f t="shared" si="58"/>
        <v>0</v>
      </c>
      <c r="N227" s="56" t="str">
        <f t="shared" si="54"/>
        <v>Transition Probability from state 3 to state 7 on day 24 (CHG)</v>
      </c>
      <c r="O227" s="61"/>
      <c r="P227" s="151">
        <v>0</v>
      </c>
      <c r="Q227" s="93">
        <f t="shared" si="59"/>
        <v>0</v>
      </c>
      <c r="S227" s="56" t="str">
        <f t="shared" si="55"/>
        <v>Transition Probability from state 4 to state 7 on day 24 (CHG)</v>
      </c>
      <c r="T227" s="61"/>
      <c r="U227" s="151">
        <v>0</v>
      </c>
      <c r="V227" s="93">
        <f t="shared" si="60"/>
        <v>0</v>
      </c>
      <c r="X227" s="56" t="str">
        <f t="shared" si="56"/>
        <v>Transition Probability from state 6 to state 7 on day 24 (CHG)</v>
      </c>
      <c r="Y227" s="61"/>
      <c r="Z227" s="151">
        <v>0</v>
      </c>
      <c r="AA227" s="93">
        <f t="shared" si="61"/>
        <v>0</v>
      </c>
      <c r="AB227" s="9"/>
      <c r="AC227" s="83"/>
    </row>
    <row r="228" spans="2:29" ht="17" thickTop="1" thickBot="1" x14ac:dyDescent="0.25">
      <c r="B228" s="83"/>
      <c r="D228" s="56" t="str">
        <f t="shared" si="52"/>
        <v>Transition Probability from state 1 to state 7 on day 25 (CHG)</v>
      </c>
      <c r="E228" s="61"/>
      <c r="F228" s="151">
        <v>6.8571428571428575E-2</v>
      </c>
      <c r="G228" s="93">
        <f t="shared" si="57"/>
        <v>6.8571428571428575E-2</v>
      </c>
      <c r="I228" s="56" t="str">
        <f t="shared" si="53"/>
        <v>Transition Probability from state 2 to state 7 on day 25 (CHG)</v>
      </c>
      <c r="J228" s="61"/>
      <c r="K228" s="151">
        <v>0</v>
      </c>
      <c r="L228" s="93">
        <f t="shared" si="58"/>
        <v>0</v>
      </c>
      <c r="N228" s="56" t="str">
        <f t="shared" si="54"/>
        <v>Transition Probability from state 3 to state 7 on day 25 (CHG)</v>
      </c>
      <c r="O228" s="61"/>
      <c r="P228" s="151">
        <v>0</v>
      </c>
      <c r="Q228" s="93">
        <f t="shared" si="59"/>
        <v>0</v>
      </c>
      <c r="S228" s="56" t="str">
        <f t="shared" si="55"/>
        <v>Transition Probability from state 4 to state 7 on day 25 (CHG)</v>
      </c>
      <c r="T228" s="61"/>
      <c r="U228" s="151">
        <v>0</v>
      </c>
      <c r="V228" s="93">
        <f t="shared" si="60"/>
        <v>0</v>
      </c>
      <c r="X228" s="56" t="str">
        <f t="shared" si="56"/>
        <v>Transition Probability from state 6 to state 7 on day 25 (CHG)</v>
      </c>
      <c r="Y228" s="61"/>
      <c r="Z228" s="151">
        <v>0</v>
      </c>
      <c r="AA228" s="93">
        <f t="shared" si="61"/>
        <v>0</v>
      </c>
      <c r="AB228" s="9"/>
      <c r="AC228" s="83"/>
    </row>
    <row r="229" spans="2:29" ht="17" thickTop="1" thickBot="1" x14ac:dyDescent="0.25">
      <c r="B229" s="83"/>
      <c r="D229" s="56" t="str">
        <f t="shared" si="52"/>
        <v>Transition Probability from state 1 to state 7 on day 26 (CHG)</v>
      </c>
      <c r="E229" s="61"/>
      <c r="F229" s="151">
        <v>2.5316455696202531E-2</v>
      </c>
      <c r="G229" s="93">
        <f t="shared" si="57"/>
        <v>2.5316455696202531E-2</v>
      </c>
      <c r="I229" s="56" t="str">
        <f t="shared" si="53"/>
        <v>Transition Probability from state 2 to state 7 on day 26 (CHG)</v>
      </c>
      <c r="J229" s="61"/>
      <c r="K229" s="151">
        <v>0</v>
      </c>
      <c r="L229" s="93">
        <f t="shared" si="58"/>
        <v>0</v>
      </c>
      <c r="N229" s="56" t="str">
        <f t="shared" si="54"/>
        <v>Transition Probability from state 3 to state 7 on day 26 (CHG)</v>
      </c>
      <c r="O229" s="61"/>
      <c r="P229" s="151">
        <v>0</v>
      </c>
      <c r="Q229" s="93">
        <f t="shared" si="59"/>
        <v>0</v>
      </c>
      <c r="S229" s="56" t="str">
        <f t="shared" si="55"/>
        <v>Transition Probability from state 4 to state 7 on day 26 (CHG)</v>
      </c>
      <c r="T229" s="61"/>
      <c r="U229" s="151">
        <v>0</v>
      </c>
      <c r="V229" s="93">
        <f t="shared" si="60"/>
        <v>0</v>
      </c>
      <c r="X229" s="56" t="str">
        <f t="shared" si="56"/>
        <v>Transition Probability from state 6 to state 7 on day 26 (CHG)</v>
      </c>
      <c r="Y229" s="61"/>
      <c r="Z229" s="151">
        <v>0</v>
      </c>
      <c r="AA229" s="93">
        <f t="shared" si="61"/>
        <v>0</v>
      </c>
      <c r="AB229" s="9"/>
      <c r="AC229" s="83"/>
    </row>
    <row r="230" spans="2:29" ht="17" thickTop="1" thickBot="1" x14ac:dyDescent="0.25">
      <c r="B230" s="83"/>
      <c r="D230" s="56" t="str">
        <f t="shared" si="52"/>
        <v>Transition Probability from state 1 to state 7 on day 27 (CHG)</v>
      </c>
      <c r="E230" s="61"/>
      <c r="F230" s="151">
        <v>3.2679738562091505E-2</v>
      </c>
      <c r="G230" s="93">
        <f t="shared" si="57"/>
        <v>3.2679738562091505E-2</v>
      </c>
      <c r="I230" s="56" t="str">
        <f t="shared" si="53"/>
        <v>Transition Probability from state 2 to state 7 on day 27 (CHG)</v>
      </c>
      <c r="J230" s="61"/>
      <c r="K230" s="151">
        <v>0</v>
      </c>
      <c r="L230" s="93">
        <f t="shared" si="58"/>
        <v>0</v>
      </c>
      <c r="N230" s="56" t="str">
        <f t="shared" si="54"/>
        <v>Transition Probability from state 3 to state 7 on day 27 (CHG)</v>
      </c>
      <c r="O230" s="61"/>
      <c r="P230" s="151">
        <v>0</v>
      </c>
      <c r="Q230" s="93">
        <f t="shared" si="59"/>
        <v>0</v>
      </c>
      <c r="S230" s="56" t="str">
        <f t="shared" si="55"/>
        <v>Transition Probability from state 4 to state 7 on day 27 (CHG)</v>
      </c>
      <c r="T230" s="61"/>
      <c r="U230" s="151">
        <v>0</v>
      </c>
      <c r="V230" s="93">
        <f t="shared" si="60"/>
        <v>0</v>
      </c>
      <c r="X230" s="56" t="str">
        <f t="shared" si="56"/>
        <v>Transition Probability from state 6 to state 7 on day 27 (CHG)</v>
      </c>
      <c r="Y230" s="61"/>
      <c r="Z230" s="151">
        <v>0</v>
      </c>
      <c r="AA230" s="93">
        <f t="shared" si="61"/>
        <v>0</v>
      </c>
      <c r="AB230" s="9"/>
      <c r="AC230" s="83"/>
    </row>
    <row r="231" spans="2:29" ht="17" thickTop="1" thickBot="1" x14ac:dyDescent="0.25">
      <c r="B231" s="83"/>
      <c r="D231" s="56" t="str">
        <f t="shared" si="52"/>
        <v>Transition Probability from state 1 to state 7 on day 28 (CHG)</v>
      </c>
      <c r="E231" s="61"/>
      <c r="F231" s="151">
        <v>3.5460992907801421E-2</v>
      </c>
      <c r="G231" s="93">
        <f t="shared" si="57"/>
        <v>3.5460992907801421E-2</v>
      </c>
      <c r="I231" s="56" t="str">
        <f t="shared" si="53"/>
        <v>Transition Probability from state 2 to state 7 on day 28 (CHG)</v>
      </c>
      <c r="J231" s="61"/>
      <c r="K231" s="151">
        <v>0.14285714285714285</v>
      </c>
      <c r="L231" s="93">
        <f t="shared" si="58"/>
        <v>0.14285714285714285</v>
      </c>
      <c r="N231" s="56" t="str">
        <f t="shared" si="54"/>
        <v>Transition Probability from state 3 to state 7 on day 28 (CHG)</v>
      </c>
      <c r="O231" s="61"/>
      <c r="P231" s="151">
        <v>0</v>
      </c>
      <c r="Q231" s="93">
        <f t="shared" si="59"/>
        <v>0</v>
      </c>
      <c r="S231" s="56" t="str">
        <f t="shared" si="55"/>
        <v>Transition Probability from state 4 to state 7 on day 28 (CHG)</v>
      </c>
      <c r="T231" s="61"/>
      <c r="U231" s="151">
        <v>0</v>
      </c>
      <c r="V231" s="93">
        <f t="shared" si="60"/>
        <v>0</v>
      </c>
      <c r="X231" s="56" t="str">
        <f t="shared" si="56"/>
        <v>Transition Probability from state 6 to state 7 on day 28 (CHG)</v>
      </c>
      <c r="Y231" s="61"/>
      <c r="Z231" s="151">
        <v>0</v>
      </c>
      <c r="AA231" s="93">
        <f t="shared" si="61"/>
        <v>0</v>
      </c>
      <c r="AB231" s="9"/>
      <c r="AC231" s="83"/>
    </row>
    <row r="232" spans="2:29" ht="17" thickTop="1" thickBot="1" x14ac:dyDescent="0.25">
      <c r="B232" s="83"/>
      <c r="D232" s="56" t="str">
        <f t="shared" si="52"/>
        <v>Transition Probability from state 1 to state 7 on day 29 (CHG)</v>
      </c>
      <c r="E232" s="61"/>
      <c r="F232" s="151">
        <v>5.1470588235294115E-2</v>
      </c>
      <c r="G232" s="93">
        <f t="shared" si="57"/>
        <v>5.1470588235294115E-2</v>
      </c>
      <c r="I232" s="56" t="str">
        <f t="shared" si="53"/>
        <v>Transition Probability from state 2 to state 7 on day 29 (CHG)</v>
      </c>
      <c r="J232" s="61"/>
      <c r="K232" s="151">
        <v>0</v>
      </c>
      <c r="L232" s="93">
        <f t="shared" si="58"/>
        <v>0</v>
      </c>
      <c r="N232" s="56" t="str">
        <f t="shared" si="54"/>
        <v>Transition Probability from state 3 to state 7 on day 29 (CHG)</v>
      </c>
      <c r="O232" s="61"/>
      <c r="P232" s="151">
        <v>0</v>
      </c>
      <c r="Q232" s="93">
        <f t="shared" si="59"/>
        <v>0</v>
      </c>
      <c r="S232" s="56" t="str">
        <f t="shared" si="55"/>
        <v>Transition Probability from state 4 to state 7 on day 29 (CHG)</v>
      </c>
      <c r="T232" s="61"/>
      <c r="U232" s="151">
        <v>0</v>
      </c>
      <c r="V232" s="93">
        <f t="shared" si="60"/>
        <v>0</v>
      </c>
      <c r="X232" s="56" t="str">
        <f t="shared" si="56"/>
        <v>Transition Probability from state 6 to state 7 on day 29 (CHG)</v>
      </c>
      <c r="Y232" s="61"/>
      <c r="Z232" s="151">
        <v>0</v>
      </c>
      <c r="AA232" s="93">
        <f t="shared" si="61"/>
        <v>0</v>
      </c>
      <c r="AB232" s="9"/>
      <c r="AC232" s="83"/>
    </row>
    <row r="233" spans="2:29" ht="17" thickTop="1" thickBot="1" x14ac:dyDescent="0.25">
      <c r="B233" s="83"/>
      <c r="D233" s="56" t="str">
        <f t="shared" si="52"/>
        <v>Transition Probability from state 1 to state 7 on day 30 (CHG)</v>
      </c>
      <c r="E233" s="61"/>
      <c r="F233" s="151">
        <v>3.90625E-2</v>
      </c>
      <c r="G233" s="93">
        <f t="shared" si="57"/>
        <v>3.90625E-2</v>
      </c>
      <c r="I233" s="56" t="str">
        <f t="shared" si="53"/>
        <v>Transition Probability from state 2 to state 7 on day 30 (CHG)</v>
      </c>
      <c r="J233" s="61"/>
      <c r="K233" s="151">
        <v>0</v>
      </c>
      <c r="L233" s="93">
        <f t="shared" si="58"/>
        <v>0</v>
      </c>
      <c r="N233" s="56" t="str">
        <f t="shared" si="54"/>
        <v>Transition Probability from state 3 to state 7 on day 30 (CHG)</v>
      </c>
      <c r="O233" s="61"/>
      <c r="P233" s="151">
        <v>0</v>
      </c>
      <c r="Q233" s="93">
        <f t="shared" si="59"/>
        <v>0</v>
      </c>
      <c r="S233" s="56" t="str">
        <f t="shared" si="55"/>
        <v>Transition Probability from state 4 to state 7 on day 30 (CHG)</v>
      </c>
      <c r="T233" s="61"/>
      <c r="U233" s="151">
        <v>0</v>
      </c>
      <c r="V233" s="93">
        <f t="shared" si="60"/>
        <v>0</v>
      </c>
      <c r="X233" s="56" t="str">
        <f t="shared" si="56"/>
        <v>Transition Probability from state 6 to state 7 on day 30 (CHG)</v>
      </c>
      <c r="Y233" s="61"/>
      <c r="Z233" s="151">
        <v>0</v>
      </c>
      <c r="AA233" s="93">
        <f t="shared" si="61"/>
        <v>0</v>
      </c>
      <c r="AB233" s="9"/>
      <c r="AC233" s="83"/>
    </row>
    <row r="234" spans="2:29" ht="16" thickTop="1" x14ac:dyDescent="0.2">
      <c r="B234" s="83"/>
      <c r="AB234" s="9"/>
      <c r="AC234" s="83"/>
    </row>
    <row r="235" spans="2:29" x14ac:dyDescent="0.2">
      <c r="B235" s="83"/>
      <c r="D235" s="231" t="s">
        <v>189</v>
      </c>
      <c r="E235" s="231"/>
      <c r="F235" s="231"/>
      <c r="G235" s="231"/>
      <c r="I235" s="231" t="s">
        <v>215</v>
      </c>
      <c r="J235" s="231"/>
      <c r="K235" s="231"/>
      <c r="L235" s="231"/>
      <c r="N235" s="231" t="s">
        <v>216</v>
      </c>
      <c r="O235" s="231"/>
      <c r="P235" s="231"/>
      <c r="Q235" s="231"/>
      <c r="S235" s="231" t="s">
        <v>217</v>
      </c>
      <c r="T235" s="231"/>
      <c r="U235" s="231"/>
      <c r="V235" s="231"/>
      <c r="X235" s="231" t="s">
        <v>218</v>
      </c>
      <c r="Y235" s="231"/>
      <c r="Z235" s="231"/>
      <c r="AA235" s="231"/>
      <c r="AB235" s="9"/>
      <c r="AC235" s="83"/>
    </row>
    <row r="236" spans="2:29" ht="16" thickBot="1" x14ac:dyDescent="0.25">
      <c r="B236" s="83"/>
      <c r="D236" s="195" t="str">
        <f t="shared" ref="D236:D265" si="62">"Transition Probability from state 1 to state 8 on day"&amp; " "&amp;C11&amp;" "&amp;"(CHG)"</f>
        <v>Transition Probability from state 1 to state 8 on day 1 (CHG)</v>
      </c>
      <c r="E236" s="196"/>
      <c r="F236" s="197">
        <v>1.4989293361884369E-2</v>
      </c>
      <c r="G236" s="198">
        <f>IF(E236="",F236,E236)</f>
        <v>1.4989293361884369E-2</v>
      </c>
      <c r="I236" s="195" t="str">
        <f t="shared" ref="I236:I265" si="63">"Transition Probability from state 2 to state 8 on day"&amp; " "&amp;C11&amp;" "&amp;"(CHG)"</f>
        <v>Transition Probability from state 2 to state 8 on day 1 (CHG)</v>
      </c>
      <c r="J236" s="196"/>
      <c r="K236" s="197">
        <v>0</v>
      </c>
      <c r="L236" s="198">
        <f>IF(J236="",K236,J236)</f>
        <v>0</v>
      </c>
      <c r="N236" s="195" t="str">
        <f t="shared" ref="N236:N265" si="64">"Transition Probability from state 3 to state 8 on day"&amp; " "&amp;C11&amp;" "&amp;"(CHG)"</f>
        <v>Transition Probability from state 3 to state 8 on day 1 (CHG)</v>
      </c>
      <c r="O236" s="196"/>
      <c r="P236" s="197">
        <v>0</v>
      </c>
      <c r="Q236" s="198">
        <f>IF(O236="",P236,O236)</f>
        <v>0</v>
      </c>
      <c r="S236" s="195" t="str">
        <f t="shared" ref="S236:S265" si="65">"Transition Probability from state 4 to state 8 on day"&amp; " "&amp;C11&amp;" "&amp;"(CHG)"</f>
        <v>Transition Probability from state 4 to state 8 on day 1 (CHG)</v>
      </c>
      <c r="T236" s="196"/>
      <c r="U236" s="197">
        <v>0</v>
      </c>
      <c r="V236" s="198">
        <f>IF(T236="",U236,T236)</f>
        <v>0</v>
      </c>
      <c r="X236" s="195" t="str">
        <f t="shared" ref="X236:X265" si="66">"Transition Probability from state 6 to state 8 on day"&amp; " "&amp;C11&amp;" "&amp;"(CHG)"</f>
        <v>Transition Probability from state 6 to state 8 on day 1 (CHG)</v>
      </c>
      <c r="Y236" s="196"/>
      <c r="Z236" s="197">
        <v>0</v>
      </c>
      <c r="AA236" s="198">
        <f>IF(Y236="",Z236,Y236)</f>
        <v>0</v>
      </c>
      <c r="AB236" s="9"/>
      <c r="AC236" s="83"/>
    </row>
    <row r="237" spans="2:29" ht="17" thickTop="1" thickBot="1" x14ac:dyDescent="0.25">
      <c r="B237" s="83"/>
      <c r="D237" s="56" t="str">
        <f t="shared" si="62"/>
        <v>Transition Probability from state 1 to state 8 on day 2 (CHG)</v>
      </c>
      <c r="E237" s="61"/>
      <c r="F237" s="151">
        <v>3.0634573304157548E-2</v>
      </c>
      <c r="G237" s="93">
        <f t="shared" ref="G237:G265" si="67">IF(E237="",F237,E237)</f>
        <v>3.0634573304157548E-2</v>
      </c>
      <c r="I237" s="56" t="str">
        <f t="shared" si="63"/>
        <v>Transition Probability from state 2 to state 8 on day 2 (CHG)</v>
      </c>
      <c r="J237" s="61"/>
      <c r="K237" s="151">
        <v>0</v>
      </c>
      <c r="L237" s="93">
        <f t="shared" ref="L237:L265" si="68">IF(J237="",K237,J237)</f>
        <v>0</v>
      </c>
      <c r="N237" s="56" t="str">
        <f t="shared" si="64"/>
        <v>Transition Probability from state 3 to state 8 on day 2 (CHG)</v>
      </c>
      <c r="O237" s="61"/>
      <c r="P237" s="151">
        <v>0</v>
      </c>
      <c r="Q237" s="93">
        <f t="shared" ref="Q237:Q265" si="69">IF(O237="",P237,O237)</f>
        <v>0</v>
      </c>
      <c r="S237" s="56" t="str">
        <f t="shared" si="65"/>
        <v>Transition Probability from state 4 to state 8 on day 2 (CHG)</v>
      </c>
      <c r="T237" s="61"/>
      <c r="U237" s="151">
        <v>0</v>
      </c>
      <c r="V237" s="93">
        <f t="shared" ref="V237:V265" si="70">IF(T237="",U237,T237)</f>
        <v>0</v>
      </c>
      <c r="X237" s="56" t="str">
        <f t="shared" si="66"/>
        <v>Transition Probability from state 6 to state 8 on day 2 (CHG)</v>
      </c>
      <c r="Y237" s="61"/>
      <c r="Z237" s="151">
        <v>0</v>
      </c>
      <c r="AA237" s="93">
        <f t="shared" ref="AA237:AA265" si="71">IF(Y237="",Z237,Y237)</f>
        <v>0</v>
      </c>
      <c r="AB237" s="9"/>
      <c r="AC237" s="83"/>
    </row>
    <row r="238" spans="2:29" ht="17" thickTop="1" thickBot="1" x14ac:dyDescent="0.25">
      <c r="B238" s="83"/>
      <c r="D238" s="56" t="str">
        <f t="shared" si="62"/>
        <v>Transition Probability from state 1 to state 8 on day 3 (CHG)</v>
      </c>
      <c r="E238" s="61"/>
      <c r="F238" s="151">
        <v>2.5791324736225089E-2</v>
      </c>
      <c r="G238" s="93">
        <f t="shared" si="67"/>
        <v>2.5791324736225089E-2</v>
      </c>
      <c r="I238" s="56" t="str">
        <f t="shared" si="63"/>
        <v>Transition Probability from state 2 to state 8 on day 3 (CHG)</v>
      </c>
      <c r="J238" s="61"/>
      <c r="K238" s="151">
        <v>8.3333333333333329E-2</v>
      </c>
      <c r="L238" s="93">
        <f t="shared" si="68"/>
        <v>8.3333333333333329E-2</v>
      </c>
      <c r="N238" s="56" t="str">
        <f t="shared" si="64"/>
        <v>Transition Probability from state 3 to state 8 on day 3 (CHG)</v>
      </c>
      <c r="O238" s="61"/>
      <c r="P238" s="151">
        <v>0</v>
      </c>
      <c r="Q238" s="93">
        <f t="shared" si="69"/>
        <v>0</v>
      </c>
      <c r="S238" s="56" t="str">
        <f t="shared" si="65"/>
        <v>Transition Probability from state 4 to state 8 on day 3 (CHG)</v>
      </c>
      <c r="T238" s="61"/>
      <c r="U238" s="151">
        <v>0</v>
      </c>
      <c r="V238" s="93">
        <f t="shared" si="70"/>
        <v>0</v>
      </c>
      <c r="X238" s="56" t="str">
        <f t="shared" si="66"/>
        <v>Transition Probability from state 6 to state 8 on day 3 (CHG)</v>
      </c>
      <c r="Y238" s="61"/>
      <c r="Z238" s="151">
        <v>0</v>
      </c>
      <c r="AA238" s="93">
        <f t="shared" si="71"/>
        <v>0</v>
      </c>
      <c r="AB238" s="9"/>
      <c r="AC238" s="83"/>
    </row>
    <row r="239" spans="2:29" ht="17" thickTop="1" thickBot="1" x14ac:dyDescent="0.25">
      <c r="B239" s="83"/>
      <c r="D239" s="56" t="str">
        <f t="shared" si="62"/>
        <v>Transition Probability from state 1 to state 8 on day 4 (CHG)</v>
      </c>
      <c r="E239" s="61"/>
      <c r="F239" s="151">
        <v>3.0690537084398978E-2</v>
      </c>
      <c r="G239" s="93">
        <f t="shared" si="67"/>
        <v>3.0690537084398978E-2</v>
      </c>
      <c r="I239" s="56" t="str">
        <f t="shared" si="63"/>
        <v>Transition Probability from state 2 to state 8 on day 4 (CHG)</v>
      </c>
      <c r="J239" s="61"/>
      <c r="K239" s="151">
        <v>0</v>
      </c>
      <c r="L239" s="93">
        <f t="shared" si="68"/>
        <v>0</v>
      </c>
      <c r="N239" s="56" t="str">
        <f t="shared" si="64"/>
        <v>Transition Probability from state 3 to state 8 on day 4 (CHG)</v>
      </c>
      <c r="O239" s="61"/>
      <c r="P239" s="151">
        <v>0</v>
      </c>
      <c r="Q239" s="93">
        <f t="shared" si="69"/>
        <v>0</v>
      </c>
      <c r="S239" s="56" t="str">
        <f t="shared" si="65"/>
        <v>Transition Probability from state 4 to state 8 on day 4 (CHG)</v>
      </c>
      <c r="T239" s="61"/>
      <c r="U239" s="151">
        <v>0</v>
      </c>
      <c r="V239" s="93">
        <f t="shared" si="70"/>
        <v>0</v>
      </c>
      <c r="X239" s="56" t="str">
        <f t="shared" si="66"/>
        <v>Transition Probability from state 6 to state 8 on day 4 (CHG)</v>
      </c>
      <c r="Y239" s="61"/>
      <c r="Z239" s="151">
        <v>0</v>
      </c>
      <c r="AA239" s="93">
        <f t="shared" si="71"/>
        <v>0</v>
      </c>
      <c r="AB239" s="9"/>
      <c r="AC239" s="83"/>
    </row>
    <row r="240" spans="2:29" ht="17" thickTop="1" thickBot="1" x14ac:dyDescent="0.25">
      <c r="B240" s="83"/>
      <c r="D240" s="56" t="str">
        <f t="shared" si="62"/>
        <v>Transition Probability from state 1 to state 8 on day 5 (CHG)</v>
      </c>
      <c r="E240" s="61"/>
      <c r="F240" s="151">
        <v>2.7472527472527472E-2</v>
      </c>
      <c r="G240" s="93">
        <f t="shared" si="67"/>
        <v>2.7472527472527472E-2</v>
      </c>
      <c r="I240" s="56" t="str">
        <f t="shared" si="63"/>
        <v>Transition Probability from state 2 to state 8 on day 5 (CHG)</v>
      </c>
      <c r="J240" s="61"/>
      <c r="K240" s="151">
        <v>0</v>
      </c>
      <c r="L240" s="93">
        <f t="shared" si="68"/>
        <v>0</v>
      </c>
      <c r="N240" s="56" t="str">
        <f t="shared" si="64"/>
        <v>Transition Probability from state 3 to state 8 on day 5 (CHG)</v>
      </c>
      <c r="O240" s="61"/>
      <c r="P240" s="151">
        <v>0</v>
      </c>
      <c r="Q240" s="93">
        <f t="shared" si="69"/>
        <v>0</v>
      </c>
      <c r="S240" s="56" t="str">
        <f t="shared" si="65"/>
        <v>Transition Probability from state 4 to state 8 on day 5 (CHG)</v>
      </c>
      <c r="T240" s="61"/>
      <c r="U240" s="151">
        <v>0</v>
      </c>
      <c r="V240" s="93">
        <f t="shared" si="70"/>
        <v>0</v>
      </c>
      <c r="X240" s="56" t="str">
        <f t="shared" si="66"/>
        <v>Transition Probability from state 6 to state 8 on day 5 (CHG)</v>
      </c>
      <c r="Y240" s="61"/>
      <c r="Z240" s="151">
        <v>0</v>
      </c>
      <c r="AA240" s="93">
        <f t="shared" si="71"/>
        <v>0</v>
      </c>
      <c r="AB240" s="9"/>
      <c r="AC240" s="83"/>
    </row>
    <row r="241" spans="2:29" ht="17" thickTop="1" thickBot="1" x14ac:dyDescent="0.25">
      <c r="B241" s="83"/>
      <c r="D241" s="56" t="str">
        <f t="shared" si="62"/>
        <v>Transition Probability from state 1 to state 8 on day 6 (CHG)</v>
      </c>
      <c r="E241" s="61"/>
      <c r="F241" s="151">
        <v>3.5168195718654434E-2</v>
      </c>
      <c r="G241" s="93">
        <f t="shared" si="67"/>
        <v>3.5168195718654434E-2</v>
      </c>
      <c r="I241" s="56" t="str">
        <f t="shared" si="63"/>
        <v>Transition Probability from state 2 to state 8 on day 6 (CHG)</v>
      </c>
      <c r="J241" s="61"/>
      <c r="K241" s="151">
        <v>0</v>
      </c>
      <c r="L241" s="93">
        <f t="shared" si="68"/>
        <v>0</v>
      </c>
      <c r="N241" s="56" t="str">
        <f t="shared" si="64"/>
        <v>Transition Probability from state 3 to state 8 on day 6 (CHG)</v>
      </c>
      <c r="O241" s="61"/>
      <c r="P241" s="151">
        <v>0</v>
      </c>
      <c r="Q241" s="93">
        <f t="shared" si="69"/>
        <v>0</v>
      </c>
      <c r="S241" s="56" t="str">
        <f t="shared" si="65"/>
        <v>Transition Probability from state 4 to state 8 on day 6 (CHG)</v>
      </c>
      <c r="T241" s="61"/>
      <c r="U241" s="151">
        <v>0</v>
      </c>
      <c r="V241" s="93">
        <f t="shared" si="70"/>
        <v>0</v>
      </c>
      <c r="X241" s="56" t="str">
        <f t="shared" si="66"/>
        <v>Transition Probability from state 6 to state 8 on day 6 (CHG)</v>
      </c>
      <c r="Y241" s="61"/>
      <c r="Z241" s="151">
        <v>0</v>
      </c>
      <c r="AA241" s="93">
        <f t="shared" si="71"/>
        <v>0</v>
      </c>
      <c r="AB241" s="9"/>
      <c r="AC241" s="83"/>
    </row>
    <row r="242" spans="2:29" ht="17" thickTop="1" thickBot="1" x14ac:dyDescent="0.25">
      <c r="B242" s="83"/>
      <c r="D242" s="56" t="str">
        <f t="shared" si="62"/>
        <v>Transition Probability from state 1 to state 8 on day 7 (CHG)</v>
      </c>
      <c r="E242" s="61"/>
      <c r="F242" s="151">
        <v>1.7152658662092625E-2</v>
      </c>
      <c r="G242" s="93">
        <f t="shared" si="67"/>
        <v>1.7152658662092625E-2</v>
      </c>
      <c r="I242" s="56" t="str">
        <f t="shared" si="63"/>
        <v>Transition Probability from state 2 to state 8 on day 7 (CHG)</v>
      </c>
      <c r="J242" s="61"/>
      <c r="K242" s="151">
        <v>0</v>
      </c>
      <c r="L242" s="93">
        <f t="shared" si="68"/>
        <v>0</v>
      </c>
      <c r="N242" s="56" t="str">
        <f t="shared" si="64"/>
        <v>Transition Probability from state 3 to state 8 on day 7 (CHG)</v>
      </c>
      <c r="O242" s="61"/>
      <c r="P242" s="151">
        <v>0</v>
      </c>
      <c r="Q242" s="93">
        <f t="shared" si="69"/>
        <v>0</v>
      </c>
      <c r="S242" s="56" t="str">
        <f t="shared" si="65"/>
        <v>Transition Probability from state 4 to state 8 on day 7 (CHG)</v>
      </c>
      <c r="T242" s="61"/>
      <c r="U242" s="151">
        <v>0</v>
      </c>
      <c r="V242" s="93">
        <f t="shared" si="70"/>
        <v>0</v>
      </c>
      <c r="X242" s="56" t="str">
        <f t="shared" si="66"/>
        <v>Transition Probability from state 6 to state 8 on day 7 (CHG)</v>
      </c>
      <c r="Y242" s="61"/>
      <c r="Z242" s="151">
        <v>0</v>
      </c>
      <c r="AA242" s="93">
        <f t="shared" si="71"/>
        <v>0</v>
      </c>
      <c r="AB242" s="9"/>
      <c r="AC242" s="83"/>
    </row>
    <row r="243" spans="2:29" ht="17" thickTop="1" thickBot="1" x14ac:dyDescent="0.25">
      <c r="B243" s="83"/>
      <c r="D243" s="56" t="str">
        <f t="shared" si="62"/>
        <v>Transition Probability from state 1 to state 8 on day 8 (CHG)</v>
      </c>
      <c r="E243" s="61"/>
      <c r="F243" s="151">
        <v>1.3207547169811321E-2</v>
      </c>
      <c r="G243" s="93">
        <f t="shared" si="67"/>
        <v>1.3207547169811321E-2</v>
      </c>
      <c r="I243" s="56" t="str">
        <f t="shared" si="63"/>
        <v>Transition Probability from state 2 to state 8 on day 8 (CHG)</v>
      </c>
      <c r="J243" s="61"/>
      <c r="K243" s="151">
        <v>0</v>
      </c>
      <c r="L243" s="93">
        <f t="shared" si="68"/>
        <v>0</v>
      </c>
      <c r="N243" s="56" t="str">
        <f t="shared" si="64"/>
        <v>Transition Probability from state 3 to state 8 on day 8 (CHG)</v>
      </c>
      <c r="O243" s="61"/>
      <c r="P243" s="151">
        <v>0</v>
      </c>
      <c r="Q243" s="93">
        <f t="shared" si="69"/>
        <v>0</v>
      </c>
      <c r="S243" s="56" t="str">
        <f t="shared" si="65"/>
        <v>Transition Probability from state 4 to state 8 on day 8 (CHG)</v>
      </c>
      <c r="T243" s="61"/>
      <c r="U243" s="151">
        <v>0</v>
      </c>
      <c r="V243" s="93">
        <f t="shared" si="70"/>
        <v>0</v>
      </c>
      <c r="X243" s="56" t="str">
        <f t="shared" si="66"/>
        <v>Transition Probability from state 6 to state 8 on day 8 (CHG)</v>
      </c>
      <c r="Y243" s="61"/>
      <c r="Z243" s="151">
        <v>0</v>
      </c>
      <c r="AA243" s="93">
        <f t="shared" si="71"/>
        <v>0</v>
      </c>
      <c r="AB243" s="9"/>
      <c r="AC243" s="83"/>
    </row>
    <row r="244" spans="2:29" ht="17" thickTop="1" thickBot="1" x14ac:dyDescent="0.25">
      <c r="B244" s="83"/>
      <c r="D244" s="56" t="str">
        <f t="shared" si="62"/>
        <v>Transition Probability from state 1 to state 8 on day 9 (CHG)</v>
      </c>
      <c r="E244" s="61"/>
      <c r="F244" s="151">
        <v>1.8711018711018712E-2</v>
      </c>
      <c r="G244" s="93">
        <f t="shared" si="67"/>
        <v>1.8711018711018712E-2</v>
      </c>
      <c r="I244" s="56" t="str">
        <f t="shared" si="63"/>
        <v>Transition Probability from state 2 to state 8 on day 9 (CHG)</v>
      </c>
      <c r="J244" s="61"/>
      <c r="K244" s="151">
        <v>0.1111111111111111</v>
      </c>
      <c r="L244" s="93">
        <f t="shared" si="68"/>
        <v>0.1111111111111111</v>
      </c>
      <c r="N244" s="56" t="str">
        <f t="shared" si="64"/>
        <v>Transition Probability from state 3 to state 8 on day 9 (CHG)</v>
      </c>
      <c r="O244" s="61"/>
      <c r="P244" s="151">
        <v>0</v>
      </c>
      <c r="Q244" s="93">
        <f t="shared" si="69"/>
        <v>0</v>
      </c>
      <c r="S244" s="56" t="str">
        <f t="shared" si="65"/>
        <v>Transition Probability from state 4 to state 8 on day 9 (CHG)</v>
      </c>
      <c r="T244" s="61"/>
      <c r="U244" s="151">
        <v>0</v>
      </c>
      <c r="V244" s="93">
        <f t="shared" si="70"/>
        <v>0</v>
      </c>
      <c r="X244" s="56" t="str">
        <f t="shared" si="66"/>
        <v>Transition Probability from state 6 to state 8 on day 9 (CHG)</v>
      </c>
      <c r="Y244" s="61"/>
      <c r="Z244" s="151">
        <v>0</v>
      </c>
      <c r="AA244" s="93">
        <f t="shared" si="71"/>
        <v>0</v>
      </c>
      <c r="AB244" s="9"/>
      <c r="AC244" s="83"/>
    </row>
    <row r="245" spans="2:29" ht="17" thickTop="1" thickBot="1" x14ac:dyDescent="0.25">
      <c r="B245" s="83"/>
      <c r="D245" s="56" t="str">
        <f t="shared" si="62"/>
        <v>Transition Probability from state 1 to state 8 on day 10 (CHG)</v>
      </c>
      <c r="E245" s="61"/>
      <c r="F245" s="151">
        <v>1.7857142857142856E-2</v>
      </c>
      <c r="G245" s="93">
        <f t="shared" si="67"/>
        <v>1.7857142857142856E-2</v>
      </c>
      <c r="H245" s="144"/>
      <c r="I245" s="56" t="str">
        <f t="shared" si="63"/>
        <v>Transition Probability from state 2 to state 8 on day 10 (CHG)</v>
      </c>
      <c r="J245" s="61"/>
      <c r="K245" s="151">
        <v>0</v>
      </c>
      <c r="L245" s="93">
        <f t="shared" si="68"/>
        <v>0</v>
      </c>
      <c r="M245" s="144"/>
      <c r="N245" s="56" t="str">
        <f t="shared" si="64"/>
        <v>Transition Probability from state 3 to state 8 on day 10 (CHG)</v>
      </c>
      <c r="O245" s="61"/>
      <c r="P245" s="151">
        <v>0</v>
      </c>
      <c r="Q245" s="93">
        <f t="shared" si="69"/>
        <v>0</v>
      </c>
      <c r="R245" s="144"/>
      <c r="S245" s="56" t="str">
        <f t="shared" si="65"/>
        <v>Transition Probability from state 4 to state 8 on day 10 (CHG)</v>
      </c>
      <c r="T245" s="61"/>
      <c r="U245" s="151">
        <v>0</v>
      </c>
      <c r="V245" s="93">
        <f t="shared" si="70"/>
        <v>0</v>
      </c>
      <c r="W245" s="144"/>
      <c r="X245" s="56" t="str">
        <f t="shared" si="66"/>
        <v>Transition Probability from state 6 to state 8 on day 10 (CHG)</v>
      </c>
      <c r="Y245" s="61"/>
      <c r="Z245" s="151">
        <v>0</v>
      </c>
      <c r="AA245" s="93">
        <f t="shared" si="71"/>
        <v>0</v>
      </c>
      <c r="AB245" s="9"/>
      <c r="AC245" s="83"/>
    </row>
    <row r="246" spans="2:29" ht="17" thickTop="1" thickBot="1" x14ac:dyDescent="0.25">
      <c r="B246" s="83"/>
      <c r="D246" s="56" t="str">
        <f t="shared" si="62"/>
        <v>Transition Probability from state 1 to state 8 on day 11 (CHG)</v>
      </c>
      <c r="E246" s="61"/>
      <c r="F246" s="151">
        <v>1.7543859649122806E-2</v>
      </c>
      <c r="G246" s="93">
        <f t="shared" si="67"/>
        <v>1.7543859649122806E-2</v>
      </c>
      <c r="I246" s="56" t="str">
        <f t="shared" si="63"/>
        <v>Transition Probability from state 2 to state 8 on day 11 (CHG)</v>
      </c>
      <c r="J246" s="61"/>
      <c r="K246" s="151">
        <v>0</v>
      </c>
      <c r="L246" s="93">
        <f t="shared" si="68"/>
        <v>0</v>
      </c>
      <c r="N246" s="56" t="str">
        <f t="shared" si="64"/>
        <v>Transition Probability from state 3 to state 8 on day 11 (CHG)</v>
      </c>
      <c r="O246" s="61"/>
      <c r="P246" s="151">
        <v>0</v>
      </c>
      <c r="Q246" s="93">
        <f t="shared" si="69"/>
        <v>0</v>
      </c>
      <c r="S246" s="56" t="str">
        <f t="shared" si="65"/>
        <v>Transition Probability from state 4 to state 8 on day 11 (CHG)</v>
      </c>
      <c r="T246" s="61"/>
      <c r="U246" s="151">
        <v>0</v>
      </c>
      <c r="V246" s="93">
        <f t="shared" si="70"/>
        <v>0</v>
      </c>
      <c r="X246" s="56" t="str">
        <f t="shared" si="66"/>
        <v>Transition Probability from state 6 to state 8 on day 11 (CHG)</v>
      </c>
      <c r="Y246" s="61"/>
      <c r="Z246" s="151">
        <v>0</v>
      </c>
      <c r="AA246" s="93">
        <f t="shared" si="71"/>
        <v>0</v>
      </c>
      <c r="AB246" s="9"/>
      <c r="AC246" s="83"/>
    </row>
    <row r="247" spans="2:29" ht="17" thickTop="1" thickBot="1" x14ac:dyDescent="0.25">
      <c r="B247" s="83"/>
      <c r="D247" s="56" t="str">
        <f t="shared" si="62"/>
        <v>Transition Probability from state 1 to state 8 on day 12 (CHG)</v>
      </c>
      <c r="E247" s="61"/>
      <c r="F247" s="151">
        <v>1.3262599469496022E-2</v>
      </c>
      <c r="G247" s="93">
        <f t="shared" si="67"/>
        <v>1.3262599469496022E-2</v>
      </c>
      <c r="I247" s="56" t="str">
        <f t="shared" si="63"/>
        <v>Transition Probability from state 2 to state 8 on day 12 (CHG)</v>
      </c>
      <c r="J247" s="61"/>
      <c r="K247" s="151">
        <v>0</v>
      </c>
      <c r="L247" s="93">
        <f t="shared" si="68"/>
        <v>0</v>
      </c>
      <c r="N247" s="56" t="str">
        <f t="shared" si="64"/>
        <v>Transition Probability from state 3 to state 8 on day 12 (CHG)</v>
      </c>
      <c r="O247" s="61"/>
      <c r="P247" s="151">
        <v>0</v>
      </c>
      <c r="Q247" s="93">
        <f t="shared" si="69"/>
        <v>0</v>
      </c>
      <c r="S247" s="56" t="str">
        <f t="shared" si="65"/>
        <v>Transition Probability from state 4 to state 8 on day 12 (CHG)</v>
      </c>
      <c r="T247" s="61"/>
      <c r="U247" s="151">
        <v>0</v>
      </c>
      <c r="V247" s="93">
        <f t="shared" si="70"/>
        <v>0</v>
      </c>
      <c r="X247" s="56" t="str">
        <f t="shared" si="66"/>
        <v>Transition Probability from state 6 to state 8 on day 12 (CHG)</v>
      </c>
      <c r="Y247" s="61"/>
      <c r="Z247" s="151">
        <v>0</v>
      </c>
      <c r="AA247" s="93">
        <f t="shared" si="71"/>
        <v>0</v>
      </c>
      <c r="AB247" s="9"/>
      <c r="AC247" s="83"/>
    </row>
    <row r="248" spans="2:29" ht="17" thickTop="1" thickBot="1" x14ac:dyDescent="0.25">
      <c r="B248" s="83"/>
      <c r="D248" s="56" t="str">
        <f t="shared" si="62"/>
        <v>Transition Probability from state 1 to state 8 on day 13 (CHG)</v>
      </c>
      <c r="E248" s="61"/>
      <c r="F248" s="151">
        <v>2.2792022792022793E-2</v>
      </c>
      <c r="G248" s="93">
        <f t="shared" si="67"/>
        <v>2.2792022792022793E-2</v>
      </c>
      <c r="I248" s="56" t="str">
        <f t="shared" si="63"/>
        <v>Transition Probability from state 2 to state 8 on day 13 (CHG)</v>
      </c>
      <c r="J248" s="61"/>
      <c r="K248" s="151">
        <v>0</v>
      </c>
      <c r="L248" s="93">
        <f t="shared" si="68"/>
        <v>0</v>
      </c>
      <c r="N248" s="56" t="str">
        <f t="shared" si="64"/>
        <v>Transition Probability from state 3 to state 8 on day 13 (CHG)</v>
      </c>
      <c r="O248" s="61"/>
      <c r="P248" s="151">
        <v>0</v>
      </c>
      <c r="Q248" s="93">
        <f t="shared" si="69"/>
        <v>0</v>
      </c>
      <c r="S248" s="56" t="str">
        <f t="shared" si="65"/>
        <v>Transition Probability from state 4 to state 8 on day 13 (CHG)</v>
      </c>
      <c r="T248" s="61"/>
      <c r="U248" s="151">
        <v>0</v>
      </c>
      <c r="V248" s="93">
        <f t="shared" si="70"/>
        <v>0</v>
      </c>
      <c r="X248" s="56" t="str">
        <f t="shared" si="66"/>
        <v>Transition Probability from state 6 to state 8 on day 13 (CHG)</v>
      </c>
      <c r="Y248" s="61"/>
      <c r="Z248" s="151">
        <v>0</v>
      </c>
      <c r="AA248" s="93">
        <f t="shared" si="71"/>
        <v>0</v>
      </c>
      <c r="AB248" s="9"/>
      <c r="AC248" s="83"/>
    </row>
    <row r="249" spans="2:29" ht="17" thickTop="1" thickBot="1" x14ac:dyDescent="0.25">
      <c r="B249" s="83"/>
      <c r="D249" s="56" t="str">
        <f t="shared" si="62"/>
        <v>Transition Probability from state 1 to state 8 on day 14 (CHG)</v>
      </c>
      <c r="E249" s="61"/>
      <c r="F249" s="151">
        <v>2.7607361963190184E-2</v>
      </c>
      <c r="G249" s="93">
        <f t="shared" si="67"/>
        <v>2.7607361963190184E-2</v>
      </c>
      <c r="I249" s="56" t="str">
        <f t="shared" si="63"/>
        <v>Transition Probability from state 2 to state 8 on day 14 (CHG)</v>
      </c>
      <c r="J249" s="61"/>
      <c r="K249" s="151">
        <v>0</v>
      </c>
      <c r="L249" s="93">
        <f t="shared" si="68"/>
        <v>0</v>
      </c>
      <c r="N249" s="56" t="str">
        <f t="shared" si="64"/>
        <v>Transition Probability from state 3 to state 8 on day 14 (CHG)</v>
      </c>
      <c r="O249" s="61"/>
      <c r="P249" s="151">
        <v>0</v>
      </c>
      <c r="Q249" s="93">
        <f t="shared" si="69"/>
        <v>0</v>
      </c>
      <c r="S249" s="56" t="str">
        <f t="shared" si="65"/>
        <v>Transition Probability from state 4 to state 8 on day 14 (CHG)</v>
      </c>
      <c r="T249" s="61"/>
      <c r="U249" s="151">
        <v>0</v>
      </c>
      <c r="V249" s="93">
        <f t="shared" si="70"/>
        <v>0</v>
      </c>
      <c r="X249" s="56" t="str">
        <f t="shared" si="66"/>
        <v>Transition Probability from state 6 to state 8 on day 14 (CHG)</v>
      </c>
      <c r="Y249" s="61"/>
      <c r="Z249" s="151">
        <v>0</v>
      </c>
      <c r="AA249" s="93">
        <f t="shared" si="71"/>
        <v>0</v>
      </c>
      <c r="AB249" s="9"/>
      <c r="AC249" s="83"/>
    </row>
    <row r="250" spans="2:29" ht="17" thickTop="1" thickBot="1" x14ac:dyDescent="0.25">
      <c r="B250" s="83"/>
      <c r="D250" s="56" t="str">
        <f t="shared" si="62"/>
        <v>Transition Probability from state 1 to state 8 on day 15 (CHG)</v>
      </c>
      <c r="E250" s="61"/>
      <c r="F250" s="151">
        <v>2.364864864864865E-2</v>
      </c>
      <c r="G250" s="93">
        <f t="shared" si="67"/>
        <v>2.364864864864865E-2</v>
      </c>
      <c r="I250" s="56" t="str">
        <f t="shared" si="63"/>
        <v>Transition Probability from state 2 to state 8 on day 15 (CHG)</v>
      </c>
      <c r="J250" s="61"/>
      <c r="K250" s="151">
        <v>0</v>
      </c>
      <c r="L250" s="93">
        <f t="shared" si="68"/>
        <v>0</v>
      </c>
      <c r="N250" s="56" t="str">
        <f t="shared" si="64"/>
        <v>Transition Probability from state 3 to state 8 on day 15 (CHG)</v>
      </c>
      <c r="O250" s="61"/>
      <c r="P250" s="151">
        <v>0</v>
      </c>
      <c r="Q250" s="93">
        <f t="shared" si="69"/>
        <v>0</v>
      </c>
      <c r="S250" s="56" t="str">
        <f t="shared" si="65"/>
        <v>Transition Probability from state 4 to state 8 on day 15 (CHG)</v>
      </c>
      <c r="T250" s="61"/>
      <c r="U250" s="151">
        <v>0</v>
      </c>
      <c r="V250" s="93">
        <f t="shared" si="70"/>
        <v>0</v>
      </c>
      <c r="X250" s="56" t="str">
        <f t="shared" si="66"/>
        <v>Transition Probability from state 6 to state 8 on day 15 (CHG)</v>
      </c>
      <c r="Y250" s="61"/>
      <c r="Z250" s="151">
        <v>0</v>
      </c>
      <c r="AA250" s="93">
        <f t="shared" si="71"/>
        <v>0</v>
      </c>
      <c r="AB250" s="9"/>
      <c r="AC250" s="83"/>
    </row>
    <row r="251" spans="2:29" ht="17" thickTop="1" thickBot="1" x14ac:dyDescent="0.25">
      <c r="B251" s="83"/>
      <c r="D251" s="56" t="str">
        <f t="shared" si="62"/>
        <v>Transition Probability from state 1 to state 8 on day 16 (CHG)</v>
      </c>
      <c r="E251" s="61"/>
      <c r="F251" s="151">
        <v>1.0600706713780919E-2</v>
      </c>
      <c r="G251" s="93">
        <f t="shared" si="67"/>
        <v>1.0600706713780919E-2</v>
      </c>
      <c r="I251" s="56" t="str">
        <f t="shared" si="63"/>
        <v>Transition Probability from state 2 to state 8 on day 16 (CHG)</v>
      </c>
      <c r="J251" s="61"/>
      <c r="K251" s="151">
        <v>0</v>
      </c>
      <c r="L251" s="93">
        <f t="shared" si="68"/>
        <v>0</v>
      </c>
      <c r="N251" s="56" t="str">
        <f t="shared" si="64"/>
        <v>Transition Probability from state 3 to state 8 on day 16 (CHG)</v>
      </c>
      <c r="O251" s="61"/>
      <c r="P251" s="151">
        <v>0</v>
      </c>
      <c r="Q251" s="93">
        <f t="shared" si="69"/>
        <v>0</v>
      </c>
      <c r="S251" s="56" t="str">
        <f t="shared" si="65"/>
        <v>Transition Probability from state 4 to state 8 on day 16 (CHG)</v>
      </c>
      <c r="T251" s="61"/>
      <c r="U251" s="151">
        <v>0</v>
      </c>
      <c r="V251" s="93">
        <f t="shared" si="70"/>
        <v>0</v>
      </c>
      <c r="X251" s="56" t="str">
        <f t="shared" si="66"/>
        <v>Transition Probability from state 6 to state 8 on day 16 (CHG)</v>
      </c>
      <c r="Y251" s="61"/>
      <c r="Z251" s="151">
        <v>0</v>
      </c>
      <c r="AA251" s="93">
        <f t="shared" si="71"/>
        <v>0</v>
      </c>
      <c r="AB251" s="9"/>
      <c r="AC251" s="83"/>
    </row>
    <row r="252" spans="2:29" ht="17" thickTop="1" thickBot="1" x14ac:dyDescent="0.25">
      <c r="B252" s="83"/>
      <c r="D252" s="56" t="str">
        <f t="shared" si="62"/>
        <v>Transition Probability from state 1 to state 8 on day 17 (CHG)</v>
      </c>
      <c r="E252" s="61"/>
      <c r="F252" s="151">
        <v>2.2641509433962263E-2</v>
      </c>
      <c r="G252" s="93">
        <f t="shared" si="67"/>
        <v>2.2641509433962263E-2</v>
      </c>
      <c r="I252" s="56" t="str">
        <f t="shared" si="63"/>
        <v>Transition Probability from state 2 to state 8 on day 17 (CHG)</v>
      </c>
      <c r="J252" s="61"/>
      <c r="K252" s="151">
        <v>0</v>
      </c>
      <c r="L252" s="93">
        <f t="shared" si="68"/>
        <v>0</v>
      </c>
      <c r="N252" s="56" t="str">
        <f t="shared" si="64"/>
        <v>Transition Probability from state 3 to state 8 on day 17 (CHG)</v>
      </c>
      <c r="O252" s="61"/>
      <c r="P252" s="151">
        <v>0</v>
      </c>
      <c r="Q252" s="93">
        <f t="shared" si="69"/>
        <v>0</v>
      </c>
      <c r="S252" s="56" t="str">
        <f t="shared" si="65"/>
        <v>Transition Probability from state 4 to state 8 on day 17 (CHG)</v>
      </c>
      <c r="T252" s="61"/>
      <c r="U252" s="151">
        <v>0</v>
      </c>
      <c r="V252" s="93">
        <f t="shared" si="70"/>
        <v>0</v>
      </c>
      <c r="X252" s="56" t="str">
        <f t="shared" si="66"/>
        <v>Transition Probability from state 6 to state 8 on day 17 (CHG)</v>
      </c>
      <c r="Y252" s="61"/>
      <c r="Z252" s="151">
        <v>0</v>
      </c>
      <c r="AA252" s="93">
        <f t="shared" si="71"/>
        <v>0</v>
      </c>
      <c r="AB252" s="9"/>
      <c r="AC252" s="83"/>
    </row>
    <row r="253" spans="2:29" ht="17" thickTop="1" thickBot="1" x14ac:dyDescent="0.25">
      <c r="B253" s="83"/>
      <c r="D253" s="56" t="str">
        <f t="shared" si="62"/>
        <v>Transition Probability from state 1 to state 8 on day 18 (CHG)</v>
      </c>
      <c r="E253" s="61"/>
      <c r="F253" s="151">
        <v>1.2195121951219513E-2</v>
      </c>
      <c r="G253" s="93">
        <f t="shared" si="67"/>
        <v>1.2195121951219513E-2</v>
      </c>
      <c r="I253" s="56" t="str">
        <f t="shared" si="63"/>
        <v>Transition Probability from state 2 to state 8 on day 18 (CHG)</v>
      </c>
      <c r="J253" s="61"/>
      <c r="K253" s="151">
        <v>0</v>
      </c>
      <c r="L253" s="93">
        <f t="shared" si="68"/>
        <v>0</v>
      </c>
      <c r="N253" s="56" t="str">
        <f t="shared" si="64"/>
        <v>Transition Probability from state 3 to state 8 on day 18 (CHG)</v>
      </c>
      <c r="O253" s="61"/>
      <c r="P253" s="151">
        <v>0</v>
      </c>
      <c r="Q253" s="93">
        <f t="shared" si="69"/>
        <v>0</v>
      </c>
      <c r="S253" s="56" t="str">
        <f t="shared" si="65"/>
        <v>Transition Probability from state 4 to state 8 on day 18 (CHG)</v>
      </c>
      <c r="T253" s="61"/>
      <c r="U253" s="151">
        <v>0</v>
      </c>
      <c r="V253" s="93">
        <f t="shared" si="70"/>
        <v>0</v>
      </c>
      <c r="X253" s="56" t="str">
        <f t="shared" si="66"/>
        <v>Transition Probability from state 6 to state 8 on day 18 (CHG)</v>
      </c>
      <c r="Y253" s="61"/>
      <c r="Z253" s="151">
        <v>0</v>
      </c>
      <c r="AA253" s="93">
        <f t="shared" si="71"/>
        <v>0</v>
      </c>
      <c r="AB253" s="9"/>
      <c r="AC253" s="83"/>
    </row>
    <row r="254" spans="2:29" ht="17" thickTop="1" thickBot="1" x14ac:dyDescent="0.25">
      <c r="B254" s="83"/>
      <c r="D254" s="56" t="str">
        <f t="shared" si="62"/>
        <v>Transition Probability from state 1 to state 8 on day 19 (CHG)</v>
      </c>
      <c r="E254" s="61"/>
      <c r="F254" s="151">
        <v>1.2605042016806723E-2</v>
      </c>
      <c r="G254" s="93">
        <f t="shared" si="67"/>
        <v>1.2605042016806723E-2</v>
      </c>
      <c r="I254" s="56" t="str">
        <f t="shared" si="63"/>
        <v>Transition Probability from state 2 to state 8 on day 19 (CHG)</v>
      </c>
      <c r="J254" s="61"/>
      <c r="K254" s="151">
        <v>0</v>
      </c>
      <c r="L254" s="93">
        <f t="shared" si="68"/>
        <v>0</v>
      </c>
      <c r="N254" s="56" t="str">
        <f t="shared" si="64"/>
        <v>Transition Probability from state 3 to state 8 on day 19 (CHG)</v>
      </c>
      <c r="O254" s="61"/>
      <c r="P254" s="151">
        <v>0</v>
      </c>
      <c r="Q254" s="93">
        <f t="shared" si="69"/>
        <v>0</v>
      </c>
      <c r="S254" s="56" t="str">
        <f t="shared" si="65"/>
        <v>Transition Probability from state 4 to state 8 on day 19 (CHG)</v>
      </c>
      <c r="T254" s="61"/>
      <c r="U254" s="151">
        <v>0</v>
      </c>
      <c r="V254" s="93">
        <f t="shared" si="70"/>
        <v>0</v>
      </c>
      <c r="X254" s="56" t="str">
        <f t="shared" si="66"/>
        <v>Transition Probability from state 6 to state 8 on day 19 (CHG)</v>
      </c>
      <c r="Y254" s="61"/>
      <c r="Z254" s="151">
        <v>0</v>
      </c>
      <c r="AA254" s="93">
        <f t="shared" si="71"/>
        <v>0</v>
      </c>
      <c r="AB254" s="9"/>
      <c r="AC254" s="83"/>
    </row>
    <row r="255" spans="2:29" ht="17" thickTop="1" thickBot="1" x14ac:dyDescent="0.25">
      <c r="B255" s="83"/>
      <c r="D255" s="56" t="str">
        <f t="shared" si="62"/>
        <v>Transition Probability from state 1 to state 8 on day 20 (CHG)</v>
      </c>
      <c r="E255" s="61"/>
      <c r="F255" s="151">
        <v>1.2931034482758621E-2</v>
      </c>
      <c r="G255" s="93">
        <f t="shared" si="67"/>
        <v>1.2931034482758621E-2</v>
      </c>
      <c r="I255" s="56" t="str">
        <f t="shared" si="63"/>
        <v>Transition Probability from state 2 to state 8 on day 20 (CHG)</v>
      </c>
      <c r="J255" s="61"/>
      <c r="K255" s="151">
        <v>0</v>
      </c>
      <c r="L255" s="93">
        <f t="shared" si="68"/>
        <v>0</v>
      </c>
      <c r="N255" s="56" t="str">
        <f t="shared" si="64"/>
        <v>Transition Probability from state 3 to state 8 on day 20 (CHG)</v>
      </c>
      <c r="O255" s="61"/>
      <c r="P255" s="151">
        <v>0</v>
      </c>
      <c r="Q255" s="93">
        <f t="shared" si="69"/>
        <v>0</v>
      </c>
      <c r="S255" s="56" t="str">
        <f t="shared" si="65"/>
        <v>Transition Probability from state 4 to state 8 on day 20 (CHG)</v>
      </c>
      <c r="T255" s="61"/>
      <c r="U255" s="151">
        <v>0</v>
      </c>
      <c r="V255" s="93">
        <f t="shared" si="70"/>
        <v>0</v>
      </c>
      <c r="X255" s="56" t="str">
        <f t="shared" si="66"/>
        <v>Transition Probability from state 6 to state 8 on day 20 (CHG)</v>
      </c>
      <c r="Y255" s="61"/>
      <c r="Z255" s="151">
        <v>0</v>
      </c>
      <c r="AA255" s="93">
        <f t="shared" si="71"/>
        <v>0</v>
      </c>
      <c r="AB255" s="9"/>
      <c r="AC255" s="83"/>
    </row>
    <row r="256" spans="2:29" ht="17" thickTop="1" thickBot="1" x14ac:dyDescent="0.25">
      <c r="B256" s="83"/>
      <c r="D256" s="56" t="str">
        <f t="shared" si="62"/>
        <v>Transition Probability from state 1 to state 8 on day 21 (CHG)</v>
      </c>
      <c r="E256" s="61"/>
      <c r="F256" s="151">
        <v>1.3574660633484163E-2</v>
      </c>
      <c r="G256" s="93">
        <f t="shared" si="67"/>
        <v>1.3574660633484163E-2</v>
      </c>
      <c r="I256" s="56" t="str">
        <f t="shared" si="63"/>
        <v>Transition Probability from state 2 to state 8 on day 21 (CHG)</v>
      </c>
      <c r="J256" s="61"/>
      <c r="K256" s="151">
        <v>0</v>
      </c>
      <c r="L256" s="93">
        <f t="shared" si="68"/>
        <v>0</v>
      </c>
      <c r="N256" s="56" t="str">
        <f t="shared" si="64"/>
        <v>Transition Probability from state 3 to state 8 on day 21 (CHG)</v>
      </c>
      <c r="O256" s="61"/>
      <c r="P256" s="151">
        <v>0</v>
      </c>
      <c r="Q256" s="93">
        <f t="shared" si="69"/>
        <v>0</v>
      </c>
      <c r="S256" s="56" t="str">
        <f t="shared" si="65"/>
        <v>Transition Probability from state 4 to state 8 on day 21 (CHG)</v>
      </c>
      <c r="T256" s="61"/>
      <c r="U256" s="151">
        <v>0</v>
      </c>
      <c r="V256" s="93">
        <f t="shared" si="70"/>
        <v>0</v>
      </c>
      <c r="X256" s="56" t="str">
        <f t="shared" si="66"/>
        <v>Transition Probability from state 6 to state 8 on day 21 (CHG)</v>
      </c>
      <c r="Y256" s="61"/>
      <c r="Z256" s="151">
        <v>0</v>
      </c>
      <c r="AA256" s="93">
        <f t="shared" si="71"/>
        <v>0</v>
      </c>
      <c r="AB256" s="9"/>
      <c r="AC256" s="83"/>
    </row>
    <row r="257" spans="1:29" ht="17" thickTop="1" thickBot="1" x14ac:dyDescent="0.25">
      <c r="B257" s="83"/>
      <c r="D257" s="56" t="str">
        <f t="shared" si="62"/>
        <v>Transition Probability from state 1 to state 8 on day 22 (CHG)</v>
      </c>
      <c r="E257" s="61"/>
      <c r="F257" s="151">
        <v>4.9261083743842365E-3</v>
      </c>
      <c r="G257" s="93">
        <f t="shared" si="67"/>
        <v>4.9261083743842365E-3</v>
      </c>
      <c r="I257" s="56" t="str">
        <f t="shared" si="63"/>
        <v>Transition Probability from state 2 to state 8 on day 22 (CHG)</v>
      </c>
      <c r="J257" s="61"/>
      <c r="K257" s="151">
        <v>0</v>
      </c>
      <c r="L257" s="93">
        <f t="shared" si="68"/>
        <v>0</v>
      </c>
      <c r="N257" s="56" t="str">
        <f t="shared" si="64"/>
        <v>Transition Probability from state 3 to state 8 on day 22 (CHG)</v>
      </c>
      <c r="O257" s="61"/>
      <c r="P257" s="151">
        <v>0</v>
      </c>
      <c r="Q257" s="93">
        <f t="shared" si="69"/>
        <v>0</v>
      </c>
      <c r="S257" s="56" t="str">
        <f t="shared" si="65"/>
        <v>Transition Probability from state 4 to state 8 on day 22 (CHG)</v>
      </c>
      <c r="T257" s="61"/>
      <c r="U257" s="151">
        <v>0</v>
      </c>
      <c r="V257" s="93">
        <f t="shared" si="70"/>
        <v>0</v>
      </c>
      <c r="X257" s="56" t="str">
        <f t="shared" si="66"/>
        <v>Transition Probability from state 6 to state 8 on day 22 (CHG)</v>
      </c>
      <c r="Y257" s="61"/>
      <c r="Z257" s="151">
        <v>0</v>
      </c>
      <c r="AA257" s="93">
        <f t="shared" si="71"/>
        <v>0</v>
      </c>
      <c r="AB257" s="9"/>
      <c r="AC257" s="83"/>
    </row>
    <row r="258" spans="1:29" ht="17" thickTop="1" thickBot="1" x14ac:dyDescent="0.25">
      <c r="B258" s="83"/>
      <c r="D258" s="56" t="str">
        <f t="shared" si="62"/>
        <v>Transition Probability from state 1 to state 8 on day 23 (CHG)</v>
      </c>
      <c r="E258" s="61"/>
      <c r="F258" s="151">
        <v>1.5384615384615385E-2</v>
      </c>
      <c r="G258" s="93">
        <f t="shared" si="67"/>
        <v>1.5384615384615385E-2</v>
      </c>
      <c r="I258" s="56" t="str">
        <f t="shared" si="63"/>
        <v>Transition Probability from state 2 to state 8 on day 23 (CHG)</v>
      </c>
      <c r="J258" s="61"/>
      <c r="K258" s="151">
        <v>0</v>
      </c>
      <c r="L258" s="93">
        <f t="shared" si="68"/>
        <v>0</v>
      </c>
      <c r="N258" s="56" t="str">
        <f t="shared" si="64"/>
        <v>Transition Probability from state 3 to state 8 on day 23 (CHG)</v>
      </c>
      <c r="O258" s="61"/>
      <c r="P258" s="151">
        <v>0</v>
      </c>
      <c r="Q258" s="93">
        <f t="shared" si="69"/>
        <v>0</v>
      </c>
      <c r="S258" s="56" t="str">
        <f t="shared" si="65"/>
        <v>Transition Probability from state 4 to state 8 on day 23 (CHG)</v>
      </c>
      <c r="T258" s="61"/>
      <c r="U258" s="151">
        <v>0</v>
      </c>
      <c r="V258" s="93">
        <f t="shared" si="70"/>
        <v>0</v>
      </c>
      <c r="X258" s="56" t="str">
        <f t="shared" si="66"/>
        <v>Transition Probability from state 6 to state 8 on day 23 (CHG)</v>
      </c>
      <c r="Y258" s="61"/>
      <c r="Z258" s="151">
        <v>0</v>
      </c>
      <c r="AA258" s="93">
        <f t="shared" si="71"/>
        <v>0</v>
      </c>
      <c r="AB258" s="9"/>
      <c r="AC258" s="83"/>
    </row>
    <row r="259" spans="1:29" ht="17" thickTop="1" thickBot="1" x14ac:dyDescent="0.25">
      <c r="B259" s="83"/>
      <c r="D259" s="56" t="str">
        <f t="shared" si="62"/>
        <v>Transition Probability from state 1 to state 8 on day 24 (CHG)</v>
      </c>
      <c r="E259" s="61"/>
      <c r="F259" s="151">
        <v>5.6497175141242938E-3</v>
      </c>
      <c r="G259" s="93">
        <f t="shared" si="67"/>
        <v>5.6497175141242938E-3</v>
      </c>
      <c r="I259" s="56" t="str">
        <f t="shared" si="63"/>
        <v>Transition Probability from state 2 to state 8 on day 24 (CHG)</v>
      </c>
      <c r="J259" s="61"/>
      <c r="K259" s="151">
        <v>0</v>
      </c>
      <c r="L259" s="93">
        <f t="shared" si="68"/>
        <v>0</v>
      </c>
      <c r="N259" s="56" t="str">
        <f t="shared" si="64"/>
        <v>Transition Probability from state 3 to state 8 on day 24 (CHG)</v>
      </c>
      <c r="O259" s="61"/>
      <c r="P259" s="151">
        <v>0</v>
      </c>
      <c r="Q259" s="93">
        <f t="shared" si="69"/>
        <v>0</v>
      </c>
      <c r="S259" s="56" t="str">
        <f t="shared" si="65"/>
        <v>Transition Probability from state 4 to state 8 on day 24 (CHG)</v>
      </c>
      <c r="T259" s="61"/>
      <c r="U259" s="151">
        <v>0</v>
      </c>
      <c r="V259" s="93">
        <f t="shared" si="70"/>
        <v>0</v>
      </c>
      <c r="X259" s="56" t="str">
        <f t="shared" si="66"/>
        <v>Transition Probability from state 6 to state 8 on day 24 (CHG)</v>
      </c>
      <c r="Y259" s="61"/>
      <c r="Z259" s="151">
        <v>0</v>
      </c>
      <c r="AA259" s="93">
        <f t="shared" si="71"/>
        <v>0</v>
      </c>
      <c r="AB259" s="9"/>
      <c r="AC259" s="83"/>
    </row>
    <row r="260" spans="1:29" ht="17" thickTop="1" thickBot="1" x14ac:dyDescent="0.25">
      <c r="B260" s="83"/>
      <c r="D260" s="56" t="str">
        <f t="shared" si="62"/>
        <v>Transition Probability from state 1 to state 8 on day 25 (CHG)</v>
      </c>
      <c r="E260" s="61"/>
      <c r="F260" s="151">
        <v>5.7142857142857143E-3</v>
      </c>
      <c r="G260" s="93">
        <f t="shared" si="67"/>
        <v>5.7142857142857143E-3</v>
      </c>
      <c r="I260" s="56" t="str">
        <f t="shared" si="63"/>
        <v>Transition Probability from state 2 to state 8 on day 25 (CHG)</v>
      </c>
      <c r="J260" s="61"/>
      <c r="K260" s="151">
        <v>0</v>
      </c>
      <c r="L260" s="93">
        <f t="shared" si="68"/>
        <v>0</v>
      </c>
      <c r="N260" s="56" t="str">
        <f t="shared" si="64"/>
        <v>Transition Probability from state 3 to state 8 on day 25 (CHG)</v>
      </c>
      <c r="O260" s="61"/>
      <c r="P260" s="151">
        <v>0</v>
      </c>
      <c r="Q260" s="93">
        <f t="shared" si="69"/>
        <v>0</v>
      </c>
      <c r="S260" s="56" t="str">
        <f t="shared" si="65"/>
        <v>Transition Probability from state 4 to state 8 on day 25 (CHG)</v>
      </c>
      <c r="T260" s="61"/>
      <c r="U260" s="151">
        <v>0</v>
      </c>
      <c r="V260" s="93">
        <f t="shared" si="70"/>
        <v>0</v>
      </c>
      <c r="X260" s="56" t="str">
        <f t="shared" si="66"/>
        <v>Transition Probability from state 6 to state 8 on day 25 (CHG)</v>
      </c>
      <c r="Y260" s="61"/>
      <c r="Z260" s="151">
        <v>0</v>
      </c>
      <c r="AA260" s="93">
        <f t="shared" si="71"/>
        <v>0</v>
      </c>
      <c r="AB260" s="9"/>
      <c r="AC260" s="83"/>
    </row>
    <row r="261" spans="1:29" ht="17" thickTop="1" thickBot="1" x14ac:dyDescent="0.25">
      <c r="B261" s="83"/>
      <c r="D261" s="56" t="str">
        <f t="shared" si="62"/>
        <v>Transition Probability from state 1 to state 8 on day 26 (CHG)</v>
      </c>
      <c r="E261" s="61"/>
      <c r="F261" s="151">
        <v>2.5316455696202531E-2</v>
      </c>
      <c r="G261" s="93">
        <f t="shared" si="67"/>
        <v>2.5316455696202531E-2</v>
      </c>
      <c r="I261" s="56" t="str">
        <f t="shared" si="63"/>
        <v>Transition Probability from state 2 to state 8 on day 26 (CHG)</v>
      </c>
      <c r="J261" s="61"/>
      <c r="K261" s="151">
        <v>0</v>
      </c>
      <c r="L261" s="93">
        <f t="shared" si="68"/>
        <v>0</v>
      </c>
      <c r="N261" s="56" t="str">
        <f t="shared" si="64"/>
        <v>Transition Probability from state 3 to state 8 on day 26 (CHG)</v>
      </c>
      <c r="O261" s="61"/>
      <c r="P261" s="151">
        <v>0</v>
      </c>
      <c r="Q261" s="93">
        <f t="shared" si="69"/>
        <v>0</v>
      </c>
      <c r="S261" s="56" t="str">
        <f t="shared" si="65"/>
        <v>Transition Probability from state 4 to state 8 on day 26 (CHG)</v>
      </c>
      <c r="T261" s="61"/>
      <c r="U261" s="151">
        <v>0</v>
      </c>
      <c r="V261" s="93">
        <f t="shared" si="70"/>
        <v>0</v>
      </c>
      <c r="X261" s="56" t="str">
        <f t="shared" si="66"/>
        <v>Transition Probability from state 6 to state 8 on day 26 (CHG)</v>
      </c>
      <c r="Y261" s="61"/>
      <c r="Z261" s="151">
        <v>0</v>
      </c>
      <c r="AA261" s="93">
        <f t="shared" si="71"/>
        <v>0</v>
      </c>
      <c r="AB261" s="9"/>
      <c r="AC261" s="83"/>
    </row>
    <row r="262" spans="1:29" ht="17" thickTop="1" thickBot="1" x14ac:dyDescent="0.25">
      <c r="B262" s="83"/>
      <c r="D262" s="56" t="str">
        <f t="shared" si="62"/>
        <v>Transition Probability from state 1 to state 8 on day 27 (CHG)</v>
      </c>
      <c r="E262" s="61"/>
      <c r="F262" s="151">
        <v>1.9607843137254902E-2</v>
      </c>
      <c r="G262" s="93">
        <f t="shared" si="67"/>
        <v>1.9607843137254902E-2</v>
      </c>
      <c r="I262" s="56" t="str">
        <f t="shared" si="63"/>
        <v>Transition Probability from state 2 to state 8 on day 27 (CHG)</v>
      </c>
      <c r="J262" s="61"/>
      <c r="K262" s="151">
        <v>0</v>
      </c>
      <c r="L262" s="93">
        <f t="shared" si="68"/>
        <v>0</v>
      </c>
      <c r="N262" s="56" t="str">
        <f t="shared" si="64"/>
        <v>Transition Probability from state 3 to state 8 on day 27 (CHG)</v>
      </c>
      <c r="O262" s="61"/>
      <c r="P262" s="151">
        <v>0</v>
      </c>
      <c r="Q262" s="93">
        <f t="shared" si="69"/>
        <v>0</v>
      </c>
      <c r="S262" s="56" t="str">
        <f t="shared" si="65"/>
        <v>Transition Probability from state 4 to state 8 on day 27 (CHG)</v>
      </c>
      <c r="T262" s="61"/>
      <c r="U262" s="151">
        <v>0</v>
      </c>
      <c r="V262" s="93">
        <f t="shared" si="70"/>
        <v>0</v>
      </c>
      <c r="X262" s="56" t="str">
        <f t="shared" si="66"/>
        <v>Transition Probability from state 6 to state 8 on day 27 (CHG)</v>
      </c>
      <c r="Y262" s="61"/>
      <c r="Z262" s="151">
        <v>0</v>
      </c>
      <c r="AA262" s="93">
        <f t="shared" si="71"/>
        <v>0</v>
      </c>
      <c r="AB262" s="9"/>
      <c r="AC262" s="83"/>
    </row>
    <row r="263" spans="1:29" ht="17" thickTop="1" thickBot="1" x14ac:dyDescent="0.25">
      <c r="B263" s="83"/>
      <c r="D263" s="56" t="str">
        <f t="shared" si="62"/>
        <v>Transition Probability from state 1 to state 8 on day 28 (CHG)</v>
      </c>
      <c r="E263" s="61"/>
      <c r="F263" s="151">
        <v>2.1276595744680851E-2</v>
      </c>
      <c r="G263" s="93">
        <f t="shared" si="67"/>
        <v>2.1276595744680851E-2</v>
      </c>
      <c r="I263" s="56" t="str">
        <f t="shared" si="63"/>
        <v>Transition Probability from state 2 to state 8 on day 28 (CHG)</v>
      </c>
      <c r="J263" s="61"/>
      <c r="K263" s="151">
        <v>0</v>
      </c>
      <c r="L263" s="93">
        <f t="shared" si="68"/>
        <v>0</v>
      </c>
      <c r="N263" s="56" t="str">
        <f t="shared" si="64"/>
        <v>Transition Probability from state 3 to state 8 on day 28 (CHG)</v>
      </c>
      <c r="O263" s="61"/>
      <c r="P263" s="151">
        <v>0</v>
      </c>
      <c r="Q263" s="93">
        <f t="shared" si="69"/>
        <v>0</v>
      </c>
      <c r="S263" s="56" t="str">
        <f t="shared" si="65"/>
        <v>Transition Probability from state 4 to state 8 on day 28 (CHG)</v>
      </c>
      <c r="T263" s="61"/>
      <c r="U263" s="151">
        <v>0</v>
      </c>
      <c r="V263" s="93">
        <f t="shared" si="70"/>
        <v>0</v>
      </c>
      <c r="X263" s="56" t="str">
        <f t="shared" si="66"/>
        <v>Transition Probability from state 6 to state 8 on day 28 (CHG)</v>
      </c>
      <c r="Y263" s="61"/>
      <c r="Z263" s="151">
        <v>0</v>
      </c>
      <c r="AA263" s="93">
        <f t="shared" si="71"/>
        <v>0</v>
      </c>
      <c r="AB263" s="9"/>
      <c r="AC263" s="83"/>
    </row>
    <row r="264" spans="1:29" ht="17" thickTop="1" thickBot="1" x14ac:dyDescent="0.25">
      <c r="B264" s="83"/>
      <c r="D264" s="56" t="str">
        <f t="shared" si="62"/>
        <v>Transition Probability from state 1 to state 8 on day 29 (CHG)</v>
      </c>
      <c r="E264" s="61"/>
      <c r="F264" s="151">
        <v>1.4705882352941176E-2</v>
      </c>
      <c r="G264" s="93">
        <f t="shared" si="67"/>
        <v>1.4705882352941176E-2</v>
      </c>
      <c r="I264" s="56" t="str">
        <f t="shared" si="63"/>
        <v>Transition Probability from state 2 to state 8 on day 29 (CHG)</v>
      </c>
      <c r="J264" s="61"/>
      <c r="K264" s="151">
        <v>0</v>
      </c>
      <c r="L264" s="93">
        <f t="shared" si="68"/>
        <v>0</v>
      </c>
      <c r="N264" s="56" t="str">
        <f t="shared" si="64"/>
        <v>Transition Probability from state 3 to state 8 on day 29 (CHG)</v>
      </c>
      <c r="O264" s="61"/>
      <c r="P264" s="151">
        <v>0</v>
      </c>
      <c r="Q264" s="93">
        <f t="shared" si="69"/>
        <v>0</v>
      </c>
      <c r="S264" s="56" t="str">
        <f t="shared" si="65"/>
        <v>Transition Probability from state 4 to state 8 on day 29 (CHG)</v>
      </c>
      <c r="T264" s="61"/>
      <c r="U264" s="151">
        <v>0</v>
      </c>
      <c r="V264" s="93">
        <f t="shared" si="70"/>
        <v>0</v>
      </c>
      <c r="X264" s="56" t="str">
        <f t="shared" si="66"/>
        <v>Transition Probability from state 6 to state 8 on day 29 (CHG)</v>
      </c>
      <c r="Y264" s="61"/>
      <c r="Z264" s="151">
        <v>0</v>
      </c>
      <c r="AA264" s="93">
        <f t="shared" si="71"/>
        <v>0</v>
      </c>
      <c r="AB264" s="9"/>
      <c r="AC264" s="83"/>
    </row>
    <row r="265" spans="1:29" ht="17" thickTop="1" thickBot="1" x14ac:dyDescent="0.25">
      <c r="B265" s="83"/>
      <c r="D265" s="56" t="str">
        <f t="shared" si="62"/>
        <v>Transition Probability from state 1 to state 8 on day 30 (CHG)</v>
      </c>
      <c r="E265" s="61"/>
      <c r="F265" s="151">
        <v>2.34375E-2</v>
      </c>
      <c r="G265" s="93">
        <f t="shared" si="67"/>
        <v>2.34375E-2</v>
      </c>
      <c r="I265" s="56" t="str">
        <f t="shared" si="63"/>
        <v>Transition Probability from state 2 to state 8 on day 30 (CHG)</v>
      </c>
      <c r="J265" s="61"/>
      <c r="K265" s="151">
        <v>0</v>
      </c>
      <c r="L265" s="93">
        <f t="shared" si="68"/>
        <v>0</v>
      </c>
      <c r="N265" s="56" t="str">
        <f t="shared" si="64"/>
        <v>Transition Probability from state 3 to state 8 on day 30 (CHG)</v>
      </c>
      <c r="O265" s="61"/>
      <c r="P265" s="151">
        <v>0</v>
      </c>
      <c r="Q265" s="93">
        <f t="shared" si="69"/>
        <v>0</v>
      </c>
      <c r="S265" s="56" t="str">
        <f t="shared" si="65"/>
        <v>Transition Probability from state 4 to state 8 on day 30 (CHG)</v>
      </c>
      <c r="T265" s="61"/>
      <c r="U265" s="151">
        <v>0</v>
      </c>
      <c r="V265" s="93">
        <f t="shared" si="70"/>
        <v>0</v>
      </c>
      <c r="X265" s="56" t="str">
        <f t="shared" si="66"/>
        <v>Transition Probability from state 6 to state 8 on day 30 (CHG)</v>
      </c>
      <c r="Y265" s="61"/>
      <c r="Z265" s="151">
        <v>0</v>
      </c>
      <c r="AA265" s="93">
        <f t="shared" si="71"/>
        <v>0</v>
      </c>
      <c r="AB265" s="9"/>
      <c r="AC265" s="83"/>
    </row>
    <row r="266" spans="1:29" ht="16" thickTop="1" x14ac:dyDescent="0.2">
      <c r="B266" s="83"/>
      <c r="AB266" s="9"/>
      <c r="AC266" s="83"/>
    </row>
    <row r="267" spans="1:29" x14ac:dyDescent="0.2">
      <c r="B267" s="83"/>
      <c r="AB267" s="9"/>
      <c r="AC267" s="83"/>
    </row>
    <row r="268" spans="1:29" ht="16" thickBot="1" x14ac:dyDescent="0.25">
      <c r="A268" s="82"/>
      <c r="B268" s="87"/>
      <c r="C268" s="84"/>
      <c r="D268" s="84"/>
      <c r="E268" s="84"/>
      <c r="F268" s="84"/>
      <c r="G268" s="84"/>
      <c r="H268" s="84"/>
      <c r="I268" s="84"/>
      <c r="J268" s="84"/>
      <c r="K268" s="84"/>
      <c r="L268" s="84"/>
      <c r="M268" s="84"/>
      <c r="N268" s="84"/>
      <c r="O268" s="84"/>
      <c r="P268" s="84"/>
      <c r="Q268" s="84"/>
      <c r="R268" s="84"/>
      <c r="S268" s="84"/>
      <c r="T268" s="84"/>
      <c r="U268" s="84"/>
      <c r="V268" s="84"/>
      <c r="W268" s="84"/>
      <c r="X268" s="84"/>
      <c r="Y268" s="84"/>
      <c r="Z268" s="84"/>
      <c r="AA268" s="84"/>
      <c r="AB268" s="84"/>
      <c r="AC268" s="83"/>
    </row>
  </sheetData>
  <mergeCells count="36">
    <mergeCell ref="D235:G235"/>
    <mergeCell ref="I235:L235"/>
    <mergeCell ref="N235:Q235"/>
    <mergeCell ref="S235:V235"/>
    <mergeCell ref="X235:AA235"/>
    <mergeCell ref="D203:G203"/>
    <mergeCell ref="I203:L203"/>
    <mergeCell ref="N203:Q203"/>
    <mergeCell ref="S203:V203"/>
    <mergeCell ref="X203:AA203"/>
    <mergeCell ref="I138:L138"/>
    <mergeCell ref="N138:Q138"/>
    <mergeCell ref="S138:V138"/>
    <mergeCell ref="X138:AA138"/>
    <mergeCell ref="D171:G171"/>
    <mergeCell ref="D138:G138"/>
    <mergeCell ref="D106:G106"/>
    <mergeCell ref="I106:L106"/>
    <mergeCell ref="N106:Q106"/>
    <mergeCell ref="X106:AA106"/>
    <mergeCell ref="S106:V106"/>
    <mergeCell ref="X74:AA74"/>
    <mergeCell ref="S74:V74"/>
    <mergeCell ref="N74:Q74"/>
    <mergeCell ref="I74:L74"/>
    <mergeCell ref="D74:G74"/>
    <mergeCell ref="D42:G42"/>
    <mergeCell ref="I42:L42"/>
    <mergeCell ref="N42:Q42"/>
    <mergeCell ref="S42:V42"/>
    <mergeCell ref="X42:AA42"/>
    <mergeCell ref="D10:G10"/>
    <mergeCell ref="I10:L10"/>
    <mergeCell ref="N10:Q10"/>
    <mergeCell ref="S10:V10"/>
    <mergeCell ref="X10:AA10"/>
  </mergeCells>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94A92-8686-4783-BABE-B5EF73348AF2}">
  <sheetPr codeName="Sheet24">
    <tabColor theme="9"/>
  </sheetPr>
  <dimension ref="A3:AC268"/>
  <sheetViews>
    <sheetView showGridLines="0" workbookViewId="0"/>
  </sheetViews>
  <sheetFormatPr baseColWidth="10" defaultColWidth="8.83203125" defaultRowHeight="15" x14ac:dyDescent="0.2"/>
  <cols>
    <col min="4" max="4" width="56.5" customWidth="1"/>
    <col min="5" max="5" width="16.1640625" customWidth="1"/>
    <col min="6" max="6" width="14.6640625" customWidth="1"/>
    <col min="7" max="7" width="13.5" bestFit="1" customWidth="1"/>
    <col min="8" max="8" width="13.5" customWidth="1"/>
    <col min="9" max="9" width="58.6640625" customWidth="1"/>
    <col min="10" max="10" width="17.6640625" customWidth="1"/>
    <col min="11" max="11" width="16.1640625" customWidth="1"/>
    <col min="12" max="12" width="14.5" bestFit="1" customWidth="1"/>
    <col min="13" max="13" width="14.5" customWidth="1"/>
    <col min="14" max="14" width="56.33203125" customWidth="1"/>
    <col min="15" max="15" width="14.5" customWidth="1"/>
    <col min="16" max="16" width="14.1640625" customWidth="1"/>
    <col min="17" max="17" width="13.5" bestFit="1" customWidth="1"/>
    <col min="18" max="18" width="13.5" customWidth="1"/>
    <col min="19" max="19" width="55.6640625" customWidth="1"/>
    <col min="20" max="20" width="13.83203125" customWidth="1"/>
    <col min="21" max="21" width="14.83203125" customWidth="1"/>
    <col min="22" max="22" width="13.5" bestFit="1" customWidth="1"/>
    <col min="23" max="23" width="13.5" customWidth="1"/>
    <col min="24" max="24" width="57.33203125" customWidth="1"/>
    <col min="25" max="25" width="16.1640625" customWidth="1"/>
    <col min="26" max="26" width="14.5" customWidth="1"/>
    <col min="27" max="27" width="13.5" bestFit="1" customWidth="1"/>
  </cols>
  <sheetData>
    <row r="3" spans="2:29" ht="26" x14ac:dyDescent="0.3">
      <c r="E3" s="85" t="s">
        <v>268</v>
      </c>
    </row>
    <row r="4" spans="2:29" ht="16" thickBot="1" x14ac:dyDescent="0.25"/>
    <row r="5" spans="2:29" ht="14.5" customHeight="1" thickBot="1" x14ac:dyDescent="0.25">
      <c r="B5" s="79"/>
      <c r="C5" s="80"/>
      <c r="D5" s="80"/>
      <c r="E5" s="80"/>
      <c r="F5" s="80"/>
      <c r="G5" s="80"/>
      <c r="H5" s="80"/>
      <c r="I5" s="80"/>
      <c r="J5" s="80"/>
      <c r="K5" s="80"/>
      <c r="L5" s="80"/>
      <c r="M5" s="80"/>
      <c r="N5" s="80"/>
      <c r="O5" s="80"/>
      <c r="P5" s="80"/>
      <c r="Q5" s="80"/>
      <c r="R5" s="80"/>
      <c r="S5" s="80"/>
      <c r="T5" s="80"/>
      <c r="U5" s="80"/>
      <c r="V5" s="80"/>
      <c r="W5" s="80"/>
      <c r="X5" s="80"/>
      <c r="Y5" s="80"/>
      <c r="Z5" s="80"/>
      <c r="AA5" s="80"/>
      <c r="AB5" s="81"/>
    </row>
    <row r="6" spans="2:29" x14ac:dyDescent="0.2">
      <c r="B6" s="83"/>
      <c r="AB6" s="9"/>
      <c r="AC6" s="83"/>
    </row>
    <row r="7" spans="2:29" x14ac:dyDescent="0.2">
      <c r="B7" s="83"/>
      <c r="AB7" s="9"/>
      <c r="AC7" s="83"/>
    </row>
    <row r="8" spans="2:29" x14ac:dyDescent="0.2">
      <c r="B8" s="83"/>
      <c r="AB8" s="9"/>
      <c r="AC8" s="83"/>
    </row>
    <row r="9" spans="2:29" x14ac:dyDescent="0.2">
      <c r="B9" s="83"/>
      <c r="AB9" s="9"/>
      <c r="AC9" s="83"/>
    </row>
    <row r="10" spans="2:29" ht="16" thickBot="1" x14ac:dyDescent="0.25">
      <c r="B10" s="83"/>
      <c r="D10" s="231" t="s">
        <v>183</v>
      </c>
      <c r="E10" s="231"/>
      <c r="F10" s="231"/>
      <c r="G10" s="231"/>
      <c r="I10" s="231" t="s">
        <v>190</v>
      </c>
      <c r="J10" s="231"/>
      <c r="K10" s="231"/>
      <c r="L10" s="231"/>
      <c r="N10" s="231" t="s">
        <v>191</v>
      </c>
      <c r="O10" s="231"/>
      <c r="P10" s="231"/>
      <c r="Q10" s="231"/>
      <c r="S10" s="232" t="s">
        <v>192</v>
      </c>
      <c r="T10" s="233"/>
      <c r="U10" s="233"/>
      <c r="V10" s="234"/>
      <c r="X10" s="231" t="s">
        <v>193</v>
      </c>
      <c r="Y10" s="231"/>
      <c r="Z10" s="231"/>
      <c r="AA10" s="231"/>
      <c r="AB10" s="9"/>
      <c r="AC10" s="83"/>
    </row>
    <row r="11" spans="2:29" ht="17" thickTop="1" thickBot="1" x14ac:dyDescent="0.25">
      <c r="B11" s="83"/>
      <c r="C11" s="149">
        <v>1</v>
      </c>
      <c r="D11" s="56" t="str">
        <f>"Transition Probability from state 1 to state 1 on day"&amp; " "&amp;C11&amp;" "&amp;"(Non-CHG)"</f>
        <v>Transition Probability from state 1 to state 1 on day 1 (Non-CHG)</v>
      </c>
      <c r="E11" s="150"/>
      <c r="F11" s="151">
        <v>0.97967914438502679</v>
      </c>
      <c r="G11" s="93">
        <f>IF(E11="",F11,E11)</f>
        <v>0.97967914438502679</v>
      </c>
      <c r="H11" s="110" t="s">
        <v>269</v>
      </c>
      <c r="I11" s="152" t="str">
        <f>"Transition Probability from state 2 to state 1 on day"&amp; " "&amp;C11&amp;" "&amp;"(Non-CHG)"</f>
        <v>Transition Probability from state 2 to state 1 on day 1 (Non-CHG)</v>
      </c>
      <c r="J11" s="150"/>
      <c r="K11" s="151"/>
      <c r="L11" s="93">
        <f>IF(J11="",K11,J11)</f>
        <v>0</v>
      </c>
      <c r="M11" s="60"/>
      <c r="N11" s="71" t="str">
        <f>"Transition Probability from state 3 to state 1 on day"&amp; " "&amp;C11&amp;" "&amp;"(Non-CHG)"</f>
        <v>Transition Probability from state 3 to state 1 on day 1 (Non-CHG)</v>
      </c>
      <c r="O11" s="61"/>
      <c r="P11" s="151"/>
      <c r="Q11" s="93">
        <f>IF(O11="",P11,O11)</f>
        <v>0</v>
      </c>
      <c r="R11" s="69"/>
      <c r="S11" s="56" t="str">
        <f>"Transition Probability from state 4 to state 1 on day"&amp; " "&amp;C11&amp;" "&amp;"(Non-CHG)"</f>
        <v>Transition Probability from state 4 to state 1 on day 1 (Non-CHG)</v>
      </c>
      <c r="T11" s="61"/>
      <c r="U11" s="151"/>
      <c r="V11" s="93">
        <f>IF(T11="",U11,T11)</f>
        <v>0</v>
      </c>
      <c r="W11" s="69"/>
      <c r="X11" s="56" t="str">
        <f>"Transition Probability from state 6 to state 1 on day"&amp; " "&amp;C11&amp;" "&amp;"(Non-CHG)"</f>
        <v>Transition Probability from state 6 to state 1 on day 1 (Non-CHG)</v>
      </c>
      <c r="Y11" s="61"/>
      <c r="Z11" s="151"/>
      <c r="AA11" s="93">
        <f>IF(Y11="",Z11,Y11)</f>
        <v>0</v>
      </c>
      <c r="AB11" s="9"/>
      <c r="AC11" s="83"/>
    </row>
    <row r="12" spans="2:29" ht="17" thickTop="1" thickBot="1" x14ac:dyDescent="0.25">
      <c r="B12" s="83"/>
      <c r="C12" s="149">
        <v>2</v>
      </c>
      <c r="D12" s="56" t="str">
        <f t="shared" ref="D12:D40" si="0">"Transition Probability from state 1 to state 1 on day"&amp; " "&amp;C12&amp;" "&amp;"(Non-CHG)"</f>
        <v>Transition Probability from state 1 to state 1 on day 2 (Non-CHG)</v>
      </c>
      <c r="E12" s="150"/>
      <c r="F12" s="151">
        <v>0.91048034934497812</v>
      </c>
      <c r="G12" s="93">
        <f t="shared" ref="G12:G40" si="1">IF(E12="",F12,E12)</f>
        <v>0.91048034934497812</v>
      </c>
      <c r="I12" s="152" t="str">
        <f t="shared" ref="I12:I40" si="2">"Transition Probability from state 2 to state 1 on day"&amp; " "&amp;C12&amp;" "&amp;"(Non-CHG)"</f>
        <v>Transition Probability from state 2 to state 1 on day 2 (Non-CHG)</v>
      </c>
      <c r="J12" s="150"/>
      <c r="K12" s="151">
        <v>0.83333333333333337</v>
      </c>
      <c r="L12" s="93">
        <f t="shared" ref="L12:L40" si="3">IF(J12="",K12,J12)</f>
        <v>0.83333333333333337</v>
      </c>
      <c r="M12" s="60"/>
      <c r="N12" s="71" t="str">
        <f t="shared" ref="N12:N40" si="4">"Transition Probability from state 3 to state 1 on day"&amp; " "&amp;C12&amp;" "&amp;"(Non-CHG)"</f>
        <v>Transition Probability from state 3 to state 1 on day 2 (Non-CHG)</v>
      </c>
      <c r="O12" s="61"/>
      <c r="P12" s="151"/>
      <c r="Q12" s="93">
        <f t="shared" ref="Q12:Q40" si="5">IF(O12="",P12,O12)</f>
        <v>0</v>
      </c>
      <c r="R12" s="69"/>
      <c r="S12" s="56" t="str">
        <f t="shared" ref="S12:S40" si="6">"Transition Probability from state 4 to state 1 on day"&amp; " "&amp;C12&amp;" "&amp;"(Non-CHG)"</f>
        <v>Transition Probability from state 4 to state 1 on day 2 (Non-CHG)</v>
      </c>
      <c r="T12" s="61"/>
      <c r="U12" s="151"/>
      <c r="V12" s="93">
        <f t="shared" ref="V12:V40" si="7">IF(T12="",U12,T12)</f>
        <v>0</v>
      </c>
      <c r="W12" s="69"/>
      <c r="X12" s="56" t="str">
        <f t="shared" ref="X12:X40" si="8">"Transition Probability from state 6 to state 1 on day"&amp; " "&amp;C12&amp;" "&amp;"(Non-CHG)"</f>
        <v>Transition Probability from state 6 to state 1 on day 2 (Non-CHG)</v>
      </c>
      <c r="Y12" s="61"/>
      <c r="Z12" s="151"/>
      <c r="AA12" s="93">
        <f t="shared" ref="AA12:AA40" si="9">IF(Y12="",Z12,Y12)</f>
        <v>0</v>
      </c>
      <c r="AB12" s="9"/>
      <c r="AC12" s="83"/>
    </row>
    <row r="13" spans="2:29" ht="17" thickTop="1" thickBot="1" x14ac:dyDescent="0.25">
      <c r="B13" s="83"/>
      <c r="C13" s="149">
        <v>3</v>
      </c>
      <c r="D13" s="56" t="str">
        <f t="shared" si="0"/>
        <v>Transition Probability from state 1 to state 1 on day 3 (Non-CHG)</v>
      </c>
      <c r="E13" s="150"/>
      <c r="F13" s="151">
        <v>0.89272943980929675</v>
      </c>
      <c r="G13" s="93">
        <f t="shared" si="1"/>
        <v>0.89272943980929675</v>
      </c>
      <c r="I13" s="152" t="str">
        <f t="shared" si="2"/>
        <v>Transition Probability from state 2 to state 1 on day 3 (Non-CHG)</v>
      </c>
      <c r="J13" s="150"/>
      <c r="K13" s="151">
        <v>0.91666666666666663</v>
      </c>
      <c r="L13" s="93">
        <f t="shared" si="3"/>
        <v>0.91666666666666663</v>
      </c>
      <c r="M13" s="60"/>
      <c r="N13" s="71" t="str">
        <f t="shared" si="4"/>
        <v>Transition Probability from state 3 to state 1 on day 3 (Non-CHG)</v>
      </c>
      <c r="O13" s="61"/>
      <c r="P13" s="151"/>
      <c r="Q13" s="93">
        <f t="shared" si="5"/>
        <v>0</v>
      </c>
      <c r="R13" s="69"/>
      <c r="S13" s="56" t="str">
        <f t="shared" si="6"/>
        <v>Transition Probability from state 4 to state 1 on day 3 (Non-CHG)</v>
      </c>
      <c r="T13" s="61"/>
      <c r="U13" s="151"/>
      <c r="V13" s="93">
        <f t="shared" si="7"/>
        <v>0</v>
      </c>
      <c r="W13" s="69"/>
      <c r="X13" s="56" t="str">
        <f t="shared" si="8"/>
        <v>Transition Probability from state 6 to state 1 on day 3 (Non-CHG)</v>
      </c>
      <c r="Y13" s="61"/>
      <c r="Z13" s="151"/>
      <c r="AA13" s="93">
        <f t="shared" si="9"/>
        <v>0</v>
      </c>
      <c r="AB13" s="9"/>
      <c r="AC13" s="83"/>
    </row>
    <row r="14" spans="2:29" ht="17" thickTop="1" thickBot="1" x14ac:dyDescent="0.25">
      <c r="B14" s="83"/>
      <c r="C14" s="149">
        <v>4</v>
      </c>
      <c r="D14" s="56" t="str">
        <f t="shared" si="0"/>
        <v>Transition Probability from state 1 to state 1 on day 4 (Non-CHG)</v>
      </c>
      <c r="E14" s="150"/>
      <c r="F14" s="151">
        <v>0.91180285343709466</v>
      </c>
      <c r="G14" s="93">
        <f t="shared" si="1"/>
        <v>0.91180285343709466</v>
      </c>
      <c r="I14" s="152" t="str">
        <f t="shared" si="2"/>
        <v>Transition Probability from state 2 to state 1 on day 4 (Non-CHG)</v>
      </c>
      <c r="J14" s="150"/>
      <c r="K14" s="151">
        <v>0.93333333333333335</v>
      </c>
      <c r="L14" s="93">
        <f t="shared" si="3"/>
        <v>0.93333333333333335</v>
      </c>
      <c r="M14" s="60"/>
      <c r="N14" s="71" t="str">
        <f t="shared" si="4"/>
        <v>Transition Probability from state 3 to state 1 on day 4 (Non-CHG)</v>
      </c>
      <c r="O14" s="61"/>
      <c r="P14" s="151"/>
      <c r="Q14" s="93">
        <f t="shared" si="5"/>
        <v>0</v>
      </c>
      <c r="R14" s="69"/>
      <c r="S14" s="56" t="str">
        <f t="shared" si="6"/>
        <v>Transition Probability from state 4 to state 1 on day 4 (Non-CHG)</v>
      </c>
      <c r="T14" s="61"/>
      <c r="U14" s="151"/>
      <c r="V14" s="93">
        <f t="shared" si="7"/>
        <v>0</v>
      </c>
      <c r="W14" s="69"/>
      <c r="X14" s="56" t="str">
        <f t="shared" si="8"/>
        <v>Transition Probability from state 6 to state 1 on day 4 (Non-CHG)</v>
      </c>
      <c r="Y14" s="61"/>
      <c r="Z14" s="151"/>
      <c r="AA14" s="93">
        <f t="shared" si="9"/>
        <v>0</v>
      </c>
      <c r="AB14" s="9"/>
      <c r="AC14" s="83"/>
    </row>
    <row r="15" spans="2:29" ht="17" thickTop="1" thickBot="1" x14ac:dyDescent="0.25">
      <c r="B15" s="83"/>
      <c r="C15" s="149">
        <v>5</v>
      </c>
      <c r="D15" s="56" t="str">
        <f t="shared" si="0"/>
        <v>Transition Probability from state 1 to state 1 on day 5 (Non-CHG)</v>
      </c>
      <c r="E15" s="150"/>
      <c r="F15" s="151">
        <v>0.88981868898186889</v>
      </c>
      <c r="G15" s="93">
        <f t="shared" si="1"/>
        <v>0.88981868898186889</v>
      </c>
      <c r="I15" s="152" t="str">
        <f t="shared" si="2"/>
        <v>Transition Probability from state 2 to state 1 on day 5 (Non-CHG)</v>
      </c>
      <c r="J15" s="150"/>
      <c r="K15" s="151">
        <v>1</v>
      </c>
      <c r="L15" s="93">
        <f t="shared" si="3"/>
        <v>1</v>
      </c>
      <c r="M15" s="60"/>
      <c r="N15" s="71" t="str">
        <f t="shared" si="4"/>
        <v>Transition Probability from state 3 to state 1 on day 5 (Non-CHG)</v>
      </c>
      <c r="O15" s="61"/>
      <c r="P15" s="151"/>
      <c r="Q15" s="93">
        <f t="shared" si="5"/>
        <v>0</v>
      </c>
      <c r="R15" s="69"/>
      <c r="S15" s="56" t="str">
        <f t="shared" si="6"/>
        <v>Transition Probability from state 4 to state 1 on day 5 (Non-CHG)</v>
      </c>
      <c r="T15" s="61"/>
      <c r="U15" s="151"/>
      <c r="V15" s="93">
        <f t="shared" si="7"/>
        <v>0</v>
      </c>
      <c r="W15" s="69"/>
      <c r="X15" s="56" t="str">
        <f t="shared" si="8"/>
        <v>Transition Probability from state 6 to state 1 on day 5 (Non-CHG)</v>
      </c>
      <c r="Y15" s="61"/>
      <c r="Z15" s="151"/>
      <c r="AA15" s="93">
        <f t="shared" si="9"/>
        <v>0</v>
      </c>
      <c r="AB15" s="9"/>
      <c r="AC15" s="83"/>
    </row>
    <row r="16" spans="2:29" ht="17" thickTop="1" thickBot="1" x14ac:dyDescent="0.25">
      <c r="B16" s="83"/>
      <c r="C16" s="149">
        <v>6</v>
      </c>
      <c r="D16" s="56" t="str">
        <f t="shared" si="0"/>
        <v>Transition Probability from state 1 to state 1 on day 6 (Non-CHG)</v>
      </c>
      <c r="E16" s="150"/>
      <c r="F16" s="151">
        <v>0.87037037037037035</v>
      </c>
      <c r="G16" s="93">
        <f t="shared" si="1"/>
        <v>0.87037037037037035</v>
      </c>
      <c r="I16" s="152" t="str">
        <f t="shared" si="2"/>
        <v>Transition Probability from state 2 to state 1 on day 6 (Non-CHG)</v>
      </c>
      <c r="J16" s="150"/>
      <c r="K16" s="151">
        <v>1</v>
      </c>
      <c r="L16" s="93">
        <f t="shared" si="3"/>
        <v>1</v>
      </c>
      <c r="M16" s="60"/>
      <c r="N16" s="71" t="str">
        <f t="shared" si="4"/>
        <v>Transition Probability from state 3 to state 1 on day 6 (Non-CHG)</v>
      </c>
      <c r="O16" s="61"/>
      <c r="P16" s="151"/>
      <c r="Q16" s="93">
        <f t="shared" si="5"/>
        <v>0</v>
      </c>
      <c r="R16" s="69"/>
      <c r="S16" s="56" t="str">
        <f t="shared" si="6"/>
        <v>Transition Probability from state 4 to state 1 on day 6 (Non-CHG)</v>
      </c>
      <c r="T16" s="61"/>
      <c r="U16" s="151"/>
      <c r="V16" s="93">
        <f t="shared" si="7"/>
        <v>0</v>
      </c>
      <c r="W16" s="69"/>
      <c r="X16" s="56" t="str">
        <f t="shared" si="8"/>
        <v>Transition Probability from state 6 to state 1 on day 6 (Non-CHG)</v>
      </c>
      <c r="Y16" s="61"/>
      <c r="Z16" s="151"/>
      <c r="AA16" s="93">
        <f t="shared" si="9"/>
        <v>0</v>
      </c>
      <c r="AB16" s="9"/>
      <c r="AC16" s="83"/>
    </row>
    <row r="17" spans="2:29" ht="17" thickTop="1" thickBot="1" x14ac:dyDescent="0.25">
      <c r="B17" s="83"/>
      <c r="C17" s="149">
        <v>7</v>
      </c>
      <c r="D17" s="56" t="str">
        <f t="shared" si="0"/>
        <v>Transition Probability from state 1 to state 1 on day 7 (Non-CHG)</v>
      </c>
      <c r="E17" s="150"/>
      <c r="F17" s="151">
        <v>0.85913043478260864</v>
      </c>
      <c r="G17" s="93">
        <f t="shared" si="1"/>
        <v>0.85913043478260864</v>
      </c>
      <c r="I17" s="152" t="str">
        <f t="shared" si="2"/>
        <v>Transition Probability from state 2 to state 1 on day 7 (Non-CHG)</v>
      </c>
      <c r="J17" s="150"/>
      <c r="K17" s="151">
        <v>0.94736842105263153</v>
      </c>
      <c r="L17" s="93">
        <f t="shared" si="3"/>
        <v>0.94736842105263153</v>
      </c>
      <c r="M17" s="60"/>
      <c r="N17" s="71" t="str">
        <f t="shared" si="4"/>
        <v>Transition Probability from state 3 to state 1 on day 7 (Non-CHG)</v>
      </c>
      <c r="O17" s="61"/>
      <c r="P17" s="151"/>
      <c r="Q17" s="93">
        <f t="shared" si="5"/>
        <v>0</v>
      </c>
      <c r="R17" s="69"/>
      <c r="S17" s="56" t="str">
        <f t="shared" si="6"/>
        <v>Transition Probability from state 4 to state 1 on day 7 (Non-CHG)</v>
      </c>
      <c r="T17" s="61"/>
      <c r="U17" s="151">
        <v>1</v>
      </c>
      <c r="V17" s="93">
        <f t="shared" si="7"/>
        <v>1</v>
      </c>
      <c r="W17" s="69"/>
      <c r="X17" s="56" t="str">
        <f t="shared" si="8"/>
        <v>Transition Probability from state 6 to state 1 on day 7 (Non-CHG)</v>
      </c>
      <c r="Y17" s="61"/>
      <c r="Z17" s="151"/>
      <c r="AA17" s="93">
        <f t="shared" si="9"/>
        <v>0</v>
      </c>
      <c r="AB17" s="9"/>
      <c r="AC17" s="83"/>
    </row>
    <row r="18" spans="2:29" ht="17" thickTop="1" thickBot="1" x14ac:dyDescent="0.25">
      <c r="B18" s="83"/>
      <c r="C18" s="149">
        <v>8</v>
      </c>
      <c r="D18" s="56" t="str">
        <f t="shared" si="0"/>
        <v>Transition Probability from state 1 to state 1 on day 8 (Non-CHG)</v>
      </c>
      <c r="E18" s="150"/>
      <c r="F18" s="151">
        <v>0.90058479532163738</v>
      </c>
      <c r="G18" s="93">
        <f t="shared" si="1"/>
        <v>0.90058479532163738</v>
      </c>
      <c r="I18" s="152" t="str">
        <f t="shared" si="2"/>
        <v>Transition Probability from state 2 to state 1 on day 8 (Non-CHG)</v>
      </c>
      <c r="J18" s="150"/>
      <c r="K18" s="151">
        <v>0.84210526315789469</v>
      </c>
      <c r="L18" s="93">
        <f t="shared" si="3"/>
        <v>0.84210526315789469</v>
      </c>
      <c r="M18" s="60"/>
      <c r="N18" s="71" t="str">
        <f t="shared" si="4"/>
        <v>Transition Probability from state 3 to state 1 on day 8 (Non-CHG)</v>
      </c>
      <c r="O18" s="61"/>
      <c r="P18" s="151"/>
      <c r="Q18" s="93">
        <f t="shared" si="5"/>
        <v>0</v>
      </c>
      <c r="R18" s="69"/>
      <c r="S18" s="56" t="str">
        <f t="shared" si="6"/>
        <v>Transition Probability from state 4 to state 1 on day 8 (Non-CHG)</v>
      </c>
      <c r="T18" s="61"/>
      <c r="U18" s="151">
        <v>1</v>
      </c>
      <c r="V18" s="93">
        <f t="shared" si="7"/>
        <v>1</v>
      </c>
      <c r="W18" s="69"/>
      <c r="X18" s="56" t="str">
        <f t="shared" si="8"/>
        <v>Transition Probability from state 6 to state 1 on day 8 (Non-CHG)</v>
      </c>
      <c r="Y18" s="61"/>
      <c r="Z18" s="151"/>
      <c r="AA18" s="93">
        <f t="shared" si="9"/>
        <v>0</v>
      </c>
      <c r="AB18" s="9"/>
      <c r="AC18" s="83"/>
    </row>
    <row r="19" spans="2:29" ht="17" thickTop="1" thickBot="1" x14ac:dyDescent="0.25">
      <c r="B19" s="83"/>
      <c r="C19" s="149">
        <v>9</v>
      </c>
      <c r="D19" s="56" t="str">
        <f t="shared" si="0"/>
        <v>Transition Probability from state 1 to state 1 on day 9 (Non-CHG)</v>
      </c>
      <c r="E19" s="150"/>
      <c r="F19" s="151">
        <v>0.89561586638830892</v>
      </c>
      <c r="G19" s="93">
        <f t="shared" si="1"/>
        <v>0.89561586638830892</v>
      </c>
      <c r="I19" s="152" t="str">
        <f t="shared" si="2"/>
        <v>Transition Probability from state 2 to state 1 on day 9 (Non-CHG)</v>
      </c>
      <c r="J19" s="150"/>
      <c r="K19" s="151">
        <v>0.8666666666666667</v>
      </c>
      <c r="L19" s="93">
        <f t="shared" si="3"/>
        <v>0.8666666666666667</v>
      </c>
      <c r="M19" s="60"/>
      <c r="N19" s="71" t="str">
        <f t="shared" si="4"/>
        <v>Transition Probability from state 3 to state 1 on day 9 (Non-CHG)</v>
      </c>
      <c r="O19" s="61"/>
      <c r="P19" s="151"/>
      <c r="Q19" s="93">
        <f t="shared" si="5"/>
        <v>0</v>
      </c>
      <c r="R19" s="69"/>
      <c r="S19" s="56" t="str">
        <f t="shared" si="6"/>
        <v>Transition Probability from state 4 to state 1 on day 9 (Non-CHG)</v>
      </c>
      <c r="T19" s="61"/>
      <c r="U19" s="151"/>
      <c r="V19" s="93">
        <f t="shared" si="7"/>
        <v>0</v>
      </c>
      <c r="W19" s="69"/>
      <c r="X19" s="56" t="str">
        <f t="shared" si="8"/>
        <v>Transition Probability from state 6 to state 1 on day 9 (Non-CHG)</v>
      </c>
      <c r="Y19" s="61"/>
      <c r="Z19" s="151"/>
      <c r="AA19" s="93">
        <f t="shared" si="9"/>
        <v>0</v>
      </c>
      <c r="AB19" s="9"/>
      <c r="AC19" s="83"/>
    </row>
    <row r="20" spans="2:29" ht="17" thickTop="1" thickBot="1" x14ac:dyDescent="0.25">
      <c r="B20" s="83"/>
      <c r="C20" s="149">
        <v>10</v>
      </c>
      <c r="D20" s="56" t="str">
        <f t="shared" si="0"/>
        <v>Transition Probability from state 1 to state 1 on day 10 (Non-CHG)</v>
      </c>
      <c r="E20" s="150"/>
      <c r="F20" s="151">
        <v>0.91855203619909498</v>
      </c>
      <c r="G20" s="93">
        <f t="shared" si="1"/>
        <v>0.91855203619909498</v>
      </c>
      <c r="H20" s="143"/>
      <c r="I20" s="152" t="str">
        <f t="shared" si="2"/>
        <v>Transition Probability from state 2 to state 1 on day 10 (Non-CHG)</v>
      </c>
      <c r="J20" s="150"/>
      <c r="K20" s="151">
        <v>1</v>
      </c>
      <c r="L20" s="93">
        <f t="shared" si="3"/>
        <v>1</v>
      </c>
      <c r="M20" s="60"/>
      <c r="N20" s="71" t="str">
        <f t="shared" si="4"/>
        <v>Transition Probability from state 3 to state 1 on day 10 (Non-CHG)</v>
      </c>
      <c r="O20" s="61"/>
      <c r="P20" s="151">
        <v>1</v>
      </c>
      <c r="Q20" s="93">
        <f t="shared" si="5"/>
        <v>1</v>
      </c>
      <c r="R20" s="69"/>
      <c r="S20" s="56" t="str">
        <f t="shared" si="6"/>
        <v>Transition Probability from state 4 to state 1 on day 10 (Non-CHG)</v>
      </c>
      <c r="T20" s="61"/>
      <c r="U20" s="151">
        <v>1</v>
      </c>
      <c r="V20" s="93">
        <f t="shared" si="7"/>
        <v>1</v>
      </c>
      <c r="W20" s="69"/>
      <c r="X20" s="56" t="str">
        <f t="shared" si="8"/>
        <v>Transition Probability from state 6 to state 1 on day 10 (Non-CHG)</v>
      </c>
      <c r="Y20" s="61"/>
      <c r="Z20" s="151"/>
      <c r="AA20" s="93">
        <f t="shared" si="9"/>
        <v>0</v>
      </c>
      <c r="AB20" s="9"/>
      <c r="AC20" s="83"/>
    </row>
    <row r="21" spans="2:29" ht="17" thickTop="1" thickBot="1" x14ac:dyDescent="0.25">
      <c r="B21" s="83"/>
      <c r="C21" s="149">
        <v>11</v>
      </c>
      <c r="D21" s="56" t="str">
        <f t="shared" si="0"/>
        <v>Transition Probability from state 1 to state 1 on day 11 (Non-CHG)</v>
      </c>
      <c r="E21" s="150"/>
      <c r="F21" s="151">
        <v>0.92380952380952386</v>
      </c>
      <c r="G21" s="93">
        <f t="shared" si="1"/>
        <v>0.92380952380952386</v>
      </c>
      <c r="I21" s="152" t="str">
        <f t="shared" si="2"/>
        <v>Transition Probability from state 2 to state 1 on day 11 (Non-CHG)</v>
      </c>
      <c r="J21" s="150"/>
      <c r="K21" s="151">
        <v>1</v>
      </c>
      <c r="L21" s="93">
        <f t="shared" si="3"/>
        <v>1</v>
      </c>
      <c r="M21" s="60"/>
      <c r="N21" s="71" t="str">
        <f t="shared" si="4"/>
        <v>Transition Probability from state 3 to state 1 on day 11 (Non-CHG)</v>
      </c>
      <c r="O21" s="61"/>
      <c r="P21" s="151">
        <v>1</v>
      </c>
      <c r="Q21" s="93">
        <f t="shared" si="5"/>
        <v>1</v>
      </c>
      <c r="R21" s="69"/>
      <c r="S21" s="56" t="str">
        <f t="shared" si="6"/>
        <v>Transition Probability from state 4 to state 1 on day 11 (Non-CHG)</v>
      </c>
      <c r="T21" s="61"/>
      <c r="U21" s="151"/>
      <c r="V21" s="93">
        <f t="shared" si="7"/>
        <v>0</v>
      </c>
      <c r="W21" s="69"/>
      <c r="X21" s="56" t="str">
        <f t="shared" si="8"/>
        <v>Transition Probability from state 6 to state 1 on day 11 (Non-CHG)</v>
      </c>
      <c r="Y21" s="61"/>
      <c r="Z21" s="151"/>
      <c r="AA21" s="93">
        <f t="shared" si="9"/>
        <v>0</v>
      </c>
      <c r="AB21" s="9"/>
      <c r="AC21" s="83"/>
    </row>
    <row r="22" spans="2:29" ht="17" thickTop="1" thickBot="1" x14ac:dyDescent="0.25">
      <c r="B22" s="83"/>
      <c r="C22" s="149">
        <v>12</v>
      </c>
      <c r="D22" s="56" t="str">
        <f t="shared" si="0"/>
        <v>Transition Probability from state 1 to state 1 on day 12 (Non-CHG)</v>
      </c>
      <c r="E22" s="150"/>
      <c r="F22" s="151">
        <v>0.90101522842639592</v>
      </c>
      <c r="G22" s="93">
        <f t="shared" si="1"/>
        <v>0.90101522842639592</v>
      </c>
      <c r="I22" s="152" t="str">
        <f t="shared" si="2"/>
        <v>Transition Probability from state 2 to state 1 on day 12 (Non-CHG)</v>
      </c>
      <c r="J22" s="150"/>
      <c r="K22" s="151">
        <v>0.9</v>
      </c>
      <c r="L22" s="93">
        <f t="shared" si="3"/>
        <v>0.9</v>
      </c>
      <c r="M22" s="60"/>
      <c r="N22" s="71" t="str">
        <f t="shared" si="4"/>
        <v>Transition Probability from state 3 to state 1 on day 12 (Non-CHG)</v>
      </c>
      <c r="O22" s="61"/>
      <c r="P22" s="151"/>
      <c r="Q22" s="93">
        <f t="shared" si="5"/>
        <v>0</v>
      </c>
      <c r="R22" s="69"/>
      <c r="S22" s="56" t="str">
        <f t="shared" si="6"/>
        <v>Transition Probability from state 4 to state 1 on day 12 (Non-CHG)</v>
      </c>
      <c r="T22" s="61"/>
      <c r="U22" s="151">
        <v>1</v>
      </c>
      <c r="V22" s="93">
        <f t="shared" si="7"/>
        <v>1</v>
      </c>
      <c r="W22" s="69"/>
      <c r="X22" s="56" t="str">
        <f t="shared" si="8"/>
        <v>Transition Probability from state 6 to state 1 on day 12 (Non-CHG)</v>
      </c>
      <c r="Y22" s="61"/>
      <c r="Z22" s="151"/>
      <c r="AA22" s="93">
        <f t="shared" si="9"/>
        <v>0</v>
      </c>
      <c r="AB22" s="9"/>
      <c r="AC22" s="83"/>
    </row>
    <row r="23" spans="2:29" ht="17" thickTop="1" thickBot="1" x14ac:dyDescent="0.25">
      <c r="B23" s="83"/>
      <c r="C23" s="149">
        <v>13</v>
      </c>
      <c r="D23" s="56" t="str">
        <f t="shared" si="0"/>
        <v>Transition Probability from state 1 to state 1 on day 13 (Non-CHG)</v>
      </c>
      <c r="E23" s="150"/>
      <c r="F23" s="151">
        <v>0.89589041095890409</v>
      </c>
      <c r="G23" s="93">
        <f t="shared" si="1"/>
        <v>0.89589041095890409</v>
      </c>
      <c r="I23" s="152" t="str">
        <f t="shared" si="2"/>
        <v>Transition Probability from state 2 to state 1 on day 13 (Non-CHG)</v>
      </c>
      <c r="J23" s="150"/>
      <c r="K23" s="151">
        <v>1</v>
      </c>
      <c r="L23" s="93">
        <f t="shared" si="3"/>
        <v>1</v>
      </c>
      <c r="M23" s="60"/>
      <c r="N23" s="71" t="str">
        <f t="shared" si="4"/>
        <v>Transition Probability from state 3 to state 1 on day 13 (Non-CHG)</v>
      </c>
      <c r="O23" s="61"/>
      <c r="P23" s="151">
        <v>1</v>
      </c>
      <c r="Q23" s="93">
        <f t="shared" si="5"/>
        <v>1</v>
      </c>
      <c r="R23" s="69"/>
      <c r="S23" s="56" t="str">
        <f t="shared" si="6"/>
        <v>Transition Probability from state 4 to state 1 on day 13 (Non-CHG)</v>
      </c>
      <c r="T23" s="61"/>
      <c r="U23" s="151"/>
      <c r="V23" s="93">
        <f t="shared" si="7"/>
        <v>0</v>
      </c>
      <c r="W23" s="69"/>
      <c r="X23" s="56" t="str">
        <f t="shared" si="8"/>
        <v>Transition Probability from state 6 to state 1 on day 13 (Non-CHG)</v>
      </c>
      <c r="Y23" s="61"/>
      <c r="Z23" s="151"/>
      <c r="AA23" s="93">
        <f t="shared" si="9"/>
        <v>0</v>
      </c>
      <c r="AB23" s="9"/>
      <c r="AC23" s="83"/>
    </row>
    <row r="24" spans="2:29" ht="17" thickTop="1" thickBot="1" x14ac:dyDescent="0.25">
      <c r="B24" s="83"/>
      <c r="C24" s="149">
        <v>14</v>
      </c>
      <c r="D24" s="56" t="str">
        <f t="shared" si="0"/>
        <v>Transition Probability from state 1 to state 1 on day 14 (Non-CHG)</v>
      </c>
      <c r="E24" s="150"/>
      <c r="F24" s="151">
        <v>0.9196428571428571</v>
      </c>
      <c r="G24" s="93">
        <f t="shared" si="1"/>
        <v>0.9196428571428571</v>
      </c>
      <c r="I24" s="152" t="str">
        <f t="shared" si="2"/>
        <v>Transition Probability from state 2 to state 1 on day 14 (Non-CHG)</v>
      </c>
      <c r="J24" s="150"/>
      <c r="K24" s="151">
        <v>0.7857142857142857</v>
      </c>
      <c r="L24" s="93">
        <f t="shared" si="3"/>
        <v>0.7857142857142857</v>
      </c>
      <c r="M24" s="60"/>
      <c r="N24" s="71" t="str">
        <f t="shared" si="4"/>
        <v>Transition Probability from state 3 to state 1 on day 14 (Non-CHG)</v>
      </c>
      <c r="O24" s="61"/>
      <c r="P24" s="151">
        <v>1</v>
      </c>
      <c r="Q24" s="93">
        <f t="shared" si="5"/>
        <v>1</v>
      </c>
      <c r="R24" s="69"/>
      <c r="S24" s="56" t="str">
        <f t="shared" si="6"/>
        <v>Transition Probability from state 4 to state 1 on day 14 (Non-CHG)</v>
      </c>
      <c r="T24" s="61"/>
      <c r="U24" s="151"/>
      <c r="V24" s="93">
        <f t="shared" si="7"/>
        <v>0</v>
      </c>
      <c r="W24" s="69"/>
      <c r="X24" s="56" t="str">
        <f t="shared" si="8"/>
        <v>Transition Probability from state 6 to state 1 on day 14 (Non-CHG)</v>
      </c>
      <c r="Y24" s="61"/>
      <c r="Z24" s="151">
        <v>1</v>
      </c>
      <c r="AA24" s="93">
        <f t="shared" si="9"/>
        <v>1</v>
      </c>
      <c r="AB24" s="9"/>
      <c r="AC24" s="83"/>
    </row>
    <row r="25" spans="2:29" ht="17" thickTop="1" thickBot="1" x14ac:dyDescent="0.25">
      <c r="B25" s="83"/>
      <c r="C25" s="149">
        <v>15</v>
      </c>
      <c r="D25" s="56" t="str">
        <f t="shared" si="0"/>
        <v>Transition Probability from state 1 to state 1 on day 15 (Non-CHG)</v>
      </c>
      <c r="E25" s="150"/>
      <c r="F25" s="151">
        <v>0.90372670807453415</v>
      </c>
      <c r="G25" s="93">
        <f t="shared" si="1"/>
        <v>0.90372670807453415</v>
      </c>
      <c r="I25" s="152" t="str">
        <f t="shared" si="2"/>
        <v>Transition Probability from state 2 to state 1 on day 15 (Non-CHG)</v>
      </c>
      <c r="J25" s="150"/>
      <c r="K25" s="151">
        <v>0.8</v>
      </c>
      <c r="L25" s="93">
        <f t="shared" si="3"/>
        <v>0.8</v>
      </c>
      <c r="M25" s="60"/>
      <c r="N25" s="71" t="str">
        <f t="shared" si="4"/>
        <v>Transition Probability from state 3 to state 1 on day 15 (Non-CHG)</v>
      </c>
      <c r="O25" s="61"/>
      <c r="P25" s="151"/>
      <c r="Q25" s="93">
        <f t="shared" si="5"/>
        <v>0</v>
      </c>
      <c r="R25" s="69"/>
      <c r="S25" s="56" t="str">
        <f t="shared" si="6"/>
        <v>Transition Probability from state 4 to state 1 on day 15 (Non-CHG)</v>
      </c>
      <c r="T25" s="61"/>
      <c r="U25" s="151"/>
      <c r="V25" s="93">
        <f t="shared" si="7"/>
        <v>0</v>
      </c>
      <c r="W25" s="69"/>
      <c r="X25" s="56" t="str">
        <f t="shared" si="8"/>
        <v>Transition Probability from state 6 to state 1 on day 15 (Non-CHG)</v>
      </c>
      <c r="Y25" s="61"/>
      <c r="Z25" s="151"/>
      <c r="AA25" s="93">
        <f t="shared" si="9"/>
        <v>0</v>
      </c>
      <c r="AB25" s="9"/>
      <c r="AC25" s="83"/>
    </row>
    <row r="26" spans="2:29" ht="17" thickTop="1" thickBot="1" x14ac:dyDescent="0.25">
      <c r="B26" s="83"/>
      <c r="C26" s="149">
        <v>16</v>
      </c>
      <c r="D26" s="56" t="str">
        <f t="shared" si="0"/>
        <v>Transition Probability from state 1 to state 1 on day 16 (Non-CHG)</v>
      </c>
      <c r="E26" s="150"/>
      <c r="F26" s="151">
        <v>0.90847457627118644</v>
      </c>
      <c r="G26" s="93">
        <f t="shared" si="1"/>
        <v>0.90847457627118644</v>
      </c>
      <c r="I26" s="152" t="str">
        <f t="shared" si="2"/>
        <v>Transition Probability from state 2 to state 1 on day 16 (Non-CHG)</v>
      </c>
      <c r="J26" s="150"/>
      <c r="K26" s="151">
        <v>1</v>
      </c>
      <c r="L26" s="93">
        <f t="shared" si="3"/>
        <v>1</v>
      </c>
      <c r="M26" s="60"/>
      <c r="N26" s="71" t="str">
        <f t="shared" si="4"/>
        <v>Transition Probability from state 3 to state 1 on day 16 (Non-CHG)</v>
      </c>
      <c r="O26" s="61"/>
      <c r="P26" s="151"/>
      <c r="Q26" s="93">
        <f t="shared" si="5"/>
        <v>0</v>
      </c>
      <c r="R26" s="69"/>
      <c r="S26" s="56" t="str">
        <f t="shared" si="6"/>
        <v>Transition Probability from state 4 to state 1 on day 16 (Non-CHG)</v>
      </c>
      <c r="T26" s="61"/>
      <c r="U26" s="151"/>
      <c r="V26" s="93">
        <f t="shared" si="7"/>
        <v>0</v>
      </c>
      <c r="W26" s="69"/>
      <c r="X26" s="56" t="str">
        <f t="shared" si="8"/>
        <v>Transition Probability from state 6 to state 1 on day 16 (Non-CHG)</v>
      </c>
      <c r="Y26" s="61"/>
      <c r="Z26" s="151"/>
      <c r="AA26" s="93">
        <f t="shared" si="9"/>
        <v>0</v>
      </c>
      <c r="AB26" s="9"/>
      <c r="AC26" s="83"/>
    </row>
    <row r="27" spans="2:29" ht="17" thickTop="1" thickBot="1" x14ac:dyDescent="0.25">
      <c r="B27" s="83"/>
      <c r="C27" s="149">
        <v>17</v>
      </c>
      <c r="D27" s="56" t="str">
        <f t="shared" si="0"/>
        <v>Transition Probability from state 1 to state 1 on day 17 (Non-CHG)</v>
      </c>
      <c r="E27" s="150"/>
      <c r="F27" s="151">
        <v>0.91335740072202165</v>
      </c>
      <c r="G27" s="93">
        <f t="shared" si="1"/>
        <v>0.91335740072202165</v>
      </c>
      <c r="I27" s="152" t="str">
        <f t="shared" si="2"/>
        <v>Transition Probability from state 2 to state 1 on day 17 (Non-CHG)</v>
      </c>
      <c r="J27" s="150"/>
      <c r="K27" s="151">
        <v>1</v>
      </c>
      <c r="L27" s="93">
        <f t="shared" si="3"/>
        <v>1</v>
      </c>
      <c r="M27" s="60"/>
      <c r="N27" s="71" t="str">
        <f t="shared" si="4"/>
        <v>Transition Probability from state 3 to state 1 on day 17 (Non-CHG)</v>
      </c>
      <c r="O27" s="61"/>
      <c r="P27" s="151"/>
      <c r="Q27" s="93">
        <f t="shared" si="5"/>
        <v>0</v>
      </c>
      <c r="R27" s="69"/>
      <c r="S27" s="56" t="str">
        <f t="shared" si="6"/>
        <v>Transition Probability from state 4 to state 1 on day 17 (Non-CHG)</v>
      </c>
      <c r="T27" s="61"/>
      <c r="U27" s="151"/>
      <c r="V27" s="93">
        <f t="shared" si="7"/>
        <v>0</v>
      </c>
      <c r="W27" s="69"/>
      <c r="X27" s="56" t="str">
        <f t="shared" si="8"/>
        <v>Transition Probability from state 6 to state 1 on day 17 (Non-CHG)</v>
      </c>
      <c r="Y27" s="61"/>
      <c r="Z27" s="151"/>
      <c r="AA27" s="93">
        <f t="shared" si="9"/>
        <v>0</v>
      </c>
      <c r="AB27" s="9"/>
      <c r="AC27" s="83"/>
    </row>
    <row r="28" spans="2:29" ht="17" thickTop="1" thickBot="1" x14ac:dyDescent="0.25">
      <c r="B28" s="83"/>
      <c r="C28" s="149">
        <v>18</v>
      </c>
      <c r="D28" s="56" t="str">
        <f t="shared" si="0"/>
        <v>Transition Probability from state 1 to state 1 on day 18 (Non-CHG)</v>
      </c>
      <c r="E28" s="150"/>
      <c r="F28" s="151">
        <v>0.90769230769230769</v>
      </c>
      <c r="G28" s="93">
        <f t="shared" si="1"/>
        <v>0.90769230769230769</v>
      </c>
      <c r="I28" s="152" t="str">
        <f t="shared" si="2"/>
        <v>Transition Probability from state 2 to state 1 on day 18 (Non-CHG)</v>
      </c>
      <c r="J28" s="150"/>
      <c r="K28" s="151">
        <v>0.83333333333333337</v>
      </c>
      <c r="L28" s="93">
        <f t="shared" si="3"/>
        <v>0.83333333333333337</v>
      </c>
      <c r="M28" s="60"/>
      <c r="N28" s="71" t="str">
        <f t="shared" si="4"/>
        <v>Transition Probability from state 3 to state 1 on day 18 (Non-CHG)</v>
      </c>
      <c r="O28" s="61"/>
      <c r="P28" s="151"/>
      <c r="Q28" s="93">
        <f t="shared" si="5"/>
        <v>0</v>
      </c>
      <c r="R28" s="69"/>
      <c r="S28" s="56" t="str">
        <f t="shared" si="6"/>
        <v>Transition Probability from state 4 to state 1 on day 18 (Non-CHG)</v>
      </c>
      <c r="T28" s="61"/>
      <c r="U28" s="151">
        <v>1</v>
      </c>
      <c r="V28" s="93">
        <f t="shared" si="7"/>
        <v>1</v>
      </c>
      <c r="W28" s="69"/>
      <c r="X28" s="56" t="str">
        <f t="shared" si="8"/>
        <v>Transition Probability from state 6 to state 1 on day 18 (Non-CHG)</v>
      </c>
      <c r="Y28" s="61"/>
      <c r="Z28" s="151"/>
      <c r="AA28" s="93">
        <f t="shared" si="9"/>
        <v>0</v>
      </c>
      <c r="AB28" s="9"/>
      <c r="AC28" s="83"/>
    </row>
    <row r="29" spans="2:29" ht="17" thickTop="1" thickBot="1" x14ac:dyDescent="0.25">
      <c r="B29" s="83"/>
      <c r="C29" s="149">
        <v>19</v>
      </c>
      <c r="D29" s="56" t="str">
        <f t="shared" si="0"/>
        <v>Transition Probability from state 1 to state 1 on day 19 (Non-CHG)</v>
      </c>
      <c r="E29" s="150"/>
      <c r="F29" s="151">
        <v>0.87190082644628097</v>
      </c>
      <c r="G29" s="93">
        <f t="shared" si="1"/>
        <v>0.87190082644628097</v>
      </c>
      <c r="I29" s="152" t="str">
        <f t="shared" si="2"/>
        <v>Transition Probability from state 2 to state 1 on day 19 (Non-CHG)</v>
      </c>
      <c r="J29" s="150"/>
      <c r="K29" s="151">
        <v>0.90909090909090906</v>
      </c>
      <c r="L29" s="93">
        <f t="shared" si="3"/>
        <v>0.90909090909090906</v>
      </c>
      <c r="M29" s="60"/>
      <c r="N29" s="71" t="str">
        <f t="shared" si="4"/>
        <v>Transition Probability from state 3 to state 1 on day 19 (Non-CHG)</v>
      </c>
      <c r="O29" s="61"/>
      <c r="P29" s="151"/>
      <c r="Q29" s="93">
        <f t="shared" si="5"/>
        <v>0</v>
      </c>
      <c r="R29" s="69"/>
      <c r="S29" s="56" t="str">
        <f t="shared" si="6"/>
        <v>Transition Probability from state 4 to state 1 on day 19 (Non-CHG)</v>
      </c>
      <c r="T29" s="61"/>
      <c r="U29" s="151">
        <v>1</v>
      </c>
      <c r="V29" s="93">
        <f t="shared" si="7"/>
        <v>1</v>
      </c>
      <c r="W29" s="69"/>
      <c r="X29" s="56" t="str">
        <f t="shared" si="8"/>
        <v>Transition Probability from state 6 to state 1 on day 19 (Non-CHG)</v>
      </c>
      <c r="Y29" s="61"/>
      <c r="Z29" s="151">
        <v>1</v>
      </c>
      <c r="AA29" s="93">
        <f t="shared" si="9"/>
        <v>1</v>
      </c>
      <c r="AB29" s="9"/>
      <c r="AC29" s="83"/>
    </row>
    <row r="30" spans="2:29" ht="17" thickTop="1" thickBot="1" x14ac:dyDescent="0.25">
      <c r="B30" s="83"/>
      <c r="C30" s="149">
        <v>20</v>
      </c>
      <c r="D30" s="56" t="str">
        <f t="shared" si="0"/>
        <v>Transition Probability from state 1 to state 1 on day 20 (Non-CHG)</v>
      </c>
      <c r="E30" s="150"/>
      <c r="F30" s="151">
        <v>0.91928251121076232</v>
      </c>
      <c r="G30" s="93">
        <f t="shared" si="1"/>
        <v>0.91928251121076232</v>
      </c>
      <c r="I30" s="152" t="str">
        <f t="shared" si="2"/>
        <v>Transition Probability from state 2 to state 1 on day 20 (Non-CHG)</v>
      </c>
      <c r="J30" s="150"/>
      <c r="K30" s="151">
        <v>1</v>
      </c>
      <c r="L30" s="93">
        <f t="shared" si="3"/>
        <v>1</v>
      </c>
      <c r="M30" s="60"/>
      <c r="N30" s="71" t="str">
        <f t="shared" si="4"/>
        <v>Transition Probability from state 3 to state 1 on day 20 (Non-CHG)</v>
      </c>
      <c r="O30" s="61"/>
      <c r="P30" s="151"/>
      <c r="Q30" s="93">
        <f t="shared" si="5"/>
        <v>0</v>
      </c>
      <c r="R30" s="69"/>
      <c r="S30" s="56" t="str">
        <f t="shared" si="6"/>
        <v>Transition Probability from state 4 to state 1 on day 20 (Non-CHG)</v>
      </c>
      <c r="T30" s="61"/>
      <c r="U30" s="151">
        <v>1</v>
      </c>
      <c r="V30" s="93">
        <f t="shared" si="7"/>
        <v>1</v>
      </c>
      <c r="W30" s="69"/>
      <c r="X30" s="56" t="str">
        <f t="shared" si="8"/>
        <v>Transition Probability from state 6 to state 1 on day 20 (Non-CHG)</v>
      </c>
      <c r="Y30" s="61"/>
      <c r="Z30" s="151"/>
      <c r="AA30" s="93">
        <f t="shared" si="9"/>
        <v>0</v>
      </c>
      <c r="AB30" s="9"/>
      <c r="AC30" s="83"/>
    </row>
    <row r="31" spans="2:29" ht="17" thickTop="1" thickBot="1" x14ac:dyDescent="0.25">
      <c r="B31" s="83"/>
      <c r="C31" s="149">
        <v>21</v>
      </c>
      <c r="D31" s="56" t="str">
        <f t="shared" si="0"/>
        <v>Transition Probability from state 1 to state 1 on day 21 (Non-CHG)</v>
      </c>
      <c r="E31" s="150"/>
      <c r="F31" s="151">
        <v>0.88785046728971961</v>
      </c>
      <c r="G31" s="93">
        <f t="shared" si="1"/>
        <v>0.88785046728971961</v>
      </c>
      <c r="I31" s="152" t="str">
        <f t="shared" si="2"/>
        <v>Transition Probability from state 2 to state 1 on day 21 (Non-CHG)</v>
      </c>
      <c r="J31" s="150"/>
      <c r="K31" s="151">
        <v>1</v>
      </c>
      <c r="L31" s="93">
        <f t="shared" si="3"/>
        <v>1</v>
      </c>
      <c r="M31" s="60"/>
      <c r="N31" s="71" t="str">
        <f t="shared" si="4"/>
        <v>Transition Probability from state 3 to state 1 on day 21 (Non-CHG)</v>
      </c>
      <c r="O31" s="61"/>
      <c r="P31" s="151"/>
      <c r="Q31" s="93">
        <f t="shared" si="5"/>
        <v>0</v>
      </c>
      <c r="R31" s="69"/>
      <c r="S31" s="56" t="str">
        <f t="shared" si="6"/>
        <v>Transition Probability from state 4 to state 1 on day 21 (Non-CHG)</v>
      </c>
      <c r="T31" s="61"/>
      <c r="U31" s="151"/>
      <c r="V31" s="93">
        <f t="shared" si="7"/>
        <v>0</v>
      </c>
      <c r="W31" s="69"/>
      <c r="X31" s="56" t="str">
        <f t="shared" si="8"/>
        <v>Transition Probability from state 6 to state 1 on day 21 (Non-CHG)</v>
      </c>
      <c r="Y31" s="61"/>
      <c r="Z31" s="151"/>
      <c r="AA31" s="93">
        <f t="shared" si="9"/>
        <v>0</v>
      </c>
      <c r="AB31" s="9"/>
      <c r="AC31" s="83"/>
    </row>
    <row r="32" spans="2:29" ht="17" thickTop="1" thickBot="1" x14ac:dyDescent="0.25">
      <c r="B32" s="83"/>
      <c r="C32" s="149">
        <v>22</v>
      </c>
      <c r="D32" s="56" t="str">
        <f t="shared" si="0"/>
        <v>Transition Probability from state 1 to state 1 on day 22 (Non-CHG)</v>
      </c>
      <c r="E32" s="150"/>
      <c r="F32" s="151">
        <v>0.88082901554404147</v>
      </c>
      <c r="G32" s="93">
        <f t="shared" si="1"/>
        <v>0.88082901554404147</v>
      </c>
      <c r="I32" s="152" t="str">
        <f t="shared" si="2"/>
        <v>Transition Probability from state 2 to state 1 on day 22 (Non-CHG)</v>
      </c>
      <c r="J32" s="150"/>
      <c r="K32" s="151">
        <v>1</v>
      </c>
      <c r="L32" s="93">
        <f t="shared" si="3"/>
        <v>1</v>
      </c>
      <c r="M32" s="60"/>
      <c r="N32" s="71" t="str">
        <f t="shared" si="4"/>
        <v>Transition Probability from state 3 to state 1 on day 22 (Non-CHG)</v>
      </c>
      <c r="O32" s="61"/>
      <c r="P32" s="151"/>
      <c r="Q32" s="93">
        <f t="shared" si="5"/>
        <v>0</v>
      </c>
      <c r="R32" s="69"/>
      <c r="S32" s="56" t="str">
        <f t="shared" si="6"/>
        <v>Transition Probability from state 4 to state 1 on day 22 (Non-CHG)</v>
      </c>
      <c r="T32" s="61"/>
      <c r="U32" s="151"/>
      <c r="V32" s="93">
        <f t="shared" si="7"/>
        <v>0</v>
      </c>
      <c r="W32" s="69"/>
      <c r="X32" s="56" t="str">
        <f t="shared" si="8"/>
        <v>Transition Probability from state 6 to state 1 on day 22 (Non-CHG)</v>
      </c>
      <c r="Y32" s="61"/>
      <c r="Z32" s="151">
        <v>1</v>
      </c>
      <c r="AA32" s="93">
        <f t="shared" si="9"/>
        <v>1</v>
      </c>
      <c r="AB32" s="9"/>
      <c r="AC32" s="83"/>
    </row>
    <row r="33" spans="2:29" ht="17" thickTop="1" thickBot="1" x14ac:dyDescent="0.25">
      <c r="B33" s="83"/>
      <c r="C33" s="149">
        <v>23</v>
      </c>
      <c r="D33" s="56" t="str">
        <f t="shared" si="0"/>
        <v>Transition Probability from state 1 to state 1 on day 23 (Non-CHG)</v>
      </c>
      <c r="E33" s="150"/>
      <c r="F33" s="151">
        <v>0.92613636363636365</v>
      </c>
      <c r="G33" s="93">
        <f t="shared" si="1"/>
        <v>0.92613636363636365</v>
      </c>
      <c r="I33" s="152" t="str">
        <f t="shared" si="2"/>
        <v>Transition Probability from state 2 to state 1 on day 23 (Non-CHG)</v>
      </c>
      <c r="J33" s="150"/>
      <c r="K33" s="151">
        <v>1</v>
      </c>
      <c r="L33" s="93">
        <f t="shared" si="3"/>
        <v>1</v>
      </c>
      <c r="M33" s="60"/>
      <c r="N33" s="71" t="str">
        <f t="shared" si="4"/>
        <v>Transition Probability from state 3 to state 1 on day 23 (Non-CHG)</v>
      </c>
      <c r="O33" s="61"/>
      <c r="P33" s="151">
        <v>1</v>
      </c>
      <c r="Q33" s="93">
        <f t="shared" si="5"/>
        <v>1</v>
      </c>
      <c r="R33" s="69"/>
      <c r="S33" s="56" t="str">
        <f t="shared" si="6"/>
        <v>Transition Probability from state 4 to state 1 on day 23 (Non-CHG)</v>
      </c>
      <c r="T33" s="61"/>
      <c r="U33" s="151"/>
      <c r="V33" s="93">
        <f t="shared" si="7"/>
        <v>0</v>
      </c>
      <c r="W33" s="69"/>
      <c r="X33" s="56" t="str">
        <f t="shared" si="8"/>
        <v>Transition Probability from state 6 to state 1 on day 23 (Non-CHG)</v>
      </c>
      <c r="Y33" s="61"/>
      <c r="Z33" s="151"/>
      <c r="AA33" s="93">
        <f t="shared" si="9"/>
        <v>0</v>
      </c>
      <c r="AB33" s="9"/>
      <c r="AC33" s="83"/>
    </row>
    <row r="34" spans="2:29" ht="17" thickTop="1" thickBot="1" x14ac:dyDescent="0.25">
      <c r="B34" s="83"/>
      <c r="C34" s="149">
        <v>24</v>
      </c>
      <c r="D34" s="56" t="str">
        <f t="shared" si="0"/>
        <v>Transition Probability from state 1 to state 1 on day 24 (Non-CHG)</v>
      </c>
      <c r="E34" s="150"/>
      <c r="F34" s="151">
        <v>0.92261904761904767</v>
      </c>
      <c r="G34" s="93">
        <f t="shared" si="1"/>
        <v>0.92261904761904767</v>
      </c>
      <c r="I34" s="152" t="str">
        <f t="shared" si="2"/>
        <v>Transition Probability from state 2 to state 1 on day 24 (Non-CHG)</v>
      </c>
      <c r="J34" s="150"/>
      <c r="K34" s="151">
        <v>1</v>
      </c>
      <c r="L34" s="93">
        <f t="shared" si="3"/>
        <v>1</v>
      </c>
      <c r="M34" s="60"/>
      <c r="N34" s="71" t="str">
        <f t="shared" si="4"/>
        <v>Transition Probability from state 3 to state 1 on day 24 (Non-CHG)</v>
      </c>
      <c r="O34" s="61"/>
      <c r="P34" s="151"/>
      <c r="Q34" s="93">
        <f t="shared" si="5"/>
        <v>0</v>
      </c>
      <c r="R34" s="69"/>
      <c r="S34" s="56" t="str">
        <f t="shared" si="6"/>
        <v>Transition Probability from state 4 to state 1 on day 24 (Non-CHG)</v>
      </c>
      <c r="T34" s="61"/>
      <c r="U34" s="151"/>
      <c r="V34" s="93">
        <f t="shared" si="7"/>
        <v>0</v>
      </c>
      <c r="W34" s="69"/>
      <c r="X34" s="56" t="str">
        <f t="shared" si="8"/>
        <v>Transition Probability from state 6 to state 1 on day 24 (Non-CHG)</v>
      </c>
      <c r="Y34" s="61"/>
      <c r="Z34" s="151"/>
      <c r="AA34" s="93">
        <f t="shared" si="9"/>
        <v>0</v>
      </c>
      <c r="AB34" s="9"/>
      <c r="AC34" s="83"/>
    </row>
    <row r="35" spans="2:29" ht="17" thickTop="1" thickBot="1" x14ac:dyDescent="0.25">
      <c r="B35" s="83"/>
      <c r="C35" s="149">
        <v>25</v>
      </c>
      <c r="D35" s="56" t="str">
        <f t="shared" si="0"/>
        <v>Transition Probability from state 1 to state 1 on day 25 (Non-CHG)</v>
      </c>
      <c r="E35" s="150"/>
      <c r="F35" s="151">
        <v>0.90506329113924056</v>
      </c>
      <c r="G35" s="93">
        <f t="shared" si="1"/>
        <v>0.90506329113924056</v>
      </c>
      <c r="I35" s="152" t="str">
        <f t="shared" si="2"/>
        <v>Transition Probability from state 2 to state 1 on day 25 (Non-CHG)</v>
      </c>
      <c r="J35" s="150"/>
      <c r="K35" s="151">
        <v>1</v>
      </c>
      <c r="L35" s="93">
        <f t="shared" si="3"/>
        <v>1</v>
      </c>
      <c r="M35" s="60"/>
      <c r="N35" s="71" t="str">
        <f t="shared" si="4"/>
        <v>Transition Probability from state 3 to state 1 on day 25 (Non-CHG)</v>
      </c>
      <c r="O35" s="61"/>
      <c r="P35" s="151"/>
      <c r="Q35" s="93">
        <f t="shared" si="5"/>
        <v>0</v>
      </c>
      <c r="R35" s="69"/>
      <c r="S35" s="56" t="str">
        <f t="shared" si="6"/>
        <v>Transition Probability from state 4 to state 1 on day 25 (Non-CHG)</v>
      </c>
      <c r="T35" s="61"/>
      <c r="U35" s="151"/>
      <c r="V35" s="93">
        <f t="shared" si="7"/>
        <v>0</v>
      </c>
      <c r="W35" s="69"/>
      <c r="X35" s="56" t="str">
        <f t="shared" si="8"/>
        <v>Transition Probability from state 6 to state 1 on day 25 (Non-CHG)</v>
      </c>
      <c r="Y35" s="61"/>
      <c r="Z35" s="151"/>
      <c r="AA35" s="93">
        <f t="shared" si="9"/>
        <v>0</v>
      </c>
      <c r="AB35" s="9"/>
      <c r="AC35" s="83"/>
    </row>
    <row r="36" spans="2:29" ht="17" thickTop="1" thickBot="1" x14ac:dyDescent="0.25">
      <c r="B36" s="83"/>
      <c r="C36" s="149">
        <v>26</v>
      </c>
      <c r="D36" s="56" t="str">
        <f t="shared" si="0"/>
        <v>Transition Probability from state 1 to state 1 on day 26 (Non-CHG)</v>
      </c>
      <c r="E36" s="150"/>
      <c r="F36" s="151">
        <v>0.8904109589041096</v>
      </c>
      <c r="G36" s="93">
        <f t="shared" si="1"/>
        <v>0.8904109589041096</v>
      </c>
      <c r="I36" s="152" t="str">
        <f t="shared" si="2"/>
        <v>Transition Probability from state 2 to state 1 on day 26 (Non-CHG)</v>
      </c>
      <c r="J36" s="150"/>
      <c r="K36" s="151">
        <v>1</v>
      </c>
      <c r="L36" s="93">
        <f t="shared" si="3"/>
        <v>1</v>
      </c>
      <c r="M36" s="60"/>
      <c r="N36" s="71" t="str">
        <f t="shared" si="4"/>
        <v>Transition Probability from state 3 to state 1 on day 26 (Non-CHG)</v>
      </c>
      <c r="O36" s="61"/>
      <c r="P36" s="151"/>
      <c r="Q36" s="93">
        <f t="shared" si="5"/>
        <v>0</v>
      </c>
      <c r="R36" s="69"/>
      <c r="S36" s="56" t="str">
        <f t="shared" si="6"/>
        <v>Transition Probability from state 4 to state 1 on day 26 (Non-CHG)</v>
      </c>
      <c r="T36" s="61"/>
      <c r="U36" s="151"/>
      <c r="V36" s="93">
        <f t="shared" si="7"/>
        <v>0</v>
      </c>
      <c r="W36" s="69"/>
      <c r="X36" s="56" t="str">
        <f t="shared" si="8"/>
        <v>Transition Probability from state 6 to state 1 on day 26 (Non-CHG)</v>
      </c>
      <c r="Y36" s="61"/>
      <c r="Z36" s="151"/>
      <c r="AA36" s="93">
        <f t="shared" si="9"/>
        <v>0</v>
      </c>
      <c r="AB36" s="9"/>
      <c r="AC36" s="83"/>
    </row>
    <row r="37" spans="2:29" ht="17" thickTop="1" thickBot="1" x14ac:dyDescent="0.25">
      <c r="B37" s="83"/>
      <c r="C37" s="149">
        <v>27</v>
      </c>
      <c r="D37" s="56" t="str">
        <f t="shared" si="0"/>
        <v>Transition Probability from state 1 to state 1 on day 27 (Non-CHG)</v>
      </c>
      <c r="E37" s="150"/>
      <c r="F37" s="151">
        <v>0.96240601503759393</v>
      </c>
      <c r="G37" s="93">
        <f t="shared" si="1"/>
        <v>0.96240601503759393</v>
      </c>
      <c r="I37" s="152" t="str">
        <f t="shared" si="2"/>
        <v>Transition Probability from state 2 to state 1 on day 27 (Non-CHG)</v>
      </c>
      <c r="J37" s="150"/>
      <c r="K37" s="151"/>
      <c r="L37" s="93">
        <f t="shared" si="3"/>
        <v>0</v>
      </c>
      <c r="M37" s="60"/>
      <c r="N37" s="71" t="str">
        <f t="shared" si="4"/>
        <v>Transition Probability from state 3 to state 1 on day 27 (Non-CHG)</v>
      </c>
      <c r="O37" s="61"/>
      <c r="P37" s="151"/>
      <c r="Q37" s="93">
        <f t="shared" si="5"/>
        <v>0</v>
      </c>
      <c r="R37" s="69"/>
      <c r="S37" s="56" t="str">
        <f t="shared" si="6"/>
        <v>Transition Probability from state 4 to state 1 on day 27 (Non-CHG)</v>
      </c>
      <c r="T37" s="61"/>
      <c r="U37" s="151"/>
      <c r="V37" s="93">
        <f t="shared" si="7"/>
        <v>0</v>
      </c>
      <c r="W37" s="69"/>
      <c r="X37" s="56" t="str">
        <f t="shared" si="8"/>
        <v>Transition Probability from state 6 to state 1 on day 27 (Non-CHG)</v>
      </c>
      <c r="Y37" s="61"/>
      <c r="Z37" s="151">
        <v>1</v>
      </c>
      <c r="AA37" s="93">
        <f t="shared" si="9"/>
        <v>1</v>
      </c>
      <c r="AB37" s="9"/>
      <c r="AC37" s="83"/>
    </row>
    <row r="38" spans="2:29" ht="17" thickTop="1" thickBot="1" x14ac:dyDescent="0.25">
      <c r="B38" s="83"/>
      <c r="C38" s="149">
        <v>28</v>
      </c>
      <c r="D38" s="56" t="str">
        <f t="shared" si="0"/>
        <v>Transition Probability from state 1 to state 1 on day 28 (Non-CHG)</v>
      </c>
      <c r="E38" s="150"/>
      <c r="F38" s="151">
        <v>0.93076923076923079</v>
      </c>
      <c r="G38" s="93">
        <f t="shared" si="1"/>
        <v>0.93076923076923079</v>
      </c>
      <c r="I38" s="152" t="str">
        <f t="shared" si="2"/>
        <v>Transition Probability from state 2 to state 1 on day 28 (Non-CHG)</v>
      </c>
      <c r="J38" s="150"/>
      <c r="K38" s="151"/>
      <c r="L38" s="93">
        <f t="shared" si="3"/>
        <v>0</v>
      </c>
      <c r="M38" s="60"/>
      <c r="N38" s="71" t="str">
        <f t="shared" si="4"/>
        <v>Transition Probability from state 3 to state 1 on day 28 (Non-CHG)</v>
      </c>
      <c r="O38" s="61"/>
      <c r="P38" s="151"/>
      <c r="Q38" s="93">
        <f t="shared" si="5"/>
        <v>0</v>
      </c>
      <c r="R38" s="69"/>
      <c r="S38" s="56" t="str">
        <f t="shared" si="6"/>
        <v>Transition Probability from state 4 to state 1 on day 28 (Non-CHG)</v>
      </c>
      <c r="T38" s="61"/>
      <c r="U38" s="151"/>
      <c r="V38" s="93">
        <f t="shared" si="7"/>
        <v>0</v>
      </c>
      <c r="W38" s="69"/>
      <c r="X38" s="56" t="str">
        <f t="shared" si="8"/>
        <v>Transition Probability from state 6 to state 1 on day 28 (Non-CHG)</v>
      </c>
      <c r="Y38" s="61"/>
      <c r="Z38" s="151"/>
      <c r="AA38" s="93">
        <f t="shared" si="9"/>
        <v>0</v>
      </c>
      <c r="AB38" s="9"/>
      <c r="AC38" s="83"/>
    </row>
    <row r="39" spans="2:29" ht="17" thickTop="1" thickBot="1" x14ac:dyDescent="0.25">
      <c r="B39" s="83"/>
      <c r="C39" s="149">
        <v>29</v>
      </c>
      <c r="D39" s="56" t="str">
        <f t="shared" si="0"/>
        <v>Transition Probability from state 1 to state 1 on day 29 (Non-CHG)</v>
      </c>
      <c r="E39" s="150"/>
      <c r="F39" s="151">
        <v>0.95041322314049592</v>
      </c>
      <c r="G39" s="93">
        <f t="shared" si="1"/>
        <v>0.95041322314049592</v>
      </c>
      <c r="I39" s="152" t="str">
        <f t="shared" si="2"/>
        <v>Transition Probability from state 2 to state 1 on day 29 (Non-CHG)</v>
      </c>
      <c r="J39" s="150"/>
      <c r="K39" s="151">
        <v>1</v>
      </c>
      <c r="L39" s="93">
        <f t="shared" si="3"/>
        <v>1</v>
      </c>
      <c r="M39" s="60"/>
      <c r="N39" s="71" t="str">
        <f t="shared" si="4"/>
        <v>Transition Probability from state 3 to state 1 on day 29 (Non-CHG)</v>
      </c>
      <c r="O39" s="61"/>
      <c r="P39" s="151"/>
      <c r="Q39" s="93">
        <f t="shared" si="5"/>
        <v>0</v>
      </c>
      <c r="R39" s="69"/>
      <c r="S39" s="56" t="str">
        <f t="shared" si="6"/>
        <v>Transition Probability from state 4 to state 1 on day 29 (Non-CHG)</v>
      </c>
      <c r="T39" s="61"/>
      <c r="U39" s="151"/>
      <c r="V39" s="93">
        <f t="shared" si="7"/>
        <v>0</v>
      </c>
      <c r="W39" s="69"/>
      <c r="X39" s="56" t="str">
        <f t="shared" si="8"/>
        <v>Transition Probability from state 6 to state 1 on day 29 (Non-CHG)</v>
      </c>
      <c r="Y39" s="61"/>
      <c r="Z39" s="151"/>
      <c r="AA39" s="93">
        <f t="shared" si="9"/>
        <v>0</v>
      </c>
      <c r="AB39" s="9"/>
      <c r="AC39" s="83"/>
    </row>
    <row r="40" spans="2:29" ht="17" thickTop="1" thickBot="1" x14ac:dyDescent="0.25">
      <c r="B40" s="83"/>
      <c r="C40" s="149">
        <v>30</v>
      </c>
      <c r="D40" s="56" t="str">
        <f t="shared" si="0"/>
        <v>Transition Probability from state 1 to state 1 on day 30 (Non-CHG)</v>
      </c>
      <c r="E40" s="150"/>
      <c r="F40" s="151">
        <v>0.87179487179487181</v>
      </c>
      <c r="G40" s="93">
        <f t="shared" si="1"/>
        <v>0.87179487179487181</v>
      </c>
      <c r="I40" s="152" t="str">
        <f t="shared" si="2"/>
        <v>Transition Probability from state 2 to state 1 on day 30 (Non-CHG)</v>
      </c>
      <c r="J40" s="150"/>
      <c r="K40" s="151">
        <v>1</v>
      </c>
      <c r="L40" s="93">
        <f t="shared" si="3"/>
        <v>1</v>
      </c>
      <c r="M40" s="60"/>
      <c r="N40" s="71" t="str">
        <f t="shared" si="4"/>
        <v>Transition Probability from state 3 to state 1 on day 30 (Non-CHG)</v>
      </c>
      <c r="O40" s="61"/>
      <c r="P40" s="151"/>
      <c r="Q40" s="93">
        <f t="shared" si="5"/>
        <v>0</v>
      </c>
      <c r="R40" s="69"/>
      <c r="S40" s="56" t="str">
        <f t="shared" si="6"/>
        <v>Transition Probability from state 4 to state 1 on day 30 (Non-CHG)</v>
      </c>
      <c r="T40" s="61"/>
      <c r="U40" s="151"/>
      <c r="V40" s="93">
        <f t="shared" si="7"/>
        <v>0</v>
      </c>
      <c r="W40" s="69"/>
      <c r="X40" s="56" t="str">
        <f t="shared" si="8"/>
        <v>Transition Probability from state 6 to state 1 on day 30 (Non-CHG)</v>
      </c>
      <c r="Y40" s="61"/>
      <c r="Z40" s="151"/>
      <c r="AA40" s="93">
        <f t="shared" si="9"/>
        <v>0</v>
      </c>
      <c r="AB40" s="9"/>
      <c r="AC40" s="83"/>
    </row>
    <row r="41" spans="2:29" ht="16" thickTop="1" x14ac:dyDescent="0.2">
      <c r="B41" s="83"/>
      <c r="AB41" s="9"/>
      <c r="AC41" s="83"/>
    </row>
    <row r="42" spans="2:29" x14ac:dyDescent="0.2">
      <c r="B42" s="83"/>
      <c r="D42" s="235" t="s">
        <v>184</v>
      </c>
      <c r="E42" s="235"/>
      <c r="F42" s="235"/>
      <c r="G42" s="235"/>
      <c r="I42" s="232" t="s">
        <v>194</v>
      </c>
      <c r="J42" s="233"/>
      <c r="K42" s="233"/>
      <c r="L42" s="234"/>
      <c r="N42" s="231" t="s">
        <v>195</v>
      </c>
      <c r="O42" s="231"/>
      <c r="P42" s="231"/>
      <c r="Q42" s="231"/>
      <c r="S42" s="231" t="s">
        <v>196</v>
      </c>
      <c r="T42" s="231"/>
      <c r="U42" s="231"/>
      <c r="V42" s="231"/>
      <c r="X42" s="231" t="s">
        <v>197</v>
      </c>
      <c r="Y42" s="231"/>
      <c r="Z42" s="231"/>
      <c r="AA42" s="231"/>
      <c r="AB42" s="9"/>
      <c r="AC42" s="83"/>
    </row>
    <row r="43" spans="2:29" ht="16" thickBot="1" x14ac:dyDescent="0.25">
      <c r="B43" s="83"/>
      <c r="D43" s="195" t="str">
        <f>"Transition Probability from state 1 to state 2 on day"&amp; " "&amp;C11&amp;" "&amp;"(Non-CHG)"</f>
        <v>Transition Probability from state 1 to state 2 on day 1 (Non-CHG)</v>
      </c>
      <c r="E43" s="196"/>
      <c r="F43" s="197">
        <v>6.4171122994652408E-3</v>
      </c>
      <c r="G43" s="198">
        <f>IF(E43="",F43,E43)</f>
        <v>6.4171122994652408E-3</v>
      </c>
      <c r="I43" s="195" t="str">
        <f>"Transition Probability from state 2 to state 2 on day"&amp; " "&amp;C11&amp;" "&amp;"(Non-CHG)"</f>
        <v>Transition Probability from state 2 to state 2 on day 1 (Non-CHG)</v>
      </c>
      <c r="J43" s="196"/>
      <c r="K43" s="197"/>
      <c r="L43" s="198">
        <f>IF(J43="",K43,J43)</f>
        <v>0</v>
      </c>
      <c r="N43" s="195" t="str">
        <f>"Transition Probability from state 3 to state 2 on day"&amp; " "&amp;C11&amp;" "&amp;"(Non-CHG)"</f>
        <v>Transition Probability from state 3 to state 2 on day 1 (Non-CHG)</v>
      </c>
      <c r="O43" s="196"/>
      <c r="P43" s="197">
        <v>0</v>
      </c>
      <c r="Q43" s="198">
        <f>IF(O43="",P43,O43)</f>
        <v>0</v>
      </c>
      <c r="R43" s="69"/>
      <c r="S43" s="195" t="str">
        <f>"Transition Probability from state 4 to state 2 on day"&amp; " "&amp;C11&amp;" "&amp;"(Non-CHG)"</f>
        <v>Transition Probability from state 4 to state 2 on day 1 (Non-CHG)</v>
      </c>
      <c r="T43" s="196"/>
      <c r="U43" s="197"/>
      <c r="V43" s="198">
        <f>IF(T43="",U43,T43)</f>
        <v>0</v>
      </c>
      <c r="W43" s="69"/>
      <c r="X43" s="195" t="str">
        <f>"Transition Probability from state 6 to state 2 on day"&amp; " "&amp;C11&amp;" "&amp;"(Non-CHG)"</f>
        <v>Transition Probability from state 6 to state 2 on day 1 (Non-CHG)</v>
      </c>
      <c r="Y43" s="196"/>
      <c r="Z43" s="197">
        <v>0</v>
      </c>
      <c r="AA43" s="198">
        <f>IF(Y43="",Z43,Y43)</f>
        <v>0</v>
      </c>
      <c r="AB43" s="9"/>
      <c r="AC43" s="83"/>
    </row>
    <row r="44" spans="2:29" ht="17" thickTop="1" thickBot="1" x14ac:dyDescent="0.25">
      <c r="B44" s="83"/>
      <c r="D44" s="56" t="str">
        <f t="shared" ref="D44:D72" si="10">"Transition Probability from state 1 to state 2 on day"&amp; " "&amp;C12&amp;" "&amp;"(Non-CHG)"</f>
        <v>Transition Probability from state 1 to state 2 on day 2 (Non-CHG)</v>
      </c>
      <c r="E44" s="61"/>
      <c r="F44" s="151">
        <v>2.6200873362445413E-2</v>
      </c>
      <c r="G44" s="93">
        <f t="shared" ref="G44:G72" si="11">IF(E44="",F44,E44)</f>
        <v>2.6200873362445413E-2</v>
      </c>
      <c r="I44" s="56" t="str">
        <f t="shared" ref="I44:I72" si="12">"Transition Probability from state 2 to state 2 on day"&amp; " "&amp;C12&amp;" "&amp;"(Non-CHG)"</f>
        <v>Transition Probability from state 2 to state 2 on day 2 (Non-CHG)</v>
      </c>
      <c r="J44" s="61"/>
      <c r="K44" s="151"/>
      <c r="L44" s="93">
        <f t="shared" ref="L44:L72" si="13">IF(J44="",K44,J44)</f>
        <v>0</v>
      </c>
      <c r="N44" s="56" t="str">
        <f t="shared" ref="N44:N72" si="14">"Transition Probability from state 3 to state 2 on day"&amp; " "&amp;C12&amp;" "&amp;"(Non-CHG)"</f>
        <v>Transition Probability from state 3 to state 2 on day 2 (Non-CHG)</v>
      </c>
      <c r="O44" s="61"/>
      <c r="P44" s="151">
        <v>0</v>
      </c>
      <c r="Q44" s="93">
        <f t="shared" ref="Q44:Q72" si="15">IF(O44="",P44,O44)</f>
        <v>0</v>
      </c>
      <c r="R44" s="69"/>
      <c r="S44" s="56" t="str">
        <f t="shared" ref="S44:S72" si="16">"Transition Probability from state 4 to state 2 on day"&amp; " "&amp;C12&amp;" "&amp;"(Non-CHG)"</f>
        <v>Transition Probability from state 4 to state 2 on day 2 (Non-CHG)</v>
      </c>
      <c r="T44" s="61"/>
      <c r="U44" s="151"/>
      <c r="V44" s="93">
        <f t="shared" ref="V44:V72" si="17">IF(T44="",U44,T44)</f>
        <v>0</v>
      </c>
      <c r="W44" s="69"/>
      <c r="X44" s="56" t="str">
        <f t="shared" ref="X44:X72" si="18">"Transition Probability from state 6 to state 2 on day"&amp; " "&amp;C12&amp;" "&amp;"(Non-CHG)"</f>
        <v>Transition Probability from state 6 to state 2 on day 2 (Non-CHG)</v>
      </c>
      <c r="Y44" s="61"/>
      <c r="Z44" s="151">
        <v>0</v>
      </c>
      <c r="AA44" s="93">
        <f t="shared" ref="AA44:AA72" si="19">IF(Y44="",Z44,Y44)</f>
        <v>0</v>
      </c>
      <c r="AB44" s="9"/>
      <c r="AC44" s="83"/>
    </row>
    <row r="45" spans="2:29" ht="17" thickTop="1" thickBot="1" x14ac:dyDescent="0.25">
      <c r="B45" s="83"/>
      <c r="D45" s="56" t="str">
        <f t="shared" si="10"/>
        <v>Transition Probability from state 1 to state 2 on day 3 (Non-CHG)</v>
      </c>
      <c r="E45" s="61"/>
      <c r="F45" s="151">
        <v>1.7878426698450536E-2</v>
      </c>
      <c r="G45" s="93">
        <f t="shared" si="11"/>
        <v>1.7878426698450536E-2</v>
      </c>
      <c r="I45" s="56" t="str">
        <f t="shared" si="12"/>
        <v>Transition Probability from state 2 to state 2 on day 3 (Non-CHG)</v>
      </c>
      <c r="J45" s="61"/>
      <c r="K45" s="151"/>
      <c r="L45" s="93">
        <f t="shared" si="13"/>
        <v>0</v>
      </c>
      <c r="N45" s="56" t="str">
        <f t="shared" si="14"/>
        <v>Transition Probability from state 3 to state 2 on day 3 (Non-CHG)</v>
      </c>
      <c r="O45" s="61"/>
      <c r="P45" s="151">
        <v>0</v>
      </c>
      <c r="Q45" s="93">
        <f t="shared" si="15"/>
        <v>0</v>
      </c>
      <c r="R45" s="69"/>
      <c r="S45" s="56" t="str">
        <f t="shared" si="16"/>
        <v>Transition Probability from state 4 to state 2 on day 3 (Non-CHG)</v>
      </c>
      <c r="T45" s="61"/>
      <c r="U45" s="151"/>
      <c r="V45" s="93">
        <f t="shared" si="17"/>
        <v>0</v>
      </c>
      <c r="W45" s="69"/>
      <c r="X45" s="56" t="str">
        <f t="shared" si="18"/>
        <v>Transition Probability from state 6 to state 2 on day 3 (Non-CHG)</v>
      </c>
      <c r="Y45" s="61"/>
      <c r="Z45" s="151">
        <v>0</v>
      </c>
      <c r="AA45" s="93">
        <f t="shared" si="19"/>
        <v>0</v>
      </c>
      <c r="AB45" s="9"/>
      <c r="AC45" s="83"/>
    </row>
    <row r="46" spans="2:29" ht="17" thickTop="1" thickBot="1" x14ac:dyDescent="0.25">
      <c r="B46" s="83"/>
      <c r="D46" s="56" t="str">
        <f t="shared" si="10"/>
        <v>Transition Probability from state 1 to state 2 on day 4 (Non-CHG)</v>
      </c>
      <c r="E46" s="61"/>
      <c r="F46" s="151">
        <v>1.1673151750972763E-2</v>
      </c>
      <c r="G46" s="93">
        <f t="shared" si="11"/>
        <v>1.1673151750972763E-2</v>
      </c>
      <c r="I46" s="56" t="str">
        <f t="shared" si="12"/>
        <v>Transition Probability from state 2 to state 2 on day 4 (Non-CHG)</v>
      </c>
      <c r="J46" s="61"/>
      <c r="K46" s="151">
        <v>6.6666666666666666E-2</v>
      </c>
      <c r="L46" s="93">
        <f t="shared" si="13"/>
        <v>6.6666666666666666E-2</v>
      </c>
      <c r="N46" s="56" t="str">
        <f t="shared" si="14"/>
        <v>Transition Probability from state 3 to state 2 on day 4 (Non-CHG)</v>
      </c>
      <c r="O46" s="61"/>
      <c r="P46" s="151">
        <v>0</v>
      </c>
      <c r="Q46" s="93">
        <f t="shared" si="15"/>
        <v>0</v>
      </c>
      <c r="R46" s="69"/>
      <c r="S46" s="56" t="str">
        <f t="shared" si="16"/>
        <v>Transition Probability from state 4 to state 2 on day 4 (Non-CHG)</v>
      </c>
      <c r="T46" s="61"/>
      <c r="U46" s="151"/>
      <c r="V46" s="93">
        <f t="shared" si="17"/>
        <v>0</v>
      </c>
      <c r="W46" s="69"/>
      <c r="X46" s="56" t="str">
        <f t="shared" si="18"/>
        <v>Transition Probability from state 6 to state 2 on day 4 (Non-CHG)</v>
      </c>
      <c r="Y46" s="61"/>
      <c r="Z46" s="151">
        <v>0</v>
      </c>
      <c r="AA46" s="93">
        <f t="shared" si="19"/>
        <v>0</v>
      </c>
      <c r="AB46" s="9"/>
      <c r="AC46" s="83"/>
    </row>
    <row r="47" spans="2:29" ht="17" thickTop="1" thickBot="1" x14ac:dyDescent="0.25">
      <c r="B47" s="83"/>
      <c r="D47" s="56" t="str">
        <f t="shared" si="10"/>
        <v>Transition Probability from state 1 to state 2 on day 5 (Non-CHG)</v>
      </c>
      <c r="E47" s="61"/>
      <c r="F47" s="151">
        <v>1.5341701534170154E-2</v>
      </c>
      <c r="G47" s="93">
        <f t="shared" si="11"/>
        <v>1.5341701534170154E-2</v>
      </c>
      <c r="I47" s="56" t="str">
        <f t="shared" si="12"/>
        <v>Transition Probability from state 2 to state 2 on day 5 (Non-CHG)</v>
      </c>
      <c r="J47" s="61"/>
      <c r="K47" s="151"/>
      <c r="L47" s="93">
        <f t="shared" si="13"/>
        <v>0</v>
      </c>
      <c r="N47" s="56" t="str">
        <f t="shared" si="14"/>
        <v>Transition Probability from state 3 to state 2 on day 5 (Non-CHG)</v>
      </c>
      <c r="O47" s="61"/>
      <c r="P47" s="151">
        <v>0</v>
      </c>
      <c r="Q47" s="93">
        <f t="shared" si="15"/>
        <v>0</v>
      </c>
      <c r="R47" s="69"/>
      <c r="S47" s="56" t="str">
        <f t="shared" si="16"/>
        <v>Transition Probability from state 4 to state 2 on day 5 (Non-CHG)</v>
      </c>
      <c r="T47" s="61"/>
      <c r="U47" s="151"/>
      <c r="V47" s="93">
        <f t="shared" si="17"/>
        <v>0</v>
      </c>
      <c r="W47" s="69"/>
      <c r="X47" s="56" t="str">
        <f t="shared" si="18"/>
        <v>Transition Probability from state 6 to state 2 on day 5 (Non-CHG)</v>
      </c>
      <c r="Y47" s="61"/>
      <c r="Z47" s="151">
        <v>0</v>
      </c>
      <c r="AA47" s="93">
        <f t="shared" si="19"/>
        <v>0</v>
      </c>
      <c r="AB47" s="9"/>
      <c r="AC47" s="83"/>
    </row>
    <row r="48" spans="2:29" ht="17" thickTop="1" thickBot="1" x14ac:dyDescent="0.25">
      <c r="B48" s="83"/>
      <c r="D48" s="56" t="str">
        <f t="shared" si="10"/>
        <v>Transition Probability from state 1 to state 2 on day 6 (Non-CHG)</v>
      </c>
      <c r="E48" s="61"/>
      <c r="F48" s="151">
        <v>2.9320987654320986E-2</v>
      </c>
      <c r="G48" s="93">
        <f t="shared" si="11"/>
        <v>2.9320987654320986E-2</v>
      </c>
      <c r="I48" s="56" t="str">
        <f t="shared" si="12"/>
        <v>Transition Probability from state 2 to state 2 on day 6 (Non-CHG)</v>
      </c>
      <c r="J48" s="61"/>
      <c r="K48" s="151"/>
      <c r="L48" s="93">
        <f t="shared" si="13"/>
        <v>0</v>
      </c>
      <c r="N48" s="56" t="str">
        <f t="shared" si="14"/>
        <v>Transition Probability from state 3 to state 2 on day 6 (Non-CHG)</v>
      </c>
      <c r="O48" s="61"/>
      <c r="P48" s="151">
        <v>0</v>
      </c>
      <c r="Q48" s="93">
        <f t="shared" si="15"/>
        <v>0</v>
      </c>
      <c r="R48" s="69"/>
      <c r="S48" s="56" t="str">
        <f t="shared" si="16"/>
        <v>Transition Probability from state 4 to state 2 on day 6 (Non-CHG)</v>
      </c>
      <c r="T48" s="61"/>
      <c r="U48" s="151"/>
      <c r="V48" s="93">
        <f t="shared" si="17"/>
        <v>0</v>
      </c>
      <c r="W48" s="69"/>
      <c r="X48" s="56" t="str">
        <f t="shared" si="18"/>
        <v>Transition Probability from state 6 to state 2 on day 6 (Non-CHG)</v>
      </c>
      <c r="Y48" s="61"/>
      <c r="Z48" s="151">
        <v>0</v>
      </c>
      <c r="AA48" s="93">
        <f t="shared" si="19"/>
        <v>0</v>
      </c>
      <c r="AB48" s="9"/>
      <c r="AC48" s="83"/>
    </row>
    <row r="49" spans="2:29" ht="17" thickTop="1" thickBot="1" x14ac:dyDescent="0.25">
      <c r="B49" s="83"/>
      <c r="D49" s="56" t="str">
        <f t="shared" si="10"/>
        <v>Transition Probability from state 1 to state 2 on day 7 (Non-CHG)</v>
      </c>
      <c r="E49" s="61"/>
      <c r="F49" s="151">
        <v>3.1304347826086959E-2</v>
      </c>
      <c r="G49" s="93">
        <f t="shared" si="11"/>
        <v>3.1304347826086959E-2</v>
      </c>
      <c r="I49" s="56" t="str">
        <f t="shared" si="12"/>
        <v>Transition Probability from state 2 to state 2 on day 7 (Non-CHG)</v>
      </c>
      <c r="J49" s="61"/>
      <c r="K49" s="151">
        <v>5.2631578947368418E-2</v>
      </c>
      <c r="L49" s="93">
        <f t="shared" si="13"/>
        <v>5.2631578947368418E-2</v>
      </c>
      <c r="N49" s="56" t="str">
        <f t="shared" si="14"/>
        <v>Transition Probability from state 3 to state 2 on day 7 (Non-CHG)</v>
      </c>
      <c r="O49" s="61"/>
      <c r="P49" s="151">
        <v>0</v>
      </c>
      <c r="Q49" s="93">
        <f t="shared" si="15"/>
        <v>0</v>
      </c>
      <c r="R49" s="69"/>
      <c r="S49" s="56" t="str">
        <f t="shared" si="16"/>
        <v>Transition Probability from state 4 to state 2 on day 7 (Non-CHG)</v>
      </c>
      <c r="T49" s="61"/>
      <c r="U49" s="151"/>
      <c r="V49" s="93">
        <f t="shared" si="17"/>
        <v>0</v>
      </c>
      <c r="W49" s="69"/>
      <c r="X49" s="56" t="str">
        <f t="shared" si="18"/>
        <v>Transition Probability from state 6 to state 2 on day 7 (Non-CHG)</v>
      </c>
      <c r="Y49" s="61"/>
      <c r="Z49" s="151">
        <v>0</v>
      </c>
      <c r="AA49" s="93">
        <f t="shared" si="19"/>
        <v>0</v>
      </c>
      <c r="AB49" s="9"/>
      <c r="AC49" s="83"/>
    </row>
    <row r="50" spans="2:29" ht="17" thickTop="1" thickBot="1" x14ac:dyDescent="0.25">
      <c r="B50" s="83"/>
      <c r="D50" s="56" t="str">
        <f t="shared" si="10"/>
        <v>Transition Probability from state 1 to state 2 on day 8 (Non-CHG)</v>
      </c>
      <c r="E50" s="61"/>
      <c r="F50" s="151">
        <v>2.3391812865497075E-2</v>
      </c>
      <c r="G50" s="93">
        <f t="shared" si="11"/>
        <v>2.3391812865497075E-2</v>
      </c>
      <c r="I50" s="56" t="str">
        <f t="shared" si="12"/>
        <v>Transition Probability from state 2 to state 2 on day 8 (Non-CHG)</v>
      </c>
      <c r="J50" s="61"/>
      <c r="K50" s="151">
        <v>0.15789473684210525</v>
      </c>
      <c r="L50" s="93">
        <f t="shared" si="13"/>
        <v>0.15789473684210525</v>
      </c>
      <c r="N50" s="56" t="str">
        <f t="shared" si="14"/>
        <v>Transition Probability from state 3 to state 2 on day 8 (Non-CHG)</v>
      </c>
      <c r="O50" s="61"/>
      <c r="P50" s="151">
        <v>0</v>
      </c>
      <c r="Q50" s="93">
        <f t="shared" si="15"/>
        <v>0</v>
      </c>
      <c r="R50" s="69"/>
      <c r="S50" s="56" t="str">
        <f t="shared" si="16"/>
        <v>Transition Probability from state 4 to state 2 on day 8 (Non-CHG)</v>
      </c>
      <c r="T50" s="61"/>
      <c r="U50" s="151"/>
      <c r="V50" s="93">
        <f t="shared" si="17"/>
        <v>0</v>
      </c>
      <c r="W50" s="69"/>
      <c r="X50" s="56" t="str">
        <f t="shared" si="18"/>
        <v>Transition Probability from state 6 to state 2 on day 8 (Non-CHG)</v>
      </c>
      <c r="Y50" s="61"/>
      <c r="Z50" s="151">
        <v>0</v>
      </c>
      <c r="AA50" s="93">
        <f t="shared" si="19"/>
        <v>0</v>
      </c>
      <c r="AB50" s="9"/>
      <c r="AC50" s="83"/>
    </row>
    <row r="51" spans="2:29" ht="17" thickTop="1" thickBot="1" x14ac:dyDescent="0.25">
      <c r="B51" s="83"/>
      <c r="D51" s="56" t="str">
        <f t="shared" si="10"/>
        <v>Transition Probability from state 1 to state 2 on day 9 (Non-CHG)</v>
      </c>
      <c r="E51" s="61"/>
      <c r="F51" s="151">
        <v>2.5052192066805846E-2</v>
      </c>
      <c r="G51" s="93">
        <f t="shared" si="11"/>
        <v>2.5052192066805846E-2</v>
      </c>
      <c r="I51" s="56" t="str">
        <f t="shared" si="12"/>
        <v>Transition Probability from state 2 to state 2 on day 9 (Non-CHG)</v>
      </c>
      <c r="J51" s="61"/>
      <c r="K51" s="151"/>
      <c r="L51" s="93">
        <f t="shared" si="13"/>
        <v>0</v>
      </c>
      <c r="N51" s="56" t="str">
        <f t="shared" si="14"/>
        <v>Transition Probability from state 3 to state 2 on day 9 (Non-CHG)</v>
      </c>
      <c r="O51" s="61"/>
      <c r="P51" s="151">
        <v>0</v>
      </c>
      <c r="Q51" s="93">
        <f t="shared" si="15"/>
        <v>0</v>
      </c>
      <c r="R51" s="69"/>
      <c r="S51" s="56" t="str">
        <f t="shared" si="16"/>
        <v>Transition Probability from state 4 to state 2 on day 9 (Non-CHG)</v>
      </c>
      <c r="T51" s="61"/>
      <c r="U51" s="151"/>
      <c r="V51" s="93">
        <f t="shared" si="17"/>
        <v>0</v>
      </c>
      <c r="W51" s="69"/>
      <c r="X51" s="56" t="str">
        <f t="shared" si="18"/>
        <v>Transition Probability from state 6 to state 2 on day 9 (Non-CHG)</v>
      </c>
      <c r="Y51" s="61"/>
      <c r="Z51" s="151">
        <v>0</v>
      </c>
      <c r="AA51" s="93">
        <f t="shared" si="19"/>
        <v>0</v>
      </c>
      <c r="AB51" s="9"/>
      <c r="AC51" s="83"/>
    </row>
    <row r="52" spans="2:29" ht="17" thickTop="1" thickBot="1" x14ac:dyDescent="0.25">
      <c r="B52" s="83"/>
      <c r="D52" s="56" t="str">
        <f t="shared" si="10"/>
        <v>Transition Probability from state 1 to state 2 on day 10 (Non-CHG)</v>
      </c>
      <c r="E52" s="61"/>
      <c r="F52" s="151">
        <v>1.1312217194570135E-2</v>
      </c>
      <c r="G52" s="93">
        <f t="shared" si="11"/>
        <v>1.1312217194570135E-2</v>
      </c>
      <c r="H52" s="143"/>
      <c r="I52" s="56" t="str">
        <f t="shared" si="12"/>
        <v>Transition Probability from state 2 to state 2 on day 10 (Non-CHG)</v>
      </c>
      <c r="J52" s="61"/>
      <c r="K52" s="151"/>
      <c r="L52" s="93">
        <f t="shared" si="13"/>
        <v>0</v>
      </c>
      <c r="M52" s="143"/>
      <c r="N52" s="56" t="str">
        <f t="shared" si="14"/>
        <v>Transition Probability from state 3 to state 2 on day 10 (Non-CHG)</v>
      </c>
      <c r="O52" s="61"/>
      <c r="P52" s="151">
        <v>0</v>
      </c>
      <c r="Q52" s="93">
        <f t="shared" si="15"/>
        <v>0</v>
      </c>
      <c r="R52" s="69"/>
      <c r="S52" s="56" t="str">
        <f t="shared" si="16"/>
        <v>Transition Probability from state 4 to state 2 on day 10 (Non-CHG)</v>
      </c>
      <c r="T52" s="61"/>
      <c r="U52" s="151"/>
      <c r="V52" s="93">
        <f t="shared" si="17"/>
        <v>0</v>
      </c>
      <c r="W52" s="69"/>
      <c r="X52" s="56" t="str">
        <f t="shared" si="18"/>
        <v>Transition Probability from state 6 to state 2 on day 10 (Non-CHG)</v>
      </c>
      <c r="Y52" s="61"/>
      <c r="Z52" s="151">
        <v>0</v>
      </c>
      <c r="AA52" s="93">
        <f t="shared" si="19"/>
        <v>0</v>
      </c>
      <c r="AB52" s="9"/>
      <c r="AC52" s="83"/>
    </row>
    <row r="53" spans="2:29" ht="17" thickTop="1" thickBot="1" x14ac:dyDescent="0.25">
      <c r="B53" s="83"/>
      <c r="D53" s="56" t="str">
        <f t="shared" si="10"/>
        <v>Transition Probability from state 1 to state 2 on day 11 (Non-CHG)</v>
      </c>
      <c r="E53" s="61"/>
      <c r="F53" s="151">
        <v>2.3809523809523808E-2</v>
      </c>
      <c r="G53" s="93">
        <f t="shared" si="11"/>
        <v>2.3809523809523808E-2</v>
      </c>
      <c r="I53" s="56" t="str">
        <f t="shared" si="12"/>
        <v>Transition Probability from state 2 to state 2 on day 11 (Non-CHG)</v>
      </c>
      <c r="J53" s="61"/>
      <c r="K53" s="151"/>
      <c r="L53" s="93">
        <f t="shared" si="13"/>
        <v>0</v>
      </c>
      <c r="N53" s="56" t="str">
        <f t="shared" si="14"/>
        <v>Transition Probability from state 3 to state 2 on day 11 (Non-CHG)</v>
      </c>
      <c r="O53" s="61"/>
      <c r="P53" s="151">
        <v>0</v>
      </c>
      <c r="Q53" s="93">
        <f t="shared" si="15"/>
        <v>0</v>
      </c>
      <c r="R53" s="69"/>
      <c r="S53" s="56" t="str">
        <f t="shared" si="16"/>
        <v>Transition Probability from state 4 to state 2 on day 11 (Non-CHG)</v>
      </c>
      <c r="T53" s="61"/>
      <c r="U53" s="151"/>
      <c r="V53" s="93">
        <f t="shared" si="17"/>
        <v>0</v>
      </c>
      <c r="W53" s="69"/>
      <c r="X53" s="56" t="str">
        <f t="shared" si="18"/>
        <v>Transition Probability from state 6 to state 2 on day 11 (Non-CHG)</v>
      </c>
      <c r="Y53" s="61"/>
      <c r="Z53" s="151">
        <v>0</v>
      </c>
      <c r="AA53" s="93">
        <f t="shared" si="19"/>
        <v>0</v>
      </c>
      <c r="AB53" s="9"/>
      <c r="AC53" s="83"/>
    </row>
    <row r="54" spans="2:29" ht="17" thickTop="1" thickBot="1" x14ac:dyDescent="0.25">
      <c r="B54" s="83"/>
      <c r="D54" s="56" t="str">
        <f t="shared" si="10"/>
        <v>Transition Probability from state 1 to state 2 on day 12 (Non-CHG)</v>
      </c>
      <c r="E54" s="61"/>
      <c r="F54" s="151">
        <v>1.7766497461928935E-2</v>
      </c>
      <c r="G54" s="93">
        <f t="shared" si="11"/>
        <v>1.7766497461928935E-2</v>
      </c>
      <c r="I54" s="56" t="str">
        <f t="shared" si="12"/>
        <v>Transition Probability from state 2 to state 2 on day 12 (Non-CHG)</v>
      </c>
      <c r="J54" s="61"/>
      <c r="K54" s="151">
        <v>0.1</v>
      </c>
      <c r="L54" s="93">
        <f t="shared" si="13"/>
        <v>0.1</v>
      </c>
      <c r="N54" s="56" t="str">
        <f t="shared" si="14"/>
        <v>Transition Probability from state 3 to state 2 on day 12 (Non-CHG)</v>
      </c>
      <c r="O54" s="61"/>
      <c r="P54" s="151">
        <v>0</v>
      </c>
      <c r="Q54" s="93">
        <f t="shared" si="15"/>
        <v>0</v>
      </c>
      <c r="R54" s="69"/>
      <c r="S54" s="56" t="str">
        <f t="shared" si="16"/>
        <v>Transition Probability from state 4 to state 2 on day 12 (Non-CHG)</v>
      </c>
      <c r="T54" s="61"/>
      <c r="U54" s="151"/>
      <c r="V54" s="93">
        <f t="shared" si="17"/>
        <v>0</v>
      </c>
      <c r="W54" s="69"/>
      <c r="X54" s="56" t="str">
        <f t="shared" si="18"/>
        <v>Transition Probability from state 6 to state 2 on day 12 (Non-CHG)</v>
      </c>
      <c r="Y54" s="61"/>
      <c r="Z54" s="151">
        <v>0</v>
      </c>
      <c r="AA54" s="93">
        <f t="shared" si="19"/>
        <v>0</v>
      </c>
      <c r="AB54" s="9"/>
      <c r="AC54" s="83"/>
    </row>
    <row r="55" spans="2:29" ht="17" thickTop="1" thickBot="1" x14ac:dyDescent="0.25">
      <c r="B55" s="83"/>
      <c r="D55" s="56" t="str">
        <f t="shared" si="10"/>
        <v>Transition Probability from state 1 to state 2 on day 13 (Non-CHG)</v>
      </c>
      <c r="E55" s="61"/>
      <c r="F55" s="151">
        <v>3.5616438356164383E-2</v>
      </c>
      <c r="G55" s="93">
        <f t="shared" si="11"/>
        <v>3.5616438356164383E-2</v>
      </c>
      <c r="I55" s="56" t="str">
        <f t="shared" si="12"/>
        <v>Transition Probability from state 2 to state 2 on day 13 (Non-CHG)</v>
      </c>
      <c r="J55" s="61"/>
      <c r="K55" s="151"/>
      <c r="L55" s="93">
        <f t="shared" si="13"/>
        <v>0</v>
      </c>
      <c r="N55" s="56" t="str">
        <f t="shared" si="14"/>
        <v>Transition Probability from state 3 to state 2 on day 13 (Non-CHG)</v>
      </c>
      <c r="O55" s="61"/>
      <c r="P55" s="151">
        <v>0</v>
      </c>
      <c r="Q55" s="93">
        <f t="shared" si="15"/>
        <v>0</v>
      </c>
      <c r="R55" s="69"/>
      <c r="S55" s="56" t="str">
        <f t="shared" si="16"/>
        <v>Transition Probability from state 4 to state 2 on day 13 (Non-CHG)</v>
      </c>
      <c r="T55" s="61"/>
      <c r="U55" s="151">
        <v>1</v>
      </c>
      <c r="V55" s="93">
        <f t="shared" si="17"/>
        <v>1</v>
      </c>
      <c r="W55" s="69"/>
      <c r="X55" s="56" t="str">
        <f t="shared" si="18"/>
        <v>Transition Probability from state 6 to state 2 on day 13 (Non-CHG)</v>
      </c>
      <c r="Y55" s="61"/>
      <c r="Z55" s="151">
        <v>0</v>
      </c>
      <c r="AA55" s="93">
        <f t="shared" si="19"/>
        <v>0</v>
      </c>
      <c r="AB55" s="9"/>
      <c r="AC55" s="83"/>
    </row>
    <row r="56" spans="2:29" ht="17" thickTop="1" thickBot="1" x14ac:dyDescent="0.25">
      <c r="B56" s="83"/>
      <c r="D56" s="56" t="str">
        <f t="shared" si="10"/>
        <v>Transition Probability from state 1 to state 2 on day 14 (Non-CHG)</v>
      </c>
      <c r="E56" s="61"/>
      <c r="F56" s="151">
        <v>1.488095238095238E-2</v>
      </c>
      <c r="G56" s="93">
        <f t="shared" si="11"/>
        <v>1.488095238095238E-2</v>
      </c>
      <c r="I56" s="56" t="str">
        <f t="shared" si="12"/>
        <v>Transition Probability from state 2 to state 2 on day 14 (Non-CHG)</v>
      </c>
      <c r="J56" s="61"/>
      <c r="K56" s="151"/>
      <c r="L56" s="93">
        <f t="shared" si="13"/>
        <v>0</v>
      </c>
      <c r="N56" s="56" t="str">
        <f t="shared" si="14"/>
        <v>Transition Probability from state 3 to state 2 on day 14 (Non-CHG)</v>
      </c>
      <c r="O56" s="61"/>
      <c r="P56" s="151">
        <v>0</v>
      </c>
      <c r="Q56" s="93">
        <f t="shared" si="15"/>
        <v>0</v>
      </c>
      <c r="R56" s="69"/>
      <c r="S56" s="56" t="str">
        <f t="shared" si="16"/>
        <v>Transition Probability from state 4 to state 2 on day 14 (Non-CHG)</v>
      </c>
      <c r="T56" s="61"/>
      <c r="U56" s="151"/>
      <c r="V56" s="93">
        <f t="shared" si="17"/>
        <v>0</v>
      </c>
      <c r="W56" s="69"/>
      <c r="X56" s="56" t="str">
        <f t="shared" si="18"/>
        <v>Transition Probability from state 6 to state 2 on day 14 (Non-CHG)</v>
      </c>
      <c r="Y56" s="61"/>
      <c r="Z56" s="151">
        <v>0</v>
      </c>
      <c r="AA56" s="93">
        <f t="shared" si="19"/>
        <v>0</v>
      </c>
      <c r="AB56" s="9"/>
      <c r="AC56" s="83"/>
    </row>
    <row r="57" spans="2:29" ht="17" thickTop="1" thickBot="1" x14ac:dyDescent="0.25">
      <c r="B57" s="83"/>
      <c r="D57" s="56" t="str">
        <f t="shared" si="10"/>
        <v>Transition Probability from state 1 to state 2 on day 15 (Non-CHG)</v>
      </c>
      <c r="E57" s="61"/>
      <c r="F57" s="151">
        <v>2.7950310559006212E-2</v>
      </c>
      <c r="G57" s="93">
        <f t="shared" si="11"/>
        <v>2.7950310559006212E-2</v>
      </c>
      <c r="I57" s="56" t="str">
        <f t="shared" si="12"/>
        <v>Transition Probability from state 2 to state 2 on day 15 (Non-CHG)</v>
      </c>
      <c r="J57" s="61"/>
      <c r="K57" s="151"/>
      <c r="L57" s="93">
        <f t="shared" si="13"/>
        <v>0</v>
      </c>
      <c r="N57" s="56" t="str">
        <f t="shared" si="14"/>
        <v>Transition Probability from state 3 to state 2 on day 15 (Non-CHG)</v>
      </c>
      <c r="O57" s="61"/>
      <c r="P57" s="151">
        <v>0</v>
      </c>
      <c r="Q57" s="93">
        <f t="shared" si="15"/>
        <v>0</v>
      </c>
      <c r="R57" s="69"/>
      <c r="S57" s="56" t="str">
        <f t="shared" si="16"/>
        <v>Transition Probability from state 4 to state 2 on day 15 (Non-CHG)</v>
      </c>
      <c r="T57" s="61"/>
      <c r="U57" s="151"/>
      <c r="V57" s="93">
        <f t="shared" si="17"/>
        <v>0</v>
      </c>
      <c r="W57" s="69"/>
      <c r="X57" s="56" t="str">
        <f t="shared" si="18"/>
        <v>Transition Probability from state 6 to state 2 on day 15 (Non-CHG)</v>
      </c>
      <c r="Y57" s="61"/>
      <c r="Z57" s="151">
        <v>0</v>
      </c>
      <c r="AA57" s="93">
        <f t="shared" si="19"/>
        <v>0</v>
      </c>
      <c r="AB57" s="9"/>
      <c r="AC57" s="83"/>
    </row>
    <row r="58" spans="2:29" ht="17" thickTop="1" thickBot="1" x14ac:dyDescent="0.25">
      <c r="B58" s="83"/>
      <c r="D58" s="56" t="str">
        <f t="shared" si="10"/>
        <v>Transition Probability from state 1 to state 2 on day 16 (Non-CHG)</v>
      </c>
      <c r="E58" s="61"/>
      <c r="F58" s="151">
        <v>2.3728813559322035E-2</v>
      </c>
      <c r="G58" s="93">
        <f t="shared" si="11"/>
        <v>2.3728813559322035E-2</v>
      </c>
      <c r="I58" s="56" t="str">
        <f t="shared" si="12"/>
        <v>Transition Probability from state 2 to state 2 on day 16 (Non-CHG)</v>
      </c>
      <c r="J58" s="61"/>
      <c r="K58" s="151"/>
      <c r="L58" s="93">
        <f t="shared" si="13"/>
        <v>0</v>
      </c>
      <c r="N58" s="56" t="str">
        <f t="shared" si="14"/>
        <v>Transition Probability from state 3 to state 2 on day 16 (Non-CHG)</v>
      </c>
      <c r="O58" s="61"/>
      <c r="P58" s="151">
        <v>0</v>
      </c>
      <c r="Q58" s="93">
        <f t="shared" si="15"/>
        <v>0</v>
      </c>
      <c r="R58" s="69"/>
      <c r="S58" s="56" t="str">
        <f t="shared" si="16"/>
        <v>Transition Probability from state 4 to state 2 on day 16 (Non-CHG)</v>
      </c>
      <c r="T58" s="61"/>
      <c r="U58" s="151"/>
      <c r="V58" s="93">
        <f t="shared" si="17"/>
        <v>0</v>
      </c>
      <c r="W58" s="69"/>
      <c r="X58" s="56" t="str">
        <f t="shared" si="18"/>
        <v>Transition Probability from state 6 to state 2 on day 16 (Non-CHG)</v>
      </c>
      <c r="Y58" s="61"/>
      <c r="Z58" s="151">
        <v>0</v>
      </c>
      <c r="AA58" s="93">
        <f t="shared" si="19"/>
        <v>0</v>
      </c>
      <c r="AB58" s="9"/>
      <c r="AC58" s="83"/>
    </row>
    <row r="59" spans="2:29" ht="17" thickTop="1" thickBot="1" x14ac:dyDescent="0.25">
      <c r="B59" s="83"/>
      <c r="D59" s="56" t="str">
        <f t="shared" si="10"/>
        <v>Transition Probability from state 1 to state 2 on day 17 (Non-CHG)</v>
      </c>
      <c r="E59" s="61"/>
      <c r="F59" s="151">
        <v>2.1660649819494584E-2</v>
      </c>
      <c r="G59" s="93">
        <f t="shared" si="11"/>
        <v>2.1660649819494584E-2</v>
      </c>
      <c r="I59" s="56" t="str">
        <f t="shared" si="12"/>
        <v>Transition Probability from state 2 to state 2 on day 17 (Non-CHG)</v>
      </c>
      <c r="J59" s="61"/>
      <c r="K59" s="151"/>
      <c r="L59" s="93">
        <f t="shared" si="13"/>
        <v>0</v>
      </c>
      <c r="N59" s="56" t="str">
        <f t="shared" si="14"/>
        <v>Transition Probability from state 3 to state 2 on day 17 (Non-CHG)</v>
      </c>
      <c r="O59" s="61"/>
      <c r="P59" s="151">
        <v>0</v>
      </c>
      <c r="Q59" s="93">
        <f t="shared" si="15"/>
        <v>0</v>
      </c>
      <c r="R59" s="69"/>
      <c r="S59" s="56" t="str">
        <f t="shared" si="16"/>
        <v>Transition Probability from state 4 to state 2 on day 17 (Non-CHG)</v>
      </c>
      <c r="T59" s="61"/>
      <c r="U59" s="151"/>
      <c r="V59" s="93">
        <f t="shared" si="17"/>
        <v>0</v>
      </c>
      <c r="W59" s="69"/>
      <c r="X59" s="56" t="str">
        <f t="shared" si="18"/>
        <v>Transition Probability from state 6 to state 2 on day 17 (Non-CHG)</v>
      </c>
      <c r="Y59" s="61"/>
      <c r="Z59" s="151">
        <v>0</v>
      </c>
      <c r="AA59" s="93">
        <f t="shared" si="19"/>
        <v>0</v>
      </c>
      <c r="AB59" s="9"/>
      <c r="AC59" s="83"/>
    </row>
    <row r="60" spans="2:29" ht="17" thickTop="1" thickBot="1" x14ac:dyDescent="0.25">
      <c r="B60" s="83"/>
      <c r="D60" s="56" t="str">
        <f t="shared" si="10"/>
        <v>Transition Probability from state 1 to state 2 on day 18 (Non-CHG)</v>
      </c>
      <c r="E60" s="61"/>
      <c r="F60" s="151">
        <v>4.230769230769231E-2</v>
      </c>
      <c r="G60" s="93">
        <f t="shared" si="11"/>
        <v>4.230769230769231E-2</v>
      </c>
      <c r="I60" s="56" t="str">
        <f t="shared" si="12"/>
        <v>Transition Probability from state 2 to state 2 on day 18 (Non-CHG)</v>
      </c>
      <c r="J60" s="61"/>
      <c r="K60" s="151"/>
      <c r="L60" s="93">
        <f t="shared" si="13"/>
        <v>0</v>
      </c>
      <c r="N60" s="56" t="str">
        <f t="shared" si="14"/>
        <v>Transition Probability from state 3 to state 2 on day 18 (Non-CHG)</v>
      </c>
      <c r="O60" s="61"/>
      <c r="P60" s="151">
        <v>0</v>
      </c>
      <c r="Q60" s="93">
        <f t="shared" si="15"/>
        <v>0</v>
      </c>
      <c r="R60" s="69"/>
      <c r="S60" s="56" t="str">
        <f t="shared" si="16"/>
        <v>Transition Probability from state 4 to state 2 on day 18 (Non-CHG)</v>
      </c>
      <c r="T60" s="61"/>
      <c r="U60" s="151"/>
      <c r="V60" s="93">
        <f t="shared" si="17"/>
        <v>0</v>
      </c>
      <c r="W60" s="69"/>
      <c r="X60" s="56" t="str">
        <f t="shared" si="18"/>
        <v>Transition Probability from state 6 to state 2 on day 18 (Non-CHG)</v>
      </c>
      <c r="Y60" s="61"/>
      <c r="Z60" s="151">
        <v>0</v>
      </c>
      <c r="AA60" s="93">
        <f t="shared" si="19"/>
        <v>0</v>
      </c>
      <c r="AB60" s="9"/>
      <c r="AC60" s="83"/>
    </row>
    <row r="61" spans="2:29" ht="17" thickTop="1" thickBot="1" x14ac:dyDescent="0.25">
      <c r="B61" s="83"/>
      <c r="D61" s="56" t="str">
        <f t="shared" si="10"/>
        <v>Transition Probability from state 1 to state 2 on day 19 (Non-CHG)</v>
      </c>
      <c r="E61" s="61"/>
      <c r="F61" s="151">
        <v>2.8925619834710745E-2</v>
      </c>
      <c r="G61" s="93">
        <f t="shared" si="11"/>
        <v>2.8925619834710745E-2</v>
      </c>
      <c r="I61" s="56" t="str">
        <f t="shared" si="12"/>
        <v>Transition Probability from state 2 to state 2 on day 19 (Non-CHG)</v>
      </c>
      <c r="J61" s="61"/>
      <c r="K61" s="151">
        <v>9.0909090909090912E-2</v>
      </c>
      <c r="L61" s="93">
        <f t="shared" si="13"/>
        <v>9.0909090909090912E-2</v>
      </c>
      <c r="N61" s="56" t="str">
        <f t="shared" si="14"/>
        <v>Transition Probability from state 3 to state 2 on day 19 (Non-CHG)</v>
      </c>
      <c r="O61" s="61"/>
      <c r="P61" s="151">
        <v>0</v>
      </c>
      <c r="Q61" s="93">
        <f t="shared" si="15"/>
        <v>0</v>
      </c>
      <c r="R61" s="69"/>
      <c r="S61" s="56" t="str">
        <f t="shared" si="16"/>
        <v>Transition Probability from state 4 to state 2 on day 19 (Non-CHG)</v>
      </c>
      <c r="T61" s="61"/>
      <c r="U61" s="151"/>
      <c r="V61" s="93">
        <f t="shared" si="17"/>
        <v>0</v>
      </c>
      <c r="W61" s="69"/>
      <c r="X61" s="56" t="str">
        <f t="shared" si="18"/>
        <v>Transition Probability from state 6 to state 2 on day 19 (Non-CHG)</v>
      </c>
      <c r="Y61" s="61"/>
      <c r="Z61" s="151">
        <v>0</v>
      </c>
      <c r="AA61" s="93">
        <f t="shared" si="19"/>
        <v>0</v>
      </c>
      <c r="AB61" s="9"/>
      <c r="AC61" s="83"/>
    </row>
    <row r="62" spans="2:29" ht="17" thickTop="1" thickBot="1" x14ac:dyDescent="0.25">
      <c r="B62" s="83"/>
      <c r="D62" s="56" t="str">
        <f t="shared" si="10"/>
        <v>Transition Probability from state 1 to state 2 on day 20 (Non-CHG)</v>
      </c>
      <c r="E62" s="61"/>
      <c r="F62" s="151">
        <v>1.3452914798206279E-2</v>
      </c>
      <c r="G62" s="93">
        <f t="shared" si="11"/>
        <v>1.3452914798206279E-2</v>
      </c>
      <c r="I62" s="56" t="str">
        <f t="shared" si="12"/>
        <v>Transition Probability from state 2 to state 2 on day 20 (Non-CHG)</v>
      </c>
      <c r="J62" s="61"/>
      <c r="K62" s="151"/>
      <c r="L62" s="93">
        <f t="shared" si="13"/>
        <v>0</v>
      </c>
      <c r="N62" s="56" t="str">
        <f t="shared" si="14"/>
        <v>Transition Probability from state 3 to state 2 on day 20 (Non-CHG)</v>
      </c>
      <c r="O62" s="61"/>
      <c r="P62" s="151">
        <v>0</v>
      </c>
      <c r="Q62" s="93">
        <f t="shared" si="15"/>
        <v>0</v>
      </c>
      <c r="R62" s="69"/>
      <c r="S62" s="56" t="str">
        <f t="shared" si="16"/>
        <v>Transition Probability from state 4 to state 2 on day 20 (Non-CHG)</v>
      </c>
      <c r="T62" s="61"/>
      <c r="U62" s="151"/>
      <c r="V62" s="93">
        <f t="shared" si="17"/>
        <v>0</v>
      </c>
      <c r="W62" s="69"/>
      <c r="X62" s="56" t="str">
        <f t="shared" si="18"/>
        <v>Transition Probability from state 6 to state 2 on day 20 (Non-CHG)</v>
      </c>
      <c r="Y62" s="61"/>
      <c r="Z62" s="151">
        <v>0</v>
      </c>
      <c r="AA62" s="93">
        <f t="shared" si="19"/>
        <v>0</v>
      </c>
      <c r="AB62" s="9"/>
      <c r="AC62" s="83"/>
    </row>
    <row r="63" spans="2:29" ht="17" thickTop="1" thickBot="1" x14ac:dyDescent="0.25">
      <c r="B63" s="83"/>
      <c r="D63" s="56" t="str">
        <f t="shared" si="10"/>
        <v>Transition Probability from state 1 to state 2 on day 21 (Non-CHG)</v>
      </c>
      <c r="E63" s="61"/>
      <c r="F63" s="151">
        <v>2.336448598130841E-2</v>
      </c>
      <c r="G63" s="93">
        <f t="shared" si="11"/>
        <v>2.336448598130841E-2</v>
      </c>
      <c r="I63" s="56" t="str">
        <f t="shared" si="12"/>
        <v>Transition Probability from state 2 to state 2 on day 21 (Non-CHG)</v>
      </c>
      <c r="J63" s="61"/>
      <c r="K63" s="151"/>
      <c r="L63" s="93">
        <f t="shared" si="13"/>
        <v>0</v>
      </c>
      <c r="N63" s="56" t="str">
        <f t="shared" si="14"/>
        <v>Transition Probability from state 3 to state 2 on day 21 (Non-CHG)</v>
      </c>
      <c r="O63" s="61"/>
      <c r="P63" s="151">
        <v>0</v>
      </c>
      <c r="Q63" s="93">
        <f t="shared" si="15"/>
        <v>0</v>
      </c>
      <c r="R63" s="69"/>
      <c r="S63" s="56" t="str">
        <f t="shared" si="16"/>
        <v>Transition Probability from state 4 to state 2 on day 21 (Non-CHG)</v>
      </c>
      <c r="T63" s="61"/>
      <c r="U63" s="151"/>
      <c r="V63" s="93">
        <f t="shared" si="17"/>
        <v>0</v>
      </c>
      <c r="W63" s="69"/>
      <c r="X63" s="56" t="str">
        <f t="shared" si="18"/>
        <v>Transition Probability from state 6 to state 2 on day 21 (Non-CHG)</v>
      </c>
      <c r="Y63" s="61"/>
      <c r="Z63" s="151">
        <v>0</v>
      </c>
      <c r="AA63" s="93">
        <f t="shared" si="19"/>
        <v>0</v>
      </c>
      <c r="AB63" s="9"/>
      <c r="AC63" s="83"/>
    </row>
    <row r="64" spans="2:29" ht="17" thickTop="1" thickBot="1" x14ac:dyDescent="0.25">
      <c r="B64" s="83"/>
      <c r="D64" s="56" t="str">
        <f t="shared" si="10"/>
        <v>Transition Probability from state 1 to state 2 on day 22 (Non-CHG)</v>
      </c>
      <c r="E64" s="61"/>
      <c r="F64" s="151">
        <v>2.072538860103627E-2</v>
      </c>
      <c r="G64" s="93">
        <f t="shared" si="11"/>
        <v>2.072538860103627E-2</v>
      </c>
      <c r="I64" s="56" t="str">
        <f t="shared" si="12"/>
        <v>Transition Probability from state 2 to state 2 on day 22 (Non-CHG)</v>
      </c>
      <c r="J64" s="61"/>
      <c r="K64" s="151"/>
      <c r="L64" s="93">
        <f t="shared" si="13"/>
        <v>0</v>
      </c>
      <c r="N64" s="56" t="str">
        <f t="shared" si="14"/>
        <v>Transition Probability from state 3 to state 2 on day 22 (Non-CHG)</v>
      </c>
      <c r="O64" s="61"/>
      <c r="P64" s="151">
        <v>0</v>
      </c>
      <c r="Q64" s="93">
        <f t="shared" si="15"/>
        <v>0</v>
      </c>
      <c r="R64" s="69"/>
      <c r="S64" s="56" t="str">
        <f t="shared" si="16"/>
        <v>Transition Probability from state 4 to state 2 on day 22 (Non-CHG)</v>
      </c>
      <c r="T64" s="61"/>
      <c r="U64" s="151"/>
      <c r="V64" s="93">
        <f t="shared" si="17"/>
        <v>0</v>
      </c>
      <c r="W64" s="69"/>
      <c r="X64" s="56" t="str">
        <f t="shared" si="18"/>
        <v>Transition Probability from state 6 to state 2 on day 22 (Non-CHG)</v>
      </c>
      <c r="Y64" s="61"/>
      <c r="Z64" s="151">
        <v>0</v>
      </c>
      <c r="AA64" s="93">
        <f t="shared" si="19"/>
        <v>0</v>
      </c>
      <c r="AB64" s="9"/>
      <c r="AC64" s="83"/>
    </row>
    <row r="65" spans="2:29" ht="17" thickTop="1" thickBot="1" x14ac:dyDescent="0.25">
      <c r="B65" s="83"/>
      <c r="D65" s="56" t="str">
        <f t="shared" si="10"/>
        <v>Transition Probability from state 1 to state 2 on day 23 (Non-CHG)</v>
      </c>
      <c r="E65" s="61"/>
      <c r="F65" s="151">
        <v>1.7045454545454544E-2</v>
      </c>
      <c r="G65" s="93">
        <f t="shared" si="11"/>
        <v>1.7045454545454544E-2</v>
      </c>
      <c r="I65" s="56" t="str">
        <f t="shared" si="12"/>
        <v>Transition Probability from state 2 to state 2 on day 23 (Non-CHG)</v>
      </c>
      <c r="J65" s="61"/>
      <c r="K65" s="151"/>
      <c r="L65" s="93">
        <f t="shared" si="13"/>
        <v>0</v>
      </c>
      <c r="N65" s="56" t="str">
        <f t="shared" si="14"/>
        <v>Transition Probability from state 3 to state 2 on day 23 (Non-CHG)</v>
      </c>
      <c r="O65" s="61"/>
      <c r="P65" s="151">
        <v>0</v>
      </c>
      <c r="Q65" s="93">
        <f t="shared" si="15"/>
        <v>0</v>
      </c>
      <c r="R65" s="69"/>
      <c r="S65" s="56" t="str">
        <f t="shared" si="16"/>
        <v>Transition Probability from state 4 to state 2 on day 23 (Non-CHG)</v>
      </c>
      <c r="T65" s="61"/>
      <c r="U65" s="151"/>
      <c r="V65" s="93">
        <f t="shared" si="17"/>
        <v>0</v>
      </c>
      <c r="W65" s="69"/>
      <c r="X65" s="56" t="str">
        <f t="shared" si="18"/>
        <v>Transition Probability from state 6 to state 2 on day 23 (Non-CHG)</v>
      </c>
      <c r="Y65" s="61"/>
      <c r="Z65" s="151">
        <v>0</v>
      </c>
      <c r="AA65" s="93">
        <f t="shared" si="19"/>
        <v>0</v>
      </c>
      <c r="AB65" s="9"/>
      <c r="AC65" s="83"/>
    </row>
    <row r="66" spans="2:29" ht="17" thickTop="1" thickBot="1" x14ac:dyDescent="0.25">
      <c r="B66" s="83"/>
      <c r="D66" s="56" t="str">
        <f t="shared" si="10"/>
        <v>Transition Probability from state 1 to state 2 on day 24 (Non-CHG)</v>
      </c>
      <c r="E66" s="61"/>
      <c r="F66" s="151">
        <v>1.7857142857142856E-2</v>
      </c>
      <c r="G66" s="93">
        <f t="shared" si="11"/>
        <v>1.7857142857142856E-2</v>
      </c>
      <c r="I66" s="56" t="str">
        <f t="shared" si="12"/>
        <v>Transition Probability from state 2 to state 2 on day 24 (Non-CHG)</v>
      </c>
      <c r="J66" s="61"/>
      <c r="K66" s="151"/>
      <c r="L66" s="93">
        <f t="shared" si="13"/>
        <v>0</v>
      </c>
      <c r="N66" s="56" t="str">
        <f t="shared" si="14"/>
        <v>Transition Probability from state 3 to state 2 on day 24 (Non-CHG)</v>
      </c>
      <c r="O66" s="61"/>
      <c r="P66" s="151">
        <v>0</v>
      </c>
      <c r="Q66" s="93">
        <f t="shared" si="15"/>
        <v>0</v>
      </c>
      <c r="R66" s="69"/>
      <c r="S66" s="56" t="str">
        <f t="shared" si="16"/>
        <v>Transition Probability from state 4 to state 2 on day 24 (Non-CHG)</v>
      </c>
      <c r="T66" s="61"/>
      <c r="U66" s="151"/>
      <c r="V66" s="93">
        <f t="shared" si="17"/>
        <v>0</v>
      </c>
      <c r="W66" s="69"/>
      <c r="X66" s="56" t="str">
        <f t="shared" si="18"/>
        <v>Transition Probability from state 6 to state 2 on day 24 (Non-CHG)</v>
      </c>
      <c r="Y66" s="61"/>
      <c r="Z66" s="151">
        <v>0</v>
      </c>
      <c r="AA66" s="93">
        <f t="shared" si="19"/>
        <v>0</v>
      </c>
      <c r="AB66" s="9"/>
      <c r="AC66" s="83"/>
    </row>
    <row r="67" spans="2:29" ht="17" thickTop="1" thickBot="1" x14ac:dyDescent="0.25">
      <c r="B67" s="83"/>
      <c r="D67" s="56" t="str">
        <f t="shared" si="10"/>
        <v>Transition Probability from state 1 to state 2 on day 25 (Non-CHG)</v>
      </c>
      <c r="E67" s="61"/>
      <c r="F67" s="151">
        <v>1.8987341772151899E-2</v>
      </c>
      <c r="G67" s="93">
        <f t="shared" si="11"/>
        <v>1.8987341772151899E-2</v>
      </c>
      <c r="I67" s="56" t="str">
        <f t="shared" si="12"/>
        <v>Transition Probability from state 2 to state 2 on day 25 (Non-CHG)</v>
      </c>
      <c r="J67" s="61"/>
      <c r="K67" s="151"/>
      <c r="L67" s="93">
        <f t="shared" si="13"/>
        <v>0</v>
      </c>
      <c r="N67" s="56" t="str">
        <f t="shared" si="14"/>
        <v>Transition Probability from state 3 to state 2 on day 25 (Non-CHG)</v>
      </c>
      <c r="O67" s="61"/>
      <c r="P67" s="151">
        <v>0</v>
      </c>
      <c r="Q67" s="93">
        <f t="shared" si="15"/>
        <v>0</v>
      </c>
      <c r="R67" s="69"/>
      <c r="S67" s="56" t="str">
        <f t="shared" si="16"/>
        <v>Transition Probability from state 4 to state 2 on day 25 (Non-CHG)</v>
      </c>
      <c r="T67" s="61"/>
      <c r="U67" s="151"/>
      <c r="V67" s="93">
        <f t="shared" si="17"/>
        <v>0</v>
      </c>
      <c r="W67" s="69"/>
      <c r="X67" s="56" t="str">
        <f t="shared" si="18"/>
        <v>Transition Probability from state 6 to state 2 on day 25 (Non-CHG)</v>
      </c>
      <c r="Y67" s="61"/>
      <c r="Z67" s="151">
        <v>0</v>
      </c>
      <c r="AA67" s="93">
        <f t="shared" si="19"/>
        <v>0</v>
      </c>
      <c r="AB67" s="9"/>
      <c r="AC67" s="83"/>
    </row>
    <row r="68" spans="2:29" ht="17" thickTop="1" thickBot="1" x14ac:dyDescent="0.25">
      <c r="B68" s="83"/>
      <c r="D68" s="56" t="str">
        <f t="shared" si="10"/>
        <v>Transition Probability from state 1 to state 2 on day 26 (Non-CHG)</v>
      </c>
      <c r="E68" s="61"/>
      <c r="F68" s="151">
        <v>6.8493150684931503E-3</v>
      </c>
      <c r="G68" s="93">
        <f t="shared" si="11"/>
        <v>6.8493150684931503E-3</v>
      </c>
      <c r="I68" s="56" t="str">
        <f t="shared" si="12"/>
        <v>Transition Probability from state 2 to state 2 on day 26 (Non-CHG)</v>
      </c>
      <c r="J68" s="61"/>
      <c r="K68" s="151"/>
      <c r="L68" s="93">
        <f t="shared" si="13"/>
        <v>0</v>
      </c>
      <c r="N68" s="56" t="str">
        <f t="shared" si="14"/>
        <v>Transition Probability from state 3 to state 2 on day 26 (Non-CHG)</v>
      </c>
      <c r="O68" s="61"/>
      <c r="P68" s="151">
        <v>0</v>
      </c>
      <c r="Q68" s="93">
        <f t="shared" si="15"/>
        <v>0</v>
      </c>
      <c r="R68" s="69"/>
      <c r="S68" s="56" t="str">
        <f t="shared" si="16"/>
        <v>Transition Probability from state 4 to state 2 on day 26 (Non-CHG)</v>
      </c>
      <c r="T68" s="61"/>
      <c r="U68" s="151"/>
      <c r="V68" s="93">
        <f t="shared" si="17"/>
        <v>0</v>
      </c>
      <c r="W68" s="69"/>
      <c r="X68" s="56" t="str">
        <f t="shared" si="18"/>
        <v>Transition Probability from state 6 to state 2 on day 26 (Non-CHG)</v>
      </c>
      <c r="Y68" s="61"/>
      <c r="Z68" s="151">
        <v>0</v>
      </c>
      <c r="AA68" s="93">
        <f t="shared" si="19"/>
        <v>0</v>
      </c>
      <c r="AB68" s="9"/>
      <c r="AC68" s="83"/>
    </row>
    <row r="69" spans="2:29" ht="17" thickTop="1" thickBot="1" x14ac:dyDescent="0.25">
      <c r="B69" s="83"/>
      <c r="D69" s="56" t="str">
        <f t="shared" si="10"/>
        <v>Transition Probability from state 1 to state 2 on day 27 (Non-CHG)</v>
      </c>
      <c r="E69" s="61"/>
      <c r="F69" s="151"/>
      <c r="G69" s="93">
        <f t="shared" si="11"/>
        <v>0</v>
      </c>
      <c r="I69" s="56" t="str">
        <f t="shared" si="12"/>
        <v>Transition Probability from state 2 to state 2 on day 27 (Non-CHG)</v>
      </c>
      <c r="J69" s="61"/>
      <c r="K69" s="151"/>
      <c r="L69" s="93">
        <f t="shared" si="13"/>
        <v>0</v>
      </c>
      <c r="N69" s="56" t="str">
        <f t="shared" si="14"/>
        <v>Transition Probability from state 3 to state 2 on day 27 (Non-CHG)</v>
      </c>
      <c r="O69" s="61"/>
      <c r="P69" s="151">
        <v>0</v>
      </c>
      <c r="Q69" s="93">
        <f t="shared" si="15"/>
        <v>0</v>
      </c>
      <c r="R69" s="69"/>
      <c r="S69" s="56" t="str">
        <f t="shared" si="16"/>
        <v>Transition Probability from state 4 to state 2 on day 27 (Non-CHG)</v>
      </c>
      <c r="T69" s="61"/>
      <c r="U69" s="151"/>
      <c r="V69" s="93">
        <f t="shared" si="17"/>
        <v>0</v>
      </c>
      <c r="W69" s="69"/>
      <c r="X69" s="56" t="str">
        <f t="shared" si="18"/>
        <v>Transition Probability from state 6 to state 2 on day 27 (Non-CHG)</v>
      </c>
      <c r="Y69" s="61"/>
      <c r="Z69" s="151">
        <v>0</v>
      </c>
      <c r="AA69" s="93">
        <f t="shared" si="19"/>
        <v>0</v>
      </c>
      <c r="AB69" s="9"/>
      <c r="AC69" s="83"/>
    </row>
    <row r="70" spans="2:29" ht="17" thickTop="1" thickBot="1" x14ac:dyDescent="0.25">
      <c r="B70" s="83"/>
      <c r="D70" s="56" t="str">
        <f t="shared" si="10"/>
        <v>Transition Probability from state 1 to state 2 on day 28 (Non-CHG)</v>
      </c>
      <c r="E70" s="61"/>
      <c r="F70" s="151">
        <v>1.5384615384615385E-2</v>
      </c>
      <c r="G70" s="93">
        <f t="shared" si="11"/>
        <v>1.5384615384615385E-2</v>
      </c>
      <c r="I70" s="56" t="str">
        <f t="shared" si="12"/>
        <v>Transition Probability from state 2 to state 2 on day 28 (Non-CHG)</v>
      </c>
      <c r="J70" s="61"/>
      <c r="K70" s="151"/>
      <c r="L70" s="93">
        <f t="shared" si="13"/>
        <v>0</v>
      </c>
      <c r="N70" s="56" t="str">
        <f t="shared" si="14"/>
        <v>Transition Probability from state 3 to state 2 on day 28 (Non-CHG)</v>
      </c>
      <c r="O70" s="61"/>
      <c r="P70" s="151">
        <v>0</v>
      </c>
      <c r="Q70" s="93">
        <f t="shared" si="15"/>
        <v>0</v>
      </c>
      <c r="R70" s="69"/>
      <c r="S70" s="56" t="str">
        <f t="shared" si="16"/>
        <v>Transition Probability from state 4 to state 2 on day 28 (Non-CHG)</v>
      </c>
      <c r="T70" s="61"/>
      <c r="U70" s="151"/>
      <c r="V70" s="93">
        <f t="shared" si="17"/>
        <v>0</v>
      </c>
      <c r="W70" s="69"/>
      <c r="X70" s="56" t="str">
        <f t="shared" si="18"/>
        <v>Transition Probability from state 6 to state 2 on day 28 (Non-CHG)</v>
      </c>
      <c r="Y70" s="61"/>
      <c r="Z70" s="151">
        <v>0</v>
      </c>
      <c r="AA70" s="93">
        <f t="shared" si="19"/>
        <v>0</v>
      </c>
      <c r="AB70" s="9"/>
      <c r="AC70" s="83"/>
    </row>
    <row r="71" spans="2:29" ht="17" thickTop="1" thickBot="1" x14ac:dyDescent="0.25">
      <c r="B71" s="83"/>
      <c r="D71" s="56" t="str">
        <f t="shared" si="10"/>
        <v>Transition Probability from state 1 to state 2 on day 29 (Non-CHG)</v>
      </c>
      <c r="E71" s="61"/>
      <c r="F71" s="151">
        <v>8.2644628099173556E-3</v>
      </c>
      <c r="G71" s="93">
        <f t="shared" si="11"/>
        <v>8.2644628099173556E-3</v>
      </c>
      <c r="I71" s="56" t="str">
        <f t="shared" si="12"/>
        <v>Transition Probability from state 2 to state 2 on day 29 (Non-CHG)</v>
      </c>
      <c r="J71" s="61"/>
      <c r="K71" s="151"/>
      <c r="L71" s="93">
        <f t="shared" si="13"/>
        <v>0</v>
      </c>
      <c r="N71" s="56" t="str">
        <f t="shared" si="14"/>
        <v>Transition Probability from state 3 to state 2 on day 29 (Non-CHG)</v>
      </c>
      <c r="O71" s="61"/>
      <c r="P71" s="151">
        <v>0</v>
      </c>
      <c r="Q71" s="93">
        <f t="shared" si="15"/>
        <v>0</v>
      </c>
      <c r="R71" s="69"/>
      <c r="S71" s="56" t="str">
        <f t="shared" si="16"/>
        <v>Transition Probability from state 4 to state 2 on day 29 (Non-CHG)</v>
      </c>
      <c r="T71" s="61"/>
      <c r="U71" s="151"/>
      <c r="V71" s="93">
        <f t="shared" si="17"/>
        <v>0</v>
      </c>
      <c r="W71" s="69"/>
      <c r="X71" s="56" t="str">
        <f t="shared" si="18"/>
        <v>Transition Probability from state 6 to state 2 on day 29 (Non-CHG)</v>
      </c>
      <c r="Y71" s="61"/>
      <c r="Z71" s="151">
        <v>0</v>
      </c>
      <c r="AA71" s="93">
        <f t="shared" si="19"/>
        <v>0</v>
      </c>
      <c r="AB71" s="9"/>
      <c r="AC71" s="83"/>
    </row>
    <row r="72" spans="2:29" ht="17" thickTop="1" thickBot="1" x14ac:dyDescent="0.25">
      <c r="B72" s="83"/>
      <c r="D72" s="56" t="str">
        <f t="shared" si="10"/>
        <v>Transition Probability from state 1 to state 2 on day 30 (Non-CHG)</v>
      </c>
      <c r="E72" s="61"/>
      <c r="F72" s="151">
        <v>3.4188034188034191E-2</v>
      </c>
      <c r="G72" s="93">
        <f t="shared" si="11"/>
        <v>3.4188034188034191E-2</v>
      </c>
      <c r="I72" s="56" t="str">
        <f t="shared" si="12"/>
        <v>Transition Probability from state 2 to state 2 on day 30 (Non-CHG)</v>
      </c>
      <c r="J72" s="61"/>
      <c r="K72" s="151"/>
      <c r="L72" s="93">
        <f t="shared" si="13"/>
        <v>0</v>
      </c>
      <c r="N72" s="56" t="str">
        <f t="shared" si="14"/>
        <v>Transition Probability from state 3 to state 2 on day 30 (Non-CHG)</v>
      </c>
      <c r="O72" s="61"/>
      <c r="P72" s="151">
        <v>0</v>
      </c>
      <c r="Q72" s="93">
        <f t="shared" si="15"/>
        <v>0</v>
      </c>
      <c r="R72" s="69"/>
      <c r="S72" s="56" t="str">
        <f t="shared" si="16"/>
        <v>Transition Probability from state 4 to state 2 on day 30 (Non-CHG)</v>
      </c>
      <c r="T72" s="61"/>
      <c r="U72" s="151"/>
      <c r="V72" s="93">
        <f t="shared" si="17"/>
        <v>0</v>
      </c>
      <c r="W72" s="69"/>
      <c r="X72" s="56" t="str">
        <f t="shared" si="18"/>
        <v>Transition Probability from state 6 to state 2 on day 30 (Non-CHG)</v>
      </c>
      <c r="Y72" s="61"/>
      <c r="Z72" s="151">
        <v>0</v>
      </c>
      <c r="AA72" s="93">
        <f t="shared" si="19"/>
        <v>0</v>
      </c>
      <c r="AB72" s="9"/>
      <c r="AC72" s="83"/>
    </row>
    <row r="73" spans="2:29" ht="16" thickTop="1" x14ac:dyDescent="0.2">
      <c r="B73" s="83"/>
      <c r="AB73" s="9"/>
      <c r="AC73" s="83"/>
    </row>
    <row r="74" spans="2:29" x14ac:dyDescent="0.2">
      <c r="B74" s="83"/>
      <c r="D74" s="231" t="s">
        <v>185</v>
      </c>
      <c r="E74" s="231"/>
      <c r="F74" s="231"/>
      <c r="G74" s="231"/>
      <c r="I74" s="231" t="s">
        <v>198</v>
      </c>
      <c r="J74" s="231"/>
      <c r="K74" s="231"/>
      <c r="L74" s="231"/>
      <c r="N74" s="231" t="s">
        <v>199</v>
      </c>
      <c r="O74" s="231"/>
      <c r="P74" s="231"/>
      <c r="Q74" s="231"/>
      <c r="S74" s="231" t="s">
        <v>200</v>
      </c>
      <c r="T74" s="231"/>
      <c r="U74" s="231"/>
      <c r="V74" s="231"/>
      <c r="X74" s="232" t="s">
        <v>201</v>
      </c>
      <c r="Y74" s="233"/>
      <c r="Z74" s="233"/>
      <c r="AA74" s="234"/>
      <c r="AB74" s="9"/>
      <c r="AC74" s="83"/>
    </row>
    <row r="75" spans="2:29" ht="16" thickBot="1" x14ac:dyDescent="0.25">
      <c r="B75" s="83"/>
      <c r="D75" s="195" t="str">
        <f>"Transition Probability from state 1 to state 3 on day"&amp; " "&amp;C11&amp;" "&amp;"(Non-CHG)"</f>
        <v>Transition Probability from state 1 to state 3 on day 1 (Non-CHG)</v>
      </c>
      <c r="E75" s="196"/>
      <c r="F75" s="197"/>
      <c r="G75" s="198">
        <f>IF(E75="",F75,E75)</f>
        <v>0</v>
      </c>
      <c r="I75" s="195" t="str">
        <f>"Transition Probability from state 2 to state 3 on day"&amp; " "&amp;C11&amp;" "&amp;"(Non-CHG)"</f>
        <v>Transition Probability from state 2 to state 3 on day 1 (Non-CHG)</v>
      </c>
      <c r="J75" s="196"/>
      <c r="K75" s="197">
        <v>0</v>
      </c>
      <c r="L75" s="198">
        <f>IF(J75="",K75,J75)</f>
        <v>0</v>
      </c>
      <c r="N75" s="195" t="str">
        <f>"Transition Probability from state 3 to state 3 on day"&amp; " "&amp;C11&amp;" "&amp;"(Non-CHG)"</f>
        <v>Transition Probability from state 3 to state 3 on day 1 (Non-CHG)</v>
      </c>
      <c r="O75" s="196"/>
      <c r="P75" s="197">
        <v>0</v>
      </c>
      <c r="Q75" s="198">
        <f>IF(O75="",P75,O75)</f>
        <v>0</v>
      </c>
      <c r="R75" s="69"/>
      <c r="S75" s="195" t="str">
        <f>"Transition Probability from state 4 to state 3 on day"&amp; " "&amp;C11&amp;" "&amp;"Non-CHG)"</f>
        <v>Transition Probability from state 4 to state 3 on day 1 Non-CHG)</v>
      </c>
      <c r="T75" s="196"/>
      <c r="U75" s="197">
        <v>0</v>
      </c>
      <c r="V75" s="198">
        <f>IF(T75="",U75,T75)</f>
        <v>0</v>
      </c>
      <c r="W75" s="69"/>
      <c r="X75" s="195" t="str">
        <f>"Transition Probability from state 6 to state 3 on day"&amp; " "&amp;C11&amp;" "&amp;"(Non-CHG)"</f>
        <v>Transition Probability from state 6 to state 3 on day 1 (Non-CHG)</v>
      </c>
      <c r="Y75" s="196"/>
      <c r="Z75" s="197">
        <v>0</v>
      </c>
      <c r="AA75" s="198">
        <f>IF(Y75="",Z75,Y75)</f>
        <v>0</v>
      </c>
      <c r="AB75" s="9"/>
      <c r="AC75" s="83"/>
    </row>
    <row r="76" spans="2:29" ht="17" thickTop="1" thickBot="1" x14ac:dyDescent="0.25">
      <c r="B76" s="83"/>
      <c r="D76" s="56" t="str">
        <f t="shared" ref="D76:D104" si="20">"Transition Probability from state 1 to state 3 on day"&amp; " "&amp;C12&amp;" "&amp;"(Non-CHG)"</f>
        <v>Transition Probability from state 1 to state 3 on day 2 (Non-CHG)</v>
      </c>
      <c r="E76" s="61"/>
      <c r="F76" s="151"/>
      <c r="G76" s="93">
        <f t="shared" ref="G76:G104" si="21">IF(E76="",F76,E76)</f>
        <v>0</v>
      </c>
      <c r="I76" s="56" t="str">
        <f t="shared" ref="I76:I104" si="22">"Transition Probability from state 2 to state 3 on day"&amp; " "&amp;C12&amp;" "&amp;"(Non-CHG)"</f>
        <v>Transition Probability from state 2 to state 3 on day 2 (Non-CHG)</v>
      </c>
      <c r="J76" s="61"/>
      <c r="K76" s="151">
        <v>0</v>
      </c>
      <c r="L76" s="93">
        <f t="shared" ref="L76:L104" si="23">IF(J76="",K76,J76)</f>
        <v>0</v>
      </c>
      <c r="N76" s="56" t="str">
        <f t="shared" ref="N76:N104" si="24">"Transition Probability from state 3 to state 3 on day"&amp; " "&amp;C12&amp;" "&amp;"(Non-CHG)"</f>
        <v>Transition Probability from state 3 to state 3 on day 2 (Non-CHG)</v>
      </c>
      <c r="O76" s="61"/>
      <c r="P76" s="151">
        <v>0</v>
      </c>
      <c r="Q76" s="93">
        <f t="shared" ref="Q76:Q104" si="25">IF(O76="",P76,O76)</f>
        <v>0</v>
      </c>
      <c r="R76" s="69"/>
      <c r="S76" s="56" t="str">
        <f t="shared" ref="S76:S104" si="26">"Transition Probability from state 4 to state 3 on day"&amp; " "&amp;C12&amp;" "&amp;"Non-CHG)"</f>
        <v>Transition Probability from state 4 to state 3 on day 2 Non-CHG)</v>
      </c>
      <c r="T76" s="61"/>
      <c r="U76" s="151">
        <v>0</v>
      </c>
      <c r="V76" s="93">
        <f t="shared" ref="V76:V104" si="27">IF(T76="",U76,T76)</f>
        <v>0</v>
      </c>
      <c r="W76" s="69"/>
      <c r="X76" s="56" t="str">
        <f t="shared" ref="X76:X104" si="28">"Transition Probability from state 6 to state 3 on day"&amp; " "&amp;C12&amp;" "&amp;"(Non-CHG)"</f>
        <v>Transition Probability from state 6 to state 3 on day 2 (Non-CHG)</v>
      </c>
      <c r="Y76" s="61"/>
      <c r="Z76" s="151">
        <v>0</v>
      </c>
      <c r="AA76" s="93">
        <f t="shared" ref="AA76:AA104" si="29">IF(Y76="",Z76,Y76)</f>
        <v>0</v>
      </c>
      <c r="AB76" s="9"/>
      <c r="AC76" s="83"/>
    </row>
    <row r="77" spans="2:29" ht="17" thickTop="1" thickBot="1" x14ac:dyDescent="0.25">
      <c r="B77" s="83"/>
      <c r="D77" s="56" t="str">
        <f t="shared" si="20"/>
        <v>Transition Probability from state 1 to state 3 on day 3 (Non-CHG)</v>
      </c>
      <c r="E77" s="61"/>
      <c r="F77" s="151"/>
      <c r="G77" s="93">
        <f t="shared" si="21"/>
        <v>0</v>
      </c>
      <c r="I77" s="56" t="str">
        <f t="shared" si="22"/>
        <v>Transition Probability from state 2 to state 3 on day 3 (Non-CHG)</v>
      </c>
      <c r="J77" s="61"/>
      <c r="K77" s="151">
        <v>0</v>
      </c>
      <c r="L77" s="93">
        <f t="shared" si="23"/>
        <v>0</v>
      </c>
      <c r="M77" s="148"/>
      <c r="N77" s="56" t="str">
        <f t="shared" si="24"/>
        <v>Transition Probability from state 3 to state 3 on day 3 (Non-CHG)</v>
      </c>
      <c r="O77" s="61"/>
      <c r="P77" s="151">
        <v>0</v>
      </c>
      <c r="Q77" s="93">
        <f t="shared" si="25"/>
        <v>0</v>
      </c>
      <c r="R77" s="69"/>
      <c r="S77" s="56" t="str">
        <f t="shared" si="26"/>
        <v>Transition Probability from state 4 to state 3 on day 3 Non-CHG)</v>
      </c>
      <c r="T77" s="61"/>
      <c r="U77" s="151">
        <v>0</v>
      </c>
      <c r="V77" s="93">
        <f t="shared" si="27"/>
        <v>0</v>
      </c>
      <c r="W77" s="69"/>
      <c r="X77" s="56" t="str">
        <f t="shared" si="28"/>
        <v>Transition Probability from state 6 to state 3 on day 3 (Non-CHG)</v>
      </c>
      <c r="Y77" s="61"/>
      <c r="Z77" s="151">
        <v>0</v>
      </c>
      <c r="AA77" s="93">
        <f t="shared" si="29"/>
        <v>0</v>
      </c>
      <c r="AB77" s="9"/>
      <c r="AC77" s="83"/>
    </row>
    <row r="78" spans="2:29" ht="17" thickTop="1" thickBot="1" x14ac:dyDescent="0.25">
      <c r="B78" s="83"/>
      <c r="D78" s="56" t="str">
        <f t="shared" si="20"/>
        <v>Transition Probability from state 1 to state 3 on day 4 (Non-CHG)</v>
      </c>
      <c r="E78" s="61"/>
      <c r="F78" s="151"/>
      <c r="G78" s="93">
        <f t="shared" si="21"/>
        <v>0</v>
      </c>
      <c r="I78" s="56" t="str">
        <f t="shared" si="22"/>
        <v>Transition Probability from state 2 to state 3 on day 4 (Non-CHG)</v>
      </c>
      <c r="J78" s="61"/>
      <c r="K78" s="151">
        <v>0</v>
      </c>
      <c r="L78" s="93">
        <f t="shared" si="23"/>
        <v>0</v>
      </c>
      <c r="N78" s="56" t="str">
        <f t="shared" si="24"/>
        <v>Transition Probability from state 3 to state 3 on day 4 (Non-CHG)</v>
      </c>
      <c r="O78" s="61"/>
      <c r="P78" s="151">
        <v>0</v>
      </c>
      <c r="Q78" s="93">
        <f t="shared" si="25"/>
        <v>0</v>
      </c>
      <c r="R78" s="69"/>
      <c r="S78" s="56" t="str">
        <f t="shared" si="26"/>
        <v>Transition Probability from state 4 to state 3 on day 4 Non-CHG)</v>
      </c>
      <c r="T78" s="61"/>
      <c r="U78" s="151">
        <v>0</v>
      </c>
      <c r="V78" s="93">
        <f t="shared" si="27"/>
        <v>0</v>
      </c>
      <c r="W78" s="69"/>
      <c r="X78" s="56" t="str">
        <f t="shared" si="28"/>
        <v>Transition Probability from state 6 to state 3 on day 4 (Non-CHG)</v>
      </c>
      <c r="Y78" s="61"/>
      <c r="Z78" s="151">
        <v>0</v>
      </c>
      <c r="AA78" s="93">
        <f t="shared" si="29"/>
        <v>0</v>
      </c>
      <c r="AB78" s="9"/>
      <c r="AC78" s="83"/>
    </row>
    <row r="79" spans="2:29" ht="17" thickTop="1" thickBot="1" x14ac:dyDescent="0.25">
      <c r="B79" s="83"/>
      <c r="D79" s="56" t="str">
        <f t="shared" si="20"/>
        <v>Transition Probability from state 1 to state 3 on day 5 (Non-CHG)</v>
      </c>
      <c r="E79" s="61"/>
      <c r="F79" s="151"/>
      <c r="G79" s="93">
        <f t="shared" si="21"/>
        <v>0</v>
      </c>
      <c r="I79" s="56" t="str">
        <f t="shared" si="22"/>
        <v>Transition Probability from state 2 to state 3 on day 5 (Non-CHG)</v>
      </c>
      <c r="J79" s="61"/>
      <c r="K79" s="151">
        <v>0</v>
      </c>
      <c r="L79" s="93">
        <f t="shared" si="23"/>
        <v>0</v>
      </c>
      <c r="N79" s="56" t="str">
        <f t="shared" si="24"/>
        <v>Transition Probability from state 3 to state 3 on day 5 (Non-CHG)</v>
      </c>
      <c r="O79" s="61"/>
      <c r="P79" s="151">
        <v>0</v>
      </c>
      <c r="Q79" s="93">
        <f t="shared" si="25"/>
        <v>0</v>
      </c>
      <c r="R79" s="69"/>
      <c r="S79" s="56" t="str">
        <f t="shared" si="26"/>
        <v>Transition Probability from state 4 to state 3 on day 5 Non-CHG)</v>
      </c>
      <c r="T79" s="61"/>
      <c r="U79" s="151">
        <v>0</v>
      </c>
      <c r="V79" s="93">
        <f t="shared" si="27"/>
        <v>0</v>
      </c>
      <c r="W79" s="69"/>
      <c r="X79" s="56" t="str">
        <f t="shared" si="28"/>
        <v>Transition Probability from state 6 to state 3 on day 5 (Non-CHG)</v>
      </c>
      <c r="Y79" s="61"/>
      <c r="Z79" s="151">
        <v>0</v>
      </c>
      <c r="AA79" s="93">
        <f t="shared" si="29"/>
        <v>0</v>
      </c>
      <c r="AB79" s="9"/>
      <c r="AC79" s="83"/>
    </row>
    <row r="80" spans="2:29" ht="17" thickTop="1" thickBot="1" x14ac:dyDescent="0.25">
      <c r="B80" s="83"/>
      <c r="D80" s="56" t="str">
        <f t="shared" si="20"/>
        <v>Transition Probability from state 1 to state 3 on day 6 (Non-CHG)</v>
      </c>
      <c r="E80" s="61"/>
      <c r="F80" s="151"/>
      <c r="G80" s="93">
        <f t="shared" si="21"/>
        <v>0</v>
      </c>
      <c r="I80" s="56" t="str">
        <f t="shared" si="22"/>
        <v>Transition Probability from state 2 to state 3 on day 6 (Non-CHG)</v>
      </c>
      <c r="J80" s="61"/>
      <c r="K80" s="151">
        <v>0</v>
      </c>
      <c r="L80" s="93">
        <f t="shared" si="23"/>
        <v>0</v>
      </c>
      <c r="N80" s="56" t="str">
        <f t="shared" si="24"/>
        <v>Transition Probability from state 3 to state 3 on day 6 (Non-CHG)</v>
      </c>
      <c r="O80" s="61"/>
      <c r="P80" s="151">
        <v>0</v>
      </c>
      <c r="Q80" s="93">
        <f t="shared" si="25"/>
        <v>0</v>
      </c>
      <c r="R80" s="69"/>
      <c r="S80" s="56" t="str">
        <f t="shared" si="26"/>
        <v>Transition Probability from state 4 to state 3 on day 6 Non-CHG)</v>
      </c>
      <c r="T80" s="61"/>
      <c r="U80" s="151">
        <v>0</v>
      </c>
      <c r="V80" s="93">
        <f t="shared" si="27"/>
        <v>0</v>
      </c>
      <c r="W80" s="69"/>
      <c r="X80" s="56" t="str">
        <f t="shared" si="28"/>
        <v>Transition Probability from state 6 to state 3 on day 6 (Non-CHG)</v>
      </c>
      <c r="Y80" s="61"/>
      <c r="Z80" s="151">
        <v>0</v>
      </c>
      <c r="AA80" s="93">
        <f t="shared" si="29"/>
        <v>0</v>
      </c>
      <c r="AB80" s="9"/>
      <c r="AC80" s="83"/>
    </row>
    <row r="81" spans="2:29" ht="17" thickTop="1" thickBot="1" x14ac:dyDescent="0.25">
      <c r="B81" s="83"/>
      <c r="D81" s="56" t="str">
        <f t="shared" si="20"/>
        <v>Transition Probability from state 1 to state 3 on day 7 (Non-CHG)</v>
      </c>
      <c r="E81" s="61"/>
      <c r="F81" s="151"/>
      <c r="G81" s="93">
        <f t="shared" si="21"/>
        <v>0</v>
      </c>
      <c r="I81" s="56" t="str">
        <f t="shared" si="22"/>
        <v>Transition Probability from state 2 to state 3 on day 7 (Non-CHG)</v>
      </c>
      <c r="J81" s="61"/>
      <c r="K81" s="151">
        <v>0</v>
      </c>
      <c r="L81" s="93">
        <f t="shared" si="23"/>
        <v>0</v>
      </c>
      <c r="N81" s="56" t="str">
        <f t="shared" si="24"/>
        <v>Transition Probability from state 3 to state 3 on day 7 (Non-CHG)</v>
      </c>
      <c r="O81" s="61"/>
      <c r="P81" s="151">
        <v>0</v>
      </c>
      <c r="Q81" s="93">
        <f t="shared" si="25"/>
        <v>0</v>
      </c>
      <c r="R81" s="69"/>
      <c r="S81" s="56" t="str">
        <f t="shared" si="26"/>
        <v>Transition Probability from state 4 to state 3 on day 7 Non-CHG)</v>
      </c>
      <c r="T81" s="61"/>
      <c r="U81" s="151">
        <v>0</v>
      </c>
      <c r="V81" s="93">
        <f t="shared" si="27"/>
        <v>0</v>
      </c>
      <c r="W81" s="69"/>
      <c r="X81" s="56" t="str">
        <f t="shared" si="28"/>
        <v>Transition Probability from state 6 to state 3 on day 7 (Non-CHG)</v>
      </c>
      <c r="Y81" s="61"/>
      <c r="Z81" s="151">
        <v>0</v>
      </c>
      <c r="AA81" s="93">
        <f t="shared" si="29"/>
        <v>0</v>
      </c>
      <c r="AB81" s="9"/>
      <c r="AC81" s="83"/>
    </row>
    <row r="82" spans="2:29" ht="17" thickTop="1" thickBot="1" x14ac:dyDescent="0.25">
      <c r="B82" s="83"/>
      <c r="D82" s="56" t="str">
        <f t="shared" si="20"/>
        <v>Transition Probability from state 1 to state 3 on day 8 (Non-CHG)</v>
      </c>
      <c r="E82" s="61"/>
      <c r="F82" s="151"/>
      <c r="G82" s="93">
        <f t="shared" si="21"/>
        <v>0</v>
      </c>
      <c r="I82" s="56" t="str">
        <f t="shared" si="22"/>
        <v>Transition Probability from state 2 to state 3 on day 8 (Non-CHG)</v>
      </c>
      <c r="J82" s="61"/>
      <c r="K82" s="151">
        <v>0</v>
      </c>
      <c r="L82" s="93">
        <f t="shared" si="23"/>
        <v>0</v>
      </c>
      <c r="N82" s="56" t="str">
        <f t="shared" si="24"/>
        <v>Transition Probability from state 3 to state 3 on day 8 (Non-CHG)</v>
      </c>
      <c r="O82" s="61"/>
      <c r="P82" s="151">
        <v>0</v>
      </c>
      <c r="Q82" s="93">
        <f t="shared" si="25"/>
        <v>0</v>
      </c>
      <c r="R82" s="69"/>
      <c r="S82" s="56" t="str">
        <f t="shared" si="26"/>
        <v>Transition Probability from state 4 to state 3 on day 8 Non-CHG)</v>
      </c>
      <c r="T82" s="61"/>
      <c r="U82" s="151">
        <v>0</v>
      </c>
      <c r="V82" s="93">
        <f t="shared" si="27"/>
        <v>0</v>
      </c>
      <c r="W82" s="69"/>
      <c r="X82" s="56" t="str">
        <f t="shared" si="28"/>
        <v>Transition Probability from state 6 to state 3 on day 8 (Non-CHG)</v>
      </c>
      <c r="Y82" s="61"/>
      <c r="Z82" s="151">
        <v>0</v>
      </c>
      <c r="AA82" s="93">
        <f t="shared" si="29"/>
        <v>0</v>
      </c>
      <c r="AB82" s="9"/>
      <c r="AC82" s="83"/>
    </row>
    <row r="83" spans="2:29" ht="17" thickTop="1" thickBot="1" x14ac:dyDescent="0.25">
      <c r="B83" s="83"/>
      <c r="D83" s="56" t="str">
        <f t="shared" si="20"/>
        <v>Transition Probability from state 1 to state 3 on day 9 (Non-CHG)</v>
      </c>
      <c r="E83" s="61"/>
      <c r="F83" s="151">
        <v>2.0876826722338203E-3</v>
      </c>
      <c r="G83" s="93">
        <f t="shared" si="21"/>
        <v>2.0876826722338203E-3</v>
      </c>
      <c r="I83" s="56" t="str">
        <f t="shared" si="22"/>
        <v>Transition Probability from state 2 to state 3 on day 9 (Non-CHG)</v>
      </c>
      <c r="J83" s="61"/>
      <c r="K83" s="151">
        <v>0</v>
      </c>
      <c r="L83" s="93">
        <f t="shared" si="23"/>
        <v>0</v>
      </c>
      <c r="N83" s="56" t="str">
        <f t="shared" si="24"/>
        <v>Transition Probability from state 3 to state 3 on day 9 (Non-CHG)</v>
      </c>
      <c r="O83" s="61"/>
      <c r="P83" s="151">
        <v>0</v>
      </c>
      <c r="Q83" s="93">
        <f t="shared" si="25"/>
        <v>0</v>
      </c>
      <c r="R83" s="69"/>
      <c r="S83" s="56" t="str">
        <f t="shared" si="26"/>
        <v>Transition Probability from state 4 to state 3 on day 9 Non-CHG)</v>
      </c>
      <c r="T83" s="61"/>
      <c r="U83" s="151">
        <v>0</v>
      </c>
      <c r="V83" s="93">
        <f t="shared" si="27"/>
        <v>0</v>
      </c>
      <c r="W83" s="69"/>
      <c r="X83" s="56" t="str">
        <f t="shared" si="28"/>
        <v>Transition Probability from state 6 to state 3 on day 9 (Non-CHG)</v>
      </c>
      <c r="Y83" s="61"/>
      <c r="Z83" s="151">
        <v>0</v>
      </c>
      <c r="AA83" s="93">
        <f t="shared" si="29"/>
        <v>0</v>
      </c>
      <c r="AB83" s="9"/>
      <c r="AC83" s="83"/>
    </row>
    <row r="84" spans="2:29" ht="17" thickTop="1" thickBot="1" x14ac:dyDescent="0.25">
      <c r="B84" s="83"/>
      <c r="D84" s="56" t="str">
        <f t="shared" si="20"/>
        <v>Transition Probability from state 1 to state 3 on day 10 (Non-CHG)</v>
      </c>
      <c r="E84" s="61"/>
      <c r="F84" s="151">
        <v>2.2624434389140274E-3</v>
      </c>
      <c r="G84" s="93">
        <f t="shared" si="21"/>
        <v>2.2624434389140274E-3</v>
      </c>
      <c r="H84" s="146"/>
      <c r="I84" s="56" t="str">
        <f t="shared" si="22"/>
        <v>Transition Probability from state 2 to state 3 on day 10 (Non-CHG)</v>
      </c>
      <c r="J84" s="61"/>
      <c r="K84" s="151">
        <v>0</v>
      </c>
      <c r="L84" s="93">
        <f t="shared" si="23"/>
        <v>0</v>
      </c>
      <c r="M84" s="146"/>
      <c r="N84" s="56" t="str">
        <f t="shared" si="24"/>
        <v>Transition Probability from state 3 to state 3 on day 10 (Non-CHG)</v>
      </c>
      <c r="O84" s="61"/>
      <c r="P84" s="151">
        <v>0</v>
      </c>
      <c r="Q84" s="93">
        <f t="shared" si="25"/>
        <v>0</v>
      </c>
      <c r="R84" s="69"/>
      <c r="S84" s="56" t="str">
        <f t="shared" si="26"/>
        <v>Transition Probability from state 4 to state 3 on day 10 Non-CHG)</v>
      </c>
      <c r="T84" s="61"/>
      <c r="U84" s="151">
        <v>0</v>
      </c>
      <c r="V84" s="93">
        <f t="shared" si="27"/>
        <v>0</v>
      </c>
      <c r="W84" s="69"/>
      <c r="X84" s="56" t="str">
        <f t="shared" si="28"/>
        <v>Transition Probability from state 6 to state 3 on day 10 (Non-CHG)</v>
      </c>
      <c r="Y84" s="61"/>
      <c r="Z84" s="151">
        <v>0</v>
      </c>
      <c r="AA84" s="93">
        <f t="shared" si="29"/>
        <v>0</v>
      </c>
      <c r="AB84" s="9"/>
      <c r="AC84" s="83"/>
    </row>
    <row r="85" spans="2:29" ht="17" thickTop="1" thickBot="1" x14ac:dyDescent="0.25">
      <c r="B85" s="83"/>
      <c r="D85" s="56" t="str">
        <f t="shared" si="20"/>
        <v>Transition Probability from state 1 to state 3 on day 11 (Non-CHG)</v>
      </c>
      <c r="E85" s="61"/>
      <c r="F85" s="151"/>
      <c r="G85" s="93">
        <f t="shared" si="21"/>
        <v>0</v>
      </c>
      <c r="I85" s="56" t="str">
        <f t="shared" si="22"/>
        <v>Transition Probability from state 2 to state 3 on day 11 (Non-CHG)</v>
      </c>
      <c r="J85" s="61"/>
      <c r="K85" s="151">
        <v>0</v>
      </c>
      <c r="L85" s="93">
        <f t="shared" si="23"/>
        <v>0</v>
      </c>
      <c r="N85" s="56" t="str">
        <f t="shared" si="24"/>
        <v>Transition Probability from state 3 to state 3 on day 11 (Non-CHG)</v>
      </c>
      <c r="O85" s="61"/>
      <c r="P85" s="151">
        <v>0</v>
      </c>
      <c r="Q85" s="93">
        <f t="shared" si="25"/>
        <v>0</v>
      </c>
      <c r="R85" s="69"/>
      <c r="S85" s="56" t="str">
        <f t="shared" si="26"/>
        <v>Transition Probability from state 4 to state 3 on day 11 Non-CHG)</v>
      </c>
      <c r="T85" s="61"/>
      <c r="U85" s="151">
        <v>0</v>
      </c>
      <c r="V85" s="93">
        <f t="shared" si="27"/>
        <v>0</v>
      </c>
      <c r="W85" s="69"/>
      <c r="X85" s="56" t="str">
        <f t="shared" si="28"/>
        <v>Transition Probability from state 6 to state 3 on day 11 (Non-CHG)</v>
      </c>
      <c r="Y85" s="61"/>
      <c r="Z85" s="151">
        <v>0</v>
      </c>
      <c r="AA85" s="93">
        <f t="shared" si="29"/>
        <v>0</v>
      </c>
      <c r="AB85" s="9"/>
      <c r="AC85" s="83"/>
    </row>
    <row r="86" spans="2:29" ht="17" thickTop="1" thickBot="1" x14ac:dyDescent="0.25">
      <c r="B86" s="83"/>
      <c r="D86" s="56" t="str">
        <f t="shared" si="20"/>
        <v>Transition Probability from state 1 to state 3 on day 12 (Non-CHG)</v>
      </c>
      <c r="E86" s="61"/>
      <c r="F86" s="151">
        <v>2.5380710659898475E-3</v>
      </c>
      <c r="G86" s="93">
        <f t="shared" si="21"/>
        <v>2.5380710659898475E-3</v>
      </c>
      <c r="I86" s="56" t="str">
        <f t="shared" si="22"/>
        <v>Transition Probability from state 2 to state 3 on day 12 (Non-CHG)</v>
      </c>
      <c r="J86" s="61"/>
      <c r="K86" s="151">
        <v>0</v>
      </c>
      <c r="L86" s="93">
        <f t="shared" si="23"/>
        <v>0</v>
      </c>
      <c r="N86" s="56" t="str">
        <f t="shared" si="24"/>
        <v>Transition Probability from state 3 to state 3 on day 12 (Non-CHG)</v>
      </c>
      <c r="O86" s="61"/>
      <c r="P86" s="151">
        <v>0</v>
      </c>
      <c r="Q86" s="93">
        <f t="shared" si="25"/>
        <v>0</v>
      </c>
      <c r="R86" s="69"/>
      <c r="S86" s="56" t="str">
        <f t="shared" si="26"/>
        <v>Transition Probability from state 4 to state 3 on day 12 Non-CHG)</v>
      </c>
      <c r="T86" s="61"/>
      <c r="U86" s="151">
        <v>0</v>
      </c>
      <c r="V86" s="93">
        <f t="shared" si="27"/>
        <v>0</v>
      </c>
      <c r="W86" s="69"/>
      <c r="X86" s="56" t="str">
        <f t="shared" si="28"/>
        <v>Transition Probability from state 6 to state 3 on day 12 (Non-CHG)</v>
      </c>
      <c r="Y86" s="61"/>
      <c r="Z86" s="151">
        <v>0</v>
      </c>
      <c r="AA86" s="93">
        <f t="shared" si="29"/>
        <v>0</v>
      </c>
      <c r="AB86" s="9"/>
      <c r="AC86" s="83"/>
    </row>
    <row r="87" spans="2:29" ht="17" thickTop="1" thickBot="1" x14ac:dyDescent="0.25">
      <c r="B87" s="83"/>
      <c r="D87" s="56" t="str">
        <f t="shared" si="20"/>
        <v>Transition Probability from state 1 to state 3 on day 13 (Non-CHG)</v>
      </c>
      <c r="E87" s="61"/>
      <c r="F87" s="151">
        <v>2.7397260273972603E-3</v>
      </c>
      <c r="G87" s="93">
        <f t="shared" si="21"/>
        <v>2.7397260273972603E-3</v>
      </c>
      <c r="I87" s="56" t="str">
        <f t="shared" si="22"/>
        <v>Transition Probability from state 2 to state 3 on day 13 (Non-CHG)</v>
      </c>
      <c r="J87" s="61"/>
      <c r="K87" s="151">
        <v>0</v>
      </c>
      <c r="L87" s="93">
        <f t="shared" si="23"/>
        <v>0</v>
      </c>
      <c r="N87" s="56" t="str">
        <f t="shared" si="24"/>
        <v>Transition Probability from state 3 to state 3 on day 13 (Non-CHG)</v>
      </c>
      <c r="O87" s="61"/>
      <c r="P87" s="151">
        <v>0</v>
      </c>
      <c r="Q87" s="93">
        <f t="shared" si="25"/>
        <v>0</v>
      </c>
      <c r="R87" s="69"/>
      <c r="S87" s="56" t="str">
        <f t="shared" si="26"/>
        <v>Transition Probability from state 4 to state 3 on day 13 Non-CHG)</v>
      </c>
      <c r="T87" s="61"/>
      <c r="U87" s="151">
        <v>0</v>
      </c>
      <c r="V87" s="93">
        <f t="shared" si="27"/>
        <v>0</v>
      </c>
      <c r="W87" s="69"/>
      <c r="X87" s="56" t="str">
        <f t="shared" si="28"/>
        <v>Transition Probability from state 6 to state 3 on day 13 (Non-CHG)</v>
      </c>
      <c r="Y87" s="61"/>
      <c r="Z87" s="151">
        <v>0</v>
      </c>
      <c r="AA87" s="93">
        <f t="shared" si="29"/>
        <v>0</v>
      </c>
      <c r="AB87" s="9"/>
      <c r="AC87" s="83"/>
    </row>
    <row r="88" spans="2:29" ht="17" thickTop="1" thickBot="1" x14ac:dyDescent="0.25">
      <c r="B88" s="83"/>
      <c r="D88" s="56" t="str">
        <f t="shared" si="20"/>
        <v>Transition Probability from state 1 to state 3 on day 14 (Non-CHG)</v>
      </c>
      <c r="E88" s="61"/>
      <c r="F88" s="151"/>
      <c r="G88" s="93">
        <f t="shared" si="21"/>
        <v>0</v>
      </c>
      <c r="I88" s="56" t="str">
        <f t="shared" si="22"/>
        <v>Transition Probability from state 2 to state 3 on day 14 (Non-CHG)</v>
      </c>
      <c r="J88" s="61"/>
      <c r="K88" s="151">
        <v>0</v>
      </c>
      <c r="L88" s="93">
        <f t="shared" si="23"/>
        <v>0</v>
      </c>
      <c r="N88" s="56" t="str">
        <f t="shared" si="24"/>
        <v>Transition Probability from state 3 to state 3 on day 14 (Non-CHG)</v>
      </c>
      <c r="O88" s="61"/>
      <c r="P88" s="151">
        <v>0</v>
      </c>
      <c r="Q88" s="93">
        <f t="shared" si="25"/>
        <v>0</v>
      </c>
      <c r="R88" s="69"/>
      <c r="S88" s="56" t="str">
        <f t="shared" si="26"/>
        <v>Transition Probability from state 4 to state 3 on day 14 Non-CHG)</v>
      </c>
      <c r="T88" s="61"/>
      <c r="U88" s="151">
        <v>0</v>
      </c>
      <c r="V88" s="93">
        <f t="shared" si="27"/>
        <v>0</v>
      </c>
      <c r="W88" s="69"/>
      <c r="X88" s="56" t="str">
        <f t="shared" si="28"/>
        <v>Transition Probability from state 6 to state 3 on day 14 (Non-CHG)</v>
      </c>
      <c r="Y88" s="61"/>
      <c r="Z88" s="151">
        <v>0</v>
      </c>
      <c r="AA88" s="93">
        <f t="shared" si="29"/>
        <v>0</v>
      </c>
      <c r="AB88" s="9"/>
      <c r="AC88" s="83"/>
    </row>
    <row r="89" spans="2:29" ht="17" thickTop="1" thickBot="1" x14ac:dyDescent="0.25">
      <c r="B89" s="83"/>
      <c r="D89" s="56" t="str">
        <f t="shared" si="20"/>
        <v>Transition Probability from state 1 to state 3 on day 15 (Non-CHG)</v>
      </c>
      <c r="E89" s="61"/>
      <c r="F89" s="151"/>
      <c r="G89" s="93">
        <f t="shared" si="21"/>
        <v>0</v>
      </c>
      <c r="I89" s="56" t="str">
        <f t="shared" si="22"/>
        <v>Transition Probability from state 2 to state 3 on day 15 (Non-CHG)</v>
      </c>
      <c r="J89" s="61"/>
      <c r="K89" s="151">
        <v>0</v>
      </c>
      <c r="L89" s="93">
        <f t="shared" si="23"/>
        <v>0</v>
      </c>
      <c r="N89" s="56" t="str">
        <f t="shared" si="24"/>
        <v>Transition Probability from state 3 to state 3 on day 15 (Non-CHG)</v>
      </c>
      <c r="O89" s="61"/>
      <c r="P89" s="151">
        <v>0</v>
      </c>
      <c r="Q89" s="93">
        <f t="shared" si="25"/>
        <v>0</v>
      </c>
      <c r="R89" s="69"/>
      <c r="S89" s="56" t="str">
        <f t="shared" si="26"/>
        <v>Transition Probability from state 4 to state 3 on day 15 Non-CHG)</v>
      </c>
      <c r="T89" s="61"/>
      <c r="U89" s="151">
        <v>0</v>
      </c>
      <c r="V89" s="93">
        <f t="shared" si="27"/>
        <v>0</v>
      </c>
      <c r="W89" s="69"/>
      <c r="X89" s="56" t="str">
        <f t="shared" si="28"/>
        <v>Transition Probability from state 6 to state 3 on day 15 (Non-CHG)</v>
      </c>
      <c r="Y89" s="61"/>
      <c r="Z89" s="151">
        <v>0</v>
      </c>
      <c r="AA89" s="93">
        <f t="shared" si="29"/>
        <v>0</v>
      </c>
      <c r="AB89" s="9"/>
      <c r="AC89" s="83"/>
    </row>
    <row r="90" spans="2:29" ht="17" thickTop="1" thickBot="1" x14ac:dyDescent="0.25">
      <c r="B90" s="83"/>
      <c r="D90" s="56" t="str">
        <f t="shared" si="20"/>
        <v>Transition Probability from state 1 to state 3 on day 16 (Non-CHG)</v>
      </c>
      <c r="E90" s="61"/>
      <c r="F90" s="151"/>
      <c r="G90" s="93">
        <f t="shared" si="21"/>
        <v>0</v>
      </c>
      <c r="I90" s="56" t="str">
        <f t="shared" si="22"/>
        <v>Transition Probability from state 2 to state 3 on day 16 (Non-CHG)</v>
      </c>
      <c r="J90" s="61"/>
      <c r="K90" s="151">
        <v>0</v>
      </c>
      <c r="L90" s="93">
        <f t="shared" si="23"/>
        <v>0</v>
      </c>
      <c r="N90" s="56" t="str">
        <f t="shared" si="24"/>
        <v>Transition Probability from state 3 to state 3 on day 16 (Non-CHG)</v>
      </c>
      <c r="O90" s="61"/>
      <c r="P90" s="151">
        <v>0</v>
      </c>
      <c r="Q90" s="93">
        <f t="shared" si="25"/>
        <v>0</v>
      </c>
      <c r="R90" s="69"/>
      <c r="S90" s="56" t="str">
        <f t="shared" si="26"/>
        <v>Transition Probability from state 4 to state 3 on day 16 Non-CHG)</v>
      </c>
      <c r="T90" s="61"/>
      <c r="U90" s="151">
        <v>0</v>
      </c>
      <c r="V90" s="93">
        <f t="shared" si="27"/>
        <v>0</v>
      </c>
      <c r="W90" s="69"/>
      <c r="X90" s="56" t="str">
        <f t="shared" si="28"/>
        <v>Transition Probability from state 6 to state 3 on day 16 (Non-CHG)</v>
      </c>
      <c r="Y90" s="61"/>
      <c r="Z90" s="151">
        <v>0</v>
      </c>
      <c r="AA90" s="93">
        <f t="shared" si="29"/>
        <v>0</v>
      </c>
      <c r="AB90" s="9"/>
      <c r="AC90" s="83"/>
    </row>
    <row r="91" spans="2:29" ht="17" thickTop="1" thickBot="1" x14ac:dyDescent="0.25">
      <c r="B91" s="83"/>
      <c r="D91" s="56" t="str">
        <f t="shared" si="20"/>
        <v>Transition Probability from state 1 to state 3 on day 17 (Non-CHG)</v>
      </c>
      <c r="E91" s="61"/>
      <c r="F91" s="151"/>
      <c r="G91" s="93">
        <f t="shared" si="21"/>
        <v>0</v>
      </c>
      <c r="I91" s="56" t="str">
        <f t="shared" si="22"/>
        <v>Transition Probability from state 2 to state 3 on day 17 (Non-CHG)</v>
      </c>
      <c r="J91" s="61"/>
      <c r="K91" s="151">
        <v>0</v>
      </c>
      <c r="L91" s="93">
        <f t="shared" si="23"/>
        <v>0</v>
      </c>
      <c r="N91" s="56" t="str">
        <f t="shared" si="24"/>
        <v>Transition Probability from state 3 to state 3 on day 17 (Non-CHG)</v>
      </c>
      <c r="O91" s="61"/>
      <c r="P91" s="151">
        <v>0</v>
      </c>
      <c r="Q91" s="93">
        <f t="shared" si="25"/>
        <v>0</v>
      </c>
      <c r="R91" s="69"/>
      <c r="S91" s="56" t="str">
        <f t="shared" si="26"/>
        <v>Transition Probability from state 4 to state 3 on day 17 Non-CHG)</v>
      </c>
      <c r="T91" s="61"/>
      <c r="U91" s="151">
        <v>0</v>
      </c>
      <c r="V91" s="93">
        <f t="shared" si="27"/>
        <v>0</v>
      </c>
      <c r="W91" s="69"/>
      <c r="X91" s="56" t="str">
        <f t="shared" si="28"/>
        <v>Transition Probability from state 6 to state 3 on day 17 (Non-CHG)</v>
      </c>
      <c r="Y91" s="61"/>
      <c r="Z91" s="151">
        <v>0</v>
      </c>
      <c r="AA91" s="93">
        <f t="shared" si="29"/>
        <v>0</v>
      </c>
      <c r="AB91" s="9"/>
      <c r="AC91" s="83"/>
    </row>
    <row r="92" spans="2:29" ht="17" thickTop="1" thickBot="1" x14ac:dyDescent="0.25">
      <c r="B92" s="83"/>
      <c r="D92" s="56" t="str">
        <f t="shared" si="20"/>
        <v>Transition Probability from state 1 to state 3 on day 18 (Non-CHG)</v>
      </c>
      <c r="E92" s="61"/>
      <c r="F92" s="151"/>
      <c r="G92" s="93">
        <f t="shared" si="21"/>
        <v>0</v>
      </c>
      <c r="I92" s="56" t="str">
        <f t="shared" si="22"/>
        <v>Transition Probability from state 2 to state 3 on day 18 (Non-CHG)</v>
      </c>
      <c r="J92" s="61"/>
      <c r="K92" s="151">
        <v>0</v>
      </c>
      <c r="L92" s="93">
        <f t="shared" si="23"/>
        <v>0</v>
      </c>
      <c r="N92" s="56" t="str">
        <f t="shared" si="24"/>
        <v>Transition Probability from state 3 to state 3 on day 18 (Non-CHG)</v>
      </c>
      <c r="O92" s="61"/>
      <c r="P92" s="151">
        <v>0</v>
      </c>
      <c r="Q92" s="93">
        <f t="shared" si="25"/>
        <v>0</v>
      </c>
      <c r="R92" s="69"/>
      <c r="S92" s="56" t="str">
        <f t="shared" si="26"/>
        <v>Transition Probability from state 4 to state 3 on day 18 Non-CHG)</v>
      </c>
      <c r="T92" s="61"/>
      <c r="U92" s="151">
        <v>0</v>
      </c>
      <c r="V92" s="93">
        <f t="shared" si="27"/>
        <v>0</v>
      </c>
      <c r="W92" s="69"/>
      <c r="X92" s="56" t="str">
        <f t="shared" si="28"/>
        <v>Transition Probability from state 6 to state 3 on day 18 (Non-CHG)</v>
      </c>
      <c r="Y92" s="61"/>
      <c r="Z92" s="151">
        <v>0</v>
      </c>
      <c r="AA92" s="93">
        <f t="shared" si="29"/>
        <v>0</v>
      </c>
      <c r="AB92" s="9"/>
      <c r="AC92" s="83"/>
    </row>
    <row r="93" spans="2:29" ht="17" thickTop="1" thickBot="1" x14ac:dyDescent="0.25">
      <c r="B93" s="83"/>
      <c r="D93" s="56" t="str">
        <f t="shared" si="20"/>
        <v>Transition Probability from state 1 to state 3 on day 19 (Non-CHG)</v>
      </c>
      <c r="E93" s="61"/>
      <c r="F93" s="151"/>
      <c r="G93" s="93">
        <f t="shared" si="21"/>
        <v>0</v>
      </c>
      <c r="I93" s="56" t="str">
        <f t="shared" si="22"/>
        <v>Transition Probability from state 2 to state 3 on day 19 (Non-CHG)</v>
      </c>
      <c r="J93" s="61"/>
      <c r="K93" s="151">
        <v>0</v>
      </c>
      <c r="L93" s="93">
        <f t="shared" si="23"/>
        <v>0</v>
      </c>
      <c r="N93" s="56" t="str">
        <f t="shared" si="24"/>
        <v>Transition Probability from state 3 to state 3 on day 19 (Non-CHG)</v>
      </c>
      <c r="O93" s="61"/>
      <c r="P93" s="151">
        <v>0</v>
      </c>
      <c r="Q93" s="93">
        <f t="shared" si="25"/>
        <v>0</v>
      </c>
      <c r="R93" s="69"/>
      <c r="S93" s="56" t="str">
        <f t="shared" si="26"/>
        <v>Transition Probability from state 4 to state 3 on day 19 Non-CHG)</v>
      </c>
      <c r="T93" s="61"/>
      <c r="U93" s="151">
        <v>0</v>
      </c>
      <c r="V93" s="93">
        <f t="shared" si="27"/>
        <v>0</v>
      </c>
      <c r="W93" s="69"/>
      <c r="X93" s="56" t="str">
        <f t="shared" si="28"/>
        <v>Transition Probability from state 6 to state 3 on day 19 (Non-CHG)</v>
      </c>
      <c r="Y93" s="61"/>
      <c r="Z93" s="151">
        <v>0</v>
      </c>
      <c r="AA93" s="93">
        <f t="shared" si="29"/>
        <v>0</v>
      </c>
      <c r="AB93" s="9"/>
      <c r="AC93" s="83"/>
    </row>
    <row r="94" spans="2:29" ht="17" thickTop="1" thickBot="1" x14ac:dyDescent="0.25">
      <c r="B94" s="83"/>
      <c r="D94" s="56" t="str">
        <f t="shared" si="20"/>
        <v>Transition Probability from state 1 to state 3 on day 20 (Non-CHG)</v>
      </c>
      <c r="E94" s="61"/>
      <c r="F94" s="151"/>
      <c r="G94" s="93">
        <f t="shared" si="21"/>
        <v>0</v>
      </c>
      <c r="I94" s="56" t="str">
        <f t="shared" si="22"/>
        <v>Transition Probability from state 2 to state 3 on day 20 (Non-CHG)</v>
      </c>
      <c r="J94" s="61"/>
      <c r="K94" s="151">
        <v>0</v>
      </c>
      <c r="L94" s="93">
        <f t="shared" si="23"/>
        <v>0</v>
      </c>
      <c r="N94" s="56" t="str">
        <f t="shared" si="24"/>
        <v>Transition Probability from state 3 to state 3 on day 20 (Non-CHG)</v>
      </c>
      <c r="O94" s="61"/>
      <c r="P94" s="151">
        <v>0</v>
      </c>
      <c r="Q94" s="93">
        <f t="shared" si="25"/>
        <v>0</v>
      </c>
      <c r="R94" s="69"/>
      <c r="S94" s="56" t="str">
        <f t="shared" si="26"/>
        <v>Transition Probability from state 4 to state 3 on day 20 Non-CHG)</v>
      </c>
      <c r="T94" s="61"/>
      <c r="U94" s="151">
        <v>0</v>
      </c>
      <c r="V94" s="93">
        <f t="shared" si="27"/>
        <v>0</v>
      </c>
      <c r="W94" s="69"/>
      <c r="X94" s="56" t="str">
        <f t="shared" si="28"/>
        <v>Transition Probability from state 6 to state 3 on day 20 (Non-CHG)</v>
      </c>
      <c r="Y94" s="61"/>
      <c r="Z94" s="151">
        <v>0</v>
      </c>
      <c r="AA94" s="93">
        <f t="shared" si="29"/>
        <v>0</v>
      </c>
      <c r="AB94" s="9"/>
      <c r="AC94" s="83"/>
    </row>
    <row r="95" spans="2:29" ht="17" thickTop="1" thickBot="1" x14ac:dyDescent="0.25">
      <c r="B95" s="83"/>
      <c r="D95" s="56" t="str">
        <f t="shared" si="20"/>
        <v>Transition Probability from state 1 to state 3 on day 21 (Non-CHG)</v>
      </c>
      <c r="E95" s="61"/>
      <c r="F95" s="151"/>
      <c r="G95" s="93">
        <f t="shared" si="21"/>
        <v>0</v>
      </c>
      <c r="I95" s="56" t="str">
        <f t="shared" si="22"/>
        <v>Transition Probability from state 2 to state 3 on day 21 (Non-CHG)</v>
      </c>
      <c r="J95" s="61"/>
      <c r="K95" s="151">
        <v>0</v>
      </c>
      <c r="L95" s="93">
        <f t="shared" si="23"/>
        <v>0</v>
      </c>
      <c r="N95" s="56" t="str">
        <f t="shared" si="24"/>
        <v>Transition Probability from state 3 to state 3 on day 21 (Non-CHG)</v>
      </c>
      <c r="O95" s="61"/>
      <c r="P95" s="151">
        <v>0</v>
      </c>
      <c r="Q95" s="93">
        <f t="shared" si="25"/>
        <v>0</v>
      </c>
      <c r="R95" s="69"/>
      <c r="S95" s="56" t="str">
        <f t="shared" si="26"/>
        <v>Transition Probability from state 4 to state 3 on day 21 Non-CHG)</v>
      </c>
      <c r="T95" s="61"/>
      <c r="U95" s="151">
        <v>0</v>
      </c>
      <c r="V95" s="93">
        <f t="shared" si="27"/>
        <v>0</v>
      </c>
      <c r="W95" s="69"/>
      <c r="X95" s="56" t="str">
        <f t="shared" si="28"/>
        <v>Transition Probability from state 6 to state 3 on day 21 (Non-CHG)</v>
      </c>
      <c r="Y95" s="61"/>
      <c r="Z95" s="151">
        <v>0</v>
      </c>
      <c r="AA95" s="93">
        <f t="shared" si="29"/>
        <v>0</v>
      </c>
      <c r="AB95" s="9"/>
      <c r="AC95" s="83"/>
    </row>
    <row r="96" spans="2:29" ht="17" thickTop="1" thickBot="1" x14ac:dyDescent="0.25">
      <c r="B96" s="83"/>
      <c r="D96" s="56" t="str">
        <f t="shared" si="20"/>
        <v>Transition Probability from state 1 to state 3 on day 22 (Non-CHG)</v>
      </c>
      <c r="E96" s="61"/>
      <c r="F96" s="151">
        <v>5.1813471502590676E-3</v>
      </c>
      <c r="G96" s="93">
        <f t="shared" si="21"/>
        <v>5.1813471502590676E-3</v>
      </c>
      <c r="I96" s="56" t="str">
        <f t="shared" si="22"/>
        <v>Transition Probability from state 2 to state 3 on day 22 (Non-CHG)</v>
      </c>
      <c r="J96" s="61"/>
      <c r="K96" s="151">
        <v>0</v>
      </c>
      <c r="L96" s="93">
        <f t="shared" si="23"/>
        <v>0</v>
      </c>
      <c r="N96" s="56" t="str">
        <f t="shared" si="24"/>
        <v>Transition Probability from state 3 to state 3 on day 22 (Non-CHG)</v>
      </c>
      <c r="O96" s="61"/>
      <c r="P96" s="151">
        <v>0</v>
      </c>
      <c r="Q96" s="93">
        <f t="shared" si="25"/>
        <v>0</v>
      </c>
      <c r="R96" s="69"/>
      <c r="S96" s="56" t="str">
        <f t="shared" si="26"/>
        <v>Transition Probability from state 4 to state 3 on day 22 Non-CHG)</v>
      </c>
      <c r="T96" s="61"/>
      <c r="U96" s="151">
        <v>0</v>
      </c>
      <c r="V96" s="93">
        <f t="shared" si="27"/>
        <v>0</v>
      </c>
      <c r="W96" s="69"/>
      <c r="X96" s="56" t="str">
        <f t="shared" si="28"/>
        <v>Transition Probability from state 6 to state 3 on day 22 (Non-CHG)</v>
      </c>
      <c r="Y96" s="61"/>
      <c r="Z96" s="151">
        <v>0</v>
      </c>
      <c r="AA96" s="93">
        <f t="shared" si="29"/>
        <v>0</v>
      </c>
      <c r="AB96" s="9"/>
      <c r="AC96" s="83"/>
    </row>
    <row r="97" spans="2:29" ht="17" thickTop="1" thickBot="1" x14ac:dyDescent="0.25">
      <c r="B97" s="83"/>
      <c r="D97" s="56" t="str">
        <f t="shared" si="20"/>
        <v>Transition Probability from state 1 to state 3 on day 23 (Non-CHG)</v>
      </c>
      <c r="E97" s="61"/>
      <c r="F97" s="151"/>
      <c r="G97" s="93">
        <f t="shared" si="21"/>
        <v>0</v>
      </c>
      <c r="I97" s="56" t="str">
        <f t="shared" si="22"/>
        <v>Transition Probability from state 2 to state 3 on day 23 (Non-CHG)</v>
      </c>
      <c r="J97" s="61"/>
      <c r="K97" s="151">
        <v>0</v>
      </c>
      <c r="L97" s="93">
        <f t="shared" si="23"/>
        <v>0</v>
      </c>
      <c r="N97" s="56" t="str">
        <f t="shared" si="24"/>
        <v>Transition Probability from state 3 to state 3 on day 23 (Non-CHG)</v>
      </c>
      <c r="O97" s="61"/>
      <c r="P97" s="151">
        <v>0</v>
      </c>
      <c r="Q97" s="93">
        <f t="shared" si="25"/>
        <v>0</v>
      </c>
      <c r="R97" s="69"/>
      <c r="S97" s="56" t="str">
        <f t="shared" si="26"/>
        <v>Transition Probability from state 4 to state 3 on day 23 Non-CHG)</v>
      </c>
      <c r="T97" s="61"/>
      <c r="U97" s="151">
        <v>0</v>
      </c>
      <c r="V97" s="93">
        <f t="shared" si="27"/>
        <v>0</v>
      </c>
      <c r="W97" s="69"/>
      <c r="X97" s="56" t="str">
        <f t="shared" si="28"/>
        <v>Transition Probability from state 6 to state 3 on day 23 (Non-CHG)</v>
      </c>
      <c r="Y97" s="61"/>
      <c r="Z97" s="151">
        <v>0</v>
      </c>
      <c r="AA97" s="93">
        <f t="shared" si="29"/>
        <v>0</v>
      </c>
      <c r="AB97" s="9"/>
      <c r="AC97" s="83"/>
    </row>
    <row r="98" spans="2:29" ht="17" thickTop="1" thickBot="1" x14ac:dyDescent="0.25">
      <c r="B98" s="83"/>
      <c r="D98" s="56" t="str">
        <f t="shared" si="20"/>
        <v>Transition Probability from state 1 to state 3 on day 24 (Non-CHG)</v>
      </c>
      <c r="E98" s="61"/>
      <c r="F98" s="151"/>
      <c r="G98" s="93">
        <f t="shared" si="21"/>
        <v>0</v>
      </c>
      <c r="I98" s="56" t="str">
        <f t="shared" si="22"/>
        <v>Transition Probability from state 2 to state 3 on day 24 (Non-CHG)</v>
      </c>
      <c r="J98" s="61"/>
      <c r="K98" s="151">
        <v>0</v>
      </c>
      <c r="L98" s="93">
        <f t="shared" si="23"/>
        <v>0</v>
      </c>
      <c r="N98" s="56" t="str">
        <f t="shared" si="24"/>
        <v>Transition Probability from state 3 to state 3 on day 24 (Non-CHG)</v>
      </c>
      <c r="O98" s="61"/>
      <c r="P98" s="151">
        <v>0</v>
      </c>
      <c r="Q98" s="93">
        <f t="shared" si="25"/>
        <v>0</v>
      </c>
      <c r="R98" s="69"/>
      <c r="S98" s="56" t="str">
        <f t="shared" si="26"/>
        <v>Transition Probability from state 4 to state 3 on day 24 Non-CHG)</v>
      </c>
      <c r="T98" s="61"/>
      <c r="U98" s="151">
        <v>0</v>
      </c>
      <c r="V98" s="93">
        <f t="shared" si="27"/>
        <v>0</v>
      </c>
      <c r="W98" s="69"/>
      <c r="X98" s="56" t="str">
        <f t="shared" si="28"/>
        <v>Transition Probability from state 6 to state 3 on day 24 (Non-CHG)</v>
      </c>
      <c r="Y98" s="61"/>
      <c r="Z98" s="151">
        <v>0</v>
      </c>
      <c r="AA98" s="93">
        <f t="shared" si="29"/>
        <v>0</v>
      </c>
      <c r="AB98" s="9"/>
      <c r="AC98" s="83"/>
    </row>
    <row r="99" spans="2:29" ht="17" thickTop="1" thickBot="1" x14ac:dyDescent="0.25">
      <c r="B99" s="83"/>
      <c r="D99" s="56" t="str">
        <f t="shared" si="20"/>
        <v>Transition Probability from state 1 to state 3 on day 25 (Non-CHG)</v>
      </c>
      <c r="E99" s="61"/>
      <c r="F99" s="151"/>
      <c r="G99" s="93">
        <f t="shared" si="21"/>
        <v>0</v>
      </c>
      <c r="I99" s="56" t="str">
        <f t="shared" si="22"/>
        <v>Transition Probability from state 2 to state 3 on day 25 (Non-CHG)</v>
      </c>
      <c r="J99" s="61"/>
      <c r="K99" s="151">
        <v>0</v>
      </c>
      <c r="L99" s="93">
        <f t="shared" si="23"/>
        <v>0</v>
      </c>
      <c r="N99" s="56" t="str">
        <f t="shared" si="24"/>
        <v>Transition Probability from state 3 to state 3 on day 25 (Non-CHG)</v>
      </c>
      <c r="O99" s="61"/>
      <c r="P99" s="151">
        <v>0</v>
      </c>
      <c r="Q99" s="93">
        <f t="shared" si="25"/>
        <v>0</v>
      </c>
      <c r="R99" s="69"/>
      <c r="S99" s="56" t="str">
        <f t="shared" si="26"/>
        <v>Transition Probability from state 4 to state 3 on day 25 Non-CHG)</v>
      </c>
      <c r="T99" s="61"/>
      <c r="U99" s="151">
        <v>0</v>
      </c>
      <c r="V99" s="93">
        <f t="shared" si="27"/>
        <v>0</v>
      </c>
      <c r="W99" s="69"/>
      <c r="X99" s="56" t="str">
        <f t="shared" si="28"/>
        <v>Transition Probability from state 6 to state 3 on day 25 (Non-CHG)</v>
      </c>
      <c r="Y99" s="61"/>
      <c r="Z99" s="151">
        <v>0</v>
      </c>
      <c r="AA99" s="93">
        <f t="shared" si="29"/>
        <v>0</v>
      </c>
      <c r="AB99" s="9"/>
      <c r="AC99" s="83"/>
    </row>
    <row r="100" spans="2:29" ht="17" thickTop="1" thickBot="1" x14ac:dyDescent="0.25">
      <c r="B100" s="83"/>
      <c r="D100" s="56" t="str">
        <f t="shared" si="20"/>
        <v>Transition Probability from state 1 to state 3 on day 26 (Non-CHG)</v>
      </c>
      <c r="E100" s="61"/>
      <c r="F100" s="151"/>
      <c r="G100" s="93">
        <f t="shared" si="21"/>
        <v>0</v>
      </c>
      <c r="I100" s="56" t="str">
        <f t="shared" si="22"/>
        <v>Transition Probability from state 2 to state 3 on day 26 (Non-CHG)</v>
      </c>
      <c r="J100" s="61"/>
      <c r="K100" s="151">
        <v>0</v>
      </c>
      <c r="L100" s="93">
        <f t="shared" si="23"/>
        <v>0</v>
      </c>
      <c r="N100" s="56" t="str">
        <f t="shared" si="24"/>
        <v>Transition Probability from state 3 to state 3 on day 26 (Non-CHG)</v>
      </c>
      <c r="O100" s="61"/>
      <c r="P100" s="151">
        <v>0</v>
      </c>
      <c r="Q100" s="93">
        <f t="shared" si="25"/>
        <v>0</v>
      </c>
      <c r="R100" s="69"/>
      <c r="S100" s="56" t="str">
        <f t="shared" si="26"/>
        <v>Transition Probability from state 4 to state 3 on day 26 Non-CHG)</v>
      </c>
      <c r="T100" s="61"/>
      <c r="U100" s="151">
        <v>0</v>
      </c>
      <c r="V100" s="93">
        <f t="shared" si="27"/>
        <v>0</v>
      </c>
      <c r="W100" s="69"/>
      <c r="X100" s="56" t="str">
        <f t="shared" si="28"/>
        <v>Transition Probability from state 6 to state 3 on day 26 (Non-CHG)</v>
      </c>
      <c r="Y100" s="61"/>
      <c r="Z100" s="151">
        <v>0</v>
      </c>
      <c r="AA100" s="93">
        <f t="shared" si="29"/>
        <v>0</v>
      </c>
      <c r="AB100" s="9"/>
      <c r="AC100" s="83"/>
    </row>
    <row r="101" spans="2:29" ht="17" thickTop="1" thickBot="1" x14ac:dyDescent="0.25">
      <c r="B101" s="83"/>
      <c r="D101" s="56" t="str">
        <f t="shared" si="20"/>
        <v>Transition Probability from state 1 to state 3 on day 27 (Non-CHG)</v>
      </c>
      <c r="E101" s="61"/>
      <c r="F101" s="151"/>
      <c r="G101" s="93">
        <f t="shared" si="21"/>
        <v>0</v>
      </c>
      <c r="I101" s="56" t="str">
        <f t="shared" si="22"/>
        <v>Transition Probability from state 2 to state 3 on day 27 (Non-CHG)</v>
      </c>
      <c r="J101" s="61"/>
      <c r="K101" s="151">
        <v>0</v>
      </c>
      <c r="L101" s="93">
        <f t="shared" si="23"/>
        <v>0</v>
      </c>
      <c r="N101" s="56" t="str">
        <f t="shared" si="24"/>
        <v>Transition Probability from state 3 to state 3 on day 27 (Non-CHG)</v>
      </c>
      <c r="O101" s="61"/>
      <c r="P101" s="151">
        <v>0</v>
      </c>
      <c r="Q101" s="93">
        <f t="shared" si="25"/>
        <v>0</v>
      </c>
      <c r="R101" s="69"/>
      <c r="S101" s="56" t="str">
        <f t="shared" si="26"/>
        <v>Transition Probability from state 4 to state 3 on day 27 Non-CHG)</v>
      </c>
      <c r="T101" s="61"/>
      <c r="U101" s="151">
        <v>0</v>
      </c>
      <c r="V101" s="93">
        <f t="shared" si="27"/>
        <v>0</v>
      </c>
      <c r="W101" s="69"/>
      <c r="X101" s="56" t="str">
        <f t="shared" si="28"/>
        <v>Transition Probability from state 6 to state 3 on day 27 (Non-CHG)</v>
      </c>
      <c r="Y101" s="61"/>
      <c r="Z101" s="151">
        <v>0</v>
      </c>
      <c r="AA101" s="93">
        <f t="shared" si="29"/>
        <v>0</v>
      </c>
      <c r="AB101" s="9"/>
      <c r="AC101" s="83"/>
    </row>
    <row r="102" spans="2:29" ht="17" thickTop="1" thickBot="1" x14ac:dyDescent="0.25">
      <c r="B102" s="83"/>
      <c r="D102" s="56" t="str">
        <f t="shared" si="20"/>
        <v>Transition Probability from state 1 to state 3 on day 28 (Non-CHG)</v>
      </c>
      <c r="E102" s="61"/>
      <c r="F102" s="151"/>
      <c r="G102" s="93">
        <f t="shared" si="21"/>
        <v>0</v>
      </c>
      <c r="I102" s="56" t="str">
        <f t="shared" si="22"/>
        <v>Transition Probability from state 2 to state 3 on day 28 (Non-CHG)</v>
      </c>
      <c r="J102" s="61"/>
      <c r="K102" s="151">
        <v>0</v>
      </c>
      <c r="L102" s="93">
        <f t="shared" si="23"/>
        <v>0</v>
      </c>
      <c r="N102" s="56" t="str">
        <f t="shared" si="24"/>
        <v>Transition Probability from state 3 to state 3 on day 28 (Non-CHG)</v>
      </c>
      <c r="O102" s="61"/>
      <c r="P102" s="151">
        <v>0</v>
      </c>
      <c r="Q102" s="93">
        <f t="shared" si="25"/>
        <v>0</v>
      </c>
      <c r="R102" s="69"/>
      <c r="S102" s="56" t="str">
        <f t="shared" si="26"/>
        <v>Transition Probability from state 4 to state 3 on day 28 Non-CHG)</v>
      </c>
      <c r="T102" s="61"/>
      <c r="U102" s="151">
        <v>0</v>
      </c>
      <c r="V102" s="93">
        <f t="shared" si="27"/>
        <v>0</v>
      </c>
      <c r="W102" s="69"/>
      <c r="X102" s="56" t="str">
        <f t="shared" si="28"/>
        <v>Transition Probability from state 6 to state 3 on day 28 (Non-CHG)</v>
      </c>
      <c r="Y102" s="61"/>
      <c r="Z102" s="151">
        <v>0</v>
      </c>
      <c r="AA102" s="93">
        <f t="shared" si="29"/>
        <v>0</v>
      </c>
      <c r="AB102" s="9"/>
      <c r="AC102" s="83"/>
    </row>
    <row r="103" spans="2:29" ht="17" thickTop="1" thickBot="1" x14ac:dyDescent="0.25">
      <c r="B103" s="83"/>
      <c r="D103" s="56" t="str">
        <f t="shared" si="20"/>
        <v>Transition Probability from state 1 to state 3 on day 29 (Non-CHG)</v>
      </c>
      <c r="E103" s="61"/>
      <c r="F103" s="151"/>
      <c r="G103" s="93">
        <f t="shared" si="21"/>
        <v>0</v>
      </c>
      <c r="I103" s="56" t="str">
        <f t="shared" si="22"/>
        <v>Transition Probability from state 2 to state 3 on day 29 (Non-CHG)</v>
      </c>
      <c r="J103" s="61"/>
      <c r="K103" s="151">
        <v>0</v>
      </c>
      <c r="L103" s="93">
        <f t="shared" si="23"/>
        <v>0</v>
      </c>
      <c r="N103" s="56" t="str">
        <f t="shared" si="24"/>
        <v>Transition Probability from state 3 to state 3 on day 29 (Non-CHG)</v>
      </c>
      <c r="O103" s="61"/>
      <c r="P103" s="151">
        <v>0</v>
      </c>
      <c r="Q103" s="93">
        <f t="shared" si="25"/>
        <v>0</v>
      </c>
      <c r="R103" s="69"/>
      <c r="S103" s="56" t="str">
        <f t="shared" si="26"/>
        <v>Transition Probability from state 4 to state 3 on day 29 Non-CHG)</v>
      </c>
      <c r="T103" s="61"/>
      <c r="U103" s="151">
        <v>0</v>
      </c>
      <c r="V103" s="93">
        <f t="shared" si="27"/>
        <v>0</v>
      </c>
      <c r="W103" s="69"/>
      <c r="X103" s="56" t="str">
        <f t="shared" si="28"/>
        <v>Transition Probability from state 6 to state 3 on day 29 (Non-CHG)</v>
      </c>
      <c r="Y103" s="61"/>
      <c r="Z103" s="151">
        <v>0</v>
      </c>
      <c r="AA103" s="93">
        <f t="shared" si="29"/>
        <v>0</v>
      </c>
      <c r="AB103" s="9"/>
      <c r="AC103" s="83"/>
    </row>
    <row r="104" spans="2:29" ht="17" thickTop="1" thickBot="1" x14ac:dyDescent="0.25">
      <c r="B104" s="83"/>
      <c r="D104" s="56" t="str">
        <f t="shared" si="20"/>
        <v>Transition Probability from state 1 to state 3 on day 30 (Non-CHG)</v>
      </c>
      <c r="E104" s="61"/>
      <c r="F104" s="151"/>
      <c r="G104" s="93">
        <f t="shared" si="21"/>
        <v>0</v>
      </c>
      <c r="I104" s="56" t="str">
        <f t="shared" si="22"/>
        <v>Transition Probability from state 2 to state 3 on day 30 (Non-CHG)</v>
      </c>
      <c r="J104" s="61"/>
      <c r="K104" s="151">
        <v>0</v>
      </c>
      <c r="L104" s="93">
        <f t="shared" si="23"/>
        <v>0</v>
      </c>
      <c r="N104" s="56" t="str">
        <f t="shared" si="24"/>
        <v>Transition Probability from state 3 to state 3 on day 30 (Non-CHG)</v>
      </c>
      <c r="O104" s="61"/>
      <c r="P104" s="151">
        <v>0</v>
      </c>
      <c r="Q104" s="93">
        <f t="shared" si="25"/>
        <v>0</v>
      </c>
      <c r="R104" s="69"/>
      <c r="S104" s="56" t="str">
        <f t="shared" si="26"/>
        <v>Transition Probability from state 4 to state 3 on day 30 Non-CHG)</v>
      </c>
      <c r="T104" s="61"/>
      <c r="U104" s="151">
        <v>0</v>
      </c>
      <c r="V104" s="93">
        <f t="shared" si="27"/>
        <v>0</v>
      </c>
      <c r="W104" s="69"/>
      <c r="X104" s="56" t="str">
        <f t="shared" si="28"/>
        <v>Transition Probability from state 6 to state 3 on day 30 (Non-CHG)</v>
      </c>
      <c r="Y104" s="61"/>
      <c r="Z104" s="151">
        <v>0</v>
      </c>
      <c r="AA104" s="93">
        <f t="shared" si="29"/>
        <v>0</v>
      </c>
      <c r="AB104" s="9"/>
      <c r="AC104" s="83"/>
    </row>
    <row r="105" spans="2:29" ht="16" thickTop="1" x14ac:dyDescent="0.2">
      <c r="B105" s="83"/>
      <c r="AB105" s="9"/>
      <c r="AC105" s="83"/>
    </row>
    <row r="106" spans="2:29" x14ac:dyDescent="0.2">
      <c r="B106" s="83"/>
      <c r="D106" s="231" t="s">
        <v>187</v>
      </c>
      <c r="E106" s="231"/>
      <c r="F106" s="231"/>
      <c r="G106" s="231"/>
      <c r="I106" s="231" t="s">
        <v>202</v>
      </c>
      <c r="J106" s="231"/>
      <c r="K106" s="231"/>
      <c r="L106" s="231"/>
      <c r="N106" s="231" t="s">
        <v>203</v>
      </c>
      <c r="O106" s="231"/>
      <c r="P106" s="231"/>
      <c r="Q106" s="231"/>
      <c r="S106" s="231" t="s">
        <v>204</v>
      </c>
      <c r="T106" s="231"/>
      <c r="U106" s="231"/>
      <c r="V106" s="231"/>
      <c r="X106" s="231" t="s">
        <v>205</v>
      </c>
      <c r="Y106" s="231"/>
      <c r="Z106" s="231"/>
      <c r="AA106" s="231"/>
      <c r="AB106" s="9"/>
      <c r="AC106" s="83"/>
    </row>
    <row r="107" spans="2:29" ht="16" thickBot="1" x14ac:dyDescent="0.25">
      <c r="B107" s="83"/>
      <c r="D107" s="195" t="str">
        <f>"Transition Probability from state 1 to state 4 on day"&amp; " "&amp;C11&amp;" "&amp;"(Non-CHG)"</f>
        <v>Transition Probability from state 1 to state 4 on day 1 (Non-CHG)</v>
      </c>
      <c r="E107" s="196"/>
      <c r="F107" s="197"/>
      <c r="G107" s="198">
        <f>IF(E107="",F107,E107)</f>
        <v>0</v>
      </c>
      <c r="I107" s="195" t="str">
        <f>"Transition Probability from state 2 to state 4 on day"&amp; " "&amp;C11&amp;" "&amp;"(Non-CHG)"</f>
        <v>Transition Probability from state 2 to state 4 on day 1 (Non-CHG)</v>
      </c>
      <c r="J107" s="196"/>
      <c r="K107" s="197">
        <v>0</v>
      </c>
      <c r="L107" s="198">
        <f>IF(J107="",K107,J107)</f>
        <v>0</v>
      </c>
      <c r="N107" s="195" t="str">
        <f>"Transition Probability from state 3 to state 4 on day"&amp; " "&amp;C11&amp;" "&amp;"(Non-CHG)"</f>
        <v>Transition Probability from state 3 to state 4 on day 1 (Non-CHG)</v>
      </c>
      <c r="O107" s="196"/>
      <c r="P107" s="197">
        <v>0</v>
      </c>
      <c r="Q107" s="198">
        <f>IF(O107="",P107,O107)</f>
        <v>0</v>
      </c>
      <c r="S107" s="195" t="str">
        <f>"Transition Probability from state 4 to state 4 on day"&amp; " "&amp;C11&amp;" "&amp;"(Non-CHG)"</f>
        <v>Transition Probability from state 4 to state 4 on day 1 (Non-CHG)</v>
      </c>
      <c r="T107" s="199"/>
      <c r="U107" s="197">
        <v>0</v>
      </c>
      <c r="V107" s="198">
        <f>IF(T107="",U107,T107)</f>
        <v>0</v>
      </c>
      <c r="X107" s="195" t="str">
        <f>"Transition Probability from state 6 to state 4 on day"&amp; " "&amp;C11&amp;" "&amp;"(Non-CHG)"</f>
        <v>Transition Probability from state 6 to state 4 on day 1 (Non-CHG)</v>
      </c>
      <c r="Y107" s="199"/>
      <c r="Z107" s="197">
        <v>0</v>
      </c>
      <c r="AA107" s="198">
        <f>IF(Y107="",Z107,Y107)</f>
        <v>0</v>
      </c>
      <c r="AB107" s="9"/>
      <c r="AC107" s="83"/>
    </row>
    <row r="108" spans="2:29" ht="17" thickTop="1" thickBot="1" x14ac:dyDescent="0.25">
      <c r="B108" s="83"/>
      <c r="D108" s="56" t="str">
        <f t="shared" ref="D108:D136" si="30">"Transition Probability from state 1 to state 4 on day"&amp; " "&amp;C12&amp;" "&amp;"(Non-CHG)"</f>
        <v>Transition Probability from state 1 to state 4 on day 2 (Non-CHG)</v>
      </c>
      <c r="E108" s="61"/>
      <c r="F108" s="151"/>
      <c r="G108" s="93">
        <f t="shared" ref="G108:G136" si="31">IF(E108="",F108,E108)</f>
        <v>0</v>
      </c>
      <c r="I108" s="56" t="str">
        <f t="shared" ref="I108:I136" si="32">"Transition Probability from state 2 to state 4 on day"&amp; " "&amp;C12&amp;" "&amp;"(Non-CHG)"</f>
        <v>Transition Probability from state 2 to state 4 on day 2 (Non-CHG)</v>
      </c>
      <c r="J108" s="61"/>
      <c r="K108" s="151">
        <v>0</v>
      </c>
      <c r="L108" s="93">
        <f t="shared" ref="L108:L136" si="33">IF(J108="",K108,J108)</f>
        <v>0</v>
      </c>
      <c r="N108" s="56" t="str">
        <f t="shared" ref="N108:N136" si="34">"Transition Probability from state 3 to state 4 on day"&amp; " "&amp;C12&amp;" "&amp;"(Non-CHG)"</f>
        <v>Transition Probability from state 3 to state 4 on day 2 (Non-CHG)</v>
      </c>
      <c r="O108" s="61"/>
      <c r="P108" s="151">
        <v>0</v>
      </c>
      <c r="Q108" s="93">
        <f t="shared" ref="Q108:Q136" si="35">IF(O108="",P108,O108)</f>
        <v>0</v>
      </c>
      <c r="S108" s="56" t="str">
        <f t="shared" ref="S108:S136" si="36">"Transition Probability from state 4 to state 4 on day"&amp; " "&amp;C12&amp;" "&amp;"(Non-CHG)"</f>
        <v>Transition Probability from state 4 to state 4 on day 2 (Non-CHG)</v>
      </c>
      <c r="T108" s="150"/>
      <c r="U108" s="151">
        <v>0</v>
      </c>
      <c r="V108" s="93">
        <f t="shared" ref="V108:V136" si="37">IF(T108="",U108,T108)</f>
        <v>0</v>
      </c>
      <c r="X108" s="56" t="str">
        <f t="shared" ref="X108:X136" si="38">"Transition Probability from state 6 to state 4 on day"&amp; " "&amp;C12&amp;" "&amp;"(Non-CHG)"</f>
        <v>Transition Probability from state 6 to state 4 on day 2 (Non-CHG)</v>
      </c>
      <c r="Y108" s="150"/>
      <c r="Z108" s="151">
        <v>0</v>
      </c>
      <c r="AA108" s="93">
        <f t="shared" ref="AA108:AA136" si="39">IF(Y108="",Z108,Y108)</f>
        <v>0</v>
      </c>
      <c r="AB108" s="9"/>
      <c r="AC108" s="83"/>
    </row>
    <row r="109" spans="2:29" ht="17" thickTop="1" thickBot="1" x14ac:dyDescent="0.25">
      <c r="B109" s="83"/>
      <c r="D109" s="56" t="str">
        <f t="shared" si="30"/>
        <v>Transition Probability from state 1 to state 4 on day 3 (Non-CHG)</v>
      </c>
      <c r="E109" s="61"/>
      <c r="F109" s="151"/>
      <c r="G109" s="93">
        <f t="shared" si="31"/>
        <v>0</v>
      </c>
      <c r="I109" s="56" t="str">
        <f t="shared" si="32"/>
        <v>Transition Probability from state 2 to state 4 on day 3 (Non-CHG)</v>
      </c>
      <c r="J109" s="61"/>
      <c r="K109" s="151">
        <v>0</v>
      </c>
      <c r="L109" s="93">
        <f t="shared" si="33"/>
        <v>0</v>
      </c>
      <c r="N109" s="56" t="str">
        <f t="shared" si="34"/>
        <v>Transition Probability from state 3 to state 4 on day 3 (Non-CHG)</v>
      </c>
      <c r="O109" s="61"/>
      <c r="P109" s="151">
        <v>0</v>
      </c>
      <c r="Q109" s="93">
        <f t="shared" si="35"/>
        <v>0</v>
      </c>
      <c r="S109" s="56" t="str">
        <f t="shared" si="36"/>
        <v>Transition Probability from state 4 to state 4 on day 3 (Non-CHG)</v>
      </c>
      <c r="T109" s="150"/>
      <c r="U109" s="151">
        <v>0</v>
      </c>
      <c r="V109" s="93">
        <f t="shared" si="37"/>
        <v>0</v>
      </c>
      <c r="X109" s="56" t="str">
        <f t="shared" si="38"/>
        <v>Transition Probability from state 6 to state 4 on day 3 (Non-CHG)</v>
      </c>
      <c r="Y109" s="150"/>
      <c r="Z109" s="151">
        <v>0</v>
      </c>
      <c r="AA109" s="93">
        <f t="shared" si="39"/>
        <v>0</v>
      </c>
      <c r="AB109" s="9"/>
      <c r="AC109" s="83"/>
    </row>
    <row r="110" spans="2:29" ht="17" thickTop="1" thickBot="1" x14ac:dyDescent="0.25">
      <c r="B110" s="83"/>
      <c r="D110" s="56" t="str">
        <f t="shared" si="30"/>
        <v>Transition Probability from state 1 to state 4 on day 4 (Non-CHG)</v>
      </c>
      <c r="E110" s="61"/>
      <c r="F110" s="151"/>
      <c r="G110" s="93">
        <f t="shared" si="31"/>
        <v>0</v>
      </c>
      <c r="I110" s="56" t="str">
        <f t="shared" si="32"/>
        <v>Transition Probability from state 2 to state 4 on day 4 (Non-CHG)</v>
      </c>
      <c r="J110" s="61"/>
      <c r="K110" s="151">
        <v>0</v>
      </c>
      <c r="L110" s="93">
        <f t="shared" si="33"/>
        <v>0</v>
      </c>
      <c r="N110" s="56" t="str">
        <f t="shared" si="34"/>
        <v>Transition Probability from state 3 to state 4 on day 4 (Non-CHG)</v>
      </c>
      <c r="O110" s="61"/>
      <c r="P110" s="151">
        <v>0</v>
      </c>
      <c r="Q110" s="93">
        <f t="shared" si="35"/>
        <v>0</v>
      </c>
      <c r="S110" s="56" t="str">
        <f t="shared" si="36"/>
        <v>Transition Probability from state 4 to state 4 on day 4 (Non-CHG)</v>
      </c>
      <c r="T110" s="150"/>
      <c r="U110" s="151">
        <v>0</v>
      </c>
      <c r="V110" s="93">
        <f t="shared" si="37"/>
        <v>0</v>
      </c>
      <c r="X110" s="56" t="str">
        <f t="shared" si="38"/>
        <v>Transition Probability from state 6 to state 4 on day 4 (Non-CHG)</v>
      </c>
      <c r="Y110" s="150"/>
      <c r="Z110" s="151">
        <v>0</v>
      </c>
      <c r="AA110" s="93">
        <f t="shared" si="39"/>
        <v>0</v>
      </c>
      <c r="AB110" s="9"/>
      <c r="AC110" s="83"/>
    </row>
    <row r="111" spans="2:29" ht="17" thickTop="1" thickBot="1" x14ac:dyDescent="0.25">
      <c r="B111" s="83"/>
      <c r="D111" s="56" t="str">
        <f t="shared" si="30"/>
        <v>Transition Probability from state 1 to state 4 on day 5 (Non-CHG)</v>
      </c>
      <c r="E111" s="61"/>
      <c r="F111" s="151"/>
      <c r="G111" s="93">
        <f t="shared" si="31"/>
        <v>0</v>
      </c>
      <c r="I111" s="56" t="str">
        <f t="shared" si="32"/>
        <v>Transition Probability from state 2 to state 4 on day 5 (Non-CHG)</v>
      </c>
      <c r="J111" s="61"/>
      <c r="K111" s="151">
        <v>0</v>
      </c>
      <c r="L111" s="93">
        <f t="shared" si="33"/>
        <v>0</v>
      </c>
      <c r="N111" s="56" t="str">
        <f t="shared" si="34"/>
        <v>Transition Probability from state 3 to state 4 on day 5 (Non-CHG)</v>
      </c>
      <c r="O111" s="61"/>
      <c r="P111" s="151">
        <v>0</v>
      </c>
      <c r="Q111" s="93">
        <f t="shared" si="35"/>
        <v>0</v>
      </c>
      <c r="S111" s="56" t="str">
        <f t="shared" si="36"/>
        <v>Transition Probability from state 4 to state 4 on day 5 (Non-CHG)</v>
      </c>
      <c r="T111" s="150"/>
      <c r="U111" s="151">
        <v>0</v>
      </c>
      <c r="V111" s="93">
        <f t="shared" si="37"/>
        <v>0</v>
      </c>
      <c r="X111" s="56" t="str">
        <f t="shared" si="38"/>
        <v>Transition Probability from state 6 to state 4 on day 5 (Non-CHG)</v>
      </c>
      <c r="Y111" s="150"/>
      <c r="Z111" s="151">
        <v>0</v>
      </c>
      <c r="AA111" s="93">
        <f t="shared" si="39"/>
        <v>0</v>
      </c>
      <c r="AB111" s="9"/>
      <c r="AC111" s="83"/>
    </row>
    <row r="112" spans="2:29" ht="17" thickTop="1" thickBot="1" x14ac:dyDescent="0.25">
      <c r="B112" s="83"/>
      <c r="D112" s="56" t="str">
        <f t="shared" si="30"/>
        <v>Transition Probability from state 1 to state 4 on day 6 (Non-CHG)</v>
      </c>
      <c r="E112" s="61"/>
      <c r="F112" s="151">
        <v>1.5432098765432098E-3</v>
      </c>
      <c r="G112" s="93">
        <f t="shared" si="31"/>
        <v>1.5432098765432098E-3</v>
      </c>
      <c r="I112" s="56" t="str">
        <f t="shared" si="32"/>
        <v>Transition Probability from state 2 to state 4 on day 6 (Non-CHG)</v>
      </c>
      <c r="J112" s="61"/>
      <c r="K112" s="151">
        <v>0</v>
      </c>
      <c r="L112" s="93">
        <f t="shared" si="33"/>
        <v>0</v>
      </c>
      <c r="N112" s="56" t="str">
        <f t="shared" si="34"/>
        <v>Transition Probability from state 3 to state 4 on day 6 (Non-CHG)</v>
      </c>
      <c r="O112" s="61"/>
      <c r="P112" s="151">
        <v>0</v>
      </c>
      <c r="Q112" s="93">
        <f t="shared" si="35"/>
        <v>0</v>
      </c>
      <c r="S112" s="56" t="str">
        <f t="shared" si="36"/>
        <v>Transition Probability from state 4 to state 4 on day 6 (Non-CHG)</v>
      </c>
      <c r="T112" s="150"/>
      <c r="U112" s="151">
        <v>0</v>
      </c>
      <c r="V112" s="93">
        <f t="shared" si="37"/>
        <v>0</v>
      </c>
      <c r="X112" s="56" t="str">
        <f t="shared" si="38"/>
        <v>Transition Probability from state 6 to state 4 on day 6 (Non-CHG)</v>
      </c>
      <c r="Y112" s="150"/>
      <c r="Z112" s="151">
        <v>0</v>
      </c>
      <c r="AA112" s="93">
        <f t="shared" si="39"/>
        <v>0</v>
      </c>
      <c r="AB112" s="9"/>
      <c r="AC112" s="83"/>
    </row>
    <row r="113" spans="2:29" ht="17" thickTop="1" thickBot="1" x14ac:dyDescent="0.25">
      <c r="B113" s="83"/>
      <c r="D113" s="56" t="str">
        <f t="shared" si="30"/>
        <v>Transition Probability from state 1 to state 4 on day 7 (Non-CHG)</v>
      </c>
      <c r="E113" s="61"/>
      <c r="F113" s="151">
        <v>1.7391304347826088E-3</v>
      </c>
      <c r="G113" s="93">
        <f t="shared" si="31"/>
        <v>1.7391304347826088E-3</v>
      </c>
      <c r="I113" s="56" t="str">
        <f t="shared" si="32"/>
        <v>Transition Probability from state 2 to state 4 on day 7 (Non-CHG)</v>
      </c>
      <c r="J113" s="61"/>
      <c r="K113" s="151">
        <v>0</v>
      </c>
      <c r="L113" s="93">
        <f t="shared" si="33"/>
        <v>0</v>
      </c>
      <c r="N113" s="56" t="str">
        <f t="shared" si="34"/>
        <v>Transition Probability from state 3 to state 4 on day 7 (Non-CHG)</v>
      </c>
      <c r="O113" s="61"/>
      <c r="P113" s="151">
        <v>0</v>
      </c>
      <c r="Q113" s="93">
        <f t="shared" si="35"/>
        <v>0</v>
      </c>
      <c r="S113" s="56" t="str">
        <f t="shared" si="36"/>
        <v>Transition Probability from state 4 to state 4 on day 7 (Non-CHG)</v>
      </c>
      <c r="T113" s="150"/>
      <c r="U113" s="151">
        <v>0</v>
      </c>
      <c r="V113" s="93">
        <f t="shared" si="37"/>
        <v>0</v>
      </c>
      <c r="X113" s="56" t="str">
        <f t="shared" si="38"/>
        <v>Transition Probability from state 6 to state 4 on day 7 (Non-CHG)</v>
      </c>
      <c r="Y113" s="150"/>
      <c r="Z113" s="151">
        <v>0</v>
      </c>
      <c r="AA113" s="93">
        <f t="shared" si="39"/>
        <v>0</v>
      </c>
      <c r="AB113" s="9"/>
      <c r="AC113" s="83"/>
    </row>
    <row r="114" spans="2:29" ht="17" thickTop="1" thickBot="1" x14ac:dyDescent="0.25">
      <c r="B114" s="83"/>
      <c r="D114" s="56" t="str">
        <f t="shared" si="30"/>
        <v>Transition Probability from state 1 to state 4 on day 8 (Non-CHG)</v>
      </c>
      <c r="E114" s="61"/>
      <c r="F114" s="151"/>
      <c r="G114" s="93">
        <f t="shared" si="31"/>
        <v>0</v>
      </c>
      <c r="I114" s="56" t="str">
        <f t="shared" si="32"/>
        <v>Transition Probability from state 2 to state 4 on day 8 (Non-CHG)</v>
      </c>
      <c r="J114" s="61"/>
      <c r="K114" s="151">
        <v>0</v>
      </c>
      <c r="L114" s="93">
        <f t="shared" si="33"/>
        <v>0</v>
      </c>
      <c r="N114" s="56" t="str">
        <f t="shared" si="34"/>
        <v>Transition Probability from state 3 to state 4 on day 8 (Non-CHG)</v>
      </c>
      <c r="O114" s="61"/>
      <c r="P114" s="151">
        <v>0</v>
      </c>
      <c r="Q114" s="93">
        <f t="shared" si="35"/>
        <v>0</v>
      </c>
      <c r="S114" s="56" t="str">
        <f t="shared" si="36"/>
        <v>Transition Probability from state 4 to state 4 on day 8 (Non-CHG)</v>
      </c>
      <c r="T114" s="150"/>
      <c r="U114" s="151">
        <v>0</v>
      </c>
      <c r="V114" s="93">
        <f t="shared" si="37"/>
        <v>0</v>
      </c>
      <c r="X114" s="56" t="str">
        <f t="shared" si="38"/>
        <v>Transition Probability from state 6 to state 4 on day 8 (Non-CHG)</v>
      </c>
      <c r="Y114" s="150"/>
      <c r="Z114" s="151">
        <v>0</v>
      </c>
      <c r="AA114" s="93">
        <f t="shared" si="39"/>
        <v>0</v>
      </c>
      <c r="AB114" s="9"/>
      <c r="AC114" s="83"/>
    </row>
    <row r="115" spans="2:29" ht="17" thickTop="1" thickBot="1" x14ac:dyDescent="0.25">
      <c r="B115" s="83"/>
      <c r="D115" s="56" t="str">
        <f t="shared" si="30"/>
        <v>Transition Probability from state 1 to state 4 on day 9 (Non-CHG)</v>
      </c>
      <c r="E115" s="61"/>
      <c r="F115" s="151">
        <v>2.0876826722338203E-3</v>
      </c>
      <c r="G115" s="93">
        <f t="shared" si="31"/>
        <v>2.0876826722338203E-3</v>
      </c>
      <c r="I115" s="56" t="str">
        <f t="shared" si="32"/>
        <v>Transition Probability from state 2 to state 4 on day 9 (Non-CHG)</v>
      </c>
      <c r="J115" s="61"/>
      <c r="K115" s="151">
        <v>0</v>
      </c>
      <c r="L115" s="93">
        <f t="shared" si="33"/>
        <v>0</v>
      </c>
      <c r="N115" s="56" t="str">
        <f t="shared" si="34"/>
        <v>Transition Probability from state 3 to state 4 on day 9 (Non-CHG)</v>
      </c>
      <c r="O115" s="61"/>
      <c r="P115" s="151">
        <v>0</v>
      </c>
      <c r="Q115" s="93">
        <f t="shared" si="35"/>
        <v>0</v>
      </c>
      <c r="S115" s="56" t="str">
        <f t="shared" si="36"/>
        <v>Transition Probability from state 4 to state 4 on day 9 (Non-CHG)</v>
      </c>
      <c r="T115" s="150"/>
      <c r="U115" s="151">
        <v>0</v>
      </c>
      <c r="V115" s="93">
        <f t="shared" si="37"/>
        <v>0</v>
      </c>
      <c r="X115" s="56" t="str">
        <f t="shared" si="38"/>
        <v>Transition Probability from state 6 to state 4 on day 9 (Non-CHG)</v>
      </c>
      <c r="Y115" s="150"/>
      <c r="Z115" s="151">
        <v>0</v>
      </c>
      <c r="AA115" s="93">
        <f t="shared" si="39"/>
        <v>0</v>
      </c>
      <c r="AB115" s="9"/>
      <c r="AC115" s="83"/>
    </row>
    <row r="116" spans="2:29" ht="17" thickTop="1" thickBot="1" x14ac:dyDescent="0.25">
      <c r="B116" s="83"/>
      <c r="D116" s="56" t="str">
        <f t="shared" si="30"/>
        <v>Transition Probability from state 1 to state 4 on day 10 (Non-CHG)</v>
      </c>
      <c r="E116" s="61"/>
      <c r="F116" s="151">
        <v>2.2624434389140274E-3</v>
      </c>
      <c r="G116" s="93">
        <f t="shared" si="31"/>
        <v>2.2624434389140274E-3</v>
      </c>
      <c r="H116" s="145"/>
      <c r="I116" s="56" t="str">
        <f t="shared" si="32"/>
        <v>Transition Probability from state 2 to state 4 on day 10 (Non-CHG)</v>
      </c>
      <c r="J116" s="61"/>
      <c r="K116" s="151">
        <v>0</v>
      </c>
      <c r="L116" s="93">
        <f t="shared" si="33"/>
        <v>0</v>
      </c>
      <c r="M116" s="145"/>
      <c r="N116" s="56" t="str">
        <f t="shared" si="34"/>
        <v>Transition Probability from state 3 to state 4 on day 10 (Non-CHG)</v>
      </c>
      <c r="O116" s="61"/>
      <c r="P116" s="151">
        <v>0</v>
      </c>
      <c r="Q116" s="93">
        <f t="shared" si="35"/>
        <v>0</v>
      </c>
      <c r="R116" s="145"/>
      <c r="S116" s="56" t="str">
        <f t="shared" si="36"/>
        <v>Transition Probability from state 4 to state 4 on day 10 (Non-CHG)</v>
      </c>
      <c r="T116" s="150"/>
      <c r="U116" s="151">
        <v>0</v>
      </c>
      <c r="V116" s="93">
        <f t="shared" si="37"/>
        <v>0</v>
      </c>
      <c r="W116" s="145"/>
      <c r="X116" s="56" t="str">
        <f t="shared" si="38"/>
        <v>Transition Probability from state 6 to state 4 on day 10 (Non-CHG)</v>
      </c>
      <c r="Y116" s="150"/>
      <c r="Z116" s="151">
        <v>0</v>
      </c>
      <c r="AA116" s="93">
        <f t="shared" si="39"/>
        <v>0</v>
      </c>
      <c r="AB116" s="9"/>
      <c r="AC116" s="83"/>
    </row>
    <row r="117" spans="2:29" ht="17" thickTop="1" thickBot="1" x14ac:dyDescent="0.25">
      <c r="B117" s="83"/>
      <c r="D117" s="56" t="str">
        <f t="shared" si="30"/>
        <v>Transition Probability from state 1 to state 4 on day 11 (Non-CHG)</v>
      </c>
      <c r="E117" s="61"/>
      <c r="F117" s="151">
        <v>2.3809523809523812E-3</v>
      </c>
      <c r="G117" s="93">
        <f t="shared" si="31"/>
        <v>2.3809523809523812E-3</v>
      </c>
      <c r="I117" s="56" t="str">
        <f t="shared" si="32"/>
        <v>Transition Probability from state 2 to state 4 on day 11 (Non-CHG)</v>
      </c>
      <c r="J117" s="61"/>
      <c r="K117" s="151">
        <v>0</v>
      </c>
      <c r="L117" s="93">
        <f t="shared" si="33"/>
        <v>0</v>
      </c>
      <c r="N117" s="56" t="str">
        <f t="shared" si="34"/>
        <v>Transition Probability from state 3 to state 4 on day 11 (Non-CHG)</v>
      </c>
      <c r="O117" s="61"/>
      <c r="P117" s="151">
        <v>0</v>
      </c>
      <c r="Q117" s="93">
        <f t="shared" si="35"/>
        <v>0</v>
      </c>
      <c r="S117" s="56" t="str">
        <f t="shared" si="36"/>
        <v>Transition Probability from state 4 to state 4 on day 11 (Non-CHG)</v>
      </c>
      <c r="T117" s="150"/>
      <c r="U117" s="151">
        <v>0</v>
      </c>
      <c r="V117" s="93">
        <f t="shared" si="37"/>
        <v>0</v>
      </c>
      <c r="X117" s="56" t="str">
        <f t="shared" si="38"/>
        <v>Transition Probability from state 6 to state 4 on day 11 (Non-CHG)</v>
      </c>
      <c r="Y117" s="150"/>
      <c r="Z117" s="151">
        <v>0</v>
      </c>
      <c r="AA117" s="93">
        <f t="shared" si="39"/>
        <v>0</v>
      </c>
      <c r="AB117" s="9"/>
      <c r="AC117" s="83"/>
    </row>
    <row r="118" spans="2:29" ht="17" thickTop="1" thickBot="1" x14ac:dyDescent="0.25">
      <c r="B118" s="83"/>
      <c r="D118" s="56" t="str">
        <f t="shared" si="30"/>
        <v>Transition Probability from state 1 to state 4 on day 12 (Non-CHG)</v>
      </c>
      <c r="E118" s="61"/>
      <c r="F118" s="151">
        <v>2.5380710659898475E-3</v>
      </c>
      <c r="G118" s="93">
        <f t="shared" si="31"/>
        <v>2.5380710659898475E-3</v>
      </c>
      <c r="I118" s="56" t="str">
        <f t="shared" si="32"/>
        <v>Transition Probability from state 2 to state 4 on day 12 (Non-CHG)</v>
      </c>
      <c r="J118" s="61"/>
      <c r="K118" s="151">
        <v>0</v>
      </c>
      <c r="L118" s="93">
        <f t="shared" si="33"/>
        <v>0</v>
      </c>
      <c r="N118" s="56" t="str">
        <f t="shared" si="34"/>
        <v>Transition Probability from state 3 to state 4 on day 12 (Non-CHG)</v>
      </c>
      <c r="O118" s="61"/>
      <c r="P118" s="151">
        <v>0</v>
      </c>
      <c r="Q118" s="93">
        <f t="shared" si="35"/>
        <v>0</v>
      </c>
      <c r="S118" s="56" t="str">
        <f t="shared" si="36"/>
        <v>Transition Probability from state 4 to state 4 on day 12 (Non-CHG)</v>
      </c>
      <c r="T118" s="150"/>
      <c r="U118" s="151">
        <v>0</v>
      </c>
      <c r="V118" s="93">
        <f t="shared" si="37"/>
        <v>0</v>
      </c>
      <c r="X118" s="56" t="str">
        <f t="shared" si="38"/>
        <v>Transition Probability from state 6 to state 4 on day 12 (Non-CHG)</v>
      </c>
      <c r="Y118" s="150"/>
      <c r="Z118" s="151">
        <v>0</v>
      </c>
      <c r="AA118" s="93">
        <f t="shared" si="39"/>
        <v>0</v>
      </c>
      <c r="AB118" s="9"/>
      <c r="AC118" s="83"/>
    </row>
    <row r="119" spans="2:29" ht="17" thickTop="1" thickBot="1" x14ac:dyDescent="0.25">
      <c r="B119" s="83"/>
      <c r="D119" s="56" t="str">
        <f t="shared" si="30"/>
        <v>Transition Probability from state 1 to state 4 on day 13 (Non-CHG)</v>
      </c>
      <c r="E119" s="61"/>
      <c r="F119" s="151"/>
      <c r="G119" s="93">
        <f t="shared" si="31"/>
        <v>0</v>
      </c>
      <c r="I119" s="56" t="str">
        <f t="shared" si="32"/>
        <v>Transition Probability from state 2 to state 4 on day 13 (Non-CHG)</v>
      </c>
      <c r="J119" s="61"/>
      <c r="K119" s="151">
        <v>0</v>
      </c>
      <c r="L119" s="93">
        <f t="shared" si="33"/>
        <v>0</v>
      </c>
      <c r="N119" s="56" t="str">
        <f t="shared" si="34"/>
        <v>Transition Probability from state 3 to state 4 on day 13 (Non-CHG)</v>
      </c>
      <c r="O119" s="61"/>
      <c r="P119" s="151">
        <v>0</v>
      </c>
      <c r="Q119" s="93">
        <f t="shared" si="35"/>
        <v>0</v>
      </c>
      <c r="S119" s="56" t="str">
        <f t="shared" si="36"/>
        <v>Transition Probability from state 4 to state 4 on day 13 (Non-CHG)</v>
      </c>
      <c r="T119" s="150"/>
      <c r="U119" s="151">
        <v>0</v>
      </c>
      <c r="V119" s="93">
        <f t="shared" si="37"/>
        <v>0</v>
      </c>
      <c r="X119" s="56" t="str">
        <f t="shared" si="38"/>
        <v>Transition Probability from state 6 to state 4 on day 13 (Non-CHG)</v>
      </c>
      <c r="Y119" s="150"/>
      <c r="Z119" s="151">
        <v>0</v>
      </c>
      <c r="AA119" s="93">
        <f t="shared" si="39"/>
        <v>0</v>
      </c>
      <c r="AB119" s="9"/>
      <c r="AC119" s="83"/>
    </row>
    <row r="120" spans="2:29" ht="17" thickTop="1" thickBot="1" x14ac:dyDescent="0.25">
      <c r="B120" s="83"/>
      <c r="D120" s="56" t="str">
        <f t="shared" si="30"/>
        <v>Transition Probability from state 1 to state 4 on day 14 (Non-CHG)</v>
      </c>
      <c r="E120" s="61"/>
      <c r="F120" s="151"/>
      <c r="G120" s="93">
        <f t="shared" si="31"/>
        <v>0</v>
      </c>
      <c r="I120" s="56" t="str">
        <f t="shared" si="32"/>
        <v>Transition Probability from state 2 to state 4 on day 14 (Non-CHG)</v>
      </c>
      <c r="J120" s="61"/>
      <c r="K120" s="151">
        <v>0</v>
      </c>
      <c r="L120" s="93">
        <f t="shared" si="33"/>
        <v>0</v>
      </c>
      <c r="N120" s="56" t="str">
        <f t="shared" si="34"/>
        <v>Transition Probability from state 3 to state 4 on day 14 (Non-CHG)</v>
      </c>
      <c r="O120" s="61"/>
      <c r="P120" s="151">
        <v>0</v>
      </c>
      <c r="Q120" s="93">
        <f t="shared" si="35"/>
        <v>0</v>
      </c>
      <c r="S120" s="56" t="str">
        <f t="shared" si="36"/>
        <v>Transition Probability from state 4 to state 4 on day 14 (Non-CHG)</v>
      </c>
      <c r="T120" s="150"/>
      <c r="U120" s="151">
        <v>0</v>
      </c>
      <c r="V120" s="93">
        <f t="shared" si="37"/>
        <v>0</v>
      </c>
      <c r="X120" s="56" t="str">
        <f t="shared" si="38"/>
        <v>Transition Probability from state 6 to state 4 on day 14 (Non-CHG)</v>
      </c>
      <c r="Y120" s="150"/>
      <c r="Z120" s="151">
        <v>0</v>
      </c>
      <c r="AA120" s="93">
        <f t="shared" si="39"/>
        <v>0</v>
      </c>
      <c r="AB120" s="9"/>
      <c r="AC120" s="83"/>
    </row>
    <row r="121" spans="2:29" ht="17" thickTop="1" thickBot="1" x14ac:dyDescent="0.25">
      <c r="B121" s="83"/>
      <c r="D121" s="56" t="str">
        <f t="shared" si="30"/>
        <v>Transition Probability from state 1 to state 4 on day 15 (Non-CHG)</v>
      </c>
      <c r="E121" s="61"/>
      <c r="F121" s="151"/>
      <c r="G121" s="93">
        <f t="shared" si="31"/>
        <v>0</v>
      </c>
      <c r="I121" s="56" t="str">
        <f t="shared" si="32"/>
        <v>Transition Probability from state 2 to state 4 on day 15 (Non-CHG)</v>
      </c>
      <c r="J121" s="61"/>
      <c r="K121" s="151">
        <v>0</v>
      </c>
      <c r="L121" s="93">
        <f t="shared" si="33"/>
        <v>0</v>
      </c>
      <c r="N121" s="56" t="str">
        <f t="shared" si="34"/>
        <v>Transition Probability from state 3 to state 4 on day 15 (Non-CHG)</v>
      </c>
      <c r="O121" s="61"/>
      <c r="P121" s="151">
        <v>0</v>
      </c>
      <c r="Q121" s="93">
        <f t="shared" si="35"/>
        <v>0</v>
      </c>
      <c r="S121" s="56" t="str">
        <f t="shared" si="36"/>
        <v>Transition Probability from state 4 to state 4 on day 15 (Non-CHG)</v>
      </c>
      <c r="T121" s="150"/>
      <c r="U121" s="151">
        <v>0</v>
      </c>
      <c r="V121" s="93">
        <f t="shared" si="37"/>
        <v>0</v>
      </c>
      <c r="X121" s="56" t="str">
        <f t="shared" si="38"/>
        <v>Transition Probability from state 6 to state 4 on day 15 (Non-CHG)</v>
      </c>
      <c r="Y121" s="150"/>
      <c r="Z121" s="151">
        <v>0</v>
      </c>
      <c r="AA121" s="93">
        <f t="shared" si="39"/>
        <v>0</v>
      </c>
      <c r="AB121" s="9"/>
      <c r="AC121" s="83"/>
    </row>
    <row r="122" spans="2:29" ht="17" thickTop="1" thickBot="1" x14ac:dyDescent="0.25">
      <c r="B122" s="83"/>
      <c r="D122" s="56" t="str">
        <f t="shared" si="30"/>
        <v>Transition Probability from state 1 to state 4 on day 16 (Non-CHG)</v>
      </c>
      <c r="E122" s="61"/>
      <c r="F122" s="151"/>
      <c r="G122" s="93">
        <f t="shared" si="31"/>
        <v>0</v>
      </c>
      <c r="I122" s="56" t="str">
        <f t="shared" si="32"/>
        <v>Transition Probability from state 2 to state 4 on day 16 (Non-CHG)</v>
      </c>
      <c r="J122" s="61"/>
      <c r="K122" s="151">
        <v>0</v>
      </c>
      <c r="L122" s="93">
        <f t="shared" si="33"/>
        <v>0</v>
      </c>
      <c r="N122" s="56" t="str">
        <f t="shared" si="34"/>
        <v>Transition Probability from state 3 to state 4 on day 16 (Non-CHG)</v>
      </c>
      <c r="O122" s="61"/>
      <c r="P122" s="151">
        <v>0</v>
      </c>
      <c r="Q122" s="93">
        <f t="shared" si="35"/>
        <v>0</v>
      </c>
      <c r="S122" s="56" t="str">
        <f t="shared" si="36"/>
        <v>Transition Probability from state 4 to state 4 on day 16 (Non-CHG)</v>
      </c>
      <c r="T122" s="150"/>
      <c r="U122" s="151">
        <v>0</v>
      </c>
      <c r="V122" s="93">
        <f t="shared" si="37"/>
        <v>0</v>
      </c>
      <c r="X122" s="56" t="str">
        <f t="shared" si="38"/>
        <v>Transition Probability from state 6 to state 4 on day 16 (Non-CHG)</v>
      </c>
      <c r="Y122" s="150"/>
      <c r="Z122" s="151">
        <v>0</v>
      </c>
      <c r="AA122" s="93">
        <f t="shared" si="39"/>
        <v>0</v>
      </c>
      <c r="AB122" s="9"/>
      <c r="AC122" s="83"/>
    </row>
    <row r="123" spans="2:29" ht="17" thickTop="1" thickBot="1" x14ac:dyDescent="0.25">
      <c r="B123" s="83"/>
      <c r="D123" s="56" t="str">
        <f t="shared" si="30"/>
        <v>Transition Probability from state 1 to state 4 on day 17 (Non-CHG)</v>
      </c>
      <c r="E123" s="61"/>
      <c r="F123" s="151">
        <v>3.6101083032490976E-3</v>
      </c>
      <c r="G123" s="93">
        <f t="shared" si="31"/>
        <v>3.6101083032490976E-3</v>
      </c>
      <c r="I123" s="56" t="str">
        <f t="shared" si="32"/>
        <v>Transition Probability from state 2 to state 4 on day 17 (Non-CHG)</v>
      </c>
      <c r="J123" s="61"/>
      <c r="K123" s="151">
        <v>0</v>
      </c>
      <c r="L123" s="93">
        <f t="shared" si="33"/>
        <v>0</v>
      </c>
      <c r="N123" s="56" t="str">
        <f t="shared" si="34"/>
        <v>Transition Probability from state 3 to state 4 on day 17 (Non-CHG)</v>
      </c>
      <c r="O123" s="61"/>
      <c r="P123" s="151">
        <v>0</v>
      </c>
      <c r="Q123" s="93">
        <f t="shared" si="35"/>
        <v>0</v>
      </c>
      <c r="S123" s="56" t="str">
        <f t="shared" si="36"/>
        <v>Transition Probability from state 4 to state 4 on day 17 (Non-CHG)</v>
      </c>
      <c r="T123" s="150"/>
      <c r="U123" s="151">
        <v>0</v>
      </c>
      <c r="V123" s="93">
        <f t="shared" si="37"/>
        <v>0</v>
      </c>
      <c r="X123" s="56" t="str">
        <f t="shared" si="38"/>
        <v>Transition Probability from state 6 to state 4 on day 17 (Non-CHG)</v>
      </c>
      <c r="Y123" s="150"/>
      <c r="Z123" s="151">
        <v>0</v>
      </c>
      <c r="AA123" s="93">
        <f t="shared" si="39"/>
        <v>0</v>
      </c>
      <c r="AB123" s="9"/>
      <c r="AC123" s="83"/>
    </row>
    <row r="124" spans="2:29" ht="17" thickTop="1" thickBot="1" x14ac:dyDescent="0.25">
      <c r="B124" s="83"/>
      <c r="D124" s="56" t="str">
        <f t="shared" si="30"/>
        <v>Transition Probability from state 1 to state 4 on day 18 (Non-CHG)</v>
      </c>
      <c r="E124" s="61"/>
      <c r="F124" s="151">
        <v>3.8461538461538464E-3</v>
      </c>
      <c r="G124" s="93">
        <f t="shared" si="31"/>
        <v>3.8461538461538464E-3</v>
      </c>
      <c r="I124" s="56" t="str">
        <f t="shared" si="32"/>
        <v>Transition Probability from state 2 to state 4 on day 18 (Non-CHG)</v>
      </c>
      <c r="J124" s="61"/>
      <c r="K124" s="151">
        <v>0</v>
      </c>
      <c r="L124" s="93">
        <f t="shared" si="33"/>
        <v>0</v>
      </c>
      <c r="N124" s="56" t="str">
        <f t="shared" si="34"/>
        <v>Transition Probability from state 3 to state 4 on day 18 (Non-CHG)</v>
      </c>
      <c r="O124" s="61"/>
      <c r="P124" s="151">
        <v>0</v>
      </c>
      <c r="Q124" s="93">
        <f t="shared" si="35"/>
        <v>0</v>
      </c>
      <c r="S124" s="56" t="str">
        <f t="shared" si="36"/>
        <v>Transition Probability from state 4 to state 4 on day 18 (Non-CHG)</v>
      </c>
      <c r="T124" s="150"/>
      <c r="U124" s="151">
        <v>0</v>
      </c>
      <c r="V124" s="93">
        <f t="shared" si="37"/>
        <v>0</v>
      </c>
      <c r="X124" s="56" t="str">
        <f t="shared" si="38"/>
        <v>Transition Probability from state 6 to state 4 on day 18 (Non-CHG)</v>
      </c>
      <c r="Y124" s="150"/>
      <c r="Z124" s="151">
        <v>0</v>
      </c>
      <c r="AA124" s="93">
        <f t="shared" si="39"/>
        <v>0</v>
      </c>
      <c r="AB124" s="9"/>
      <c r="AC124" s="83"/>
    </row>
    <row r="125" spans="2:29" ht="17" thickTop="1" thickBot="1" x14ac:dyDescent="0.25">
      <c r="B125" s="83"/>
      <c r="D125" s="56" t="str">
        <f t="shared" si="30"/>
        <v>Transition Probability from state 1 to state 4 on day 19 (Non-CHG)</v>
      </c>
      <c r="E125" s="61"/>
      <c r="F125" s="151">
        <v>4.1322314049586778E-3</v>
      </c>
      <c r="G125" s="93">
        <f t="shared" si="31"/>
        <v>4.1322314049586778E-3</v>
      </c>
      <c r="I125" s="56" t="str">
        <f t="shared" si="32"/>
        <v>Transition Probability from state 2 to state 4 on day 19 (Non-CHG)</v>
      </c>
      <c r="J125" s="61"/>
      <c r="K125" s="151">
        <v>0</v>
      </c>
      <c r="L125" s="93">
        <f t="shared" si="33"/>
        <v>0</v>
      </c>
      <c r="N125" s="56" t="str">
        <f t="shared" si="34"/>
        <v>Transition Probability from state 3 to state 4 on day 19 (Non-CHG)</v>
      </c>
      <c r="O125" s="61"/>
      <c r="P125" s="151">
        <v>0</v>
      </c>
      <c r="Q125" s="93">
        <f t="shared" si="35"/>
        <v>0</v>
      </c>
      <c r="S125" s="56" t="str">
        <f t="shared" si="36"/>
        <v>Transition Probability from state 4 to state 4 on day 19 (Non-CHG)</v>
      </c>
      <c r="T125" s="150"/>
      <c r="U125" s="151">
        <v>0</v>
      </c>
      <c r="V125" s="93">
        <f t="shared" si="37"/>
        <v>0</v>
      </c>
      <c r="X125" s="56" t="str">
        <f t="shared" si="38"/>
        <v>Transition Probability from state 6 to state 4 on day 19 (Non-CHG)</v>
      </c>
      <c r="Y125" s="150"/>
      <c r="Z125" s="151">
        <v>0</v>
      </c>
      <c r="AA125" s="93">
        <f t="shared" si="39"/>
        <v>0</v>
      </c>
      <c r="AB125" s="9"/>
      <c r="AC125" s="83"/>
    </row>
    <row r="126" spans="2:29" ht="17" thickTop="1" thickBot="1" x14ac:dyDescent="0.25">
      <c r="B126" s="83"/>
      <c r="D126" s="56" t="str">
        <f t="shared" si="30"/>
        <v>Transition Probability from state 1 to state 4 on day 20 (Non-CHG)</v>
      </c>
      <c r="E126" s="61"/>
      <c r="F126" s="151"/>
      <c r="G126" s="93">
        <f t="shared" si="31"/>
        <v>0</v>
      </c>
      <c r="I126" s="56" t="str">
        <f t="shared" si="32"/>
        <v>Transition Probability from state 2 to state 4 on day 20 (Non-CHG)</v>
      </c>
      <c r="J126" s="61"/>
      <c r="K126" s="151">
        <v>0</v>
      </c>
      <c r="L126" s="93">
        <f t="shared" si="33"/>
        <v>0</v>
      </c>
      <c r="N126" s="56" t="str">
        <f t="shared" si="34"/>
        <v>Transition Probability from state 3 to state 4 on day 20 (Non-CHG)</v>
      </c>
      <c r="O126" s="61"/>
      <c r="P126" s="151">
        <v>0</v>
      </c>
      <c r="Q126" s="93">
        <f t="shared" si="35"/>
        <v>0</v>
      </c>
      <c r="S126" s="56" t="str">
        <f t="shared" si="36"/>
        <v>Transition Probability from state 4 to state 4 on day 20 (Non-CHG)</v>
      </c>
      <c r="T126" s="150"/>
      <c r="U126" s="151">
        <v>0</v>
      </c>
      <c r="V126" s="93">
        <f t="shared" si="37"/>
        <v>0</v>
      </c>
      <c r="X126" s="56" t="str">
        <f t="shared" si="38"/>
        <v>Transition Probability from state 6 to state 4 on day 20 (Non-CHG)</v>
      </c>
      <c r="Y126" s="150"/>
      <c r="Z126" s="151">
        <v>0</v>
      </c>
      <c r="AA126" s="93">
        <f t="shared" si="39"/>
        <v>0</v>
      </c>
      <c r="AB126" s="9"/>
      <c r="AC126" s="83"/>
    </row>
    <row r="127" spans="2:29" ht="17" thickTop="1" thickBot="1" x14ac:dyDescent="0.25">
      <c r="B127" s="83"/>
      <c r="D127" s="56" t="str">
        <f t="shared" si="30"/>
        <v>Transition Probability from state 1 to state 4 on day 21 (Non-CHG)</v>
      </c>
      <c r="E127" s="61"/>
      <c r="F127" s="151"/>
      <c r="G127" s="93">
        <f t="shared" si="31"/>
        <v>0</v>
      </c>
      <c r="I127" s="56" t="str">
        <f t="shared" si="32"/>
        <v>Transition Probability from state 2 to state 4 on day 21 (Non-CHG)</v>
      </c>
      <c r="J127" s="61"/>
      <c r="K127" s="151">
        <v>0</v>
      </c>
      <c r="L127" s="93">
        <f t="shared" si="33"/>
        <v>0</v>
      </c>
      <c r="N127" s="56" t="str">
        <f t="shared" si="34"/>
        <v>Transition Probability from state 3 to state 4 on day 21 (Non-CHG)</v>
      </c>
      <c r="O127" s="61"/>
      <c r="P127" s="151">
        <v>0</v>
      </c>
      <c r="Q127" s="93">
        <f t="shared" si="35"/>
        <v>0</v>
      </c>
      <c r="S127" s="56" t="str">
        <f t="shared" si="36"/>
        <v>Transition Probability from state 4 to state 4 on day 21 (Non-CHG)</v>
      </c>
      <c r="T127" s="150"/>
      <c r="U127" s="151">
        <v>0</v>
      </c>
      <c r="V127" s="93">
        <f t="shared" si="37"/>
        <v>0</v>
      </c>
      <c r="X127" s="56" t="str">
        <f t="shared" si="38"/>
        <v>Transition Probability from state 6 to state 4 on day 21 (Non-CHG)</v>
      </c>
      <c r="Y127" s="150"/>
      <c r="Z127" s="151">
        <v>0</v>
      </c>
      <c r="AA127" s="93">
        <f t="shared" si="39"/>
        <v>0</v>
      </c>
      <c r="AB127" s="9"/>
      <c r="AC127" s="83"/>
    </row>
    <row r="128" spans="2:29" ht="17" thickTop="1" thickBot="1" x14ac:dyDescent="0.25">
      <c r="B128" s="83"/>
      <c r="D128" s="56" t="str">
        <f t="shared" si="30"/>
        <v>Transition Probability from state 1 to state 4 on day 22 (Non-CHG)</v>
      </c>
      <c r="E128" s="61"/>
      <c r="F128" s="151"/>
      <c r="G128" s="93">
        <f t="shared" si="31"/>
        <v>0</v>
      </c>
      <c r="I128" s="56" t="str">
        <f t="shared" si="32"/>
        <v>Transition Probability from state 2 to state 4 on day 22 (Non-CHG)</v>
      </c>
      <c r="J128" s="61"/>
      <c r="K128" s="151">
        <v>0</v>
      </c>
      <c r="L128" s="93">
        <f t="shared" si="33"/>
        <v>0</v>
      </c>
      <c r="N128" s="56" t="str">
        <f t="shared" si="34"/>
        <v>Transition Probability from state 3 to state 4 on day 22 (Non-CHG)</v>
      </c>
      <c r="O128" s="61"/>
      <c r="P128" s="151">
        <v>0</v>
      </c>
      <c r="Q128" s="93">
        <f t="shared" si="35"/>
        <v>0</v>
      </c>
      <c r="S128" s="56" t="str">
        <f t="shared" si="36"/>
        <v>Transition Probability from state 4 to state 4 on day 22 (Non-CHG)</v>
      </c>
      <c r="T128" s="150"/>
      <c r="U128" s="151">
        <v>0</v>
      </c>
      <c r="V128" s="93">
        <f t="shared" si="37"/>
        <v>0</v>
      </c>
      <c r="X128" s="56" t="str">
        <f t="shared" si="38"/>
        <v>Transition Probability from state 6 to state 4 on day 22 (Non-CHG)</v>
      </c>
      <c r="Y128" s="150"/>
      <c r="Z128" s="151">
        <v>0</v>
      </c>
      <c r="AA128" s="93">
        <f t="shared" si="39"/>
        <v>0</v>
      </c>
      <c r="AB128" s="9"/>
      <c r="AC128" s="83"/>
    </row>
    <row r="129" spans="2:29" ht="17" thickTop="1" thickBot="1" x14ac:dyDescent="0.25">
      <c r="B129" s="83"/>
      <c r="D129" s="56" t="str">
        <f t="shared" si="30"/>
        <v>Transition Probability from state 1 to state 4 on day 23 (Non-CHG)</v>
      </c>
      <c r="E129" s="61"/>
      <c r="F129" s="151"/>
      <c r="G129" s="93">
        <f t="shared" si="31"/>
        <v>0</v>
      </c>
      <c r="I129" s="56" t="str">
        <f t="shared" si="32"/>
        <v>Transition Probability from state 2 to state 4 on day 23 (Non-CHG)</v>
      </c>
      <c r="J129" s="61"/>
      <c r="K129" s="151">
        <v>0</v>
      </c>
      <c r="L129" s="93">
        <f t="shared" si="33"/>
        <v>0</v>
      </c>
      <c r="N129" s="56" t="str">
        <f t="shared" si="34"/>
        <v>Transition Probability from state 3 to state 4 on day 23 (Non-CHG)</v>
      </c>
      <c r="O129" s="61"/>
      <c r="P129" s="151">
        <v>0</v>
      </c>
      <c r="Q129" s="93">
        <f t="shared" si="35"/>
        <v>0</v>
      </c>
      <c r="S129" s="56" t="str">
        <f t="shared" si="36"/>
        <v>Transition Probability from state 4 to state 4 on day 23 (Non-CHG)</v>
      </c>
      <c r="T129" s="150"/>
      <c r="U129" s="151">
        <v>0</v>
      </c>
      <c r="V129" s="93">
        <f t="shared" si="37"/>
        <v>0</v>
      </c>
      <c r="X129" s="56" t="str">
        <f t="shared" si="38"/>
        <v>Transition Probability from state 6 to state 4 on day 23 (Non-CHG)</v>
      </c>
      <c r="Y129" s="150"/>
      <c r="Z129" s="151">
        <v>0</v>
      </c>
      <c r="AA129" s="93">
        <f t="shared" si="39"/>
        <v>0</v>
      </c>
      <c r="AB129" s="9"/>
      <c r="AC129" s="83"/>
    </row>
    <row r="130" spans="2:29" ht="17" thickTop="1" thickBot="1" x14ac:dyDescent="0.25">
      <c r="B130" s="83"/>
      <c r="D130" s="56" t="str">
        <f t="shared" si="30"/>
        <v>Transition Probability from state 1 to state 4 on day 24 (Non-CHG)</v>
      </c>
      <c r="E130" s="61"/>
      <c r="F130" s="151"/>
      <c r="G130" s="93">
        <f t="shared" si="31"/>
        <v>0</v>
      </c>
      <c r="I130" s="56" t="str">
        <f t="shared" si="32"/>
        <v>Transition Probability from state 2 to state 4 on day 24 (Non-CHG)</v>
      </c>
      <c r="J130" s="61"/>
      <c r="K130" s="151">
        <v>0</v>
      </c>
      <c r="L130" s="93">
        <f t="shared" si="33"/>
        <v>0</v>
      </c>
      <c r="N130" s="56" t="str">
        <f t="shared" si="34"/>
        <v>Transition Probability from state 3 to state 4 on day 24 (Non-CHG)</v>
      </c>
      <c r="O130" s="61"/>
      <c r="P130" s="151">
        <v>0</v>
      </c>
      <c r="Q130" s="93">
        <f t="shared" si="35"/>
        <v>0</v>
      </c>
      <c r="S130" s="56" t="str">
        <f t="shared" si="36"/>
        <v>Transition Probability from state 4 to state 4 on day 24 (Non-CHG)</v>
      </c>
      <c r="T130" s="150"/>
      <c r="U130" s="151">
        <v>0</v>
      </c>
      <c r="V130" s="93">
        <f t="shared" si="37"/>
        <v>0</v>
      </c>
      <c r="X130" s="56" t="str">
        <f t="shared" si="38"/>
        <v>Transition Probability from state 6 to state 4 on day 24 (Non-CHG)</v>
      </c>
      <c r="Y130" s="150"/>
      <c r="Z130" s="151">
        <v>0</v>
      </c>
      <c r="AA130" s="93">
        <f t="shared" si="39"/>
        <v>0</v>
      </c>
      <c r="AB130" s="9"/>
      <c r="AC130" s="83"/>
    </row>
    <row r="131" spans="2:29" ht="17" thickTop="1" thickBot="1" x14ac:dyDescent="0.25">
      <c r="B131" s="83"/>
      <c r="D131" s="56" t="str">
        <f t="shared" si="30"/>
        <v>Transition Probability from state 1 to state 4 on day 25 (Non-CHG)</v>
      </c>
      <c r="E131" s="61"/>
      <c r="F131" s="151"/>
      <c r="G131" s="93">
        <f t="shared" si="31"/>
        <v>0</v>
      </c>
      <c r="I131" s="56" t="str">
        <f t="shared" si="32"/>
        <v>Transition Probability from state 2 to state 4 on day 25 (Non-CHG)</v>
      </c>
      <c r="J131" s="61"/>
      <c r="K131" s="151">
        <v>0</v>
      </c>
      <c r="L131" s="93">
        <f t="shared" si="33"/>
        <v>0</v>
      </c>
      <c r="N131" s="56" t="str">
        <f t="shared" si="34"/>
        <v>Transition Probability from state 3 to state 4 on day 25 (Non-CHG)</v>
      </c>
      <c r="O131" s="61"/>
      <c r="P131" s="151">
        <v>0</v>
      </c>
      <c r="Q131" s="93">
        <f t="shared" si="35"/>
        <v>0</v>
      </c>
      <c r="S131" s="56" t="str">
        <f t="shared" si="36"/>
        <v>Transition Probability from state 4 to state 4 on day 25 (Non-CHG)</v>
      </c>
      <c r="T131" s="150"/>
      <c r="U131" s="151">
        <v>0</v>
      </c>
      <c r="V131" s="93">
        <f t="shared" si="37"/>
        <v>0</v>
      </c>
      <c r="X131" s="56" t="str">
        <f t="shared" si="38"/>
        <v>Transition Probability from state 6 to state 4 on day 25 (Non-CHG)</v>
      </c>
      <c r="Y131" s="150"/>
      <c r="Z131" s="151">
        <v>0</v>
      </c>
      <c r="AA131" s="93">
        <f t="shared" si="39"/>
        <v>0</v>
      </c>
      <c r="AB131" s="9"/>
      <c r="AC131" s="83"/>
    </row>
    <row r="132" spans="2:29" ht="17" thickTop="1" thickBot="1" x14ac:dyDescent="0.25">
      <c r="B132" s="83"/>
      <c r="D132" s="56" t="str">
        <f t="shared" si="30"/>
        <v>Transition Probability from state 1 to state 4 on day 26 (Non-CHG)</v>
      </c>
      <c r="E132" s="61"/>
      <c r="F132" s="151"/>
      <c r="G132" s="93">
        <f t="shared" si="31"/>
        <v>0</v>
      </c>
      <c r="I132" s="56" t="str">
        <f t="shared" si="32"/>
        <v>Transition Probability from state 2 to state 4 on day 26 (Non-CHG)</v>
      </c>
      <c r="J132" s="61"/>
      <c r="K132" s="151">
        <v>0</v>
      </c>
      <c r="L132" s="93">
        <f t="shared" si="33"/>
        <v>0</v>
      </c>
      <c r="N132" s="56" t="str">
        <f t="shared" si="34"/>
        <v>Transition Probability from state 3 to state 4 on day 26 (Non-CHG)</v>
      </c>
      <c r="O132" s="61"/>
      <c r="P132" s="151">
        <v>0</v>
      </c>
      <c r="Q132" s="93">
        <f t="shared" si="35"/>
        <v>0</v>
      </c>
      <c r="S132" s="56" t="str">
        <f t="shared" si="36"/>
        <v>Transition Probability from state 4 to state 4 on day 26 (Non-CHG)</v>
      </c>
      <c r="T132" s="150"/>
      <c r="U132" s="151">
        <v>0</v>
      </c>
      <c r="V132" s="93">
        <f t="shared" si="37"/>
        <v>0</v>
      </c>
      <c r="X132" s="56" t="str">
        <f t="shared" si="38"/>
        <v>Transition Probability from state 6 to state 4 on day 26 (Non-CHG)</v>
      </c>
      <c r="Y132" s="150"/>
      <c r="Z132" s="151">
        <v>0</v>
      </c>
      <c r="AA132" s="93">
        <f t="shared" si="39"/>
        <v>0</v>
      </c>
      <c r="AB132" s="9"/>
      <c r="AC132" s="83"/>
    </row>
    <row r="133" spans="2:29" ht="17" thickTop="1" thickBot="1" x14ac:dyDescent="0.25">
      <c r="B133" s="83"/>
      <c r="D133" s="56" t="str">
        <f t="shared" si="30"/>
        <v>Transition Probability from state 1 to state 4 on day 27 (Non-CHG)</v>
      </c>
      <c r="E133" s="61"/>
      <c r="F133" s="151"/>
      <c r="G133" s="93">
        <f t="shared" si="31"/>
        <v>0</v>
      </c>
      <c r="I133" s="56" t="str">
        <f t="shared" si="32"/>
        <v>Transition Probability from state 2 to state 4 on day 27 (Non-CHG)</v>
      </c>
      <c r="J133" s="61"/>
      <c r="K133" s="151">
        <v>0</v>
      </c>
      <c r="L133" s="93">
        <f t="shared" si="33"/>
        <v>0</v>
      </c>
      <c r="N133" s="56" t="str">
        <f t="shared" si="34"/>
        <v>Transition Probability from state 3 to state 4 on day 27 (Non-CHG)</v>
      </c>
      <c r="O133" s="61"/>
      <c r="P133" s="151">
        <v>0</v>
      </c>
      <c r="Q133" s="93">
        <f t="shared" si="35"/>
        <v>0</v>
      </c>
      <c r="S133" s="56" t="str">
        <f t="shared" si="36"/>
        <v>Transition Probability from state 4 to state 4 on day 27 (Non-CHG)</v>
      </c>
      <c r="T133" s="150"/>
      <c r="U133" s="151">
        <v>0</v>
      </c>
      <c r="V133" s="93">
        <f t="shared" si="37"/>
        <v>0</v>
      </c>
      <c r="X133" s="56" t="str">
        <f t="shared" si="38"/>
        <v>Transition Probability from state 6 to state 4 on day 27 (Non-CHG)</v>
      </c>
      <c r="Y133" s="150"/>
      <c r="Z133" s="151">
        <v>0</v>
      </c>
      <c r="AA133" s="93">
        <f t="shared" si="39"/>
        <v>0</v>
      </c>
      <c r="AB133" s="9"/>
      <c r="AC133" s="83"/>
    </row>
    <row r="134" spans="2:29" ht="17" thickTop="1" thickBot="1" x14ac:dyDescent="0.25">
      <c r="B134" s="83"/>
      <c r="D134" s="56" t="str">
        <f t="shared" si="30"/>
        <v>Transition Probability from state 1 to state 4 on day 28 (Non-CHG)</v>
      </c>
      <c r="E134" s="61"/>
      <c r="F134" s="151"/>
      <c r="G134" s="93">
        <f t="shared" si="31"/>
        <v>0</v>
      </c>
      <c r="I134" s="56" t="str">
        <f t="shared" si="32"/>
        <v>Transition Probability from state 2 to state 4 on day 28 (Non-CHG)</v>
      </c>
      <c r="J134" s="61"/>
      <c r="K134" s="151">
        <v>0</v>
      </c>
      <c r="L134" s="93">
        <f t="shared" si="33"/>
        <v>0</v>
      </c>
      <c r="N134" s="56" t="str">
        <f t="shared" si="34"/>
        <v>Transition Probability from state 3 to state 4 on day 28 (Non-CHG)</v>
      </c>
      <c r="O134" s="61"/>
      <c r="P134" s="151">
        <v>0</v>
      </c>
      <c r="Q134" s="93">
        <f t="shared" si="35"/>
        <v>0</v>
      </c>
      <c r="S134" s="56" t="str">
        <f t="shared" si="36"/>
        <v>Transition Probability from state 4 to state 4 on day 28 (Non-CHG)</v>
      </c>
      <c r="T134" s="150"/>
      <c r="U134" s="151">
        <v>0</v>
      </c>
      <c r="V134" s="93">
        <f t="shared" si="37"/>
        <v>0</v>
      </c>
      <c r="X134" s="56" t="str">
        <f t="shared" si="38"/>
        <v>Transition Probability from state 6 to state 4 on day 28 (Non-CHG)</v>
      </c>
      <c r="Y134" s="150"/>
      <c r="Z134" s="151">
        <v>0</v>
      </c>
      <c r="AA134" s="93">
        <f t="shared" si="39"/>
        <v>0</v>
      </c>
      <c r="AB134" s="9"/>
      <c r="AC134" s="83"/>
    </row>
    <row r="135" spans="2:29" ht="17" thickTop="1" thickBot="1" x14ac:dyDescent="0.25">
      <c r="B135" s="83"/>
      <c r="D135" s="56" t="str">
        <f t="shared" si="30"/>
        <v>Transition Probability from state 1 to state 4 on day 29 (Non-CHG)</v>
      </c>
      <c r="E135" s="61"/>
      <c r="F135" s="151"/>
      <c r="G135" s="93">
        <f t="shared" si="31"/>
        <v>0</v>
      </c>
      <c r="I135" s="56" t="str">
        <f t="shared" si="32"/>
        <v>Transition Probability from state 2 to state 4 on day 29 (Non-CHG)</v>
      </c>
      <c r="J135" s="61"/>
      <c r="K135" s="151">
        <v>0</v>
      </c>
      <c r="L135" s="93">
        <f t="shared" si="33"/>
        <v>0</v>
      </c>
      <c r="N135" s="56" t="str">
        <f t="shared" si="34"/>
        <v>Transition Probability from state 3 to state 4 on day 29 (Non-CHG)</v>
      </c>
      <c r="O135" s="61"/>
      <c r="P135" s="151">
        <v>0</v>
      </c>
      <c r="Q135" s="93">
        <f t="shared" si="35"/>
        <v>0</v>
      </c>
      <c r="S135" s="56" t="str">
        <f t="shared" si="36"/>
        <v>Transition Probability from state 4 to state 4 on day 29 (Non-CHG)</v>
      </c>
      <c r="T135" s="150"/>
      <c r="U135" s="151">
        <v>0</v>
      </c>
      <c r="V135" s="93">
        <f t="shared" si="37"/>
        <v>0</v>
      </c>
      <c r="X135" s="56" t="str">
        <f t="shared" si="38"/>
        <v>Transition Probability from state 6 to state 4 on day 29 (Non-CHG)</v>
      </c>
      <c r="Y135" s="150"/>
      <c r="Z135" s="151">
        <v>0</v>
      </c>
      <c r="AA135" s="93">
        <f t="shared" si="39"/>
        <v>0</v>
      </c>
      <c r="AB135" s="9"/>
      <c r="AC135" s="83"/>
    </row>
    <row r="136" spans="2:29" ht="17" thickTop="1" thickBot="1" x14ac:dyDescent="0.25">
      <c r="B136" s="83"/>
      <c r="D136" s="56" t="str">
        <f t="shared" si="30"/>
        <v>Transition Probability from state 1 to state 4 on day 30 (Non-CHG)</v>
      </c>
      <c r="E136" s="61"/>
      <c r="F136" s="151"/>
      <c r="G136" s="93">
        <f t="shared" si="31"/>
        <v>0</v>
      </c>
      <c r="I136" s="56" t="str">
        <f t="shared" si="32"/>
        <v>Transition Probability from state 2 to state 4 on day 30 (Non-CHG)</v>
      </c>
      <c r="J136" s="61"/>
      <c r="K136" s="151">
        <v>0</v>
      </c>
      <c r="L136" s="93">
        <f t="shared" si="33"/>
        <v>0</v>
      </c>
      <c r="N136" s="56" t="str">
        <f t="shared" si="34"/>
        <v>Transition Probability from state 3 to state 4 on day 30 (Non-CHG)</v>
      </c>
      <c r="O136" s="61"/>
      <c r="P136" s="151">
        <v>0</v>
      </c>
      <c r="Q136" s="93">
        <f t="shared" si="35"/>
        <v>0</v>
      </c>
      <c r="S136" s="56" t="str">
        <f t="shared" si="36"/>
        <v>Transition Probability from state 4 to state 4 on day 30 (Non-CHG)</v>
      </c>
      <c r="T136" s="150"/>
      <c r="U136" s="151">
        <v>0</v>
      </c>
      <c r="V136" s="93">
        <f t="shared" si="37"/>
        <v>0</v>
      </c>
      <c r="X136" s="56" t="str">
        <f t="shared" si="38"/>
        <v>Transition Probability from state 6 to state 4 on day 30 (Non-CHG)</v>
      </c>
      <c r="Y136" s="150"/>
      <c r="Z136" s="151">
        <v>0</v>
      </c>
      <c r="AA136" s="93">
        <f t="shared" si="39"/>
        <v>0</v>
      </c>
      <c r="AB136" s="9"/>
      <c r="AC136" s="83"/>
    </row>
    <row r="137" spans="2:29" ht="16" thickTop="1" x14ac:dyDescent="0.2">
      <c r="B137" s="83"/>
      <c r="AB137" s="9"/>
      <c r="AC137" s="83"/>
    </row>
    <row r="138" spans="2:29" x14ac:dyDescent="0.2">
      <c r="B138" s="83"/>
      <c r="D138" s="231" t="s">
        <v>186</v>
      </c>
      <c r="E138" s="231"/>
      <c r="F138" s="231"/>
      <c r="G138" s="231"/>
      <c r="I138" s="231" t="s">
        <v>206</v>
      </c>
      <c r="J138" s="231"/>
      <c r="K138" s="231"/>
      <c r="L138" s="231"/>
      <c r="N138" s="231" t="s">
        <v>207</v>
      </c>
      <c r="O138" s="231"/>
      <c r="P138" s="231"/>
      <c r="Q138" s="231"/>
      <c r="S138" s="231" t="s">
        <v>208</v>
      </c>
      <c r="T138" s="231"/>
      <c r="U138" s="231"/>
      <c r="V138" s="231"/>
      <c r="X138" s="232" t="s">
        <v>209</v>
      </c>
      <c r="Y138" s="233"/>
      <c r="Z138" s="233"/>
      <c r="AA138" s="234"/>
      <c r="AB138" s="9"/>
      <c r="AC138" s="83"/>
    </row>
    <row r="139" spans="2:29" ht="16" thickBot="1" x14ac:dyDescent="0.25">
      <c r="B139" s="83"/>
      <c r="D139" s="195" t="str">
        <f>"Transition Probability from state 1 to state 5 on day"&amp; " "&amp;C11&amp;" "&amp;"(Non-CHG)"</f>
        <v>Transition Probability from state 1 to state 5 on day 1 (Non-CHG)</v>
      </c>
      <c r="E139" s="196"/>
      <c r="F139" s="197"/>
      <c r="G139" s="198">
        <f>IF(E139="",F139,E139)</f>
        <v>0</v>
      </c>
      <c r="I139" s="195" t="str">
        <f>"Transition Probability from state 2 to state 5 on day"&amp; " "&amp;C11&amp;" "&amp;"(Non-CHG)"</f>
        <v>Transition Probability from state 2 to state 5 on day 1 (Non-CHG)</v>
      </c>
      <c r="J139" s="196"/>
      <c r="K139" s="197"/>
      <c r="L139" s="198">
        <f>IF(J139="",K139,J139)</f>
        <v>0</v>
      </c>
      <c r="N139" s="195" t="str">
        <f>"Transition Probability from state 3 to state 5 on day"&amp; " "&amp;C11&amp;" "&amp;"(Non-CHG)"</f>
        <v>Transition Probability from state 3 to state 5 on day 1 (Non-CHG)</v>
      </c>
      <c r="O139" s="196"/>
      <c r="P139" s="197">
        <v>0</v>
      </c>
      <c r="Q139" s="198">
        <f>IF(O139="",P139,O139)</f>
        <v>0</v>
      </c>
      <c r="S139" s="195" t="str">
        <f>"Transition Probability from state 4 to state 5 on day"&amp; " "&amp;C11&amp;" "&amp;"(Non-CHG)"</f>
        <v>Transition Probability from state 4 to state 5 on day 1 (Non-CHG)</v>
      </c>
      <c r="T139" s="199"/>
      <c r="U139" s="197">
        <v>0</v>
      </c>
      <c r="V139" s="198">
        <f>IF(T139="",U139,T139)</f>
        <v>0</v>
      </c>
      <c r="X139" s="195" t="str">
        <f>"Transition Probability from state 6 to state 5 on day"&amp; " "&amp;C11&amp;" "&amp;"(Non-CHG)"</f>
        <v>Transition Probability from state 6 to state 5 on day 1 (Non-CHG)</v>
      </c>
      <c r="Y139" s="199"/>
      <c r="Z139" s="197"/>
      <c r="AA139" s="198">
        <f>IF(Y139="",Z139,Y139)</f>
        <v>0</v>
      </c>
      <c r="AB139" s="9"/>
      <c r="AC139" s="83"/>
    </row>
    <row r="140" spans="2:29" ht="17" thickTop="1" thickBot="1" x14ac:dyDescent="0.25">
      <c r="B140" s="83"/>
      <c r="D140" s="56" t="str">
        <f t="shared" ref="D140:D168" si="40">"Transition Probability from state 1 to state 5 on day"&amp; " "&amp;C12&amp;" "&amp;"(Non-CHG)"</f>
        <v>Transition Probability from state 1 to state 5 on day 2 (Non-CHG)</v>
      </c>
      <c r="E140" s="61"/>
      <c r="F140" s="151"/>
      <c r="G140" s="93">
        <f t="shared" ref="G140:G168" si="41">IF(E140="",F140,E140)</f>
        <v>0</v>
      </c>
      <c r="I140" s="56" t="str">
        <f t="shared" ref="I140:I168" si="42">"Transition Probability from state 2 to state 5 on day"&amp; " "&amp;C12&amp;" "&amp;"(Non-CHG)"</f>
        <v>Transition Probability from state 2 to state 5 on day 2 (Non-CHG)</v>
      </c>
      <c r="J140" s="61"/>
      <c r="K140" s="151"/>
      <c r="L140" s="93">
        <f t="shared" ref="L140:L168" si="43">IF(J140="",K140,J140)</f>
        <v>0</v>
      </c>
      <c r="N140" s="56" t="str">
        <f t="shared" ref="N140:N168" si="44">"Transition Probability from state 3 to state 5 on day"&amp; " "&amp;C12&amp;" "&amp;"(Non-CHG)"</f>
        <v>Transition Probability from state 3 to state 5 on day 2 (Non-CHG)</v>
      </c>
      <c r="O140" s="61"/>
      <c r="P140" s="151">
        <v>0</v>
      </c>
      <c r="Q140" s="93">
        <f t="shared" ref="Q140:Q168" si="45">IF(O140="",P140,O140)</f>
        <v>0</v>
      </c>
      <c r="S140" s="56" t="str">
        <f t="shared" ref="S140:S168" si="46">"Transition Probability from state 4 to state 5 on day"&amp; " "&amp;C12&amp;" "&amp;"(Non-CHG)"</f>
        <v>Transition Probability from state 4 to state 5 on day 2 (Non-CHG)</v>
      </c>
      <c r="T140" s="150"/>
      <c r="U140" s="151">
        <v>0</v>
      </c>
      <c r="V140" s="93">
        <f t="shared" ref="V140:V168" si="47">IF(T140="",U140,T140)</f>
        <v>0</v>
      </c>
      <c r="X140" s="56" t="str">
        <f t="shared" ref="X140:X168" si="48">"Transition Probability from state 6 to state 5 on day"&amp; " "&amp;C12&amp;" "&amp;"(Non-CHG)"</f>
        <v>Transition Probability from state 6 to state 5 on day 2 (Non-CHG)</v>
      </c>
      <c r="Y140" s="150"/>
      <c r="Z140" s="151"/>
      <c r="AA140" s="93">
        <f t="shared" ref="AA140:AA168" si="49">IF(Y140="",Z140,Y140)</f>
        <v>0</v>
      </c>
      <c r="AB140" s="9"/>
      <c r="AC140" s="83"/>
    </row>
    <row r="141" spans="2:29" ht="17" thickTop="1" thickBot="1" x14ac:dyDescent="0.25">
      <c r="B141" s="83"/>
      <c r="D141" s="56" t="str">
        <f t="shared" si="40"/>
        <v>Transition Probability from state 1 to state 5 on day 3 (Non-CHG)</v>
      </c>
      <c r="E141" s="61"/>
      <c r="F141" s="151"/>
      <c r="G141" s="93">
        <f t="shared" si="41"/>
        <v>0</v>
      </c>
      <c r="I141" s="56" t="str">
        <f t="shared" si="42"/>
        <v>Transition Probability from state 2 to state 5 on day 3 (Non-CHG)</v>
      </c>
      <c r="J141" s="61"/>
      <c r="K141" s="151"/>
      <c r="L141" s="93">
        <f t="shared" si="43"/>
        <v>0</v>
      </c>
      <c r="N141" s="56" t="str">
        <f t="shared" si="44"/>
        <v>Transition Probability from state 3 to state 5 on day 3 (Non-CHG)</v>
      </c>
      <c r="O141" s="61"/>
      <c r="P141" s="151">
        <v>0</v>
      </c>
      <c r="Q141" s="93">
        <f t="shared" si="45"/>
        <v>0</v>
      </c>
      <c r="S141" s="56" t="str">
        <f t="shared" si="46"/>
        <v>Transition Probability from state 4 to state 5 on day 3 (Non-CHG)</v>
      </c>
      <c r="T141" s="150"/>
      <c r="U141" s="151">
        <v>0</v>
      </c>
      <c r="V141" s="93">
        <f t="shared" si="47"/>
        <v>0</v>
      </c>
      <c r="X141" s="56" t="str">
        <f t="shared" si="48"/>
        <v>Transition Probability from state 6 to state 5 on day 3 (Non-CHG)</v>
      </c>
      <c r="Y141" s="150"/>
      <c r="Z141" s="151"/>
      <c r="AA141" s="93">
        <f t="shared" si="49"/>
        <v>0</v>
      </c>
      <c r="AB141" s="9"/>
      <c r="AC141" s="83"/>
    </row>
    <row r="142" spans="2:29" ht="17" thickTop="1" thickBot="1" x14ac:dyDescent="0.25">
      <c r="B142" s="83"/>
      <c r="D142" s="56" t="str">
        <f t="shared" si="40"/>
        <v>Transition Probability from state 1 to state 5 on day 4 (Non-CHG)</v>
      </c>
      <c r="E142" s="61"/>
      <c r="F142" s="151"/>
      <c r="G142" s="93">
        <f t="shared" si="41"/>
        <v>0</v>
      </c>
      <c r="I142" s="56" t="str">
        <f t="shared" si="42"/>
        <v>Transition Probability from state 2 to state 5 on day 4 (Non-CHG)</v>
      </c>
      <c r="J142" s="61"/>
      <c r="K142" s="151"/>
      <c r="L142" s="93">
        <f t="shared" si="43"/>
        <v>0</v>
      </c>
      <c r="N142" s="56" t="str">
        <f t="shared" si="44"/>
        <v>Transition Probability from state 3 to state 5 on day 4 (Non-CHG)</v>
      </c>
      <c r="O142" s="61"/>
      <c r="P142" s="151">
        <v>0</v>
      </c>
      <c r="Q142" s="93">
        <f t="shared" si="45"/>
        <v>0</v>
      </c>
      <c r="S142" s="56" t="str">
        <f t="shared" si="46"/>
        <v>Transition Probability from state 4 to state 5 on day 4 (Non-CHG)</v>
      </c>
      <c r="T142" s="150"/>
      <c r="U142" s="151">
        <v>0</v>
      </c>
      <c r="V142" s="93">
        <f t="shared" si="47"/>
        <v>0</v>
      </c>
      <c r="X142" s="56" t="str">
        <f t="shared" si="48"/>
        <v>Transition Probability from state 6 to state 5 on day 4 (Non-CHG)</v>
      </c>
      <c r="Y142" s="150"/>
      <c r="Z142" s="151"/>
      <c r="AA142" s="93">
        <f t="shared" si="49"/>
        <v>0</v>
      </c>
      <c r="AB142" s="9"/>
      <c r="AC142" s="83"/>
    </row>
    <row r="143" spans="2:29" ht="17" thickTop="1" thickBot="1" x14ac:dyDescent="0.25">
      <c r="B143" s="83"/>
      <c r="D143" s="56" t="str">
        <f t="shared" si="40"/>
        <v>Transition Probability from state 1 to state 5 on day 5 (Non-CHG)</v>
      </c>
      <c r="E143" s="61"/>
      <c r="F143" s="151"/>
      <c r="G143" s="93">
        <f t="shared" si="41"/>
        <v>0</v>
      </c>
      <c r="I143" s="56" t="str">
        <f t="shared" si="42"/>
        <v>Transition Probability from state 2 to state 5 on day 5 (Non-CHG)</v>
      </c>
      <c r="J143" s="61"/>
      <c r="K143" s="151"/>
      <c r="L143" s="93">
        <f t="shared" si="43"/>
        <v>0</v>
      </c>
      <c r="N143" s="56" t="str">
        <f t="shared" si="44"/>
        <v>Transition Probability from state 3 to state 5 on day 5 (Non-CHG)</v>
      </c>
      <c r="O143" s="61"/>
      <c r="P143" s="151">
        <v>0</v>
      </c>
      <c r="Q143" s="93">
        <f t="shared" si="45"/>
        <v>0</v>
      </c>
      <c r="S143" s="56" t="str">
        <f t="shared" si="46"/>
        <v>Transition Probability from state 4 to state 5 on day 5 (Non-CHG)</v>
      </c>
      <c r="T143" s="150"/>
      <c r="U143" s="151">
        <v>0</v>
      </c>
      <c r="V143" s="93">
        <f t="shared" si="47"/>
        <v>0</v>
      </c>
      <c r="X143" s="56" t="str">
        <f t="shared" si="48"/>
        <v>Transition Probability from state 6 to state 5 on day 5 (Non-CHG)</v>
      </c>
      <c r="Y143" s="150"/>
      <c r="Z143" s="151"/>
      <c r="AA143" s="93">
        <f t="shared" si="49"/>
        <v>0</v>
      </c>
      <c r="AB143" s="9"/>
      <c r="AC143" s="83"/>
    </row>
    <row r="144" spans="2:29" ht="17" thickTop="1" thickBot="1" x14ac:dyDescent="0.25">
      <c r="B144" s="83"/>
      <c r="D144" s="56" t="str">
        <f t="shared" si="40"/>
        <v>Transition Probability from state 1 to state 5 on day 6 (Non-CHG)</v>
      </c>
      <c r="E144" s="61"/>
      <c r="F144" s="151">
        <v>1.5432098765432098E-3</v>
      </c>
      <c r="G144" s="93">
        <f t="shared" si="41"/>
        <v>1.5432098765432098E-3</v>
      </c>
      <c r="I144" s="56" t="str">
        <f t="shared" si="42"/>
        <v>Transition Probability from state 2 to state 5 on day 6 (Non-CHG)</v>
      </c>
      <c r="J144" s="61"/>
      <c r="K144" s="151"/>
      <c r="L144" s="93">
        <f t="shared" si="43"/>
        <v>0</v>
      </c>
      <c r="N144" s="56" t="str">
        <f t="shared" si="44"/>
        <v>Transition Probability from state 3 to state 5 on day 6 (Non-CHG)</v>
      </c>
      <c r="O144" s="61"/>
      <c r="P144" s="151">
        <v>0</v>
      </c>
      <c r="Q144" s="93">
        <f t="shared" si="45"/>
        <v>0</v>
      </c>
      <c r="S144" s="56" t="str">
        <f t="shared" si="46"/>
        <v>Transition Probability from state 4 to state 5 on day 6 (Non-CHG)</v>
      </c>
      <c r="T144" s="150"/>
      <c r="U144" s="151">
        <v>0</v>
      </c>
      <c r="V144" s="93">
        <f t="shared" si="47"/>
        <v>0</v>
      </c>
      <c r="X144" s="56" t="str">
        <f t="shared" si="48"/>
        <v>Transition Probability from state 6 to state 5 on day 6 (Non-CHG)</v>
      </c>
      <c r="Y144" s="150"/>
      <c r="Z144" s="151"/>
      <c r="AA144" s="93">
        <f t="shared" si="49"/>
        <v>0</v>
      </c>
      <c r="AB144" s="9"/>
      <c r="AC144" s="83"/>
    </row>
    <row r="145" spans="2:29" ht="17" thickTop="1" thickBot="1" x14ac:dyDescent="0.25">
      <c r="B145" s="83"/>
      <c r="D145" s="56" t="str">
        <f t="shared" si="40"/>
        <v>Transition Probability from state 1 to state 5 on day 7 (Non-CHG)</v>
      </c>
      <c r="E145" s="61"/>
      <c r="F145" s="151">
        <v>1.7391304347826088E-3</v>
      </c>
      <c r="G145" s="93">
        <f t="shared" si="41"/>
        <v>1.7391304347826088E-3</v>
      </c>
      <c r="I145" s="56" t="str">
        <f t="shared" si="42"/>
        <v>Transition Probability from state 2 to state 5 on day 7 (Non-CHG)</v>
      </c>
      <c r="J145" s="61"/>
      <c r="K145" s="151"/>
      <c r="L145" s="93">
        <f t="shared" si="43"/>
        <v>0</v>
      </c>
      <c r="N145" s="56" t="str">
        <f t="shared" si="44"/>
        <v>Transition Probability from state 3 to state 5 on day 7 (Non-CHG)</v>
      </c>
      <c r="O145" s="61"/>
      <c r="P145" s="151">
        <v>0</v>
      </c>
      <c r="Q145" s="93">
        <f t="shared" si="45"/>
        <v>0</v>
      </c>
      <c r="S145" s="56" t="str">
        <f t="shared" si="46"/>
        <v>Transition Probability from state 4 to state 5 on day 7 (Non-CHG)</v>
      </c>
      <c r="T145" s="150"/>
      <c r="U145" s="151">
        <v>0</v>
      </c>
      <c r="V145" s="93">
        <f t="shared" si="47"/>
        <v>0</v>
      </c>
      <c r="X145" s="56" t="str">
        <f t="shared" si="48"/>
        <v>Transition Probability from state 6 to state 5 on day 7 (Non-CHG)</v>
      </c>
      <c r="Y145" s="150"/>
      <c r="Z145" s="151"/>
      <c r="AA145" s="93">
        <f t="shared" si="49"/>
        <v>0</v>
      </c>
      <c r="AB145" s="9"/>
      <c r="AC145" s="83"/>
    </row>
    <row r="146" spans="2:29" ht="17" thickTop="1" thickBot="1" x14ac:dyDescent="0.25">
      <c r="B146" s="83"/>
      <c r="D146" s="56" t="str">
        <f t="shared" si="40"/>
        <v>Transition Probability from state 1 to state 5 on day 8 (Non-CHG)</v>
      </c>
      <c r="E146" s="61"/>
      <c r="F146" s="151"/>
      <c r="G146" s="93">
        <f t="shared" si="41"/>
        <v>0</v>
      </c>
      <c r="I146" s="56" t="str">
        <f t="shared" si="42"/>
        <v>Transition Probability from state 2 to state 5 on day 8 (Non-CHG)</v>
      </c>
      <c r="J146" s="61"/>
      <c r="K146" s="151"/>
      <c r="L146" s="93">
        <f t="shared" si="43"/>
        <v>0</v>
      </c>
      <c r="N146" s="56" t="str">
        <f t="shared" si="44"/>
        <v>Transition Probability from state 3 to state 5 on day 8 (Non-CHG)</v>
      </c>
      <c r="O146" s="61"/>
      <c r="P146" s="151">
        <v>0</v>
      </c>
      <c r="Q146" s="93">
        <f t="shared" si="45"/>
        <v>0</v>
      </c>
      <c r="S146" s="56" t="str">
        <f t="shared" si="46"/>
        <v>Transition Probability from state 4 to state 5 on day 8 (Non-CHG)</v>
      </c>
      <c r="T146" s="150"/>
      <c r="U146" s="151">
        <v>0</v>
      </c>
      <c r="V146" s="93">
        <f t="shared" si="47"/>
        <v>0</v>
      </c>
      <c r="X146" s="56" t="str">
        <f t="shared" si="48"/>
        <v>Transition Probability from state 6 to state 5 on day 8 (Non-CHG)</v>
      </c>
      <c r="Y146" s="150"/>
      <c r="Z146" s="151"/>
      <c r="AA146" s="93">
        <f t="shared" si="49"/>
        <v>0</v>
      </c>
      <c r="AB146" s="9"/>
      <c r="AC146" s="83"/>
    </row>
    <row r="147" spans="2:29" ht="17" thickTop="1" thickBot="1" x14ac:dyDescent="0.25">
      <c r="B147" s="83"/>
      <c r="D147" s="56" t="str">
        <f t="shared" si="40"/>
        <v>Transition Probability from state 1 to state 5 on day 9 (Non-CHG)</v>
      </c>
      <c r="E147" s="61"/>
      <c r="F147" s="151"/>
      <c r="G147" s="93">
        <f t="shared" si="41"/>
        <v>0</v>
      </c>
      <c r="I147" s="56" t="str">
        <f t="shared" si="42"/>
        <v>Transition Probability from state 2 to state 5 on day 9 (Non-CHG)</v>
      </c>
      <c r="J147" s="61"/>
      <c r="K147" s="151">
        <v>6.6666666666666666E-2</v>
      </c>
      <c r="L147" s="93">
        <f t="shared" si="43"/>
        <v>6.6666666666666666E-2</v>
      </c>
      <c r="N147" s="56" t="str">
        <f t="shared" si="44"/>
        <v>Transition Probability from state 3 to state 5 on day 9 (Non-CHG)</v>
      </c>
      <c r="O147" s="61"/>
      <c r="P147" s="151">
        <v>0</v>
      </c>
      <c r="Q147" s="93">
        <f t="shared" si="45"/>
        <v>0</v>
      </c>
      <c r="S147" s="56" t="str">
        <f t="shared" si="46"/>
        <v>Transition Probability from state 4 to state 5 on day 9 (Non-CHG)</v>
      </c>
      <c r="T147" s="150"/>
      <c r="U147" s="151">
        <v>0</v>
      </c>
      <c r="V147" s="93">
        <f t="shared" si="47"/>
        <v>0</v>
      </c>
      <c r="X147" s="56" t="str">
        <f t="shared" si="48"/>
        <v>Transition Probability from state 6 to state 5 on day 9 (Non-CHG)</v>
      </c>
      <c r="Y147" s="150"/>
      <c r="Z147" s="151"/>
      <c r="AA147" s="93">
        <f t="shared" si="49"/>
        <v>0</v>
      </c>
      <c r="AB147" s="9"/>
      <c r="AC147" s="83"/>
    </row>
    <row r="148" spans="2:29" ht="17" thickTop="1" thickBot="1" x14ac:dyDescent="0.25">
      <c r="B148" s="83"/>
      <c r="D148" s="56" t="str">
        <f t="shared" si="40"/>
        <v>Transition Probability from state 1 to state 5 on day 10 (Non-CHG)</v>
      </c>
      <c r="E148" s="61"/>
      <c r="F148" s="151"/>
      <c r="G148" s="93">
        <f t="shared" si="41"/>
        <v>0</v>
      </c>
      <c r="H148" s="143"/>
      <c r="I148" s="56" t="str">
        <f t="shared" si="42"/>
        <v>Transition Probability from state 2 to state 5 on day 10 (Non-CHG)</v>
      </c>
      <c r="J148" s="61"/>
      <c r="K148" s="151"/>
      <c r="L148" s="93">
        <f t="shared" si="43"/>
        <v>0</v>
      </c>
      <c r="M148" s="143"/>
      <c r="N148" s="56" t="str">
        <f t="shared" si="44"/>
        <v>Transition Probability from state 3 to state 5 on day 10 (Non-CHG)</v>
      </c>
      <c r="O148" s="61"/>
      <c r="P148" s="151">
        <v>0</v>
      </c>
      <c r="Q148" s="93">
        <f t="shared" si="45"/>
        <v>0</v>
      </c>
      <c r="R148" s="143"/>
      <c r="S148" s="56" t="str">
        <f t="shared" si="46"/>
        <v>Transition Probability from state 4 to state 5 on day 10 (Non-CHG)</v>
      </c>
      <c r="T148" s="150"/>
      <c r="U148" s="151">
        <v>0</v>
      </c>
      <c r="V148" s="93">
        <f t="shared" si="47"/>
        <v>0</v>
      </c>
      <c r="W148" s="143"/>
      <c r="X148" s="56" t="str">
        <f t="shared" si="48"/>
        <v>Transition Probability from state 6 to state 5 on day 10 (Non-CHG)</v>
      </c>
      <c r="Y148" s="150"/>
      <c r="Z148" s="151"/>
      <c r="AA148" s="93">
        <f t="shared" si="49"/>
        <v>0</v>
      </c>
      <c r="AB148" s="9"/>
      <c r="AC148" s="83"/>
    </row>
    <row r="149" spans="2:29" ht="17" thickTop="1" thickBot="1" x14ac:dyDescent="0.25">
      <c r="B149" s="83"/>
      <c r="D149" s="56" t="str">
        <f t="shared" si="40"/>
        <v>Transition Probability from state 1 to state 5 on day 11 (Non-CHG)</v>
      </c>
      <c r="E149" s="61"/>
      <c r="F149" s="151"/>
      <c r="G149" s="93">
        <f t="shared" si="41"/>
        <v>0</v>
      </c>
      <c r="I149" s="56" t="str">
        <f t="shared" si="42"/>
        <v>Transition Probability from state 2 to state 5 on day 11 (Non-CHG)</v>
      </c>
      <c r="J149" s="61"/>
      <c r="K149" s="151"/>
      <c r="L149" s="93">
        <f t="shared" si="43"/>
        <v>0</v>
      </c>
      <c r="N149" s="56" t="str">
        <f t="shared" si="44"/>
        <v>Transition Probability from state 3 to state 5 on day 11 (Non-CHG)</v>
      </c>
      <c r="O149" s="61"/>
      <c r="P149" s="151">
        <v>0</v>
      </c>
      <c r="Q149" s="93">
        <f t="shared" si="45"/>
        <v>0</v>
      </c>
      <c r="S149" s="56" t="str">
        <f t="shared" si="46"/>
        <v>Transition Probability from state 4 to state 5 on day 11 (Non-CHG)</v>
      </c>
      <c r="T149" s="150"/>
      <c r="U149" s="151">
        <v>0</v>
      </c>
      <c r="V149" s="93">
        <f t="shared" si="47"/>
        <v>0</v>
      </c>
      <c r="X149" s="56" t="str">
        <f t="shared" si="48"/>
        <v>Transition Probability from state 6 to state 5 on day 11 (Non-CHG)</v>
      </c>
      <c r="Y149" s="150"/>
      <c r="Z149" s="151"/>
      <c r="AA149" s="93">
        <f t="shared" si="49"/>
        <v>0</v>
      </c>
      <c r="AB149" s="9"/>
      <c r="AC149" s="83"/>
    </row>
    <row r="150" spans="2:29" ht="17" thickTop="1" thickBot="1" x14ac:dyDescent="0.25">
      <c r="B150" s="83"/>
      <c r="D150" s="56" t="str">
        <f t="shared" si="40"/>
        <v>Transition Probability from state 1 to state 5 on day 12 (Non-CHG)</v>
      </c>
      <c r="E150" s="61"/>
      <c r="F150" s="151">
        <v>2.5380710659898475E-3</v>
      </c>
      <c r="G150" s="93">
        <f t="shared" si="41"/>
        <v>2.5380710659898475E-3</v>
      </c>
      <c r="I150" s="56" t="str">
        <f t="shared" si="42"/>
        <v>Transition Probability from state 2 to state 5 on day 12 (Non-CHG)</v>
      </c>
      <c r="J150" s="61"/>
      <c r="K150" s="151"/>
      <c r="L150" s="93">
        <f t="shared" si="43"/>
        <v>0</v>
      </c>
      <c r="N150" s="56" t="str">
        <f t="shared" si="44"/>
        <v>Transition Probability from state 3 to state 5 on day 12 (Non-CHG)</v>
      </c>
      <c r="O150" s="61"/>
      <c r="P150" s="151">
        <v>0</v>
      </c>
      <c r="Q150" s="93">
        <f t="shared" si="45"/>
        <v>0</v>
      </c>
      <c r="S150" s="56" t="str">
        <f t="shared" si="46"/>
        <v>Transition Probability from state 4 to state 5 on day 12 (Non-CHG)</v>
      </c>
      <c r="T150" s="150"/>
      <c r="U150" s="151">
        <v>0</v>
      </c>
      <c r="V150" s="93">
        <f t="shared" si="47"/>
        <v>0</v>
      </c>
      <c r="X150" s="56" t="str">
        <f t="shared" si="48"/>
        <v>Transition Probability from state 6 to state 5 on day 12 (Non-CHG)</v>
      </c>
      <c r="Y150" s="150"/>
      <c r="Z150" s="151"/>
      <c r="AA150" s="93">
        <f t="shared" si="49"/>
        <v>0</v>
      </c>
      <c r="AB150" s="9"/>
      <c r="AC150" s="83"/>
    </row>
    <row r="151" spans="2:29" ht="17" thickTop="1" thickBot="1" x14ac:dyDescent="0.25">
      <c r="B151" s="83"/>
      <c r="D151" s="56" t="str">
        <f t="shared" si="40"/>
        <v>Transition Probability from state 1 to state 5 on day 13 (Non-CHG)</v>
      </c>
      <c r="E151" s="61"/>
      <c r="F151" s="151"/>
      <c r="G151" s="93">
        <f t="shared" si="41"/>
        <v>0</v>
      </c>
      <c r="I151" s="56" t="str">
        <f t="shared" si="42"/>
        <v>Transition Probability from state 2 to state 5 on day 13 (Non-CHG)</v>
      </c>
      <c r="J151" s="61"/>
      <c r="K151" s="151"/>
      <c r="L151" s="93">
        <f t="shared" si="43"/>
        <v>0</v>
      </c>
      <c r="N151" s="56" t="str">
        <f t="shared" si="44"/>
        <v>Transition Probability from state 3 to state 5 on day 13 (Non-CHG)</v>
      </c>
      <c r="O151" s="61"/>
      <c r="P151" s="151">
        <v>0</v>
      </c>
      <c r="Q151" s="93">
        <f t="shared" si="45"/>
        <v>0</v>
      </c>
      <c r="S151" s="56" t="str">
        <f t="shared" si="46"/>
        <v>Transition Probability from state 4 to state 5 on day 13 (Non-CHG)</v>
      </c>
      <c r="T151" s="150"/>
      <c r="U151" s="151">
        <v>0</v>
      </c>
      <c r="V151" s="93">
        <f t="shared" si="47"/>
        <v>0</v>
      </c>
      <c r="X151" s="56" t="str">
        <f t="shared" si="48"/>
        <v>Transition Probability from state 6 to state 5 on day 13 (Non-CHG)</v>
      </c>
      <c r="Y151" s="150"/>
      <c r="Z151" s="151"/>
      <c r="AA151" s="93">
        <f t="shared" si="49"/>
        <v>0</v>
      </c>
      <c r="AB151" s="9"/>
      <c r="AC151" s="83"/>
    </row>
    <row r="152" spans="2:29" ht="17" thickTop="1" thickBot="1" x14ac:dyDescent="0.25">
      <c r="B152" s="83"/>
      <c r="D152" s="56" t="str">
        <f t="shared" si="40"/>
        <v>Transition Probability from state 1 to state 5 on day 14 (Non-CHG)</v>
      </c>
      <c r="E152" s="61"/>
      <c r="F152" s="151"/>
      <c r="G152" s="93">
        <f t="shared" si="41"/>
        <v>0</v>
      </c>
      <c r="I152" s="56" t="str">
        <f t="shared" si="42"/>
        <v>Transition Probability from state 2 to state 5 on day 14 (Non-CHG)</v>
      </c>
      <c r="J152" s="61"/>
      <c r="K152" s="151"/>
      <c r="L152" s="93">
        <f t="shared" si="43"/>
        <v>0</v>
      </c>
      <c r="N152" s="56" t="str">
        <f t="shared" si="44"/>
        <v>Transition Probability from state 3 to state 5 on day 14 (Non-CHG)</v>
      </c>
      <c r="O152" s="61"/>
      <c r="P152" s="151">
        <v>0</v>
      </c>
      <c r="Q152" s="93">
        <f t="shared" si="45"/>
        <v>0</v>
      </c>
      <c r="S152" s="56" t="str">
        <f t="shared" si="46"/>
        <v>Transition Probability from state 4 to state 5 on day 14 (Non-CHG)</v>
      </c>
      <c r="T152" s="150"/>
      <c r="U152" s="151">
        <v>0</v>
      </c>
      <c r="V152" s="93">
        <f t="shared" si="47"/>
        <v>0</v>
      </c>
      <c r="X152" s="56" t="str">
        <f t="shared" si="48"/>
        <v>Transition Probability from state 6 to state 5 on day 14 (Non-CHG)</v>
      </c>
      <c r="Y152" s="150"/>
      <c r="Z152" s="151"/>
      <c r="AA152" s="93">
        <f t="shared" si="49"/>
        <v>0</v>
      </c>
      <c r="AB152" s="9"/>
      <c r="AC152" s="83"/>
    </row>
    <row r="153" spans="2:29" ht="17" thickTop="1" thickBot="1" x14ac:dyDescent="0.25">
      <c r="B153" s="83"/>
      <c r="D153" s="56" t="str">
        <f t="shared" si="40"/>
        <v>Transition Probability from state 1 to state 5 on day 15 (Non-CHG)</v>
      </c>
      <c r="E153" s="61"/>
      <c r="F153" s="151"/>
      <c r="G153" s="93">
        <f t="shared" si="41"/>
        <v>0</v>
      </c>
      <c r="I153" s="56" t="str">
        <f t="shared" si="42"/>
        <v>Transition Probability from state 2 to state 5 on day 15 (Non-CHG)</v>
      </c>
      <c r="J153" s="61"/>
      <c r="K153" s="151"/>
      <c r="L153" s="93">
        <f t="shared" si="43"/>
        <v>0</v>
      </c>
      <c r="N153" s="56" t="str">
        <f t="shared" si="44"/>
        <v>Transition Probability from state 3 to state 5 on day 15 (Non-CHG)</v>
      </c>
      <c r="O153" s="61"/>
      <c r="P153" s="151">
        <v>0</v>
      </c>
      <c r="Q153" s="93">
        <f t="shared" si="45"/>
        <v>0</v>
      </c>
      <c r="S153" s="56" t="str">
        <f t="shared" si="46"/>
        <v>Transition Probability from state 4 to state 5 on day 15 (Non-CHG)</v>
      </c>
      <c r="T153" s="150"/>
      <c r="U153" s="151">
        <v>0</v>
      </c>
      <c r="V153" s="93">
        <f t="shared" si="47"/>
        <v>0</v>
      </c>
      <c r="X153" s="56" t="str">
        <f t="shared" si="48"/>
        <v>Transition Probability from state 6 to state 5 on day 15 (Non-CHG)</v>
      </c>
      <c r="Y153" s="150"/>
      <c r="Z153" s="151"/>
      <c r="AA153" s="93">
        <f t="shared" si="49"/>
        <v>0</v>
      </c>
      <c r="AB153" s="9"/>
      <c r="AC153" s="83"/>
    </row>
    <row r="154" spans="2:29" ht="17" thickTop="1" thickBot="1" x14ac:dyDescent="0.25">
      <c r="B154" s="83"/>
      <c r="D154" s="56" t="str">
        <f t="shared" si="40"/>
        <v>Transition Probability from state 1 to state 5 on day 16 (Non-CHG)</v>
      </c>
      <c r="E154" s="61"/>
      <c r="F154" s="151"/>
      <c r="G154" s="93">
        <f t="shared" si="41"/>
        <v>0</v>
      </c>
      <c r="I154" s="56" t="str">
        <f t="shared" si="42"/>
        <v>Transition Probability from state 2 to state 5 on day 16 (Non-CHG)</v>
      </c>
      <c r="J154" s="61"/>
      <c r="K154" s="151"/>
      <c r="L154" s="93">
        <f t="shared" si="43"/>
        <v>0</v>
      </c>
      <c r="N154" s="56" t="str">
        <f t="shared" si="44"/>
        <v>Transition Probability from state 3 to state 5 on day 16 (Non-CHG)</v>
      </c>
      <c r="O154" s="61"/>
      <c r="P154" s="151">
        <v>0</v>
      </c>
      <c r="Q154" s="93">
        <f t="shared" si="45"/>
        <v>0</v>
      </c>
      <c r="S154" s="56" t="str">
        <f t="shared" si="46"/>
        <v>Transition Probability from state 4 to state 5 on day 16 (Non-CHG)</v>
      </c>
      <c r="T154" s="150"/>
      <c r="U154" s="151">
        <v>0</v>
      </c>
      <c r="V154" s="93">
        <f t="shared" si="47"/>
        <v>0</v>
      </c>
      <c r="X154" s="56" t="str">
        <f t="shared" si="48"/>
        <v>Transition Probability from state 6 to state 5 on day 16 (Non-CHG)</v>
      </c>
      <c r="Y154" s="150"/>
      <c r="Z154" s="151"/>
      <c r="AA154" s="93">
        <f t="shared" si="49"/>
        <v>0</v>
      </c>
      <c r="AB154" s="9"/>
      <c r="AC154" s="83"/>
    </row>
    <row r="155" spans="2:29" ht="17" thickTop="1" thickBot="1" x14ac:dyDescent="0.25">
      <c r="B155" s="83"/>
      <c r="D155" s="56" t="str">
        <f t="shared" si="40"/>
        <v>Transition Probability from state 1 to state 5 on day 17 (Non-CHG)</v>
      </c>
      <c r="E155" s="61"/>
      <c r="F155" s="151">
        <v>3.6101083032490976E-3</v>
      </c>
      <c r="G155" s="93">
        <f t="shared" si="41"/>
        <v>3.6101083032490976E-3</v>
      </c>
      <c r="I155" s="56" t="str">
        <f t="shared" si="42"/>
        <v>Transition Probability from state 2 to state 5 on day 17 (Non-CHG)</v>
      </c>
      <c r="J155" s="61"/>
      <c r="K155" s="151"/>
      <c r="L155" s="93">
        <f t="shared" si="43"/>
        <v>0</v>
      </c>
      <c r="N155" s="56" t="str">
        <f t="shared" si="44"/>
        <v>Transition Probability from state 3 to state 5 on day 17 (Non-CHG)</v>
      </c>
      <c r="O155" s="61"/>
      <c r="P155" s="151">
        <v>0</v>
      </c>
      <c r="Q155" s="93">
        <f t="shared" si="45"/>
        <v>0</v>
      </c>
      <c r="S155" s="56" t="str">
        <f t="shared" si="46"/>
        <v>Transition Probability from state 4 to state 5 on day 17 (Non-CHG)</v>
      </c>
      <c r="T155" s="150"/>
      <c r="U155" s="151">
        <v>0</v>
      </c>
      <c r="V155" s="93">
        <f t="shared" si="47"/>
        <v>0</v>
      </c>
      <c r="X155" s="56" t="str">
        <f t="shared" si="48"/>
        <v>Transition Probability from state 6 to state 5 on day 17 (Non-CHG)</v>
      </c>
      <c r="Y155" s="150"/>
      <c r="Z155" s="151"/>
      <c r="AA155" s="93">
        <f t="shared" si="49"/>
        <v>0</v>
      </c>
      <c r="AB155" s="9"/>
      <c r="AC155" s="83"/>
    </row>
    <row r="156" spans="2:29" ht="17" thickTop="1" thickBot="1" x14ac:dyDescent="0.25">
      <c r="B156" s="83"/>
      <c r="D156" s="56" t="str">
        <f t="shared" si="40"/>
        <v>Transition Probability from state 1 to state 5 on day 18 (Non-CHG)</v>
      </c>
      <c r="E156" s="61"/>
      <c r="F156" s="151"/>
      <c r="G156" s="93">
        <f t="shared" si="41"/>
        <v>0</v>
      </c>
      <c r="I156" s="56" t="str">
        <f t="shared" si="42"/>
        <v>Transition Probability from state 2 to state 5 on day 18 (Non-CHG)</v>
      </c>
      <c r="J156" s="61"/>
      <c r="K156" s="151"/>
      <c r="L156" s="93">
        <f t="shared" si="43"/>
        <v>0</v>
      </c>
      <c r="N156" s="56" t="str">
        <f t="shared" si="44"/>
        <v>Transition Probability from state 3 to state 5 on day 18 (Non-CHG)</v>
      </c>
      <c r="O156" s="61"/>
      <c r="P156" s="151">
        <v>0</v>
      </c>
      <c r="Q156" s="93">
        <f t="shared" si="45"/>
        <v>0</v>
      </c>
      <c r="S156" s="56" t="str">
        <f t="shared" si="46"/>
        <v>Transition Probability from state 4 to state 5 on day 18 (Non-CHG)</v>
      </c>
      <c r="T156" s="150"/>
      <c r="U156" s="151">
        <v>0</v>
      </c>
      <c r="V156" s="93">
        <f t="shared" si="47"/>
        <v>0</v>
      </c>
      <c r="X156" s="56" t="str">
        <f t="shared" si="48"/>
        <v>Transition Probability from state 6 to state 5 on day 18 (Non-CHG)</v>
      </c>
      <c r="Y156" s="150"/>
      <c r="Z156" s="151"/>
      <c r="AA156" s="93">
        <f t="shared" si="49"/>
        <v>0</v>
      </c>
      <c r="AB156" s="9"/>
      <c r="AC156" s="83"/>
    </row>
    <row r="157" spans="2:29" ht="17" thickTop="1" thickBot="1" x14ac:dyDescent="0.25">
      <c r="B157" s="83"/>
      <c r="D157" s="56" t="str">
        <f t="shared" si="40"/>
        <v>Transition Probability from state 1 to state 5 on day 19 (Non-CHG)</v>
      </c>
      <c r="E157" s="61"/>
      <c r="F157" s="151"/>
      <c r="G157" s="93">
        <f t="shared" si="41"/>
        <v>0</v>
      </c>
      <c r="I157" s="56" t="str">
        <f t="shared" si="42"/>
        <v>Transition Probability from state 2 to state 5 on day 19 (Non-CHG)</v>
      </c>
      <c r="J157" s="61"/>
      <c r="K157" s="151"/>
      <c r="L157" s="93">
        <f t="shared" si="43"/>
        <v>0</v>
      </c>
      <c r="N157" s="56" t="str">
        <f t="shared" si="44"/>
        <v>Transition Probability from state 3 to state 5 on day 19 (Non-CHG)</v>
      </c>
      <c r="O157" s="61"/>
      <c r="P157" s="151">
        <v>0</v>
      </c>
      <c r="Q157" s="93">
        <f t="shared" si="45"/>
        <v>0</v>
      </c>
      <c r="S157" s="56" t="str">
        <f t="shared" si="46"/>
        <v>Transition Probability from state 4 to state 5 on day 19 (Non-CHG)</v>
      </c>
      <c r="T157" s="150"/>
      <c r="U157" s="151">
        <v>0</v>
      </c>
      <c r="V157" s="93">
        <f t="shared" si="47"/>
        <v>0</v>
      </c>
      <c r="X157" s="56" t="str">
        <f t="shared" si="48"/>
        <v>Transition Probability from state 6 to state 5 on day 19 (Non-CHG)</v>
      </c>
      <c r="Y157" s="150"/>
      <c r="Z157" s="151"/>
      <c r="AA157" s="93">
        <f t="shared" si="49"/>
        <v>0</v>
      </c>
      <c r="AB157" s="9"/>
      <c r="AC157" s="83"/>
    </row>
    <row r="158" spans="2:29" ht="17" thickTop="1" thickBot="1" x14ac:dyDescent="0.25">
      <c r="B158" s="83"/>
      <c r="D158" s="56" t="str">
        <f t="shared" si="40"/>
        <v>Transition Probability from state 1 to state 5 on day 20 (Non-CHG)</v>
      </c>
      <c r="E158" s="61"/>
      <c r="F158" s="151">
        <v>4.4843049327354259E-3</v>
      </c>
      <c r="G158" s="93">
        <f t="shared" si="41"/>
        <v>4.4843049327354259E-3</v>
      </c>
      <c r="I158" s="56" t="str">
        <f t="shared" si="42"/>
        <v>Transition Probability from state 2 to state 5 on day 20 (Non-CHG)</v>
      </c>
      <c r="J158" s="61"/>
      <c r="K158" s="151"/>
      <c r="L158" s="93">
        <f t="shared" si="43"/>
        <v>0</v>
      </c>
      <c r="N158" s="56" t="str">
        <f t="shared" si="44"/>
        <v>Transition Probability from state 3 to state 5 on day 20 (Non-CHG)</v>
      </c>
      <c r="O158" s="61"/>
      <c r="P158" s="151">
        <v>0</v>
      </c>
      <c r="Q158" s="93">
        <f t="shared" si="45"/>
        <v>0</v>
      </c>
      <c r="S158" s="56" t="str">
        <f t="shared" si="46"/>
        <v>Transition Probability from state 4 to state 5 on day 20 (Non-CHG)</v>
      </c>
      <c r="T158" s="150"/>
      <c r="U158" s="151">
        <v>0</v>
      </c>
      <c r="V158" s="93">
        <f t="shared" si="47"/>
        <v>0</v>
      </c>
      <c r="X158" s="56" t="str">
        <f t="shared" si="48"/>
        <v>Transition Probability from state 6 to state 5 on day 20 (Non-CHG)</v>
      </c>
      <c r="Y158" s="150"/>
      <c r="Z158" s="151"/>
      <c r="AA158" s="93">
        <f t="shared" si="49"/>
        <v>0</v>
      </c>
      <c r="AB158" s="9"/>
      <c r="AC158" s="83"/>
    </row>
    <row r="159" spans="2:29" ht="17" thickTop="1" thickBot="1" x14ac:dyDescent="0.25">
      <c r="B159" s="83"/>
      <c r="D159" s="56" t="str">
        <f t="shared" si="40"/>
        <v>Transition Probability from state 1 to state 5 on day 21 (Non-CHG)</v>
      </c>
      <c r="E159" s="61"/>
      <c r="F159" s="151"/>
      <c r="G159" s="93">
        <f t="shared" si="41"/>
        <v>0</v>
      </c>
      <c r="I159" s="56" t="str">
        <f t="shared" si="42"/>
        <v>Transition Probability from state 2 to state 5 on day 21 (Non-CHG)</v>
      </c>
      <c r="J159" s="61"/>
      <c r="K159" s="151"/>
      <c r="L159" s="93">
        <f t="shared" si="43"/>
        <v>0</v>
      </c>
      <c r="N159" s="56" t="str">
        <f t="shared" si="44"/>
        <v>Transition Probability from state 3 to state 5 on day 21 (Non-CHG)</v>
      </c>
      <c r="O159" s="61"/>
      <c r="P159" s="151">
        <v>0</v>
      </c>
      <c r="Q159" s="93">
        <f t="shared" si="45"/>
        <v>0</v>
      </c>
      <c r="S159" s="56" t="str">
        <f t="shared" si="46"/>
        <v>Transition Probability from state 4 to state 5 on day 21 (Non-CHG)</v>
      </c>
      <c r="T159" s="150"/>
      <c r="U159" s="151">
        <v>0</v>
      </c>
      <c r="V159" s="93">
        <f t="shared" si="47"/>
        <v>0</v>
      </c>
      <c r="X159" s="56" t="str">
        <f t="shared" si="48"/>
        <v>Transition Probability from state 6 to state 5 on day 21 (Non-CHG)</v>
      </c>
      <c r="Y159" s="150"/>
      <c r="Z159" s="151"/>
      <c r="AA159" s="93">
        <f t="shared" si="49"/>
        <v>0</v>
      </c>
      <c r="AB159" s="9"/>
      <c r="AC159" s="83"/>
    </row>
    <row r="160" spans="2:29" ht="17" thickTop="1" thickBot="1" x14ac:dyDescent="0.25">
      <c r="B160" s="83"/>
      <c r="D160" s="56" t="str">
        <f t="shared" si="40"/>
        <v>Transition Probability from state 1 to state 5 on day 22 (Non-CHG)</v>
      </c>
      <c r="E160" s="61"/>
      <c r="F160" s="151"/>
      <c r="G160" s="93">
        <f t="shared" si="41"/>
        <v>0</v>
      </c>
      <c r="I160" s="56" t="str">
        <f t="shared" si="42"/>
        <v>Transition Probability from state 2 to state 5 on day 22 (Non-CHG)</v>
      </c>
      <c r="J160" s="61"/>
      <c r="K160" s="151"/>
      <c r="L160" s="93">
        <f t="shared" si="43"/>
        <v>0</v>
      </c>
      <c r="N160" s="56" t="str">
        <f t="shared" si="44"/>
        <v>Transition Probability from state 3 to state 5 on day 22 (Non-CHG)</v>
      </c>
      <c r="O160" s="61"/>
      <c r="P160" s="151">
        <v>0</v>
      </c>
      <c r="Q160" s="93">
        <f t="shared" si="45"/>
        <v>0</v>
      </c>
      <c r="S160" s="56" t="str">
        <f t="shared" si="46"/>
        <v>Transition Probability from state 4 to state 5 on day 22 (Non-CHG)</v>
      </c>
      <c r="T160" s="150"/>
      <c r="U160" s="151">
        <v>0</v>
      </c>
      <c r="V160" s="93">
        <f t="shared" si="47"/>
        <v>0</v>
      </c>
      <c r="X160" s="56" t="str">
        <f t="shared" si="48"/>
        <v>Transition Probability from state 6 to state 5 on day 22 (Non-CHG)</v>
      </c>
      <c r="Y160" s="150"/>
      <c r="Z160" s="151"/>
      <c r="AA160" s="93">
        <f t="shared" si="49"/>
        <v>0</v>
      </c>
      <c r="AB160" s="9"/>
      <c r="AC160" s="83"/>
    </row>
    <row r="161" spans="2:29" ht="17" thickTop="1" thickBot="1" x14ac:dyDescent="0.25">
      <c r="B161" s="83"/>
      <c r="D161" s="56" t="str">
        <f t="shared" si="40"/>
        <v>Transition Probability from state 1 to state 5 on day 23 (Non-CHG)</v>
      </c>
      <c r="E161" s="61"/>
      <c r="F161" s="151">
        <v>5.681818181818182E-3</v>
      </c>
      <c r="G161" s="93">
        <f t="shared" si="41"/>
        <v>5.681818181818182E-3</v>
      </c>
      <c r="I161" s="56" t="str">
        <f t="shared" si="42"/>
        <v>Transition Probability from state 2 to state 5 on day 23 (Non-CHG)</v>
      </c>
      <c r="J161" s="61"/>
      <c r="K161" s="151"/>
      <c r="L161" s="93">
        <f t="shared" si="43"/>
        <v>0</v>
      </c>
      <c r="N161" s="56" t="str">
        <f t="shared" si="44"/>
        <v>Transition Probability from state 3 to state 5 on day 23 (Non-CHG)</v>
      </c>
      <c r="O161" s="61"/>
      <c r="P161" s="151">
        <v>0</v>
      </c>
      <c r="Q161" s="93">
        <f t="shared" si="45"/>
        <v>0</v>
      </c>
      <c r="S161" s="56" t="str">
        <f t="shared" si="46"/>
        <v>Transition Probability from state 4 to state 5 on day 23 (Non-CHG)</v>
      </c>
      <c r="T161" s="150"/>
      <c r="U161" s="151">
        <v>0</v>
      </c>
      <c r="V161" s="93">
        <f t="shared" si="47"/>
        <v>0</v>
      </c>
      <c r="X161" s="56" t="str">
        <f t="shared" si="48"/>
        <v>Transition Probability from state 6 to state 5 on day 23 (Non-CHG)</v>
      </c>
      <c r="Y161" s="150"/>
      <c r="Z161" s="151"/>
      <c r="AA161" s="93">
        <f t="shared" si="49"/>
        <v>0</v>
      </c>
      <c r="AB161" s="9"/>
      <c r="AC161" s="83"/>
    </row>
    <row r="162" spans="2:29" ht="17" thickTop="1" thickBot="1" x14ac:dyDescent="0.25">
      <c r="B162" s="83"/>
      <c r="D162" s="56" t="str">
        <f t="shared" si="40"/>
        <v>Transition Probability from state 1 to state 5 on day 24 (Non-CHG)</v>
      </c>
      <c r="E162" s="61"/>
      <c r="F162" s="151"/>
      <c r="G162" s="93">
        <f t="shared" si="41"/>
        <v>0</v>
      </c>
      <c r="I162" s="56" t="str">
        <f t="shared" si="42"/>
        <v>Transition Probability from state 2 to state 5 on day 24 (Non-CHG)</v>
      </c>
      <c r="J162" s="61"/>
      <c r="K162" s="151"/>
      <c r="L162" s="93">
        <f t="shared" si="43"/>
        <v>0</v>
      </c>
      <c r="N162" s="56" t="str">
        <f t="shared" si="44"/>
        <v>Transition Probability from state 3 to state 5 on day 24 (Non-CHG)</v>
      </c>
      <c r="O162" s="61"/>
      <c r="P162" s="151">
        <v>0</v>
      </c>
      <c r="Q162" s="93">
        <f t="shared" si="45"/>
        <v>0</v>
      </c>
      <c r="S162" s="56" t="str">
        <f t="shared" si="46"/>
        <v>Transition Probability from state 4 to state 5 on day 24 (Non-CHG)</v>
      </c>
      <c r="T162" s="150"/>
      <c r="U162" s="151">
        <v>0</v>
      </c>
      <c r="V162" s="93">
        <f t="shared" si="47"/>
        <v>0</v>
      </c>
      <c r="X162" s="56" t="str">
        <f t="shared" si="48"/>
        <v>Transition Probability from state 6 to state 5 on day 24 (Non-CHG)</v>
      </c>
      <c r="Y162" s="150"/>
      <c r="Z162" s="151"/>
      <c r="AA162" s="93">
        <f t="shared" si="49"/>
        <v>0</v>
      </c>
      <c r="AB162" s="9"/>
      <c r="AC162" s="83"/>
    </row>
    <row r="163" spans="2:29" ht="17" thickTop="1" thickBot="1" x14ac:dyDescent="0.25">
      <c r="B163" s="83"/>
      <c r="D163" s="56" t="str">
        <f t="shared" si="40"/>
        <v>Transition Probability from state 1 to state 5 on day 25 (Non-CHG)</v>
      </c>
      <c r="E163" s="61"/>
      <c r="F163" s="151">
        <v>6.3291139240506328E-3</v>
      </c>
      <c r="G163" s="93">
        <f t="shared" si="41"/>
        <v>6.3291139240506328E-3</v>
      </c>
      <c r="I163" s="56" t="str">
        <f t="shared" si="42"/>
        <v>Transition Probability from state 2 to state 5 on day 25 (Non-CHG)</v>
      </c>
      <c r="J163" s="61"/>
      <c r="K163" s="151"/>
      <c r="L163" s="93">
        <f t="shared" si="43"/>
        <v>0</v>
      </c>
      <c r="N163" s="56" t="str">
        <f t="shared" si="44"/>
        <v>Transition Probability from state 3 to state 5 on day 25 (Non-CHG)</v>
      </c>
      <c r="O163" s="61"/>
      <c r="P163" s="151">
        <v>0</v>
      </c>
      <c r="Q163" s="93">
        <f t="shared" si="45"/>
        <v>0</v>
      </c>
      <c r="S163" s="56" t="str">
        <f t="shared" si="46"/>
        <v>Transition Probability from state 4 to state 5 on day 25 (Non-CHG)</v>
      </c>
      <c r="T163" s="150"/>
      <c r="U163" s="151">
        <v>0</v>
      </c>
      <c r="V163" s="93">
        <f t="shared" si="47"/>
        <v>0</v>
      </c>
      <c r="X163" s="56" t="str">
        <f t="shared" si="48"/>
        <v>Transition Probability from state 6 to state 5 on day 25 (Non-CHG)</v>
      </c>
      <c r="Y163" s="150"/>
      <c r="Z163" s="151">
        <v>1</v>
      </c>
      <c r="AA163" s="93">
        <f t="shared" si="49"/>
        <v>1</v>
      </c>
      <c r="AB163" s="9"/>
      <c r="AC163" s="83"/>
    </row>
    <row r="164" spans="2:29" ht="17" thickTop="1" thickBot="1" x14ac:dyDescent="0.25">
      <c r="B164" s="83"/>
      <c r="D164" s="56" t="str">
        <f t="shared" si="40"/>
        <v>Transition Probability from state 1 to state 5 on day 26 (Non-CHG)</v>
      </c>
      <c r="E164" s="61"/>
      <c r="F164" s="151"/>
      <c r="G164" s="93">
        <f t="shared" si="41"/>
        <v>0</v>
      </c>
      <c r="I164" s="56" t="str">
        <f t="shared" si="42"/>
        <v>Transition Probability from state 2 to state 5 on day 26 (Non-CHG)</v>
      </c>
      <c r="J164" s="61"/>
      <c r="K164" s="151"/>
      <c r="L164" s="93">
        <f t="shared" si="43"/>
        <v>0</v>
      </c>
      <c r="N164" s="56" t="str">
        <f t="shared" si="44"/>
        <v>Transition Probability from state 3 to state 5 on day 26 (Non-CHG)</v>
      </c>
      <c r="O164" s="61"/>
      <c r="P164" s="151">
        <v>0</v>
      </c>
      <c r="Q164" s="93">
        <f t="shared" si="45"/>
        <v>0</v>
      </c>
      <c r="S164" s="56" t="str">
        <f t="shared" si="46"/>
        <v>Transition Probability from state 4 to state 5 on day 26 (Non-CHG)</v>
      </c>
      <c r="T164" s="150"/>
      <c r="U164" s="151">
        <v>0</v>
      </c>
      <c r="V164" s="93">
        <f t="shared" si="47"/>
        <v>0</v>
      </c>
      <c r="X164" s="56" t="str">
        <f t="shared" si="48"/>
        <v>Transition Probability from state 6 to state 5 on day 26 (Non-CHG)</v>
      </c>
      <c r="Y164" s="150"/>
      <c r="Z164" s="151"/>
      <c r="AA164" s="93">
        <f t="shared" si="49"/>
        <v>0</v>
      </c>
      <c r="AB164" s="9"/>
      <c r="AC164" s="83"/>
    </row>
    <row r="165" spans="2:29" ht="17" thickTop="1" thickBot="1" x14ac:dyDescent="0.25">
      <c r="B165" s="83"/>
      <c r="D165" s="56" t="str">
        <f t="shared" si="40"/>
        <v>Transition Probability from state 1 to state 5 on day 27 (Non-CHG)</v>
      </c>
      <c r="E165" s="61"/>
      <c r="F165" s="151"/>
      <c r="G165" s="93">
        <f t="shared" si="41"/>
        <v>0</v>
      </c>
      <c r="I165" s="56" t="str">
        <f t="shared" si="42"/>
        <v>Transition Probability from state 2 to state 5 on day 27 (Non-CHG)</v>
      </c>
      <c r="J165" s="61"/>
      <c r="K165" s="151"/>
      <c r="L165" s="93">
        <f t="shared" si="43"/>
        <v>0</v>
      </c>
      <c r="N165" s="56" t="str">
        <f t="shared" si="44"/>
        <v>Transition Probability from state 3 to state 5 on day 27 (Non-CHG)</v>
      </c>
      <c r="O165" s="61"/>
      <c r="P165" s="151">
        <v>0</v>
      </c>
      <c r="Q165" s="93">
        <f t="shared" si="45"/>
        <v>0</v>
      </c>
      <c r="S165" s="56" t="str">
        <f t="shared" si="46"/>
        <v>Transition Probability from state 4 to state 5 on day 27 (Non-CHG)</v>
      </c>
      <c r="T165" s="150"/>
      <c r="U165" s="151">
        <v>0</v>
      </c>
      <c r="V165" s="93">
        <f t="shared" si="47"/>
        <v>0</v>
      </c>
      <c r="X165" s="56" t="str">
        <f t="shared" si="48"/>
        <v>Transition Probability from state 6 to state 5 on day 27 (Non-CHG)</v>
      </c>
      <c r="Y165" s="150"/>
      <c r="Z165" s="151"/>
      <c r="AA165" s="93">
        <f t="shared" si="49"/>
        <v>0</v>
      </c>
      <c r="AB165" s="9"/>
      <c r="AC165" s="83"/>
    </row>
    <row r="166" spans="2:29" ht="17" thickTop="1" thickBot="1" x14ac:dyDescent="0.25">
      <c r="B166" s="83"/>
      <c r="D166" s="56" t="str">
        <f t="shared" si="40"/>
        <v>Transition Probability from state 1 to state 5 on day 28 (Non-CHG)</v>
      </c>
      <c r="E166" s="61"/>
      <c r="F166" s="151">
        <v>7.6923076923076927E-3</v>
      </c>
      <c r="G166" s="93">
        <f t="shared" si="41"/>
        <v>7.6923076923076927E-3</v>
      </c>
      <c r="I166" s="56" t="str">
        <f t="shared" si="42"/>
        <v>Transition Probability from state 2 to state 5 on day 28 (Non-CHG)</v>
      </c>
      <c r="J166" s="61"/>
      <c r="K166" s="151"/>
      <c r="L166" s="93">
        <f t="shared" si="43"/>
        <v>0</v>
      </c>
      <c r="N166" s="56" t="str">
        <f t="shared" si="44"/>
        <v>Transition Probability from state 3 to state 5 on day 28 (Non-CHG)</v>
      </c>
      <c r="O166" s="61"/>
      <c r="P166" s="151">
        <v>0</v>
      </c>
      <c r="Q166" s="93">
        <f t="shared" si="45"/>
        <v>0</v>
      </c>
      <c r="S166" s="56" t="str">
        <f t="shared" si="46"/>
        <v>Transition Probability from state 4 to state 5 on day 28 (Non-CHG)</v>
      </c>
      <c r="T166" s="150"/>
      <c r="U166" s="151">
        <v>0</v>
      </c>
      <c r="V166" s="93">
        <f t="shared" si="47"/>
        <v>0</v>
      </c>
      <c r="X166" s="56" t="str">
        <f t="shared" si="48"/>
        <v>Transition Probability from state 6 to state 5 on day 28 (Non-CHG)</v>
      </c>
      <c r="Y166" s="150"/>
      <c r="Z166" s="151"/>
      <c r="AA166" s="93">
        <f t="shared" si="49"/>
        <v>0</v>
      </c>
      <c r="AB166" s="9"/>
      <c r="AC166" s="83"/>
    </row>
    <row r="167" spans="2:29" ht="17" thickTop="1" thickBot="1" x14ac:dyDescent="0.25">
      <c r="B167" s="83"/>
      <c r="D167" s="56" t="str">
        <f t="shared" si="40"/>
        <v>Transition Probability from state 1 to state 5 on day 29 (Non-CHG)</v>
      </c>
      <c r="E167" s="61"/>
      <c r="F167" s="151">
        <v>8.2644628099173556E-3</v>
      </c>
      <c r="G167" s="93">
        <f t="shared" si="41"/>
        <v>8.2644628099173556E-3</v>
      </c>
      <c r="I167" s="56" t="str">
        <f t="shared" si="42"/>
        <v>Transition Probability from state 2 to state 5 on day 29 (Non-CHG)</v>
      </c>
      <c r="J167" s="61"/>
      <c r="K167" s="151"/>
      <c r="L167" s="93">
        <f t="shared" si="43"/>
        <v>0</v>
      </c>
      <c r="N167" s="56" t="str">
        <f t="shared" si="44"/>
        <v>Transition Probability from state 3 to state 5 on day 29 (Non-CHG)</v>
      </c>
      <c r="O167" s="61"/>
      <c r="P167" s="151">
        <v>0</v>
      </c>
      <c r="Q167" s="93">
        <f t="shared" si="45"/>
        <v>0</v>
      </c>
      <c r="S167" s="56" t="str">
        <f t="shared" si="46"/>
        <v>Transition Probability from state 4 to state 5 on day 29 (Non-CHG)</v>
      </c>
      <c r="T167" s="150"/>
      <c r="U167" s="151">
        <v>0</v>
      </c>
      <c r="V167" s="93">
        <f t="shared" si="47"/>
        <v>0</v>
      </c>
      <c r="X167" s="56" t="str">
        <f t="shared" si="48"/>
        <v>Transition Probability from state 6 to state 5 on day 29 (Non-CHG)</v>
      </c>
      <c r="Y167" s="150"/>
      <c r="Z167" s="151"/>
      <c r="AA167" s="93">
        <f t="shared" si="49"/>
        <v>0</v>
      </c>
      <c r="AB167" s="9"/>
      <c r="AC167" s="83"/>
    </row>
    <row r="168" spans="2:29" ht="17" thickTop="1" thickBot="1" x14ac:dyDescent="0.25">
      <c r="B168" s="83"/>
      <c r="D168" s="56" t="str">
        <f t="shared" si="40"/>
        <v>Transition Probability from state 1 to state 5 on day 30 (Non-CHG)</v>
      </c>
      <c r="E168" s="61"/>
      <c r="F168" s="151"/>
      <c r="G168" s="93">
        <f t="shared" si="41"/>
        <v>0</v>
      </c>
      <c r="I168" s="56" t="str">
        <f t="shared" si="42"/>
        <v>Transition Probability from state 2 to state 5 on day 30 (Non-CHG)</v>
      </c>
      <c r="J168" s="61"/>
      <c r="K168" s="151"/>
      <c r="L168" s="93">
        <f t="shared" si="43"/>
        <v>0</v>
      </c>
      <c r="N168" s="56" t="str">
        <f t="shared" si="44"/>
        <v>Transition Probability from state 3 to state 5 on day 30 (Non-CHG)</v>
      </c>
      <c r="O168" s="61"/>
      <c r="P168" s="151">
        <v>0</v>
      </c>
      <c r="Q168" s="93">
        <f t="shared" si="45"/>
        <v>0</v>
      </c>
      <c r="S168" s="56" t="str">
        <f t="shared" si="46"/>
        <v>Transition Probability from state 4 to state 5 on day 30 (Non-CHG)</v>
      </c>
      <c r="T168" s="150"/>
      <c r="U168" s="151">
        <v>0</v>
      </c>
      <c r="V168" s="93">
        <f t="shared" si="47"/>
        <v>0</v>
      </c>
      <c r="X168" s="56" t="str">
        <f t="shared" si="48"/>
        <v>Transition Probability from state 6 to state 5 on day 30 (Non-CHG)</v>
      </c>
      <c r="Y168" s="150"/>
      <c r="Z168" s="151">
        <v>1</v>
      </c>
      <c r="AA168" s="93">
        <f t="shared" si="49"/>
        <v>1</v>
      </c>
      <c r="AB168" s="9"/>
      <c r="AC168" s="83"/>
    </row>
    <row r="169" spans="2:29" ht="16" thickTop="1" x14ac:dyDescent="0.2">
      <c r="B169" s="83"/>
      <c r="AB169" s="9"/>
      <c r="AC169" s="83"/>
    </row>
    <row r="170" spans="2:29" x14ac:dyDescent="0.2">
      <c r="B170" s="83"/>
      <c r="AB170" s="9"/>
      <c r="AC170" s="83"/>
    </row>
    <row r="171" spans="2:29" x14ac:dyDescent="0.2">
      <c r="B171" s="83"/>
      <c r="D171" s="231" t="s">
        <v>210</v>
      </c>
      <c r="E171" s="231"/>
      <c r="F171" s="231"/>
      <c r="G171" s="231"/>
      <c r="AB171" s="9"/>
      <c r="AC171" s="83"/>
    </row>
    <row r="172" spans="2:29" ht="16" thickBot="1" x14ac:dyDescent="0.25">
      <c r="B172" s="83"/>
      <c r="D172" s="195" t="str">
        <f>"Transition Probability from state 5 to state 6 on day"&amp; " "&amp;C11&amp;" "&amp;"(Non-CHG)"</f>
        <v>Transition Probability from state 5 to state 6 on day 1 (Non-CHG)</v>
      </c>
      <c r="E172" s="196"/>
      <c r="F172" s="197"/>
      <c r="G172" s="198">
        <f>IF(E172="",F172,E172)</f>
        <v>0</v>
      </c>
      <c r="AB172" s="9"/>
      <c r="AC172" s="83"/>
    </row>
    <row r="173" spans="2:29" ht="17" thickTop="1" thickBot="1" x14ac:dyDescent="0.25">
      <c r="B173" s="83"/>
      <c r="D173" s="56" t="str">
        <f t="shared" ref="D173:D201" si="50">"Transition Probability from state 5 to state 6 on day"&amp; " "&amp;C12&amp;" "&amp;"(Non-CHG)"</f>
        <v>Transition Probability from state 5 to state 6 on day 2 (Non-CHG)</v>
      </c>
      <c r="E173" s="61"/>
      <c r="F173" s="151"/>
      <c r="G173" s="93">
        <f t="shared" ref="G173:G201" si="51">IF(E173="",F173,E173)</f>
        <v>0</v>
      </c>
      <c r="AB173" s="9"/>
      <c r="AC173" s="83"/>
    </row>
    <row r="174" spans="2:29" ht="17" thickTop="1" thickBot="1" x14ac:dyDescent="0.25">
      <c r="B174" s="83"/>
      <c r="D174" s="56" t="str">
        <f t="shared" si="50"/>
        <v>Transition Probability from state 5 to state 6 on day 3 (Non-CHG)</v>
      </c>
      <c r="E174" s="61"/>
      <c r="F174" s="151"/>
      <c r="G174" s="93">
        <f t="shared" si="51"/>
        <v>0</v>
      </c>
      <c r="AB174" s="9"/>
      <c r="AC174" s="83"/>
    </row>
    <row r="175" spans="2:29" ht="17" thickTop="1" thickBot="1" x14ac:dyDescent="0.25">
      <c r="B175" s="83"/>
      <c r="D175" s="56" t="str">
        <f t="shared" si="50"/>
        <v>Transition Probability from state 5 to state 6 on day 4 (Non-CHG)</v>
      </c>
      <c r="E175" s="61"/>
      <c r="F175" s="151"/>
      <c r="G175" s="93">
        <f t="shared" si="51"/>
        <v>0</v>
      </c>
      <c r="AB175" s="9"/>
      <c r="AC175" s="83"/>
    </row>
    <row r="176" spans="2:29" ht="17" thickTop="1" thickBot="1" x14ac:dyDescent="0.25">
      <c r="B176" s="83"/>
      <c r="D176" s="56" t="str">
        <f t="shared" si="50"/>
        <v>Transition Probability from state 5 to state 6 on day 5 (Non-CHG)</v>
      </c>
      <c r="E176" s="61"/>
      <c r="F176" s="151"/>
      <c r="G176" s="93">
        <f t="shared" si="51"/>
        <v>0</v>
      </c>
      <c r="AB176" s="9"/>
      <c r="AC176" s="83"/>
    </row>
    <row r="177" spans="2:29" ht="17" thickTop="1" thickBot="1" x14ac:dyDescent="0.25">
      <c r="B177" s="83"/>
      <c r="D177" s="56" t="str">
        <f t="shared" si="50"/>
        <v>Transition Probability from state 5 to state 6 on day 6 (Non-CHG)</v>
      </c>
      <c r="E177" s="61"/>
      <c r="F177" s="151"/>
      <c r="G177" s="93">
        <f t="shared" si="51"/>
        <v>0</v>
      </c>
      <c r="AB177" s="9"/>
      <c r="AC177" s="83"/>
    </row>
    <row r="178" spans="2:29" ht="17" thickTop="1" thickBot="1" x14ac:dyDescent="0.25">
      <c r="B178" s="83"/>
      <c r="D178" s="56" t="str">
        <f t="shared" si="50"/>
        <v>Transition Probability from state 5 to state 6 on day 7 (Non-CHG)</v>
      </c>
      <c r="E178" s="61"/>
      <c r="F178" s="151">
        <v>1</v>
      </c>
      <c r="G178" s="93">
        <f t="shared" si="51"/>
        <v>1</v>
      </c>
      <c r="AB178" s="9"/>
      <c r="AC178" s="83"/>
    </row>
    <row r="179" spans="2:29" ht="17" thickTop="1" thickBot="1" x14ac:dyDescent="0.25">
      <c r="B179" s="83"/>
      <c r="D179" s="56" t="str">
        <f t="shared" si="50"/>
        <v>Transition Probability from state 5 to state 6 on day 8 (Non-CHG)</v>
      </c>
      <c r="E179" s="61"/>
      <c r="F179" s="151">
        <v>1</v>
      </c>
      <c r="G179" s="93">
        <f t="shared" si="51"/>
        <v>1</v>
      </c>
      <c r="AB179" s="9"/>
      <c r="AC179" s="83"/>
    </row>
    <row r="180" spans="2:29" ht="17" thickTop="1" thickBot="1" x14ac:dyDescent="0.25">
      <c r="B180" s="83"/>
      <c r="D180" s="56" t="str">
        <f t="shared" si="50"/>
        <v>Transition Probability from state 5 to state 6 on day 9 (Non-CHG)</v>
      </c>
      <c r="E180" s="61"/>
      <c r="F180" s="151"/>
      <c r="G180" s="93">
        <f t="shared" si="51"/>
        <v>0</v>
      </c>
      <c r="AB180" s="9"/>
      <c r="AC180" s="83"/>
    </row>
    <row r="181" spans="2:29" ht="17" thickTop="1" thickBot="1" x14ac:dyDescent="0.25">
      <c r="B181" s="83"/>
      <c r="D181" s="56" t="str">
        <f t="shared" si="50"/>
        <v>Transition Probability from state 5 to state 6 on day 10 (Non-CHG)</v>
      </c>
      <c r="E181" s="61"/>
      <c r="F181" s="151">
        <v>1</v>
      </c>
      <c r="G181" s="93">
        <f t="shared" si="51"/>
        <v>1</v>
      </c>
      <c r="AB181" s="9"/>
      <c r="AC181" s="83"/>
    </row>
    <row r="182" spans="2:29" ht="17" thickTop="1" thickBot="1" x14ac:dyDescent="0.25">
      <c r="B182" s="83"/>
      <c r="D182" s="56" t="str">
        <f t="shared" si="50"/>
        <v>Transition Probability from state 5 to state 6 on day 11 (Non-CHG)</v>
      </c>
      <c r="E182" s="61"/>
      <c r="F182" s="151"/>
      <c r="G182" s="93">
        <f t="shared" si="51"/>
        <v>0</v>
      </c>
      <c r="AB182" s="9"/>
      <c r="AC182" s="83"/>
    </row>
    <row r="183" spans="2:29" ht="17" thickTop="1" thickBot="1" x14ac:dyDescent="0.25">
      <c r="B183" s="83"/>
      <c r="D183" s="56" t="str">
        <f t="shared" si="50"/>
        <v>Transition Probability from state 5 to state 6 on day 12 (Non-CHG)</v>
      </c>
      <c r="E183" s="61"/>
      <c r="F183" s="151"/>
      <c r="G183" s="93">
        <f t="shared" si="51"/>
        <v>0</v>
      </c>
      <c r="AB183" s="9"/>
      <c r="AC183" s="83"/>
    </row>
    <row r="184" spans="2:29" ht="17" thickTop="1" thickBot="1" x14ac:dyDescent="0.25">
      <c r="B184" s="83"/>
      <c r="D184" s="56" t="str">
        <f t="shared" si="50"/>
        <v>Transition Probability from state 5 to state 6 on day 13 (Non-CHG)</v>
      </c>
      <c r="E184" s="61"/>
      <c r="F184" s="151">
        <v>1</v>
      </c>
      <c r="G184" s="93">
        <f t="shared" si="51"/>
        <v>1</v>
      </c>
      <c r="AB184" s="9"/>
      <c r="AC184" s="83"/>
    </row>
    <row r="185" spans="2:29" ht="17" thickTop="1" thickBot="1" x14ac:dyDescent="0.25">
      <c r="B185" s="83"/>
      <c r="D185" s="56" t="str">
        <f t="shared" si="50"/>
        <v>Transition Probability from state 5 to state 6 on day 14 (Non-CHG)</v>
      </c>
      <c r="E185" s="61"/>
      <c r="F185" s="151"/>
      <c r="G185" s="93">
        <f t="shared" si="51"/>
        <v>0</v>
      </c>
      <c r="AB185" s="9"/>
      <c r="AC185" s="83"/>
    </row>
    <row r="186" spans="2:29" ht="17" thickTop="1" thickBot="1" x14ac:dyDescent="0.25">
      <c r="B186" s="83"/>
      <c r="D186" s="56" t="str">
        <f t="shared" si="50"/>
        <v>Transition Probability from state 5 to state 6 on day 15 (Non-CHG)</v>
      </c>
      <c r="E186" s="61"/>
      <c r="F186" s="151"/>
      <c r="G186" s="93">
        <f t="shared" si="51"/>
        <v>0</v>
      </c>
      <c r="AB186" s="9"/>
      <c r="AC186" s="83"/>
    </row>
    <row r="187" spans="2:29" ht="17" thickTop="1" thickBot="1" x14ac:dyDescent="0.25">
      <c r="B187" s="83"/>
      <c r="D187" s="56" t="str">
        <f t="shared" si="50"/>
        <v>Transition Probability from state 5 to state 6 on day 16 (Non-CHG)</v>
      </c>
      <c r="E187" s="61"/>
      <c r="F187" s="151"/>
      <c r="G187" s="93">
        <f t="shared" si="51"/>
        <v>0</v>
      </c>
      <c r="AB187" s="9"/>
      <c r="AC187" s="83"/>
    </row>
    <row r="188" spans="2:29" ht="17" thickTop="1" thickBot="1" x14ac:dyDescent="0.25">
      <c r="B188" s="83"/>
      <c r="D188" s="56" t="str">
        <f t="shared" si="50"/>
        <v>Transition Probability from state 5 to state 6 on day 17 (Non-CHG)</v>
      </c>
      <c r="E188" s="61"/>
      <c r="F188" s="151"/>
      <c r="G188" s="93">
        <f t="shared" si="51"/>
        <v>0</v>
      </c>
      <c r="AB188" s="9"/>
      <c r="AC188" s="83"/>
    </row>
    <row r="189" spans="2:29" ht="17" thickTop="1" thickBot="1" x14ac:dyDescent="0.25">
      <c r="B189" s="83"/>
      <c r="D189" s="56" t="str">
        <f t="shared" si="50"/>
        <v>Transition Probability from state 5 to state 6 on day 18 (Non-CHG)</v>
      </c>
      <c r="E189" s="61"/>
      <c r="F189" s="151">
        <v>1</v>
      </c>
      <c r="G189" s="93">
        <f t="shared" si="51"/>
        <v>1</v>
      </c>
      <c r="AB189" s="9"/>
      <c r="AC189" s="83"/>
    </row>
    <row r="190" spans="2:29" ht="17" thickTop="1" thickBot="1" x14ac:dyDescent="0.25">
      <c r="B190" s="83"/>
      <c r="D190" s="56" t="str">
        <f t="shared" si="50"/>
        <v>Transition Probability from state 5 to state 6 on day 19 (Non-CHG)</v>
      </c>
      <c r="E190" s="61"/>
      <c r="F190" s="151"/>
      <c r="G190" s="93">
        <f t="shared" si="51"/>
        <v>0</v>
      </c>
      <c r="AB190" s="9"/>
      <c r="AC190" s="83"/>
    </row>
    <row r="191" spans="2:29" ht="17" thickTop="1" thickBot="1" x14ac:dyDescent="0.25">
      <c r="B191" s="83"/>
      <c r="D191" s="56" t="str">
        <f t="shared" si="50"/>
        <v>Transition Probability from state 5 to state 6 on day 20 (Non-CHG)</v>
      </c>
      <c r="E191" s="61"/>
      <c r="F191" s="151"/>
      <c r="G191" s="93">
        <f t="shared" si="51"/>
        <v>0</v>
      </c>
      <c r="AB191" s="9"/>
      <c r="AC191" s="83"/>
    </row>
    <row r="192" spans="2:29" ht="17" thickTop="1" thickBot="1" x14ac:dyDescent="0.25">
      <c r="B192" s="83"/>
      <c r="D192" s="56" t="str">
        <f t="shared" si="50"/>
        <v>Transition Probability from state 5 to state 6 on day 21 (Non-CHG)</v>
      </c>
      <c r="E192" s="61"/>
      <c r="F192" s="151">
        <v>1</v>
      </c>
      <c r="G192" s="93">
        <f t="shared" si="51"/>
        <v>1</v>
      </c>
      <c r="AB192" s="9"/>
      <c r="AC192" s="83"/>
    </row>
    <row r="193" spans="2:29" ht="17" thickTop="1" thickBot="1" x14ac:dyDescent="0.25">
      <c r="B193" s="83"/>
      <c r="D193" s="56" t="str">
        <f t="shared" si="50"/>
        <v>Transition Probability from state 5 to state 6 on day 22 (Non-CHG)</v>
      </c>
      <c r="E193" s="61"/>
      <c r="F193" s="151"/>
      <c r="G193" s="93">
        <f t="shared" si="51"/>
        <v>0</v>
      </c>
      <c r="AB193" s="9"/>
      <c r="AC193" s="83"/>
    </row>
    <row r="194" spans="2:29" ht="17" thickTop="1" thickBot="1" x14ac:dyDescent="0.25">
      <c r="B194" s="83"/>
      <c r="D194" s="56" t="str">
        <f t="shared" si="50"/>
        <v>Transition Probability from state 5 to state 6 on day 23 (Non-CHG)</v>
      </c>
      <c r="E194" s="61"/>
      <c r="F194" s="151"/>
      <c r="G194" s="93">
        <f t="shared" si="51"/>
        <v>0</v>
      </c>
      <c r="AB194" s="9"/>
      <c r="AC194" s="83"/>
    </row>
    <row r="195" spans="2:29" ht="17" thickTop="1" thickBot="1" x14ac:dyDescent="0.25">
      <c r="B195" s="83"/>
      <c r="D195" s="56" t="str">
        <f t="shared" si="50"/>
        <v>Transition Probability from state 5 to state 6 on day 24 (Non-CHG)</v>
      </c>
      <c r="E195" s="61"/>
      <c r="F195" s="151">
        <v>1</v>
      </c>
      <c r="G195" s="93">
        <f t="shared" si="51"/>
        <v>1</v>
      </c>
      <c r="AB195" s="9"/>
      <c r="AC195" s="83"/>
    </row>
    <row r="196" spans="2:29" ht="17" thickTop="1" thickBot="1" x14ac:dyDescent="0.25">
      <c r="B196" s="83"/>
      <c r="D196" s="56" t="str">
        <f t="shared" si="50"/>
        <v>Transition Probability from state 5 to state 6 on day 25 (Non-CHG)</v>
      </c>
      <c r="E196" s="61"/>
      <c r="F196" s="151"/>
      <c r="G196" s="93">
        <f t="shared" si="51"/>
        <v>0</v>
      </c>
      <c r="AB196" s="9"/>
      <c r="AC196" s="83"/>
    </row>
    <row r="197" spans="2:29" ht="17" thickTop="1" thickBot="1" x14ac:dyDescent="0.25">
      <c r="B197" s="83"/>
      <c r="D197" s="56" t="str">
        <f t="shared" si="50"/>
        <v>Transition Probability from state 5 to state 6 on day 26 (Non-CHG)</v>
      </c>
      <c r="E197" s="61"/>
      <c r="F197" s="151">
        <v>1</v>
      </c>
      <c r="G197" s="93">
        <f t="shared" si="51"/>
        <v>1</v>
      </c>
      <c r="AB197" s="9"/>
      <c r="AC197" s="83"/>
    </row>
    <row r="198" spans="2:29" ht="17" thickTop="1" thickBot="1" x14ac:dyDescent="0.25">
      <c r="B198" s="83"/>
      <c r="D198" s="56" t="str">
        <f t="shared" si="50"/>
        <v>Transition Probability from state 5 to state 6 on day 27 (Non-CHG)</v>
      </c>
      <c r="E198" s="61"/>
      <c r="F198" s="151"/>
      <c r="G198" s="93">
        <f t="shared" si="51"/>
        <v>0</v>
      </c>
      <c r="AB198" s="9"/>
      <c r="AC198" s="83"/>
    </row>
    <row r="199" spans="2:29" ht="17" thickTop="1" thickBot="1" x14ac:dyDescent="0.25">
      <c r="B199" s="83"/>
      <c r="D199" s="56" t="str">
        <f t="shared" si="50"/>
        <v>Transition Probability from state 5 to state 6 on day 28 (Non-CHG)</v>
      </c>
      <c r="E199" s="61"/>
      <c r="F199" s="151"/>
      <c r="G199" s="93">
        <f t="shared" si="51"/>
        <v>0</v>
      </c>
      <c r="AB199" s="9"/>
      <c r="AC199" s="83"/>
    </row>
    <row r="200" spans="2:29" ht="17" thickTop="1" thickBot="1" x14ac:dyDescent="0.25">
      <c r="B200" s="83"/>
      <c r="D200" s="56" t="str">
        <f t="shared" si="50"/>
        <v>Transition Probability from state 5 to state 6 on day 29 (Non-CHG)</v>
      </c>
      <c r="E200" s="61"/>
      <c r="F200" s="151">
        <v>1</v>
      </c>
      <c r="G200" s="93">
        <f t="shared" si="51"/>
        <v>1</v>
      </c>
      <c r="AB200" s="9"/>
      <c r="AC200" s="83"/>
    </row>
    <row r="201" spans="2:29" ht="17" thickTop="1" thickBot="1" x14ac:dyDescent="0.25">
      <c r="B201" s="83"/>
      <c r="D201" s="56" t="str">
        <f t="shared" si="50"/>
        <v>Transition Probability from state 5 to state 6 on day 30 (Non-CHG)</v>
      </c>
      <c r="E201" s="61"/>
      <c r="F201" s="151">
        <v>1</v>
      </c>
      <c r="G201" s="93">
        <f t="shared" si="51"/>
        <v>1</v>
      </c>
      <c r="AB201" s="9"/>
      <c r="AC201" s="83"/>
    </row>
    <row r="202" spans="2:29" ht="16" thickTop="1" x14ac:dyDescent="0.2">
      <c r="B202" s="83"/>
      <c r="AB202" s="9"/>
      <c r="AC202" s="83"/>
    </row>
    <row r="203" spans="2:29" x14ac:dyDescent="0.2">
      <c r="B203" s="83"/>
      <c r="D203" s="231" t="s">
        <v>188</v>
      </c>
      <c r="E203" s="231"/>
      <c r="F203" s="231"/>
      <c r="G203" s="231"/>
      <c r="I203" s="231" t="s">
        <v>211</v>
      </c>
      <c r="J203" s="231"/>
      <c r="K203" s="231"/>
      <c r="L203" s="231"/>
      <c r="N203" s="231" t="s">
        <v>212</v>
      </c>
      <c r="O203" s="231"/>
      <c r="P203" s="231"/>
      <c r="Q203" s="231"/>
      <c r="S203" s="231" t="s">
        <v>213</v>
      </c>
      <c r="T203" s="231"/>
      <c r="U203" s="231"/>
      <c r="V203" s="231"/>
      <c r="X203" s="231" t="s">
        <v>214</v>
      </c>
      <c r="Y203" s="231"/>
      <c r="Z203" s="231"/>
      <c r="AA203" s="231"/>
      <c r="AB203" s="9"/>
      <c r="AC203" s="83"/>
    </row>
    <row r="204" spans="2:29" ht="16" thickBot="1" x14ac:dyDescent="0.25">
      <c r="B204" s="83"/>
      <c r="D204" s="195" t="str">
        <f t="shared" ref="D204:D233" si="52">"Transition Probability from state 1 to state 7 on day"&amp; " "&amp;C11&amp;" "&amp;"(Non-CHG)"</f>
        <v>Transition Probability from state 1 to state 7 on day 1 (Non-CHG)</v>
      </c>
      <c r="E204" s="196"/>
      <c r="F204" s="197">
        <v>3.2085561497326204E-3</v>
      </c>
      <c r="G204" s="198">
        <f>IF(E204="",F204,E204)</f>
        <v>3.2085561497326204E-3</v>
      </c>
      <c r="I204" s="195" t="str">
        <f t="shared" ref="I204:I233" si="53">"Transition Probability from state 2 to state 7 on day"&amp; " "&amp;C11&amp;" "&amp;"(Non-CHG)"</f>
        <v>Transition Probability from state 2 to state 7 on day 1 (Non-CHG)</v>
      </c>
      <c r="J204" s="196"/>
      <c r="K204" s="197"/>
      <c r="L204" s="198">
        <f>IF(J204="",K204,J204)</f>
        <v>0</v>
      </c>
      <c r="N204" s="195" t="str">
        <f t="shared" ref="N204:N233" si="54">"Transition Probability from state 3 to state 7 on day"&amp; " "&amp;C11&amp;" "&amp;"(Non-CHG)"</f>
        <v>Transition Probability from state 3 to state 7 on day 1 (Non-CHG)</v>
      </c>
      <c r="O204" s="196"/>
      <c r="P204" s="197">
        <v>0</v>
      </c>
      <c r="Q204" s="198">
        <f>IF(O204="",P204,O204)</f>
        <v>0</v>
      </c>
      <c r="S204" s="195" t="str">
        <f t="shared" ref="S204:S233" si="55">"Transition Probability from state 4 to state 7 on day"&amp; " "&amp;C11&amp;" "&amp;"(Non-CHG)"</f>
        <v>Transition Probability from state 4 to state 7 on day 1 (Non-CHG)</v>
      </c>
      <c r="T204" s="196"/>
      <c r="U204" s="197"/>
      <c r="V204" s="198">
        <f>IF(T204="",U204,T204)</f>
        <v>0</v>
      </c>
      <c r="X204" s="195" t="str">
        <f t="shared" ref="X204:X233" si="56">"Transition Probability from state 6 to state 7 on day"&amp; " "&amp;C11&amp;" "&amp;"(Non-CHG)"</f>
        <v>Transition Probability from state 6 to state 7 on day 1 (Non-CHG)</v>
      </c>
      <c r="Y204" s="196"/>
      <c r="Z204" s="197"/>
      <c r="AA204" s="198">
        <f>IF(Y204="",Z204,Y204)</f>
        <v>0</v>
      </c>
      <c r="AB204" s="9"/>
      <c r="AC204" s="83"/>
    </row>
    <row r="205" spans="2:29" ht="17" thickTop="1" thickBot="1" x14ac:dyDescent="0.25">
      <c r="B205" s="83"/>
      <c r="D205" s="56" t="str">
        <f t="shared" si="52"/>
        <v>Transition Probability from state 1 to state 7 on day 2 (Non-CHG)</v>
      </c>
      <c r="E205" s="61"/>
      <c r="F205" s="151">
        <v>2.7292576419213975E-2</v>
      </c>
      <c r="G205" s="93">
        <f t="shared" ref="G205:G233" si="57">IF(E205="",F205,E205)</f>
        <v>2.7292576419213975E-2</v>
      </c>
      <c r="I205" s="56" t="str">
        <f t="shared" si="53"/>
        <v>Transition Probability from state 2 to state 7 on day 2 (Non-CHG)</v>
      </c>
      <c r="J205" s="61"/>
      <c r="K205" s="151"/>
      <c r="L205" s="93">
        <f t="shared" ref="L205:L233" si="58">IF(J205="",K205,J205)</f>
        <v>0</v>
      </c>
      <c r="N205" s="56" t="str">
        <f t="shared" si="54"/>
        <v>Transition Probability from state 3 to state 7 on day 2 (Non-CHG)</v>
      </c>
      <c r="O205" s="61"/>
      <c r="P205" s="151">
        <v>0</v>
      </c>
      <c r="Q205" s="93">
        <f t="shared" ref="Q205:Q233" si="59">IF(O205="",P205,O205)</f>
        <v>0</v>
      </c>
      <c r="S205" s="56" t="str">
        <f t="shared" si="55"/>
        <v>Transition Probability from state 4 to state 7 on day 2 (Non-CHG)</v>
      </c>
      <c r="T205" s="61"/>
      <c r="U205" s="151"/>
      <c r="V205" s="93">
        <f t="shared" ref="V205:V233" si="60">IF(T205="",U205,T205)</f>
        <v>0</v>
      </c>
      <c r="X205" s="56" t="str">
        <f t="shared" si="56"/>
        <v>Transition Probability from state 6 to state 7 on day 2 (Non-CHG)</v>
      </c>
      <c r="Y205" s="61"/>
      <c r="Z205" s="151"/>
      <c r="AA205" s="93">
        <f t="shared" ref="AA205:AA233" si="61">IF(Y205="",Z205,Y205)</f>
        <v>0</v>
      </c>
      <c r="AB205" s="9"/>
      <c r="AC205" s="83"/>
    </row>
    <row r="206" spans="2:29" ht="17" thickTop="1" thickBot="1" x14ac:dyDescent="0.25">
      <c r="B206" s="83"/>
      <c r="D206" s="56" t="str">
        <f t="shared" si="52"/>
        <v>Transition Probability from state 1 to state 7 on day 3 (Non-CHG)</v>
      </c>
      <c r="E206" s="61"/>
      <c r="F206" s="151">
        <v>5.3635280095351609E-2</v>
      </c>
      <c r="G206" s="93">
        <f t="shared" si="57"/>
        <v>5.3635280095351609E-2</v>
      </c>
      <c r="I206" s="56" t="str">
        <f t="shared" si="53"/>
        <v>Transition Probability from state 2 to state 7 on day 3 (Non-CHG)</v>
      </c>
      <c r="J206" s="61"/>
      <c r="K206" s="151"/>
      <c r="L206" s="93">
        <f t="shared" si="58"/>
        <v>0</v>
      </c>
      <c r="N206" s="56" t="str">
        <f t="shared" si="54"/>
        <v>Transition Probability from state 3 to state 7 on day 3 (Non-CHG)</v>
      </c>
      <c r="O206" s="61"/>
      <c r="P206" s="151">
        <v>0</v>
      </c>
      <c r="Q206" s="93">
        <f t="shared" si="59"/>
        <v>0</v>
      </c>
      <c r="S206" s="56" t="str">
        <f t="shared" si="55"/>
        <v>Transition Probability from state 4 to state 7 on day 3 (Non-CHG)</v>
      </c>
      <c r="T206" s="61"/>
      <c r="U206" s="151"/>
      <c r="V206" s="93">
        <f t="shared" si="60"/>
        <v>0</v>
      </c>
      <c r="X206" s="56" t="str">
        <f t="shared" si="56"/>
        <v>Transition Probability from state 6 to state 7 on day 3 (Non-CHG)</v>
      </c>
      <c r="Y206" s="61"/>
      <c r="Z206" s="151"/>
      <c r="AA206" s="93">
        <f t="shared" si="61"/>
        <v>0</v>
      </c>
      <c r="AB206" s="9"/>
      <c r="AC206" s="83"/>
    </row>
    <row r="207" spans="2:29" ht="17" thickTop="1" thickBot="1" x14ac:dyDescent="0.25">
      <c r="B207" s="83"/>
      <c r="D207" s="56" t="str">
        <f t="shared" si="52"/>
        <v>Transition Probability from state 1 to state 7 on day 4 (Non-CHG)</v>
      </c>
      <c r="E207" s="61"/>
      <c r="F207" s="151">
        <v>5.4474708171206226E-2</v>
      </c>
      <c r="G207" s="93">
        <f t="shared" si="57"/>
        <v>5.4474708171206226E-2</v>
      </c>
      <c r="I207" s="56" t="str">
        <f t="shared" si="53"/>
        <v>Transition Probability from state 2 to state 7 on day 4 (Non-CHG)</v>
      </c>
      <c r="J207" s="61"/>
      <c r="K207" s="151"/>
      <c r="L207" s="93">
        <f t="shared" si="58"/>
        <v>0</v>
      </c>
      <c r="N207" s="56" t="str">
        <f t="shared" si="54"/>
        <v>Transition Probability from state 3 to state 7 on day 4 (Non-CHG)</v>
      </c>
      <c r="O207" s="61"/>
      <c r="P207" s="151">
        <v>0</v>
      </c>
      <c r="Q207" s="93">
        <f t="shared" si="59"/>
        <v>0</v>
      </c>
      <c r="S207" s="56" t="str">
        <f t="shared" si="55"/>
        <v>Transition Probability from state 4 to state 7 on day 4 (Non-CHG)</v>
      </c>
      <c r="T207" s="61"/>
      <c r="U207" s="151"/>
      <c r="V207" s="93">
        <f t="shared" si="60"/>
        <v>0</v>
      </c>
      <c r="X207" s="56" t="str">
        <f t="shared" si="56"/>
        <v>Transition Probability from state 6 to state 7 on day 4 (Non-CHG)</v>
      </c>
      <c r="Y207" s="61"/>
      <c r="Z207" s="151"/>
      <c r="AA207" s="93">
        <f t="shared" si="61"/>
        <v>0</v>
      </c>
      <c r="AB207" s="9"/>
      <c r="AC207" s="83"/>
    </row>
    <row r="208" spans="2:29" ht="17" thickTop="1" thickBot="1" x14ac:dyDescent="0.25">
      <c r="B208" s="83"/>
      <c r="D208" s="56" t="str">
        <f t="shared" si="52"/>
        <v>Transition Probability from state 1 to state 7 on day 5 (Non-CHG)</v>
      </c>
      <c r="E208" s="61"/>
      <c r="F208" s="151">
        <v>7.1129707112970716E-2</v>
      </c>
      <c r="G208" s="93">
        <f t="shared" si="57"/>
        <v>7.1129707112970716E-2</v>
      </c>
      <c r="I208" s="56" t="str">
        <f t="shared" si="53"/>
        <v>Transition Probability from state 2 to state 7 on day 5 (Non-CHG)</v>
      </c>
      <c r="J208" s="61"/>
      <c r="K208" s="151"/>
      <c r="L208" s="93">
        <f t="shared" si="58"/>
        <v>0</v>
      </c>
      <c r="N208" s="56" t="str">
        <f t="shared" si="54"/>
        <v>Transition Probability from state 3 to state 7 on day 5 (Non-CHG)</v>
      </c>
      <c r="O208" s="61"/>
      <c r="P208" s="151">
        <v>0</v>
      </c>
      <c r="Q208" s="93">
        <f t="shared" si="59"/>
        <v>0</v>
      </c>
      <c r="S208" s="56" t="str">
        <f t="shared" si="55"/>
        <v>Transition Probability from state 4 to state 7 on day 5 (Non-CHG)</v>
      </c>
      <c r="T208" s="61"/>
      <c r="U208" s="151"/>
      <c r="V208" s="93">
        <f t="shared" si="60"/>
        <v>0</v>
      </c>
      <c r="X208" s="56" t="str">
        <f t="shared" si="56"/>
        <v>Transition Probability from state 6 to state 7 on day 5 (Non-CHG)</v>
      </c>
      <c r="Y208" s="61"/>
      <c r="Z208" s="151"/>
      <c r="AA208" s="93">
        <f t="shared" si="61"/>
        <v>0</v>
      </c>
      <c r="AB208" s="9"/>
      <c r="AC208" s="83"/>
    </row>
    <row r="209" spans="2:29" ht="17" thickTop="1" thickBot="1" x14ac:dyDescent="0.25">
      <c r="B209" s="83"/>
      <c r="D209" s="56" t="str">
        <f t="shared" si="52"/>
        <v>Transition Probability from state 1 to state 7 on day 6 (Non-CHG)</v>
      </c>
      <c r="E209" s="61"/>
      <c r="F209" s="151">
        <v>7.8703703703703706E-2</v>
      </c>
      <c r="G209" s="93">
        <f t="shared" si="57"/>
        <v>7.8703703703703706E-2</v>
      </c>
      <c r="I209" s="56" t="str">
        <f t="shared" si="53"/>
        <v>Transition Probability from state 2 to state 7 on day 6 (Non-CHG)</v>
      </c>
      <c r="J209" s="61"/>
      <c r="K209" s="151"/>
      <c r="L209" s="93">
        <f t="shared" si="58"/>
        <v>0</v>
      </c>
      <c r="N209" s="56" t="str">
        <f t="shared" si="54"/>
        <v>Transition Probability from state 3 to state 7 on day 6 (Non-CHG)</v>
      </c>
      <c r="O209" s="61"/>
      <c r="P209" s="151">
        <v>0</v>
      </c>
      <c r="Q209" s="93">
        <f t="shared" si="59"/>
        <v>0</v>
      </c>
      <c r="S209" s="56" t="str">
        <f t="shared" si="55"/>
        <v>Transition Probability from state 4 to state 7 on day 6 (Non-CHG)</v>
      </c>
      <c r="T209" s="61"/>
      <c r="U209" s="151"/>
      <c r="V209" s="93">
        <f t="shared" si="60"/>
        <v>0</v>
      </c>
      <c r="X209" s="56" t="str">
        <f t="shared" si="56"/>
        <v>Transition Probability from state 6 to state 7 on day 6 (Non-CHG)</v>
      </c>
      <c r="Y209" s="61"/>
      <c r="Z209" s="151"/>
      <c r="AA209" s="93">
        <f t="shared" si="61"/>
        <v>0</v>
      </c>
      <c r="AB209" s="9"/>
      <c r="AC209" s="83"/>
    </row>
    <row r="210" spans="2:29" ht="17" thickTop="1" thickBot="1" x14ac:dyDescent="0.25">
      <c r="B210" s="83"/>
      <c r="D210" s="56" t="str">
        <f t="shared" si="52"/>
        <v>Transition Probability from state 1 to state 7 on day 7 (Non-CHG)</v>
      </c>
      <c r="E210" s="61"/>
      <c r="F210" s="151">
        <v>8.6956521739130432E-2</v>
      </c>
      <c r="G210" s="93">
        <f t="shared" si="57"/>
        <v>8.6956521739130432E-2</v>
      </c>
      <c r="I210" s="56" t="str">
        <f t="shared" si="53"/>
        <v>Transition Probability from state 2 to state 7 on day 7 (Non-CHG)</v>
      </c>
      <c r="J210" s="61"/>
      <c r="K210" s="151"/>
      <c r="L210" s="93">
        <f t="shared" si="58"/>
        <v>0</v>
      </c>
      <c r="N210" s="56" t="str">
        <f t="shared" si="54"/>
        <v>Transition Probability from state 3 to state 7 on day 7 (Non-CHG)</v>
      </c>
      <c r="O210" s="61"/>
      <c r="P210" s="151">
        <v>0</v>
      </c>
      <c r="Q210" s="93">
        <f t="shared" si="59"/>
        <v>0</v>
      </c>
      <c r="S210" s="56" t="str">
        <f t="shared" si="55"/>
        <v>Transition Probability from state 4 to state 7 on day 7 (Non-CHG)</v>
      </c>
      <c r="T210" s="61"/>
      <c r="U210" s="151"/>
      <c r="V210" s="93">
        <f t="shared" si="60"/>
        <v>0</v>
      </c>
      <c r="X210" s="56" t="str">
        <f t="shared" si="56"/>
        <v>Transition Probability from state 6 to state 7 on day 7 (Non-CHG)</v>
      </c>
      <c r="Y210" s="61"/>
      <c r="Z210" s="151"/>
      <c r="AA210" s="93">
        <f t="shared" si="61"/>
        <v>0</v>
      </c>
      <c r="AB210" s="9"/>
      <c r="AC210" s="83"/>
    </row>
    <row r="211" spans="2:29" ht="17" thickTop="1" thickBot="1" x14ac:dyDescent="0.25">
      <c r="B211" s="83"/>
      <c r="D211" s="56" t="str">
        <f t="shared" si="52"/>
        <v>Transition Probability from state 1 to state 7 on day 8 (Non-CHG)</v>
      </c>
      <c r="E211" s="61"/>
      <c r="F211" s="151">
        <v>6.4327485380116955E-2</v>
      </c>
      <c r="G211" s="93">
        <f t="shared" si="57"/>
        <v>6.4327485380116955E-2</v>
      </c>
      <c r="I211" s="56" t="str">
        <f t="shared" si="53"/>
        <v>Transition Probability from state 2 to state 7 on day 8 (Non-CHG)</v>
      </c>
      <c r="J211" s="61"/>
      <c r="K211" s="151"/>
      <c r="L211" s="93">
        <f t="shared" si="58"/>
        <v>0</v>
      </c>
      <c r="N211" s="56" t="str">
        <f t="shared" si="54"/>
        <v>Transition Probability from state 3 to state 7 on day 8 (Non-CHG)</v>
      </c>
      <c r="O211" s="61"/>
      <c r="P211" s="151">
        <v>0</v>
      </c>
      <c r="Q211" s="93">
        <f t="shared" si="59"/>
        <v>0</v>
      </c>
      <c r="S211" s="56" t="str">
        <f t="shared" si="55"/>
        <v>Transition Probability from state 4 to state 7 on day 8 (Non-CHG)</v>
      </c>
      <c r="T211" s="61"/>
      <c r="U211" s="151"/>
      <c r="V211" s="93">
        <f t="shared" si="60"/>
        <v>0</v>
      </c>
      <c r="X211" s="56" t="str">
        <f t="shared" si="56"/>
        <v>Transition Probability from state 6 to state 7 on day 8 (Non-CHG)</v>
      </c>
      <c r="Y211" s="61"/>
      <c r="Z211" s="151"/>
      <c r="AA211" s="93">
        <f t="shared" si="61"/>
        <v>0</v>
      </c>
      <c r="AB211" s="9"/>
      <c r="AC211" s="83"/>
    </row>
    <row r="212" spans="2:29" ht="17" thickTop="1" thickBot="1" x14ac:dyDescent="0.25">
      <c r="B212" s="83"/>
      <c r="D212" s="56" t="str">
        <f t="shared" si="52"/>
        <v>Transition Probability from state 1 to state 7 on day 9 (Non-CHG)</v>
      </c>
      <c r="E212" s="61"/>
      <c r="F212" s="151">
        <v>6.6805845511482248E-2</v>
      </c>
      <c r="G212" s="93">
        <f t="shared" si="57"/>
        <v>6.6805845511482248E-2</v>
      </c>
      <c r="I212" s="56" t="str">
        <f t="shared" si="53"/>
        <v>Transition Probability from state 2 to state 7 on day 9 (Non-CHG)</v>
      </c>
      <c r="J212" s="61"/>
      <c r="K212" s="151"/>
      <c r="L212" s="93">
        <f t="shared" si="58"/>
        <v>0</v>
      </c>
      <c r="N212" s="56" t="str">
        <f t="shared" si="54"/>
        <v>Transition Probability from state 3 to state 7 on day 9 (Non-CHG)</v>
      </c>
      <c r="O212" s="61"/>
      <c r="P212" s="151">
        <v>0</v>
      </c>
      <c r="Q212" s="93">
        <f t="shared" si="59"/>
        <v>0</v>
      </c>
      <c r="S212" s="56" t="str">
        <f t="shared" si="55"/>
        <v>Transition Probability from state 4 to state 7 on day 9 (Non-CHG)</v>
      </c>
      <c r="T212" s="61"/>
      <c r="U212" s="151"/>
      <c r="V212" s="93">
        <f t="shared" si="60"/>
        <v>0</v>
      </c>
      <c r="X212" s="56" t="str">
        <f t="shared" si="56"/>
        <v>Transition Probability from state 6 to state 7 on day 9 (Non-CHG)</v>
      </c>
      <c r="Y212" s="61"/>
      <c r="Z212" s="151"/>
      <c r="AA212" s="93">
        <f t="shared" si="61"/>
        <v>0</v>
      </c>
      <c r="AB212" s="9"/>
      <c r="AC212" s="83"/>
    </row>
    <row r="213" spans="2:29" ht="17" thickTop="1" thickBot="1" x14ac:dyDescent="0.25">
      <c r="B213" s="83"/>
      <c r="D213" s="56" t="str">
        <f t="shared" si="52"/>
        <v>Transition Probability from state 1 to state 7 on day 10 (Non-CHG)</v>
      </c>
      <c r="E213" s="61"/>
      <c r="F213" s="151">
        <v>5.4298642533936653E-2</v>
      </c>
      <c r="G213" s="93">
        <f t="shared" si="57"/>
        <v>5.4298642533936653E-2</v>
      </c>
      <c r="H213" s="143"/>
      <c r="I213" s="56" t="str">
        <f t="shared" si="53"/>
        <v>Transition Probability from state 2 to state 7 on day 10 (Non-CHG)</v>
      </c>
      <c r="J213" s="61"/>
      <c r="K213" s="151"/>
      <c r="L213" s="93">
        <f t="shared" si="58"/>
        <v>0</v>
      </c>
      <c r="M213" s="143"/>
      <c r="N213" s="56" t="str">
        <f t="shared" si="54"/>
        <v>Transition Probability from state 3 to state 7 on day 10 (Non-CHG)</v>
      </c>
      <c r="O213" s="61"/>
      <c r="P213" s="151">
        <v>0</v>
      </c>
      <c r="Q213" s="93">
        <f t="shared" si="59"/>
        <v>0</v>
      </c>
      <c r="R213" s="143"/>
      <c r="S213" s="56" t="str">
        <f t="shared" si="55"/>
        <v>Transition Probability from state 4 to state 7 on day 10 (Non-CHG)</v>
      </c>
      <c r="T213" s="61"/>
      <c r="U213" s="151"/>
      <c r="V213" s="93">
        <f t="shared" si="60"/>
        <v>0</v>
      </c>
      <c r="W213" s="143"/>
      <c r="X213" s="56" t="str">
        <f t="shared" si="56"/>
        <v>Transition Probability from state 6 to state 7 on day 10 (Non-CHG)</v>
      </c>
      <c r="Y213" s="61"/>
      <c r="Z213" s="151"/>
      <c r="AA213" s="93">
        <f t="shared" si="61"/>
        <v>0</v>
      </c>
      <c r="AB213" s="9"/>
      <c r="AC213" s="83"/>
    </row>
    <row r="214" spans="2:29" ht="17" thickTop="1" thickBot="1" x14ac:dyDescent="0.25">
      <c r="B214" s="83"/>
      <c r="D214" s="56" t="str">
        <f t="shared" si="52"/>
        <v>Transition Probability from state 1 to state 7 on day 11 (Non-CHG)</v>
      </c>
      <c r="E214" s="61"/>
      <c r="F214" s="151">
        <v>3.3333333333333333E-2</v>
      </c>
      <c r="G214" s="93">
        <f t="shared" si="57"/>
        <v>3.3333333333333333E-2</v>
      </c>
      <c r="I214" s="56" t="str">
        <f t="shared" si="53"/>
        <v>Transition Probability from state 2 to state 7 on day 11 (Non-CHG)</v>
      </c>
      <c r="J214" s="61"/>
      <c r="K214" s="151"/>
      <c r="L214" s="93">
        <f t="shared" si="58"/>
        <v>0</v>
      </c>
      <c r="N214" s="56" t="str">
        <f t="shared" si="54"/>
        <v>Transition Probability from state 3 to state 7 on day 11 (Non-CHG)</v>
      </c>
      <c r="O214" s="61"/>
      <c r="P214" s="151">
        <v>0</v>
      </c>
      <c r="Q214" s="93">
        <f t="shared" si="59"/>
        <v>0</v>
      </c>
      <c r="S214" s="56" t="str">
        <f t="shared" si="55"/>
        <v>Transition Probability from state 4 to state 7 on day 11 (Non-CHG)</v>
      </c>
      <c r="T214" s="61"/>
      <c r="U214" s="151">
        <v>1</v>
      </c>
      <c r="V214" s="93">
        <f t="shared" si="60"/>
        <v>1</v>
      </c>
      <c r="X214" s="56" t="str">
        <f t="shared" si="56"/>
        <v>Transition Probability from state 6 to state 7 on day 11 (Non-CHG)</v>
      </c>
      <c r="Y214" s="61"/>
      <c r="Z214" s="151">
        <v>1</v>
      </c>
      <c r="AA214" s="93">
        <f t="shared" si="61"/>
        <v>1</v>
      </c>
      <c r="AB214" s="9"/>
      <c r="AC214" s="83"/>
    </row>
    <row r="215" spans="2:29" ht="17" thickTop="1" thickBot="1" x14ac:dyDescent="0.25">
      <c r="B215" s="83"/>
      <c r="D215" s="56" t="str">
        <f t="shared" si="52"/>
        <v>Transition Probability from state 1 to state 7 on day 12 (Non-CHG)</v>
      </c>
      <c r="E215" s="61"/>
      <c r="F215" s="151">
        <v>4.8223350253807105E-2</v>
      </c>
      <c r="G215" s="93">
        <f t="shared" si="57"/>
        <v>4.8223350253807105E-2</v>
      </c>
      <c r="I215" s="56" t="str">
        <f t="shared" si="53"/>
        <v>Transition Probability from state 2 to state 7 on day 12 (Non-CHG)</v>
      </c>
      <c r="J215" s="61"/>
      <c r="K215" s="151"/>
      <c r="L215" s="93">
        <f t="shared" si="58"/>
        <v>0</v>
      </c>
      <c r="N215" s="56" t="str">
        <f t="shared" si="54"/>
        <v>Transition Probability from state 3 to state 7 on day 12 (Non-CHG)</v>
      </c>
      <c r="O215" s="61"/>
      <c r="P215" s="151">
        <v>0</v>
      </c>
      <c r="Q215" s="93">
        <f t="shared" si="59"/>
        <v>0</v>
      </c>
      <c r="S215" s="56" t="str">
        <f t="shared" si="55"/>
        <v>Transition Probability from state 4 to state 7 on day 12 (Non-CHG)</v>
      </c>
      <c r="T215" s="61"/>
      <c r="U215" s="151"/>
      <c r="V215" s="93">
        <f t="shared" si="60"/>
        <v>0</v>
      </c>
      <c r="X215" s="56" t="str">
        <f t="shared" si="56"/>
        <v>Transition Probability from state 6 to state 7 on day 12 (Non-CHG)</v>
      </c>
      <c r="Y215" s="61"/>
      <c r="Z215" s="151"/>
      <c r="AA215" s="93">
        <f t="shared" si="61"/>
        <v>0</v>
      </c>
      <c r="AB215" s="9"/>
      <c r="AC215" s="83"/>
    </row>
    <row r="216" spans="2:29" ht="17" thickTop="1" thickBot="1" x14ac:dyDescent="0.25">
      <c r="B216" s="83"/>
      <c r="D216" s="56" t="str">
        <f t="shared" si="52"/>
        <v>Transition Probability from state 1 to state 7 on day 13 (Non-CHG)</v>
      </c>
      <c r="E216" s="61"/>
      <c r="F216" s="151">
        <v>4.6575342465753428E-2</v>
      </c>
      <c r="G216" s="93">
        <f t="shared" si="57"/>
        <v>4.6575342465753428E-2</v>
      </c>
      <c r="I216" s="56" t="str">
        <f t="shared" si="53"/>
        <v>Transition Probability from state 2 to state 7 on day 13 (Non-CHG)</v>
      </c>
      <c r="J216" s="61"/>
      <c r="K216" s="151"/>
      <c r="L216" s="93">
        <f t="shared" si="58"/>
        <v>0</v>
      </c>
      <c r="N216" s="56" t="str">
        <f t="shared" si="54"/>
        <v>Transition Probability from state 3 to state 7 on day 13 (Non-CHG)</v>
      </c>
      <c r="O216" s="61"/>
      <c r="P216" s="151">
        <v>0</v>
      </c>
      <c r="Q216" s="93">
        <f t="shared" si="59"/>
        <v>0</v>
      </c>
      <c r="S216" s="56" t="str">
        <f t="shared" si="55"/>
        <v>Transition Probability from state 4 to state 7 on day 13 (Non-CHG)</v>
      </c>
      <c r="T216" s="61"/>
      <c r="U216" s="151"/>
      <c r="V216" s="93">
        <f t="shared" si="60"/>
        <v>0</v>
      </c>
      <c r="X216" s="56" t="str">
        <f t="shared" si="56"/>
        <v>Transition Probability from state 6 to state 7 on day 13 (Non-CHG)</v>
      </c>
      <c r="Y216" s="61"/>
      <c r="Z216" s="151"/>
      <c r="AA216" s="93">
        <f t="shared" si="61"/>
        <v>0</v>
      </c>
      <c r="AB216" s="9"/>
      <c r="AC216" s="83"/>
    </row>
    <row r="217" spans="2:29" ht="17" thickTop="1" thickBot="1" x14ac:dyDescent="0.25">
      <c r="B217" s="83"/>
      <c r="D217" s="56" t="str">
        <f t="shared" si="52"/>
        <v>Transition Probability from state 1 to state 7 on day 14 (Non-CHG)</v>
      </c>
      <c r="E217" s="61"/>
      <c r="F217" s="151">
        <v>4.7619047619047616E-2</v>
      </c>
      <c r="G217" s="93">
        <f t="shared" si="57"/>
        <v>4.7619047619047616E-2</v>
      </c>
      <c r="I217" s="56" t="str">
        <f t="shared" si="53"/>
        <v>Transition Probability from state 2 to state 7 on day 14 (Non-CHG)</v>
      </c>
      <c r="J217" s="61"/>
      <c r="K217" s="151">
        <v>7.1428571428571425E-2</v>
      </c>
      <c r="L217" s="93">
        <f t="shared" si="58"/>
        <v>7.1428571428571425E-2</v>
      </c>
      <c r="N217" s="56" t="str">
        <f t="shared" si="54"/>
        <v>Transition Probability from state 3 to state 7 on day 14 (Non-CHG)</v>
      </c>
      <c r="O217" s="61"/>
      <c r="P217" s="151">
        <v>0</v>
      </c>
      <c r="Q217" s="93">
        <f t="shared" si="59"/>
        <v>0</v>
      </c>
      <c r="S217" s="56" t="str">
        <f t="shared" si="55"/>
        <v>Transition Probability from state 4 to state 7 on day 14 (Non-CHG)</v>
      </c>
      <c r="T217" s="61"/>
      <c r="U217" s="151"/>
      <c r="V217" s="93">
        <f t="shared" si="60"/>
        <v>0</v>
      </c>
      <c r="X217" s="56" t="str">
        <f t="shared" si="56"/>
        <v>Transition Probability from state 6 to state 7 on day 14 (Non-CHG)</v>
      </c>
      <c r="Y217" s="61"/>
      <c r="Z217" s="151"/>
      <c r="AA217" s="93">
        <f t="shared" si="61"/>
        <v>0</v>
      </c>
      <c r="AB217" s="9"/>
      <c r="AC217" s="83"/>
    </row>
    <row r="218" spans="2:29" ht="17" thickTop="1" thickBot="1" x14ac:dyDescent="0.25">
      <c r="B218" s="83"/>
      <c r="D218" s="56" t="str">
        <f t="shared" si="52"/>
        <v>Transition Probability from state 1 to state 7 on day 15 (Non-CHG)</v>
      </c>
      <c r="E218" s="61"/>
      <c r="F218" s="151">
        <v>4.6583850931677016E-2</v>
      </c>
      <c r="G218" s="93">
        <f t="shared" si="57"/>
        <v>4.6583850931677016E-2</v>
      </c>
      <c r="I218" s="56" t="str">
        <f t="shared" si="53"/>
        <v>Transition Probability from state 2 to state 7 on day 15 (Non-CHG)</v>
      </c>
      <c r="J218" s="61"/>
      <c r="K218" s="151">
        <v>0.2</v>
      </c>
      <c r="L218" s="93">
        <f t="shared" si="58"/>
        <v>0.2</v>
      </c>
      <c r="N218" s="56" t="str">
        <f t="shared" si="54"/>
        <v>Transition Probability from state 3 to state 7 on day 15 (Non-CHG)</v>
      </c>
      <c r="O218" s="61"/>
      <c r="P218" s="151">
        <v>0</v>
      </c>
      <c r="Q218" s="93">
        <f t="shared" si="59"/>
        <v>0</v>
      </c>
      <c r="S218" s="56" t="str">
        <f t="shared" si="55"/>
        <v>Transition Probability from state 4 to state 7 on day 15 (Non-CHG)</v>
      </c>
      <c r="T218" s="61"/>
      <c r="U218" s="151"/>
      <c r="V218" s="93">
        <f t="shared" si="60"/>
        <v>0</v>
      </c>
      <c r="X218" s="56" t="str">
        <f t="shared" si="56"/>
        <v>Transition Probability from state 6 to state 7 on day 15 (Non-CHG)</v>
      </c>
      <c r="Y218" s="61"/>
      <c r="Z218" s="151"/>
      <c r="AA218" s="93">
        <f t="shared" si="61"/>
        <v>0</v>
      </c>
      <c r="AB218" s="9"/>
      <c r="AC218" s="83"/>
    </row>
    <row r="219" spans="2:29" ht="17" thickTop="1" thickBot="1" x14ac:dyDescent="0.25">
      <c r="B219" s="83"/>
      <c r="D219" s="56" t="str">
        <f t="shared" si="52"/>
        <v>Transition Probability from state 1 to state 7 on day 16 (Non-CHG)</v>
      </c>
      <c r="E219" s="61"/>
      <c r="F219" s="151">
        <v>5.4237288135593219E-2</v>
      </c>
      <c r="G219" s="93">
        <f t="shared" si="57"/>
        <v>5.4237288135593219E-2</v>
      </c>
      <c r="I219" s="56" t="str">
        <f t="shared" si="53"/>
        <v>Transition Probability from state 2 to state 7 on day 16 (Non-CHG)</v>
      </c>
      <c r="J219" s="61"/>
      <c r="K219" s="151"/>
      <c r="L219" s="93">
        <f t="shared" si="58"/>
        <v>0</v>
      </c>
      <c r="N219" s="56" t="str">
        <f t="shared" si="54"/>
        <v>Transition Probability from state 3 to state 7 on day 16 (Non-CHG)</v>
      </c>
      <c r="O219" s="61"/>
      <c r="P219" s="151">
        <v>0</v>
      </c>
      <c r="Q219" s="93">
        <f t="shared" si="59"/>
        <v>0</v>
      </c>
      <c r="S219" s="56" t="str">
        <f t="shared" si="55"/>
        <v>Transition Probability from state 4 to state 7 on day 16 (Non-CHG)</v>
      </c>
      <c r="T219" s="61"/>
      <c r="U219" s="151"/>
      <c r="V219" s="93">
        <f t="shared" si="60"/>
        <v>0</v>
      </c>
      <c r="X219" s="56" t="str">
        <f t="shared" si="56"/>
        <v>Transition Probability from state 6 to state 7 on day 16 (Non-CHG)</v>
      </c>
      <c r="Y219" s="61"/>
      <c r="Z219" s="151"/>
      <c r="AA219" s="93">
        <f t="shared" si="61"/>
        <v>0</v>
      </c>
      <c r="AB219" s="9"/>
      <c r="AC219" s="83"/>
    </row>
    <row r="220" spans="2:29" ht="17" thickTop="1" thickBot="1" x14ac:dyDescent="0.25">
      <c r="B220" s="83"/>
      <c r="D220" s="56" t="str">
        <f t="shared" si="52"/>
        <v>Transition Probability from state 1 to state 7 on day 17 (Non-CHG)</v>
      </c>
      <c r="E220" s="61"/>
      <c r="F220" s="151">
        <v>4.3321299638989168E-2</v>
      </c>
      <c r="G220" s="93">
        <f t="shared" si="57"/>
        <v>4.3321299638989168E-2</v>
      </c>
      <c r="I220" s="56" t="str">
        <f t="shared" si="53"/>
        <v>Transition Probability from state 2 to state 7 on day 17 (Non-CHG)</v>
      </c>
      <c r="J220" s="61"/>
      <c r="K220" s="151"/>
      <c r="L220" s="93">
        <f t="shared" si="58"/>
        <v>0</v>
      </c>
      <c r="N220" s="56" t="str">
        <f t="shared" si="54"/>
        <v>Transition Probability from state 3 to state 7 on day 17 (Non-CHG)</v>
      </c>
      <c r="O220" s="61"/>
      <c r="P220" s="151">
        <v>0</v>
      </c>
      <c r="Q220" s="93">
        <f t="shared" si="59"/>
        <v>0</v>
      </c>
      <c r="S220" s="56" t="str">
        <f t="shared" si="55"/>
        <v>Transition Probability from state 4 to state 7 on day 17 (Non-CHG)</v>
      </c>
      <c r="T220" s="61"/>
      <c r="U220" s="151"/>
      <c r="V220" s="93">
        <f t="shared" si="60"/>
        <v>0</v>
      </c>
      <c r="X220" s="56" t="str">
        <f t="shared" si="56"/>
        <v>Transition Probability from state 6 to state 7 on day 17 (Non-CHG)</v>
      </c>
      <c r="Y220" s="61"/>
      <c r="Z220" s="151"/>
      <c r="AA220" s="93">
        <f t="shared" si="61"/>
        <v>0</v>
      </c>
      <c r="AB220" s="9"/>
      <c r="AC220" s="83"/>
    </row>
    <row r="221" spans="2:29" ht="17" thickTop="1" thickBot="1" x14ac:dyDescent="0.25">
      <c r="B221" s="83"/>
      <c r="D221" s="56" t="str">
        <f t="shared" si="52"/>
        <v>Transition Probability from state 1 to state 7 on day 18 (Non-CHG)</v>
      </c>
      <c r="E221" s="61"/>
      <c r="F221" s="151">
        <v>2.6923076923076925E-2</v>
      </c>
      <c r="G221" s="93">
        <f t="shared" si="57"/>
        <v>2.6923076923076925E-2</v>
      </c>
      <c r="I221" s="56" t="str">
        <f t="shared" si="53"/>
        <v>Transition Probability from state 2 to state 7 on day 18 (Non-CHG)</v>
      </c>
      <c r="J221" s="61"/>
      <c r="K221" s="151"/>
      <c r="L221" s="93">
        <f t="shared" si="58"/>
        <v>0</v>
      </c>
      <c r="N221" s="56" t="str">
        <f t="shared" si="54"/>
        <v>Transition Probability from state 3 to state 7 on day 18 (Non-CHG)</v>
      </c>
      <c r="O221" s="61"/>
      <c r="P221" s="151">
        <v>0</v>
      </c>
      <c r="Q221" s="93">
        <f t="shared" si="59"/>
        <v>0</v>
      </c>
      <c r="S221" s="56" t="str">
        <f t="shared" si="55"/>
        <v>Transition Probability from state 4 to state 7 on day 18 (Non-CHG)</v>
      </c>
      <c r="T221" s="61"/>
      <c r="U221" s="151"/>
      <c r="V221" s="93">
        <f t="shared" si="60"/>
        <v>0</v>
      </c>
      <c r="X221" s="56" t="str">
        <f t="shared" si="56"/>
        <v>Transition Probability from state 6 to state 7 on day 18 (Non-CHG)</v>
      </c>
      <c r="Y221" s="61"/>
      <c r="Z221" s="151"/>
      <c r="AA221" s="93">
        <f t="shared" si="61"/>
        <v>0</v>
      </c>
      <c r="AB221" s="9"/>
      <c r="AC221" s="83"/>
    </row>
    <row r="222" spans="2:29" ht="17" thickTop="1" thickBot="1" x14ac:dyDescent="0.25">
      <c r="B222" s="83"/>
      <c r="D222" s="56" t="str">
        <f t="shared" si="52"/>
        <v>Transition Probability from state 1 to state 7 on day 19 (Non-CHG)</v>
      </c>
      <c r="E222" s="61"/>
      <c r="F222" s="151">
        <v>4.9586776859504134E-2</v>
      </c>
      <c r="G222" s="93">
        <f t="shared" si="57"/>
        <v>4.9586776859504134E-2</v>
      </c>
      <c r="I222" s="56" t="str">
        <f t="shared" si="53"/>
        <v>Transition Probability from state 2 to state 7 on day 19 (Non-CHG)</v>
      </c>
      <c r="J222" s="61"/>
      <c r="K222" s="151"/>
      <c r="L222" s="93">
        <f t="shared" si="58"/>
        <v>0</v>
      </c>
      <c r="N222" s="56" t="str">
        <f t="shared" si="54"/>
        <v>Transition Probability from state 3 to state 7 on day 19 (Non-CHG)</v>
      </c>
      <c r="O222" s="61"/>
      <c r="P222" s="151">
        <v>0</v>
      </c>
      <c r="Q222" s="93">
        <f t="shared" si="59"/>
        <v>0</v>
      </c>
      <c r="S222" s="56" t="str">
        <f t="shared" si="55"/>
        <v>Transition Probability from state 4 to state 7 on day 19 (Non-CHG)</v>
      </c>
      <c r="T222" s="61"/>
      <c r="U222" s="151"/>
      <c r="V222" s="93">
        <f t="shared" si="60"/>
        <v>0</v>
      </c>
      <c r="X222" s="56" t="str">
        <f t="shared" si="56"/>
        <v>Transition Probability from state 6 to state 7 on day 19 (Non-CHG)</v>
      </c>
      <c r="Y222" s="61"/>
      <c r="Z222" s="151"/>
      <c r="AA222" s="93">
        <f t="shared" si="61"/>
        <v>0</v>
      </c>
      <c r="AB222" s="9"/>
      <c r="AC222" s="83"/>
    </row>
    <row r="223" spans="2:29" ht="17" thickTop="1" thickBot="1" x14ac:dyDescent="0.25">
      <c r="B223" s="83"/>
      <c r="D223" s="56" t="str">
        <f t="shared" si="52"/>
        <v>Transition Probability from state 1 to state 7 on day 20 (Non-CHG)</v>
      </c>
      <c r="E223" s="61"/>
      <c r="F223" s="151">
        <v>4.9327354260089683E-2</v>
      </c>
      <c r="G223" s="93">
        <f t="shared" si="57"/>
        <v>4.9327354260089683E-2</v>
      </c>
      <c r="I223" s="56" t="str">
        <f t="shared" si="53"/>
        <v>Transition Probability from state 2 to state 7 on day 20 (Non-CHG)</v>
      </c>
      <c r="J223" s="61"/>
      <c r="K223" s="151"/>
      <c r="L223" s="93">
        <f t="shared" si="58"/>
        <v>0</v>
      </c>
      <c r="N223" s="56" t="str">
        <f t="shared" si="54"/>
        <v>Transition Probability from state 3 to state 7 on day 20 (Non-CHG)</v>
      </c>
      <c r="O223" s="61"/>
      <c r="P223" s="151">
        <v>0</v>
      </c>
      <c r="Q223" s="93">
        <f t="shared" si="59"/>
        <v>0</v>
      </c>
      <c r="S223" s="56" t="str">
        <f t="shared" si="55"/>
        <v>Transition Probability from state 4 to state 7 on day 20 (Non-CHG)</v>
      </c>
      <c r="T223" s="61"/>
      <c r="U223" s="151"/>
      <c r="V223" s="93">
        <f t="shared" si="60"/>
        <v>0</v>
      </c>
      <c r="X223" s="56" t="str">
        <f t="shared" si="56"/>
        <v>Transition Probability from state 6 to state 7 on day 20 (Non-CHG)</v>
      </c>
      <c r="Y223" s="61"/>
      <c r="Z223" s="151"/>
      <c r="AA223" s="93">
        <f t="shared" si="61"/>
        <v>0</v>
      </c>
      <c r="AB223" s="9"/>
      <c r="AC223" s="83"/>
    </row>
    <row r="224" spans="2:29" ht="17" thickTop="1" thickBot="1" x14ac:dyDescent="0.25">
      <c r="B224" s="83"/>
      <c r="D224" s="56" t="str">
        <f t="shared" si="52"/>
        <v>Transition Probability from state 1 to state 7 on day 21 (Non-CHG)</v>
      </c>
      <c r="E224" s="61"/>
      <c r="F224" s="151">
        <v>6.5420560747663545E-2</v>
      </c>
      <c r="G224" s="93">
        <f t="shared" si="57"/>
        <v>6.5420560747663545E-2</v>
      </c>
      <c r="I224" s="56" t="str">
        <f t="shared" si="53"/>
        <v>Transition Probability from state 2 to state 7 on day 21 (Non-CHG)</v>
      </c>
      <c r="J224" s="61"/>
      <c r="K224" s="151"/>
      <c r="L224" s="93">
        <f t="shared" si="58"/>
        <v>0</v>
      </c>
      <c r="N224" s="56" t="str">
        <f t="shared" si="54"/>
        <v>Transition Probability from state 3 to state 7 on day 21 (Non-CHG)</v>
      </c>
      <c r="O224" s="61"/>
      <c r="P224" s="151">
        <v>0</v>
      </c>
      <c r="Q224" s="93">
        <f t="shared" si="59"/>
        <v>0</v>
      </c>
      <c r="S224" s="56" t="str">
        <f t="shared" si="55"/>
        <v>Transition Probability from state 4 to state 7 on day 21 (Non-CHG)</v>
      </c>
      <c r="T224" s="61"/>
      <c r="U224" s="151"/>
      <c r="V224" s="93">
        <f t="shared" si="60"/>
        <v>0</v>
      </c>
      <c r="X224" s="56" t="str">
        <f t="shared" si="56"/>
        <v>Transition Probability from state 6 to state 7 on day 21 (Non-CHG)</v>
      </c>
      <c r="Y224" s="61"/>
      <c r="Z224" s="151"/>
      <c r="AA224" s="93">
        <f t="shared" si="61"/>
        <v>0</v>
      </c>
      <c r="AB224" s="9"/>
      <c r="AC224" s="83"/>
    </row>
    <row r="225" spans="2:29" ht="17" thickTop="1" thickBot="1" x14ac:dyDescent="0.25">
      <c r="B225" s="83"/>
      <c r="D225" s="56" t="str">
        <f t="shared" si="52"/>
        <v>Transition Probability from state 1 to state 7 on day 22 (Non-CHG)</v>
      </c>
      <c r="E225" s="61"/>
      <c r="F225" s="151">
        <v>6.7357512953367879E-2</v>
      </c>
      <c r="G225" s="93">
        <f t="shared" si="57"/>
        <v>6.7357512953367879E-2</v>
      </c>
      <c r="I225" s="56" t="str">
        <f t="shared" si="53"/>
        <v>Transition Probability from state 2 to state 7 on day 22 (Non-CHG)</v>
      </c>
      <c r="J225" s="61"/>
      <c r="K225" s="151"/>
      <c r="L225" s="93">
        <f t="shared" si="58"/>
        <v>0</v>
      </c>
      <c r="N225" s="56" t="str">
        <f t="shared" si="54"/>
        <v>Transition Probability from state 3 to state 7 on day 22 (Non-CHG)</v>
      </c>
      <c r="O225" s="61"/>
      <c r="P225" s="151">
        <v>0</v>
      </c>
      <c r="Q225" s="93">
        <f t="shared" si="59"/>
        <v>0</v>
      </c>
      <c r="S225" s="56" t="str">
        <f t="shared" si="55"/>
        <v>Transition Probability from state 4 to state 7 on day 22 (Non-CHG)</v>
      </c>
      <c r="T225" s="61"/>
      <c r="U225" s="151"/>
      <c r="V225" s="93">
        <f t="shared" si="60"/>
        <v>0</v>
      </c>
      <c r="X225" s="56" t="str">
        <f t="shared" si="56"/>
        <v>Transition Probability from state 6 to state 7 on day 22 (Non-CHG)</v>
      </c>
      <c r="Y225" s="61"/>
      <c r="Z225" s="151"/>
      <c r="AA225" s="93">
        <f t="shared" si="61"/>
        <v>0</v>
      </c>
      <c r="AB225" s="9"/>
      <c r="AC225" s="83"/>
    </row>
    <row r="226" spans="2:29" ht="17" thickTop="1" thickBot="1" x14ac:dyDescent="0.25">
      <c r="B226" s="83"/>
      <c r="D226" s="56" t="str">
        <f t="shared" si="52"/>
        <v>Transition Probability from state 1 to state 7 on day 23 (Non-CHG)</v>
      </c>
      <c r="E226" s="61"/>
      <c r="F226" s="151">
        <v>2.8409090909090908E-2</v>
      </c>
      <c r="G226" s="93">
        <f t="shared" si="57"/>
        <v>2.8409090909090908E-2</v>
      </c>
      <c r="I226" s="56" t="str">
        <f t="shared" si="53"/>
        <v>Transition Probability from state 2 to state 7 on day 23 (Non-CHG)</v>
      </c>
      <c r="J226" s="61"/>
      <c r="K226" s="151"/>
      <c r="L226" s="93">
        <f t="shared" si="58"/>
        <v>0</v>
      </c>
      <c r="N226" s="56" t="str">
        <f t="shared" si="54"/>
        <v>Transition Probability from state 3 to state 7 on day 23 (Non-CHG)</v>
      </c>
      <c r="O226" s="61"/>
      <c r="P226" s="151">
        <v>0</v>
      </c>
      <c r="Q226" s="93">
        <f t="shared" si="59"/>
        <v>0</v>
      </c>
      <c r="S226" s="56" t="str">
        <f t="shared" si="55"/>
        <v>Transition Probability from state 4 to state 7 on day 23 (Non-CHG)</v>
      </c>
      <c r="T226" s="61"/>
      <c r="U226" s="151"/>
      <c r="V226" s="93">
        <f t="shared" si="60"/>
        <v>0</v>
      </c>
      <c r="X226" s="56" t="str">
        <f t="shared" si="56"/>
        <v>Transition Probability from state 6 to state 7 on day 23 (Non-CHG)</v>
      </c>
      <c r="Y226" s="61"/>
      <c r="Z226" s="151"/>
      <c r="AA226" s="93">
        <f t="shared" si="61"/>
        <v>0</v>
      </c>
      <c r="AB226" s="9"/>
      <c r="AC226" s="83"/>
    </row>
    <row r="227" spans="2:29" ht="17" thickTop="1" thickBot="1" x14ac:dyDescent="0.25">
      <c r="B227" s="83"/>
      <c r="D227" s="56" t="str">
        <f t="shared" si="52"/>
        <v>Transition Probability from state 1 to state 7 on day 24 (Non-CHG)</v>
      </c>
      <c r="E227" s="61"/>
      <c r="F227" s="151">
        <v>3.5714285714285712E-2</v>
      </c>
      <c r="G227" s="93">
        <f t="shared" si="57"/>
        <v>3.5714285714285712E-2</v>
      </c>
      <c r="I227" s="56" t="str">
        <f t="shared" si="53"/>
        <v>Transition Probability from state 2 to state 7 on day 24 (Non-CHG)</v>
      </c>
      <c r="J227" s="61"/>
      <c r="K227" s="151"/>
      <c r="L227" s="93">
        <f t="shared" si="58"/>
        <v>0</v>
      </c>
      <c r="N227" s="56" t="str">
        <f t="shared" si="54"/>
        <v>Transition Probability from state 3 to state 7 on day 24 (Non-CHG)</v>
      </c>
      <c r="O227" s="61"/>
      <c r="P227" s="151">
        <v>0</v>
      </c>
      <c r="Q227" s="93">
        <f t="shared" si="59"/>
        <v>0</v>
      </c>
      <c r="S227" s="56" t="str">
        <f t="shared" si="55"/>
        <v>Transition Probability from state 4 to state 7 on day 24 (Non-CHG)</v>
      </c>
      <c r="T227" s="61"/>
      <c r="U227" s="151"/>
      <c r="V227" s="93">
        <f t="shared" si="60"/>
        <v>0</v>
      </c>
      <c r="X227" s="56" t="str">
        <f t="shared" si="56"/>
        <v>Transition Probability from state 6 to state 7 on day 24 (Non-CHG)</v>
      </c>
      <c r="Y227" s="61"/>
      <c r="Z227" s="151"/>
      <c r="AA227" s="93">
        <f t="shared" si="61"/>
        <v>0</v>
      </c>
      <c r="AB227" s="9"/>
      <c r="AC227" s="83"/>
    </row>
    <row r="228" spans="2:29" ht="17" thickTop="1" thickBot="1" x14ac:dyDescent="0.25">
      <c r="B228" s="83"/>
      <c r="D228" s="56" t="str">
        <f t="shared" si="52"/>
        <v>Transition Probability from state 1 to state 7 on day 25 (Non-CHG)</v>
      </c>
      <c r="E228" s="61"/>
      <c r="F228" s="151">
        <v>5.0632911392405063E-2</v>
      </c>
      <c r="G228" s="93">
        <f t="shared" si="57"/>
        <v>5.0632911392405063E-2</v>
      </c>
      <c r="I228" s="56" t="str">
        <f t="shared" si="53"/>
        <v>Transition Probability from state 2 to state 7 on day 25 (Non-CHG)</v>
      </c>
      <c r="J228" s="61"/>
      <c r="K228" s="151"/>
      <c r="L228" s="93">
        <f t="shared" si="58"/>
        <v>0</v>
      </c>
      <c r="N228" s="56" t="str">
        <f t="shared" si="54"/>
        <v>Transition Probability from state 3 to state 7 on day 25 (Non-CHG)</v>
      </c>
      <c r="O228" s="61"/>
      <c r="P228" s="151">
        <v>0</v>
      </c>
      <c r="Q228" s="93">
        <f t="shared" si="59"/>
        <v>0</v>
      </c>
      <c r="S228" s="56" t="str">
        <f t="shared" si="55"/>
        <v>Transition Probability from state 4 to state 7 on day 25 (Non-CHG)</v>
      </c>
      <c r="T228" s="61"/>
      <c r="U228" s="151"/>
      <c r="V228" s="93">
        <f t="shared" si="60"/>
        <v>0</v>
      </c>
      <c r="X228" s="56" t="str">
        <f t="shared" si="56"/>
        <v>Transition Probability from state 6 to state 7 on day 25 (Non-CHG)</v>
      </c>
      <c r="Y228" s="61"/>
      <c r="Z228" s="151"/>
      <c r="AA228" s="93">
        <f t="shared" si="61"/>
        <v>0</v>
      </c>
      <c r="AB228" s="9"/>
      <c r="AC228" s="83"/>
    </row>
    <row r="229" spans="2:29" ht="17" thickTop="1" thickBot="1" x14ac:dyDescent="0.25">
      <c r="B229" s="83"/>
      <c r="D229" s="56" t="str">
        <f t="shared" si="52"/>
        <v>Transition Probability from state 1 to state 7 on day 26 (Non-CHG)</v>
      </c>
      <c r="E229" s="61"/>
      <c r="F229" s="151">
        <v>6.1643835616438353E-2</v>
      </c>
      <c r="G229" s="93">
        <f t="shared" si="57"/>
        <v>6.1643835616438353E-2</v>
      </c>
      <c r="I229" s="56" t="str">
        <f t="shared" si="53"/>
        <v>Transition Probability from state 2 to state 7 on day 26 (Non-CHG)</v>
      </c>
      <c r="J229" s="61"/>
      <c r="K229" s="151"/>
      <c r="L229" s="93">
        <f t="shared" si="58"/>
        <v>0</v>
      </c>
      <c r="N229" s="56" t="str">
        <f t="shared" si="54"/>
        <v>Transition Probability from state 3 to state 7 on day 26 (Non-CHG)</v>
      </c>
      <c r="O229" s="61"/>
      <c r="P229" s="151">
        <v>0</v>
      </c>
      <c r="Q229" s="93">
        <f t="shared" si="59"/>
        <v>0</v>
      </c>
      <c r="S229" s="56" t="str">
        <f t="shared" si="55"/>
        <v>Transition Probability from state 4 to state 7 on day 26 (Non-CHG)</v>
      </c>
      <c r="T229" s="61"/>
      <c r="U229" s="151"/>
      <c r="V229" s="93">
        <f t="shared" si="60"/>
        <v>0</v>
      </c>
      <c r="X229" s="56" t="str">
        <f t="shared" si="56"/>
        <v>Transition Probability from state 6 to state 7 on day 26 (Non-CHG)</v>
      </c>
      <c r="Y229" s="61"/>
      <c r="Z229" s="151"/>
      <c r="AA229" s="93">
        <f t="shared" si="61"/>
        <v>0</v>
      </c>
      <c r="AB229" s="9"/>
      <c r="AC229" s="83"/>
    </row>
    <row r="230" spans="2:29" ht="17" thickTop="1" thickBot="1" x14ac:dyDescent="0.25">
      <c r="B230" s="83"/>
      <c r="D230" s="56" t="str">
        <f t="shared" si="52"/>
        <v>Transition Probability from state 1 to state 7 on day 27 (Non-CHG)</v>
      </c>
      <c r="E230" s="61"/>
      <c r="F230" s="151">
        <v>2.2556390977443608E-2</v>
      </c>
      <c r="G230" s="93">
        <f t="shared" si="57"/>
        <v>2.2556390977443608E-2</v>
      </c>
      <c r="I230" s="56" t="str">
        <f t="shared" si="53"/>
        <v>Transition Probability from state 2 to state 7 on day 27 (Non-CHG)</v>
      </c>
      <c r="J230" s="61"/>
      <c r="K230" s="151"/>
      <c r="L230" s="93">
        <f t="shared" si="58"/>
        <v>0</v>
      </c>
      <c r="N230" s="56" t="str">
        <f t="shared" si="54"/>
        <v>Transition Probability from state 3 to state 7 on day 27 (Non-CHG)</v>
      </c>
      <c r="O230" s="61"/>
      <c r="P230" s="151">
        <v>0</v>
      </c>
      <c r="Q230" s="93">
        <f t="shared" si="59"/>
        <v>0</v>
      </c>
      <c r="S230" s="56" t="str">
        <f t="shared" si="55"/>
        <v>Transition Probability from state 4 to state 7 on day 27 (Non-CHG)</v>
      </c>
      <c r="T230" s="61"/>
      <c r="U230" s="151"/>
      <c r="V230" s="93">
        <f t="shared" si="60"/>
        <v>0</v>
      </c>
      <c r="X230" s="56" t="str">
        <f t="shared" si="56"/>
        <v>Transition Probability from state 6 to state 7 on day 27 (Non-CHG)</v>
      </c>
      <c r="Y230" s="61"/>
      <c r="Z230" s="151"/>
      <c r="AA230" s="93">
        <f t="shared" si="61"/>
        <v>0</v>
      </c>
      <c r="AB230" s="9"/>
      <c r="AC230" s="83"/>
    </row>
    <row r="231" spans="2:29" ht="17" thickTop="1" thickBot="1" x14ac:dyDescent="0.25">
      <c r="B231" s="83"/>
      <c r="D231" s="56" t="str">
        <f t="shared" si="52"/>
        <v>Transition Probability from state 1 to state 7 on day 28 (Non-CHG)</v>
      </c>
      <c r="E231" s="61"/>
      <c r="F231" s="151">
        <v>3.8461538461538464E-2</v>
      </c>
      <c r="G231" s="93">
        <f t="shared" si="57"/>
        <v>3.8461538461538464E-2</v>
      </c>
      <c r="I231" s="56" t="str">
        <f t="shared" si="53"/>
        <v>Transition Probability from state 2 to state 7 on day 28 (Non-CHG)</v>
      </c>
      <c r="J231" s="61"/>
      <c r="K231" s="151"/>
      <c r="L231" s="93">
        <f t="shared" si="58"/>
        <v>0</v>
      </c>
      <c r="N231" s="56" t="str">
        <f t="shared" si="54"/>
        <v>Transition Probability from state 3 to state 7 on day 28 (Non-CHG)</v>
      </c>
      <c r="O231" s="61"/>
      <c r="P231" s="151">
        <v>0</v>
      </c>
      <c r="Q231" s="93">
        <f t="shared" si="59"/>
        <v>0</v>
      </c>
      <c r="S231" s="56" t="str">
        <f t="shared" si="55"/>
        <v>Transition Probability from state 4 to state 7 on day 28 (Non-CHG)</v>
      </c>
      <c r="T231" s="61"/>
      <c r="U231" s="151"/>
      <c r="V231" s="93">
        <f t="shared" si="60"/>
        <v>0</v>
      </c>
      <c r="X231" s="56" t="str">
        <f t="shared" si="56"/>
        <v>Transition Probability from state 6 to state 7 on day 28 (Non-CHG)</v>
      </c>
      <c r="Y231" s="61"/>
      <c r="Z231" s="151"/>
      <c r="AA231" s="93">
        <f t="shared" si="61"/>
        <v>0</v>
      </c>
      <c r="AB231" s="9"/>
      <c r="AC231" s="83"/>
    </row>
    <row r="232" spans="2:29" ht="17" thickTop="1" thickBot="1" x14ac:dyDescent="0.25">
      <c r="B232" s="83"/>
      <c r="D232" s="56" t="str">
        <f t="shared" si="52"/>
        <v>Transition Probability from state 1 to state 7 on day 29 (Non-CHG)</v>
      </c>
      <c r="E232" s="61"/>
      <c r="F232" s="151">
        <v>2.4793388429752067E-2</v>
      </c>
      <c r="G232" s="93">
        <f t="shared" si="57"/>
        <v>2.4793388429752067E-2</v>
      </c>
      <c r="I232" s="56" t="str">
        <f t="shared" si="53"/>
        <v>Transition Probability from state 2 to state 7 on day 29 (Non-CHG)</v>
      </c>
      <c r="J232" s="61"/>
      <c r="K232" s="151"/>
      <c r="L232" s="93">
        <f t="shared" si="58"/>
        <v>0</v>
      </c>
      <c r="N232" s="56" t="str">
        <f t="shared" si="54"/>
        <v>Transition Probability from state 3 to state 7 on day 29 (Non-CHG)</v>
      </c>
      <c r="O232" s="61"/>
      <c r="P232" s="151">
        <v>0</v>
      </c>
      <c r="Q232" s="93">
        <f t="shared" si="59"/>
        <v>0</v>
      </c>
      <c r="S232" s="56" t="str">
        <f t="shared" si="55"/>
        <v>Transition Probability from state 4 to state 7 on day 29 (Non-CHG)</v>
      </c>
      <c r="T232" s="61"/>
      <c r="U232" s="151"/>
      <c r="V232" s="93">
        <f t="shared" si="60"/>
        <v>0</v>
      </c>
      <c r="X232" s="56" t="str">
        <f t="shared" si="56"/>
        <v>Transition Probability from state 6 to state 7 on day 29 (Non-CHG)</v>
      </c>
      <c r="Y232" s="61"/>
      <c r="Z232" s="151"/>
      <c r="AA232" s="93">
        <f t="shared" si="61"/>
        <v>0</v>
      </c>
      <c r="AB232" s="9"/>
      <c r="AC232" s="83"/>
    </row>
    <row r="233" spans="2:29" ht="17" thickTop="1" thickBot="1" x14ac:dyDescent="0.25">
      <c r="B233" s="83"/>
      <c r="D233" s="56" t="str">
        <f t="shared" si="52"/>
        <v>Transition Probability from state 1 to state 7 on day 30 (Non-CHG)</v>
      </c>
      <c r="E233" s="61"/>
      <c r="F233" s="151">
        <v>7.6923076923076927E-2</v>
      </c>
      <c r="G233" s="93">
        <f t="shared" si="57"/>
        <v>7.6923076923076927E-2</v>
      </c>
      <c r="I233" s="56" t="str">
        <f t="shared" si="53"/>
        <v>Transition Probability from state 2 to state 7 on day 30 (Non-CHG)</v>
      </c>
      <c r="J233" s="61"/>
      <c r="K233" s="151"/>
      <c r="L233" s="93">
        <f t="shared" si="58"/>
        <v>0</v>
      </c>
      <c r="N233" s="56" t="str">
        <f t="shared" si="54"/>
        <v>Transition Probability from state 3 to state 7 on day 30 (Non-CHG)</v>
      </c>
      <c r="O233" s="61"/>
      <c r="P233" s="151">
        <v>0</v>
      </c>
      <c r="Q233" s="93">
        <f t="shared" si="59"/>
        <v>0</v>
      </c>
      <c r="S233" s="56" t="str">
        <f t="shared" si="55"/>
        <v>Transition Probability from state 4 to state 7 on day 30 (Non-CHG)</v>
      </c>
      <c r="T233" s="61"/>
      <c r="U233" s="151"/>
      <c r="V233" s="93">
        <f t="shared" si="60"/>
        <v>0</v>
      </c>
      <c r="X233" s="56" t="str">
        <f t="shared" si="56"/>
        <v>Transition Probability from state 6 to state 7 on day 30 (Non-CHG)</v>
      </c>
      <c r="Y233" s="61"/>
      <c r="Z233" s="151"/>
      <c r="AA233" s="93">
        <f t="shared" si="61"/>
        <v>0</v>
      </c>
      <c r="AB233" s="9"/>
      <c r="AC233" s="83"/>
    </row>
    <row r="234" spans="2:29" ht="16" thickTop="1" x14ac:dyDescent="0.2">
      <c r="B234" s="83"/>
      <c r="AB234" s="9"/>
      <c r="AC234" s="83"/>
    </row>
    <row r="235" spans="2:29" x14ac:dyDescent="0.2">
      <c r="B235" s="83"/>
      <c r="D235" s="231" t="s">
        <v>189</v>
      </c>
      <c r="E235" s="231"/>
      <c r="F235" s="231"/>
      <c r="G235" s="231"/>
      <c r="I235" s="235" t="s">
        <v>215</v>
      </c>
      <c r="J235" s="235"/>
      <c r="K235" s="235"/>
      <c r="L235" s="235"/>
      <c r="N235" s="231" t="s">
        <v>216</v>
      </c>
      <c r="O235" s="231"/>
      <c r="P235" s="231"/>
      <c r="Q235" s="231"/>
      <c r="S235" s="231" t="s">
        <v>217</v>
      </c>
      <c r="T235" s="231"/>
      <c r="U235" s="231"/>
      <c r="V235" s="231"/>
      <c r="X235" s="231" t="s">
        <v>218</v>
      </c>
      <c r="Y235" s="231"/>
      <c r="Z235" s="231"/>
      <c r="AA235" s="231"/>
      <c r="AB235" s="9"/>
      <c r="AC235" s="83"/>
    </row>
    <row r="236" spans="2:29" ht="16" thickBot="1" x14ac:dyDescent="0.25">
      <c r="B236" s="83"/>
      <c r="D236" s="195" t="str">
        <f t="shared" ref="D236:D265" si="62">"Transition Probability from state 1 to state 8 on day"&amp; " "&amp;C11&amp;" "&amp;"(Non-CHG)"</f>
        <v>Transition Probability from state 1 to state 8 on day 1 (Non-CHG)</v>
      </c>
      <c r="E236" s="196"/>
      <c r="F236" s="197">
        <v>1.06951871657754E-2</v>
      </c>
      <c r="G236" s="198">
        <f>IF(E236="",F236,E236)</f>
        <v>1.06951871657754E-2</v>
      </c>
      <c r="I236" s="195" t="str">
        <f t="shared" ref="I236:I265" si="63">"Transition Probability from state 2 to state 8 on day"&amp; " "&amp;C11&amp;" "&amp;"(Non-CHG)"</f>
        <v>Transition Probability from state 2 to state 8 on day 1 (Non-CHG)</v>
      </c>
      <c r="J236" s="196"/>
      <c r="K236" s="197"/>
      <c r="L236" s="198">
        <f>IF(J236="",K236,J236)</f>
        <v>0</v>
      </c>
      <c r="N236" s="195" t="str">
        <f t="shared" ref="N236:N265" si="64">"Transition Probability from state 3 to state 8 on day"&amp; " "&amp;C11&amp;" "&amp;"(Non-CHG)"</f>
        <v>Transition Probability from state 3 to state 8 on day 1 (Non-CHG)</v>
      </c>
      <c r="O236" s="196"/>
      <c r="P236" s="197">
        <v>0</v>
      </c>
      <c r="Q236" s="198">
        <f>IF(O236="",P236,O236)</f>
        <v>0</v>
      </c>
      <c r="S236" s="195" t="str">
        <f t="shared" ref="S236:S265" si="65">"Transition Probability from state 4 to state 8 on day"&amp; " "&amp;C11&amp;" "&amp;"(Non-CHG)"</f>
        <v>Transition Probability from state 4 to state 8 on day 1 (Non-CHG)</v>
      </c>
      <c r="T236" s="196"/>
      <c r="U236" s="200">
        <v>0</v>
      </c>
      <c r="V236" s="198">
        <f>IF(T236="",U236,T236)</f>
        <v>0</v>
      </c>
      <c r="X236" s="195" t="str">
        <f t="shared" ref="X236:X265" si="66">"Transition Probability from state 6 to state 8 on day"&amp; " "&amp;C11&amp;" "&amp;"(Non-CHG)"</f>
        <v>Transition Probability from state 6 to state 8 on day 1 (Non-CHG)</v>
      </c>
      <c r="Y236" s="196"/>
      <c r="Z236" s="197"/>
      <c r="AA236" s="198">
        <f>IF(Y236="",Z236,Y236)</f>
        <v>0</v>
      </c>
      <c r="AB236" s="9"/>
      <c r="AC236" s="83"/>
    </row>
    <row r="237" spans="2:29" ht="17" thickTop="1" thickBot="1" x14ac:dyDescent="0.25">
      <c r="B237" s="83"/>
      <c r="D237" s="56" t="str">
        <f t="shared" si="62"/>
        <v>Transition Probability from state 1 to state 8 on day 2 (Non-CHG)</v>
      </c>
      <c r="E237" s="61"/>
      <c r="F237" s="151">
        <v>3.6026200873362446E-2</v>
      </c>
      <c r="G237" s="93">
        <f t="shared" ref="G237:G265" si="67">IF(E237="",F237,E237)</f>
        <v>3.6026200873362446E-2</v>
      </c>
      <c r="I237" s="56" t="str">
        <f t="shared" si="63"/>
        <v>Transition Probability from state 2 to state 8 on day 2 (Non-CHG)</v>
      </c>
      <c r="J237" s="61"/>
      <c r="K237" s="151">
        <v>0.16666666666666666</v>
      </c>
      <c r="L237" s="93">
        <f t="shared" ref="L237:L265" si="68">IF(J237="",K237,J237)</f>
        <v>0.16666666666666666</v>
      </c>
      <c r="N237" s="56" t="str">
        <f t="shared" si="64"/>
        <v>Transition Probability from state 3 to state 8 on day 2 (Non-CHG)</v>
      </c>
      <c r="O237" s="61"/>
      <c r="P237" s="151">
        <v>0</v>
      </c>
      <c r="Q237" s="93">
        <f t="shared" ref="Q237:Q265" si="69">IF(O237="",P237,O237)</f>
        <v>0</v>
      </c>
      <c r="S237" s="56" t="str">
        <f t="shared" si="65"/>
        <v>Transition Probability from state 4 to state 8 on day 2 (Non-CHG)</v>
      </c>
      <c r="T237" s="61"/>
      <c r="U237" s="153">
        <v>0</v>
      </c>
      <c r="V237" s="93">
        <f t="shared" ref="V237:V265" si="70">IF(T237="",U237,T237)</f>
        <v>0</v>
      </c>
      <c r="X237" s="56" t="str">
        <f t="shared" si="66"/>
        <v>Transition Probability from state 6 to state 8 on day 2 (Non-CHG)</v>
      </c>
      <c r="Y237" s="61"/>
      <c r="Z237" s="151"/>
      <c r="AA237" s="93">
        <f t="shared" ref="AA237:AA265" si="71">IF(Y237="",Z237,Y237)</f>
        <v>0</v>
      </c>
      <c r="AB237" s="9"/>
      <c r="AC237" s="83"/>
    </row>
    <row r="238" spans="2:29" ht="17" thickTop="1" thickBot="1" x14ac:dyDescent="0.25">
      <c r="B238" s="83"/>
      <c r="D238" s="56" t="str">
        <f t="shared" si="62"/>
        <v>Transition Probability from state 1 to state 8 on day 3 (Non-CHG)</v>
      </c>
      <c r="E238" s="61"/>
      <c r="F238" s="151">
        <v>3.5756853396901073E-2</v>
      </c>
      <c r="G238" s="93">
        <f t="shared" si="67"/>
        <v>3.5756853396901073E-2</v>
      </c>
      <c r="I238" s="56" t="str">
        <f t="shared" si="63"/>
        <v>Transition Probability from state 2 to state 8 on day 3 (Non-CHG)</v>
      </c>
      <c r="J238" s="61"/>
      <c r="K238" s="151">
        <v>8.3333333333333329E-2</v>
      </c>
      <c r="L238" s="93">
        <f t="shared" si="68"/>
        <v>8.3333333333333329E-2</v>
      </c>
      <c r="N238" s="56" t="str">
        <f t="shared" si="64"/>
        <v>Transition Probability from state 3 to state 8 on day 3 (Non-CHG)</v>
      </c>
      <c r="O238" s="61"/>
      <c r="P238" s="151">
        <v>0</v>
      </c>
      <c r="Q238" s="93">
        <f t="shared" si="69"/>
        <v>0</v>
      </c>
      <c r="S238" s="56" t="str">
        <f t="shared" si="65"/>
        <v>Transition Probability from state 4 to state 8 on day 3 (Non-CHG)</v>
      </c>
      <c r="T238" s="61"/>
      <c r="U238" s="153">
        <v>0</v>
      </c>
      <c r="V238" s="93">
        <f t="shared" si="70"/>
        <v>0</v>
      </c>
      <c r="X238" s="56" t="str">
        <f t="shared" si="66"/>
        <v>Transition Probability from state 6 to state 8 on day 3 (Non-CHG)</v>
      </c>
      <c r="Y238" s="61"/>
      <c r="Z238" s="151"/>
      <c r="AA238" s="93">
        <f t="shared" si="71"/>
        <v>0</v>
      </c>
      <c r="AB238" s="9"/>
      <c r="AC238" s="83"/>
    </row>
    <row r="239" spans="2:29" ht="17" thickTop="1" thickBot="1" x14ac:dyDescent="0.25">
      <c r="B239" s="83"/>
      <c r="D239" s="56" t="str">
        <f t="shared" si="62"/>
        <v>Transition Probability from state 1 to state 8 on day 4 (Non-CHG)</v>
      </c>
      <c r="E239" s="61"/>
      <c r="F239" s="151">
        <v>2.2049286640726331E-2</v>
      </c>
      <c r="G239" s="93">
        <f t="shared" si="67"/>
        <v>2.2049286640726331E-2</v>
      </c>
      <c r="I239" s="56" t="str">
        <f t="shared" si="63"/>
        <v>Transition Probability from state 2 to state 8 on day 4 (Non-CHG)</v>
      </c>
      <c r="J239" s="61"/>
      <c r="K239" s="151"/>
      <c r="L239" s="93">
        <f t="shared" si="68"/>
        <v>0</v>
      </c>
      <c r="N239" s="56" t="str">
        <f t="shared" si="64"/>
        <v>Transition Probability from state 3 to state 8 on day 4 (Non-CHG)</v>
      </c>
      <c r="O239" s="61"/>
      <c r="P239" s="151">
        <v>0</v>
      </c>
      <c r="Q239" s="93">
        <f t="shared" si="69"/>
        <v>0</v>
      </c>
      <c r="S239" s="56" t="str">
        <f t="shared" si="65"/>
        <v>Transition Probability from state 4 to state 8 on day 4 (Non-CHG)</v>
      </c>
      <c r="T239" s="61"/>
      <c r="U239" s="153">
        <v>0</v>
      </c>
      <c r="V239" s="93">
        <f t="shared" si="70"/>
        <v>0</v>
      </c>
      <c r="X239" s="56" t="str">
        <f t="shared" si="66"/>
        <v>Transition Probability from state 6 to state 8 on day 4 (Non-CHG)</v>
      </c>
      <c r="Y239" s="61"/>
      <c r="Z239" s="151"/>
      <c r="AA239" s="93">
        <f t="shared" si="71"/>
        <v>0</v>
      </c>
      <c r="AB239" s="9"/>
      <c r="AC239" s="83"/>
    </row>
    <row r="240" spans="2:29" ht="17" thickTop="1" thickBot="1" x14ac:dyDescent="0.25">
      <c r="B240" s="83"/>
      <c r="D240" s="56" t="str">
        <f t="shared" si="62"/>
        <v>Transition Probability from state 1 to state 8 on day 5 (Non-CHG)</v>
      </c>
      <c r="E240" s="61"/>
      <c r="F240" s="151">
        <v>2.3709902370990237E-2</v>
      </c>
      <c r="G240" s="93">
        <f t="shared" si="67"/>
        <v>2.3709902370990237E-2</v>
      </c>
      <c r="I240" s="56" t="str">
        <f t="shared" si="63"/>
        <v>Transition Probability from state 2 to state 8 on day 5 (Non-CHG)</v>
      </c>
      <c r="J240" s="61"/>
      <c r="K240" s="151"/>
      <c r="L240" s="93">
        <f t="shared" si="68"/>
        <v>0</v>
      </c>
      <c r="N240" s="56" t="str">
        <f t="shared" si="64"/>
        <v>Transition Probability from state 3 to state 8 on day 5 (Non-CHG)</v>
      </c>
      <c r="O240" s="61"/>
      <c r="P240" s="151">
        <v>0</v>
      </c>
      <c r="Q240" s="93">
        <f t="shared" si="69"/>
        <v>0</v>
      </c>
      <c r="S240" s="56" t="str">
        <f t="shared" si="65"/>
        <v>Transition Probability from state 4 to state 8 on day 5 (Non-CHG)</v>
      </c>
      <c r="T240" s="61"/>
      <c r="U240" s="153">
        <v>0</v>
      </c>
      <c r="V240" s="93">
        <f t="shared" si="70"/>
        <v>0</v>
      </c>
      <c r="X240" s="56" t="str">
        <f t="shared" si="66"/>
        <v>Transition Probability from state 6 to state 8 on day 5 (Non-CHG)</v>
      </c>
      <c r="Y240" s="61"/>
      <c r="Z240" s="151"/>
      <c r="AA240" s="93">
        <f t="shared" si="71"/>
        <v>0</v>
      </c>
      <c r="AB240" s="9"/>
      <c r="AC240" s="83"/>
    </row>
    <row r="241" spans="2:29" ht="17" thickTop="1" thickBot="1" x14ac:dyDescent="0.25">
      <c r="B241" s="83"/>
      <c r="D241" s="56" t="str">
        <f t="shared" si="62"/>
        <v>Transition Probability from state 1 to state 8 on day 6 (Non-CHG)</v>
      </c>
      <c r="E241" s="61"/>
      <c r="F241" s="151">
        <v>1.8518518518518517E-2</v>
      </c>
      <c r="G241" s="93">
        <f t="shared" si="67"/>
        <v>1.8518518518518517E-2</v>
      </c>
      <c r="I241" s="56" t="str">
        <f t="shared" si="63"/>
        <v>Transition Probability from state 2 to state 8 on day 6 (Non-CHG)</v>
      </c>
      <c r="J241" s="61"/>
      <c r="K241" s="151"/>
      <c r="L241" s="93">
        <f t="shared" si="68"/>
        <v>0</v>
      </c>
      <c r="N241" s="56" t="str">
        <f t="shared" si="64"/>
        <v>Transition Probability from state 3 to state 8 on day 6 (Non-CHG)</v>
      </c>
      <c r="O241" s="61"/>
      <c r="P241" s="151">
        <v>0</v>
      </c>
      <c r="Q241" s="93">
        <f t="shared" si="69"/>
        <v>0</v>
      </c>
      <c r="S241" s="56" t="str">
        <f t="shared" si="65"/>
        <v>Transition Probability from state 4 to state 8 on day 6 (Non-CHG)</v>
      </c>
      <c r="T241" s="61"/>
      <c r="U241" s="153">
        <v>0</v>
      </c>
      <c r="V241" s="93">
        <f t="shared" si="70"/>
        <v>0</v>
      </c>
      <c r="X241" s="56" t="str">
        <f t="shared" si="66"/>
        <v>Transition Probability from state 6 to state 8 on day 6 (Non-CHG)</v>
      </c>
      <c r="Y241" s="61"/>
      <c r="Z241" s="151"/>
      <c r="AA241" s="93">
        <f t="shared" si="71"/>
        <v>0</v>
      </c>
      <c r="AB241" s="9"/>
      <c r="AC241" s="83"/>
    </row>
    <row r="242" spans="2:29" ht="17" thickTop="1" thickBot="1" x14ac:dyDescent="0.25">
      <c r="B242" s="83"/>
      <c r="D242" s="56" t="str">
        <f t="shared" si="62"/>
        <v>Transition Probability from state 1 to state 8 on day 7 (Non-CHG)</v>
      </c>
      <c r="E242" s="61"/>
      <c r="F242" s="151">
        <v>1.9130434782608695E-2</v>
      </c>
      <c r="G242" s="93">
        <f t="shared" si="67"/>
        <v>1.9130434782608695E-2</v>
      </c>
      <c r="I242" s="56" t="str">
        <f t="shared" si="63"/>
        <v>Transition Probability from state 2 to state 8 on day 7 (Non-CHG)</v>
      </c>
      <c r="J242" s="61"/>
      <c r="K242" s="151"/>
      <c r="L242" s="93">
        <f t="shared" si="68"/>
        <v>0</v>
      </c>
      <c r="N242" s="56" t="str">
        <f t="shared" si="64"/>
        <v>Transition Probability from state 3 to state 8 on day 7 (Non-CHG)</v>
      </c>
      <c r="O242" s="61"/>
      <c r="P242" s="151">
        <v>0</v>
      </c>
      <c r="Q242" s="93">
        <f t="shared" si="69"/>
        <v>0</v>
      </c>
      <c r="S242" s="56" t="str">
        <f t="shared" si="65"/>
        <v>Transition Probability from state 4 to state 8 on day 7 (Non-CHG)</v>
      </c>
      <c r="T242" s="61"/>
      <c r="U242" s="153">
        <v>0</v>
      </c>
      <c r="V242" s="93">
        <f t="shared" si="70"/>
        <v>0</v>
      </c>
      <c r="X242" s="56" t="str">
        <f t="shared" si="66"/>
        <v>Transition Probability from state 6 to state 8 on day 7 (Non-CHG)</v>
      </c>
      <c r="Y242" s="61"/>
      <c r="Z242" s="151"/>
      <c r="AA242" s="93">
        <f t="shared" si="71"/>
        <v>0</v>
      </c>
      <c r="AB242" s="9"/>
      <c r="AC242" s="83"/>
    </row>
    <row r="243" spans="2:29" ht="17" thickTop="1" thickBot="1" x14ac:dyDescent="0.25">
      <c r="B243" s="83"/>
      <c r="D243" s="56" t="str">
        <f t="shared" si="62"/>
        <v>Transition Probability from state 1 to state 8 on day 8 (Non-CHG)</v>
      </c>
      <c r="E243" s="61"/>
      <c r="F243" s="151">
        <v>1.1695906432748537E-2</v>
      </c>
      <c r="G243" s="93">
        <f t="shared" si="67"/>
        <v>1.1695906432748537E-2</v>
      </c>
      <c r="I243" s="56" t="str">
        <f t="shared" si="63"/>
        <v>Transition Probability from state 2 to state 8 on day 8 (Non-CHG)</v>
      </c>
      <c r="J243" s="61"/>
      <c r="K243" s="151"/>
      <c r="L243" s="93">
        <f t="shared" si="68"/>
        <v>0</v>
      </c>
      <c r="N243" s="56" t="str">
        <f t="shared" si="64"/>
        <v>Transition Probability from state 3 to state 8 on day 8 (Non-CHG)</v>
      </c>
      <c r="O243" s="61"/>
      <c r="P243" s="151">
        <v>0</v>
      </c>
      <c r="Q243" s="93">
        <f t="shared" si="69"/>
        <v>0</v>
      </c>
      <c r="S243" s="56" t="str">
        <f t="shared" si="65"/>
        <v>Transition Probability from state 4 to state 8 on day 8 (Non-CHG)</v>
      </c>
      <c r="T243" s="61"/>
      <c r="U243" s="153">
        <v>0</v>
      </c>
      <c r="V243" s="93">
        <f t="shared" si="70"/>
        <v>0</v>
      </c>
      <c r="X243" s="56" t="str">
        <f t="shared" si="66"/>
        <v>Transition Probability from state 6 to state 8 on day 8 (Non-CHG)</v>
      </c>
      <c r="Y243" s="61"/>
      <c r="Z243" s="151">
        <v>1</v>
      </c>
      <c r="AA243" s="93">
        <f t="shared" si="71"/>
        <v>1</v>
      </c>
      <c r="AB243" s="9"/>
      <c r="AC243" s="83"/>
    </row>
    <row r="244" spans="2:29" ht="17" thickTop="1" thickBot="1" x14ac:dyDescent="0.25">
      <c r="B244" s="83"/>
      <c r="D244" s="56" t="str">
        <f t="shared" si="62"/>
        <v>Transition Probability from state 1 to state 8 on day 9 (Non-CHG)</v>
      </c>
      <c r="E244" s="61"/>
      <c r="F244" s="151">
        <v>8.350730688935281E-3</v>
      </c>
      <c r="G244" s="93">
        <f t="shared" si="67"/>
        <v>8.350730688935281E-3</v>
      </c>
      <c r="I244" s="56" t="str">
        <f t="shared" si="63"/>
        <v>Transition Probability from state 2 to state 8 on day 9 (Non-CHG)</v>
      </c>
      <c r="J244" s="61"/>
      <c r="K244" s="151">
        <v>6.6666666666666666E-2</v>
      </c>
      <c r="L244" s="93">
        <f t="shared" si="68"/>
        <v>6.6666666666666666E-2</v>
      </c>
      <c r="N244" s="56" t="str">
        <f t="shared" si="64"/>
        <v>Transition Probability from state 3 to state 8 on day 9 (Non-CHG)</v>
      </c>
      <c r="O244" s="61"/>
      <c r="P244" s="151">
        <v>0</v>
      </c>
      <c r="Q244" s="93">
        <f t="shared" si="69"/>
        <v>0</v>
      </c>
      <c r="S244" s="56" t="str">
        <f t="shared" si="65"/>
        <v>Transition Probability from state 4 to state 8 on day 9 (Non-CHG)</v>
      </c>
      <c r="T244" s="61"/>
      <c r="U244" s="153">
        <v>0</v>
      </c>
      <c r="V244" s="93">
        <f t="shared" si="70"/>
        <v>0</v>
      </c>
      <c r="X244" s="56" t="str">
        <f t="shared" si="66"/>
        <v>Transition Probability from state 6 to state 8 on day 9 (Non-CHG)</v>
      </c>
      <c r="Y244" s="61"/>
      <c r="Z244" s="151">
        <v>1</v>
      </c>
      <c r="AA244" s="93">
        <f t="shared" si="71"/>
        <v>1</v>
      </c>
      <c r="AB244" s="9"/>
      <c r="AC244" s="83"/>
    </row>
    <row r="245" spans="2:29" ht="17" thickTop="1" thickBot="1" x14ac:dyDescent="0.25">
      <c r="B245" s="83"/>
      <c r="D245" s="56" t="str">
        <f t="shared" si="62"/>
        <v>Transition Probability from state 1 to state 8 on day 10 (Non-CHG)</v>
      </c>
      <c r="E245" s="61"/>
      <c r="F245" s="151">
        <v>1.1312217194570135E-2</v>
      </c>
      <c r="G245" s="93">
        <f t="shared" si="67"/>
        <v>1.1312217194570135E-2</v>
      </c>
      <c r="H245" s="144"/>
      <c r="I245" s="56" t="str">
        <f t="shared" si="63"/>
        <v>Transition Probability from state 2 to state 8 on day 10 (Non-CHG)</v>
      </c>
      <c r="J245" s="61"/>
      <c r="K245" s="151"/>
      <c r="L245" s="93">
        <f t="shared" si="68"/>
        <v>0</v>
      </c>
      <c r="M245" s="144"/>
      <c r="N245" s="56" t="str">
        <f t="shared" si="64"/>
        <v>Transition Probability from state 3 to state 8 on day 10 (Non-CHG)</v>
      </c>
      <c r="O245" s="61"/>
      <c r="P245" s="151">
        <v>0</v>
      </c>
      <c r="Q245" s="93">
        <f t="shared" si="69"/>
        <v>0</v>
      </c>
      <c r="R245" s="144"/>
      <c r="S245" s="56" t="str">
        <f t="shared" si="65"/>
        <v>Transition Probability from state 4 to state 8 on day 10 (Non-CHG)</v>
      </c>
      <c r="T245" s="61"/>
      <c r="U245" s="153">
        <v>0</v>
      </c>
      <c r="V245" s="93">
        <f t="shared" si="70"/>
        <v>0</v>
      </c>
      <c r="W245" s="144"/>
      <c r="X245" s="56" t="str">
        <f t="shared" si="66"/>
        <v>Transition Probability from state 6 to state 8 on day 10 (Non-CHG)</v>
      </c>
      <c r="Y245" s="61"/>
      <c r="Z245" s="151"/>
      <c r="AA245" s="93">
        <f t="shared" si="71"/>
        <v>0</v>
      </c>
      <c r="AB245" s="9"/>
      <c r="AC245" s="83"/>
    </row>
    <row r="246" spans="2:29" ht="17" thickTop="1" thickBot="1" x14ac:dyDescent="0.25">
      <c r="B246" s="83"/>
      <c r="D246" s="56" t="str">
        <f t="shared" si="62"/>
        <v>Transition Probability from state 1 to state 8 on day 11 (Non-CHG)</v>
      </c>
      <c r="E246" s="61"/>
      <c r="F246" s="151">
        <v>1.6666666666666666E-2</v>
      </c>
      <c r="G246" s="93">
        <f t="shared" si="67"/>
        <v>1.6666666666666666E-2</v>
      </c>
      <c r="I246" s="56" t="str">
        <f t="shared" si="63"/>
        <v>Transition Probability from state 2 to state 8 on day 11 (Non-CHG)</v>
      </c>
      <c r="J246" s="61"/>
      <c r="K246" s="151"/>
      <c r="L246" s="93">
        <f t="shared" si="68"/>
        <v>0</v>
      </c>
      <c r="N246" s="56" t="str">
        <f t="shared" si="64"/>
        <v>Transition Probability from state 3 to state 8 on day 11 (Non-CHG)</v>
      </c>
      <c r="O246" s="61"/>
      <c r="P246" s="151">
        <v>0</v>
      </c>
      <c r="Q246" s="93">
        <f t="shared" si="69"/>
        <v>0</v>
      </c>
      <c r="S246" s="56" t="str">
        <f t="shared" si="65"/>
        <v>Transition Probability from state 4 to state 8 on day 11 (Non-CHG)</v>
      </c>
      <c r="T246" s="61"/>
      <c r="U246" s="153">
        <v>0</v>
      </c>
      <c r="V246" s="93">
        <f t="shared" si="70"/>
        <v>0</v>
      </c>
      <c r="X246" s="56" t="str">
        <f t="shared" si="66"/>
        <v>Transition Probability from state 6 to state 8 on day 11 (Non-CHG)</v>
      </c>
      <c r="Y246" s="61"/>
      <c r="Z246" s="151"/>
      <c r="AA246" s="93">
        <f t="shared" si="71"/>
        <v>0</v>
      </c>
      <c r="AB246" s="9"/>
      <c r="AC246" s="83"/>
    </row>
    <row r="247" spans="2:29" ht="17" thickTop="1" thickBot="1" x14ac:dyDescent="0.25">
      <c r="B247" s="83"/>
      <c r="D247" s="56" t="str">
        <f t="shared" si="62"/>
        <v>Transition Probability from state 1 to state 8 on day 12 (Non-CHG)</v>
      </c>
      <c r="E247" s="61"/>
      <c r="F247" s="151">
        <v>2.5380710659898477E-2</v>
      </c>
      <c r="G247" s="93">
        <f t="shared" si="67"/>
        <v>2.5380710659898477E-2</v>
      </c>
      <c r="I247" s="56" t="str">
        <f t="shared" si="63"/>
        <v>Transition Probability from state 2 to state 8 on day 12 (Non-CHG)</v>
      </c>
      <c r="J247" s="61"/>
      <c r="K247" s="151"/>
      <c r="L247" s="93">
        <f t="shared" si="68"/>
        <v>0</v>
      </c>
      <c r="N247" s="56" t="str">
        <f t="shared" si="64"/>
        <v>Transition Probability from state 3 to state 8 on day 12 (Non-CHG)</v>
      </c>
      <c r="O247" s="61"/>
      <c r="P247" s="151">
        <v>0</v>
      </c>
      <c r="Q247" s="93">
        <f t="shared" si="69"/>
        <v>0</v>
      </c>
      <c r="S247" s="56" t="str">
        <f t="shared" si="65"/>
        <v>Transition Probability from state 4 to state 8 on day 12 (Non-CHG)</v>
      </c>
      <c r="T247" s="61"/>
      <c r="U247" s="153">
        <v>0</v>
      </c>
      <c r="V247" s="93">
        <f t="shared" si="70"/>
        <v>0</v>
      </c>
      <c r="X247" s="56" t="str">
        <f t="shared" si="66"/>
        <v>Transition Probability from state 6 to state 8 on day 12 (Non-CHG)</v>
      </c>
      <c r="Y247" s="61"/>
      <c r="Z247" s="151"/>
      <c r="AA247" s="93">
        <f t="shared" si="71"/>
        <v>0</v>
      </c>
      <c r="AB247" s="9"/>
      <c r="AC247" s="83"/>
    </row>
    <row r="248" spans="2:29" ht="17" thickTop="1" thickBot="1" x14ac:dyDescent="0.25">
      <c r="B248" s="83"/>
      <c r="D248" s="56" t="str">
        <f t="shared" si="62"/>
        <v>Transition Probability from state 1 to state 8 on day 13 (Non-CHG)</v>
      </c>
      <c r="E248" s="61"/>
      <c r="F248" s="151">
        <v>1.9178082191780823E-2</v>
      </c>
      <c r="G248" s="93">
        <f t="shared" si="67"/>
        <v>1.9178082191780823E-2</v>
      </c>
      <c r="I248" s="56" t="str">
        <f t="shared" si="63"/>
        <v>Transition Probability from state 2 to state 8 on day 13 (Non-CHG)</v>
      </c>
      <c r="J248" s="61"/>
      <c r="K248" s="151"/>
      <c r="L248" s="93">
        <f t="shared" si="68"/>
        <v>0</v>
      </c>
      <c r="N248" s="56" t="str">
        <f t="shared" si="64"/>
        <v>Transition Probability from state 3 to state 8 on day 13 (Non-CHG)</v>
      </c>
      <c r="O248" s="61"/>
      <c r="P248" s="151">
        <v>0</v>
      </c>
      <c r="Q248" s="93">
        <f t="shared" si="69"/>
        <v>0</v>
      </c>
      <c r="S248" s="56" t="str">
        <f t="shared" si="65"/>
        <v>Transition Probability from state 4 to state 8 on day 13 (Non-CHG)</v>
      </c>
      <c r="T248" s="61"/>
      <c r="U248" s="153">
        <v>0</v>
      </c>
      <c r="V248" s="93">
        <f t="shared" si="70"/>
        <v>0</v>
      </c>
      <c r="X248" s="56" t="str">
        <f t="shared" si="66"/>
        <v>Transition Probability from state 6 to state 8 on day 13 (Non-CHG)</v>
      </c>
      <c r="Y248" s="61"/>
      <c r="Z248" s="151"/>
      <c r="AA248" s="93">
        <f t="shared" si="71"/>
        <v>0</v>
      </c>
      <c r="AB248" s="9"/>
      <c r="AC248" s="83"/>
    </row>
    <row r="249" spans="2:29" ht="17" thickTop="1" thickBot="1" x14ac:dyDescent="0.25">
      <c r="B249" s="83"/>
      <c r="D249" s="56" t="str">
        <f t="shared" si="62"/>
        <v>Transition Probability from state 1 to state 8 on day 14 (Non-CHG)</v>
      </c>
      <c r="E249" s="61"/>
      <c r="F249" s="151">
        <v>1.7857142857142856E-2</v>
      </c>
      <c r="G249" s="93">
        <f t="shared" si="67"/>
        <v>1.7857142857142856E-2</v>
      </c>
      <c r="I249" s="56" t="str">
        <f t="shared" si="63"/>
        <v>Transition Probability from state 2 to state 8 on day 14 (Non-CHG)</v>
      </c>
      <c r="J249" s="61"/>
      <c r="K249" s="151">
        <v>0.14285714285714285</v>
      </c>
      <c r="L249" s="93">
        <f t="shared" si="68"/>
        <v>0.14285714285714285</v>
      </c>
      <c r="N249" s="56" t="str">
        <f t="shared" si="64"/>
        <v>Transition Probability from state 3 to state 8 on day 14 (Non-CHG)</v>
      </c>
      <c r="O249" s="61"/>
      <c r="P249" s="151">
        <v>0</v>
      </c>
      <c r="Q249" s="93">
        <f t="shared" si="69"/>
        <v>0</v>
      </c>
      <c r="S249" s="56" t="str">
        <f t="shared" si="65"/>
        <v>Transition Probability from state 4 to state 8 on day 14 (Non-CHG)</v>
      </c>
      <c r="T249" s="61"/>
      <c r="U249" s="153">
        <v>0</v>
      </c>
      <c r="V249" s="93">
        <f t="shared" si="70"/>
        <v>0</v>
      </c>
      <c r="X249" s="56" t="str">
        <f t="shared" si="66"/>
        <v>Transition Probability from state 6 to state 8 on day 14 (Non-CHG)</v>
      </c>
      <c r="Y249" s="61"/>
      <c r="Z249" s="151"/>
      <c r="AA249" s="93">
        <f t="shared" si="71"/>
        <v>0</v>
      </c>
      <c r="AB249" s="9"/>
      <c r="AC249" s="83"/>
    </row>
    <row r="250" spans="2:29" ht="17" thickTop="1" thickBot="1" x14ac:dyDescent="0.25">
      <c r="B250" s="83"/>
      <c r="D250" s="56" t="str">
        <f t="shared" si="62"/>
        <v>Transition Probability from state 1 to state 8 on day 15 (Non-CHG)</v>
      </c>
      <c r="E250" s="61"/>
      <c r="F250" s="151">
        <v>2.1739130434782608E-2</v>
      </c>
      <c r="G250" s="93">
        <f t="shared" si="67"/>
        <v>2.1739130434782608E-2</v>
      </c>
      <c r="I250" s="56" t="str">
        <f t="shared" si="63"/>
        <v>Transition Probability from state 2 to state 8 on day 15 (Non-CHG)</v>
      </c>
      <c r="J250" s="61"/>
      <c r="K250" s="151"/>
      <c r="L250" s="93">
        <f t="shared" si="68"/>
        <v>0</v>
      </c>
      <c r="N250" s="56" t="str">
        <f t="shared" si="64"/>
        <v>Transition Probability from state 3 to state 8 on day 15 (Non-CHG)</v>
      </c>
      <c r="O250" s="61"/>
      <c r="P250" s="151">
        <v>0</v>
      </c>
      <c r="Q250" s="93">
        <f t="shared" si="69"/>
        <v>0</v>
      </c>
      <c r="S250" s="56" t="str">
        <f t="shared" si="65"/>
        <v>Transition Probability from state 4 to state 8 on day 15 (Non-CHG)</v>
      </c>
      <c r="T250" s="61"/>
      <c r="U250" s="153">
        <v>0</v>
      </c>
      <c r="V250" s="93">
        <f t="shared" si="70"/>
        <v>0</v>
      </c>
      <c r="X250" s="56" t="str">
        <f t="shared" si="66"/>
        <v>Transition Probability from state 6 to state 8 on day 15 (Non-CHG)</v>
      </c>
      <c r="Y250" s="61"/>
      <c r="Z250" s="151"/>
      <c r="AA250" s="93">
        <f t="shared" si="71"/>
        <v>0</v>
      </c>
      <c r="AB250" s="9"/>
      <c r="AC250" s="83"/>
    </row>
    <row r="251" spans="2:29" ht="17" thickTop="1" thickBot="1" x14ac:dyDescent="0.25">
      <c r="B251" s="83"/>
      <c r="D251" s="56" t="str">
        <f t="shared" si="62"/>
        <v>Transition Probability from state 1 to state 8 on day 16 (Non-CHG)</v>
      </c>
      <c r="E251" s="61"/>
      <c r="F251" s="151">
        <v>1.3559322033898305E-2</v>
      </c>
      <c r="G251" s="93">
        <f t="shared" si="67"/>
        <v>1.3559322033898305E-2</v>
      </c>
      <c r="I251" s="56" t="str">
        <f t="shared" si="63"/>
        <v>Transition Probability from state 2 to state 8 on day 16 (Non-CHG)</v>
      </c>
      <c r="J251" s="61"/>
      <c r="K251" s="151"/>
      <c r="L251" s="93">
        <f t="shared" si="68"/>
        <v>0</v>
      </c>
      <c r="N251" s="56" t="str">
        <f t="shared" si="64"/>
        <v>Transition Probability from state 3 to state 8 on day 16 (Non-CHG)</v>
      </c>
      <c r="O251" s="61"/>
      <c r="P251" s="151">
        <v>0</v>
      </c>
      <c r="Q251" s="93">
        <f t="shared" si="69"/>
        <v>0</v>
      </c>
      <c r="S251" s="56" t="str">
        <f t="shared" si="65"/>
        <v>Transition Probability from state 4 to state 8 on day 16 (Non-CHG)</v>
      </c>
      <c r="T251" s="61"/>
      <c r="U251" s="153">
        <v>0</v>
      </c>
      <c r="V251" s="93">
        <f t="shared" si="70"/>
        <v>0</v>
      </c>
      <c r="X251" s="56" t="str">
        <f t="shared" si="66"/>
        <v>Transition Probability from state 6 to state 8 on day 16 (Non-CHG)</v>
      </c>
      <c r="Y251" s="61"/>
      <c r="Z251" s="151"/>
      <c r="AA251" s="93">
        <f t="shared" si="71"/>
        <v>0</v>
      </c>
      <c r="AB251" s="9"/>
      <c r="AC251" s="83"/>
    </row>
    <row r="252" spans="2:29" ht="17" thickTop="1" thickBot="1" x14ac:dyDescent="0.25">
      <c r="B252" s="83"/>
      <c r="D252" s="56" t="str">
        <f t="shared" si="62"/>
        <v>Transition Probability from state 1 to state 8 on day 17 (Non-CHG)</v>
      </c>
      <c r="E252" s="61"/>
      <c r="F252" s="151">
        <v>1.444043321299639E-2</v>
      </c>
      <c r="G252" s="93">
        <f t="shared" si="67"/>
        <v>1.444043321299639E-2</v>
      </c>
      <c r="I252" s="56" t="str">
        <f t="shared" si="63"/>
        <v>Transition Probability from state 2 to state 8 on day 17 (Non-CHG)</v>
      </c>
      <c r="J252" s="61"/>
      <c r="K252" s="151"/>
      <c r="L252" s="93">
        <f t="shared" si="68"/>
        <v>0</v>
      </c>
      <c r="N252" s="56" t="str">
        <f t="shared" si="64"/>
        <v>Transition Probability from state 3 to state 8 on day 17 (Non-CHG)</v>
      </c>
      <c r="O252" s="61"/>
      <c r="P252" s="151">
        <v>0</v>
      </c>
      <c r="Q252" s="93">
        <f t="shared" si="69"/>
        <v>0</v>
      </c>
      <c r="S252" s="56" t="str">
        <f t="shared" si="65"/>
        <v>Transition Probability from state 4 to state 8 on day 17 (Non-CHG)</v>
      </c>
      <c r="T252" s="61"/>
      <c r="U252" s="153">
        <v>0</v>
      </c>
      <c r="V252" s="93">
        <f t="shared" si="70"/>
        <v>0</v>
      </c>
      <c r="X252" s="56" t="str">
        <f t="shared" si="66"/>
        <v>Transition Probability from state 6 to state 8 on day 17 (Non-CHG)</v>
      </c>
      <c r="Y252" s="61"/>
      <c r="Z252" s="151"/>
      <c r="AA252" s="93">
        <f t="shared" si="71"/>
        <v>0</v>
      </c>
      <c r="AB252" s="9"/>
      <c r="AC252" s="83"/>
    </row>
    <row r="253" spans="2:29" ht="17" thickTop="1" thickBot="1" x14ac:dyDescent="0.25">
      <c r="B253" s="83"/>
      <c r="D253" s="56" t="str">
        <f t="shared" si="62"/>
        <v>Transition Probability from state 1 to state 8 on day 18 (Non-CHG)</v>
      </c>
      <c r="E253" s="61"/>
      <c r="F253" s="151">
        <v>1.9230769230769232E-2</v>
      </c>
      <c r="G253" s="93">
        <f t="shared" si="67"/>
        <v>1.9230769230769232E-2</v>
      </c>
      <c r="I253" s="56" t="str">
        <f t="shared" si="63"/>
        <v>Transition Probability from state 2 to state 8 on day 18 (Non-CHG)</v>
      </c>
      <c r="J253" s="61"/>
      <c r="K253" s="151">
        <v>0.16666666666666666</v>
      </c>
      <c r="L253" s="93">
        <f t="shared" si="68"/>
        <v>0.16666666666666666</v>
      </c>
      <c r="N253" s="56" t="str">
        <f t="shared" si="64"/>
        <v>Transition Probability from state 3 to state 8 on day 18 (Non-CHG)</v>
      </c>
      <c r="O253" s="61"/>
      <c r="P253" s="151">
        <v>0</v>
      </c>
      <c r="Q253" s="93">
        <f t="shared" si="69"/>
        <v>0</v>
      </c>
      <c r="S253" s="56" t="str">
        <f t="shared" si="65"/>
        <v>Transition Probability from state 4 to state 8 on day 18 (Non-CHG)</v>
      </c>
      <c r="T253" s="61"/>
      <c r="U253" s="153">
        <v>0</v>
      </c>
      <c r="V253" s="93">
        <f t="shared" si="70"/>
        <v>0</v>
      </c>
      <c r="X253" s="56" t="str">
        <f t="shared" si="66"/>
        <v>Transition Probability from state 6 to state 8 on day 18 (Non-CHG)</v>
      </c>
      <c r="Y253" s="61"/>
      <c r="Z253" s="151"/>
      <c r="AA253" s="93">
        <f t="shared" si="71"/>
        <v>0</v>
      </c>
      <c r="AB253" s="9"/>
      <c r="AC253" s="83"/>
    </row>
    <row r="254" spans="2:29" ht="17" thickTop="1" thickBot="1" x14ac:dyDescent="0.25">
      <c r="B254" s="83"/>
      <c r="D254" s="56" t="str">
        <f t="shared" si="62"/>
        <v>Transition Probability from state 1 to state 8 on day 19 (Non-CHG)</v>
      </c>
      <c r="E254" s="61"/>
      <c r="F254" s="151">
        <v>4.5454545454545456E-2</v>
      </c>
      <c r="G254" s="93">
        <f t="shared" si="67"/>
        <v>4.5454545454545456E-2</v>
      </c>
      <c r="I254" s="56" t="str">
        <f t="shared" si="63"/>
        <v>Transition Probability from state 2 to state 8 on day 19 (Non-CHG)</v>
      </c>
      <c r="J254" s="61"/>
      <c r="K254" s="151"/>
      <c r="L254" s="93">
        <f t="shared" si="68"/>
        <v>0</v>
      </c>
      <c r="N254" s="56" t="str">
        <f t="shared" si="64"/>
        <v>Transition Probability from state 3 to state 8 on day 19 (Non-CHG)</v>
      </c>
      <c r="O254" s="61"/>
      <c r="P254" s="151">
        <v>0</v>
      </c>
      <c r="Q254" s="93">
        <f t="shared" si="69"/>
        <v>0</v>
      </c>
      <c r="S254" s="56" t="str">
        <f t="shared" si="65"/>
        <v>Transition Probability from state 4 to state 8 on day 19 (Non-CHG)</v>
      </c>
      <c r="T254" s="61"/>
      <c r="U254" s="153">
        <v>0</v>
      </c>
      <c r="V254" s="93">
        <f t="shared" si="70"/>
        <v>0</v>
      </c>
      <c r="X254" s="56" t="str">
        <f t="shared" si="66"/>
        <v>Transition Probability from state 6 to state 8 on day 19 (Non-CHG)</v>
      </c>
      <c r="Y254" s="61"/>
      <c r="Z254" s="151"/>
      <c r="AA254" s="93">
        <f t="shared" si="71"/>
        <v>0</v>
      </c>
      <c r="AB254" s="9"/>
      <c r="AC254" s="83"/>
    </row>
    <row r="255" spans="2:29" ht="17" thickTop="1" thickBot="1" x14ac:dyDescent="0.25">
      <c r="B255" s="83"/>
      <c r="D255" s="56" t="str">
        <f t="shared" si="62"/>
        <v>Transition Probability from state 1 to state 8 on day 20 (Non-CHG)</v>
      </c>
      <c r="E255" s="61"/>
      <c r="F255" s="151">
        <v>1.3452914798206279E-2</v>
      </c>
      <c r="G255" s="93">
        <f t="shared" si="67"/>
        <v>1.3452914798206279E-2</v>
      </c>
      <c r="I255" s="56" t="str">
        <f t="shared" si="63"/>
        <v>Transition Probability from state 2 to state 8 on day 20 (Non-CHG)</v>
      </c>
      <c r="J255" s="61"/>
      <c r="K255" s="151"/>
      <c r="L255" s="93">
        <f t="shared" si="68"/>
        <v>0</v>
      </c>
      <c r="N255" s="56" t="str">
        <f t="shared" si="64"/>
        <v>Transition Probability from state 3 to state 8 on day 20 (Non-CHG)</v>
      </c>
      <c r="O255" s="61"/>
      <c r="P255" s="151">
        <v>0</v>
      </c>
      <c r="Q255" s="93">
        <f t="shared" si="69"/>
        <v>0</v>
      </c>
      <c r="S255" s="56" t="str">
        <f t="shared" si="65"/>
        <v>Transition Probability from state 4 to state 8 on day 20 (Non-CHG)</v>
      </c>
      <c r="T255" s="61"/>
      <c r="U255" s="153">
        <v>0</v>
      </c>
      <c r="V255" s="93">
        <f t="shared" si="70"/>
        <v>0</v>
      </c>
      <c r="X255" s="56" t="str">
        <f t="shared" si="66"/>
        <v>Transition Probability from state 6 to state 8 on day 20 (Non-CHG)</v>
      </c>
      <c r="Y255" s="61"/>
      <c r="Z255" s="151"/>
      <c r="AA255" s="93">
        <f t="shared" si="71"/>
        <v>0</v>
      </c>
      <c r="AB255" s="9"/>
      <c r="AC255" s="83"/>
    </row>
    <row r="256" spans="2:29" ht="17" thickTop="1" thickBot="1" x14ac:dyDescent="0.25">
      <c r="B256" s="83"/>
      <c r="D256" s="56" t="str">
        <f t="shared" si="62"/>
        <v>Transition Probability from state 1 to state 8 on day 21 (Non-CHG)</v>
      </c>
      <c r="E256" s="61"/>
      <c r="F256" s="151">
        <v>2.336448598130841E-2</v>
      </c>
      <c r="G256" s="93">
        <f t="shared" si="67"/>
        <v>2.336448598130841E-2</v>
      </c>
      <c r="I256" s="56" t="str">
        <f t="shared" si="63"/>
        <v>Transition Probability from state 2 to state 8 on day 21 (Non-CHG)</v>
      </c>
      <c r="J256" s="61"/>
      <c r="K256" s="151"/>
      <c r="L256" s="93">
        <f t="shared" si="68"/>
        <v>0</v>
      </c>
      <c r="N256" s="56" t="str">
        <f t="shared" si="64"/>
        <v>Transition Probability from state 3 to state 8 on day 21 (Non-CHG)</v>
      </c>
      <c r="O256" s="61"/>
      <c r="P256" s="151">
        <v>0</v>
      </c>
      <c r="Q256" s="93">
        <f t="shared" si="69"/>
        <v>0</v>
      </c>
      <c r="S256" s="56" t="str">
        <f t="shared" si="65"/>
        <v>Transition Probability from state 4 to state 8 on day 21 (Non-CHG)</v>
      </c>
      <c r="T256" s="61"/>
      <c r="U256" s="153">
        <v>0</v>
      </c>
      <c r="V256" s="93">
        <f t="shared" si="70"/>
        <v>0</v>
      </c>
      <c r="X256" s="56" t="str">
        <f t="shared" si="66"/>
        <v>Transition Probability from state 6 to state 8 on day 21 (Non-CHG)</v>
      </c>
      <c r="Y256" s="61"/>
      <c r="Z256" s="151"/>
      <c r="AA256" s="93">
        <f t="shared" si="71"/>
        <v>0</v>
      </c>
      <c r="AB256" s="9"/>
      <c r="AC256" s="83"/>
    </row>
    <row r="257" spans="1:29" ht="17" thickTop="1" thickBot="1" x14ac:dyDescent="0.25">
      <c r="B257" s="83"/>
      <c r="D257" s="56" t="str">
        <f t="shared" si="62"/>
        <v>Transition Probability from state 1 to state 8 on day 22 (Non-CHG)</v>
      </c>
      <c r="E257" s="61"/>
      <c r="F257" s="151">
        <v>2.5906735751295335E-2</v>
      </c>
      <c r="G257" s="93">
        <f t="shared" si="67"/>
        <v>2.5906735751295335E-2</v>
      </c>
      <c r="I257" s="56" t="str">
        <f t="shared" si="63"/>
        <v>Transition Probability from state 2 to state 8 on day 22 (Non-CHG)</v>
      </c>
      <c r="J257" s="61"/>
      <c r="K257" s="151"/>
      <c r="L257" s="93">
        <f t="shared" si="68"/>
        <v>0</v>
      </c>
      <c r="N257" s="56" t="str">
        <f t="shared" si="64"/>
        <v>Transition Probability from state 3 to state 8 on day 22 (Non-CHG)</v>
      </c>
      <c r="O257" s="61"/>
      <c r="P257" s="151">
        <v>0</v>
      </c>
      <c r="Q257" s="93">
        <f t="shared" si="69"/>
        <v>0</v>
      </c>
      <c r="S257" s="56" t="str">
        <f t="shared" si="65"/>
        <v>Transition Probability from state 4 to state 8 on day 22 (Non-CHG)</v>
      </c>
      <c r="T257" s="61"/>
      <c r="U257" s="153">
        <v>0</v>
      </c>
      <c r="V257" s="93">
        <f t="shared" si="70"/>
        <v>0</v>
      </c>
      <c r="X257" s="56" t="str">
        <f t="shared" si="66"/>
        <v>Transition Probability from state 6 to state 8 on day 22 (Non-CHG)</v>
      </c>
      <c r="Y257" s="61"/>
      <c r="Z257" s="151"/>
      <c r="AA257" s="93">
        <f t="shared" si="71"/>
        <v>0</v>
      </c>
      <c r="AB257" s="9"/>
      <c r="AC257" s="83"/>
    </row>
    <row r="258" spans="1:29" ht="17" thickTop="1" thickBot="1" x14ac:dyDescent="0.25">
      <c r="B258" s="83"/>
      <c r="D258" s="56" t="str">
        <f t="shared" si="62"/>
        <v>Transition Probability from state 1 to state 8 on day 23 (Non-CHG)</v>
      </c>
      <c r="E258" s="61"/>
      <c r="F258" s="151">
        <v>2.2727272727272728E-2</v>
      </c>
      <c r="G258" s="93">
        <f t="shared" si="67"/>
        <v>2.2727272727272728E-2</v>
      </c>
      <c r="I258" s="56" t="str">
        <f t="shared" si="63"/>
        <v>Transition Probability from state 2 to state 8 on day 23 (Non-CHG)</v>
      </c>
      <c r="J258" s="61"/>
      <c r="K258" s="151"/>
      <c r="L258" s="93">
        <f t="shared" si="68"/>
        <v>0</v>
      </c>
      <c r="N258" s="56" t="str">
        <f t="shared" si="64"/>
        <v>Transition Probability from state 3 to state 8 on day 23 (Non-CHG)</v>
      </c>
      <c r="O258" s="61"/>
      <c r="P258" s="151">
        <v>0</v>
      </c>
      <c r="Q258" s="93">
        <f t="shared" si="69"/>
        <v>0</v>
      </c>
      <c r="S258" s="56" t="str">
        <f t="shared" si="65"/>
        <v>Transition Probability from state 4 to state 8 on day 23 (Non-CHG)</v>
      </c>
      <c r="T258" s="61"/>
      <c r="U258" s="153">
        <v>0</v>
      </c>
      <c r="V258" s="93">
        <f t="shared" si="70"/>
        <v>0</v>
      </c>
      <c r="X258" s="56" t="str">
        <f t="shared" si="66"/>
        <v>Transition Probability from state 6 to state 8 on day 23 (Non-CHG)</v>
      </c>
      <c r="Y258" s="61"/>
      <c r="Z258" s="151"/>
      <c r="AA258" s="93">
        <f t="shared" si="71"/>
        <v>0</v>
      </c>
      <c r="AB258" s="9"/>
      <c r="AC258" s="83"/>
    </row>
    <row r="259" spans="1:29" ht="17" thickTop="1" thickBot="1" x14ac:dyDescent="0.25">
      <c r="B259" s="83"/>
      <c r="D259" s="56" t="str">
        <f t="shared" si="62"/>
        <v>Transition Probability from state 1 to state 8 on day 24 (Non-CHG)</v>
      </c>
      <c r="E259" s="61"/>
      <c r="F259" s="151">
        <v>2.3809523809523808E-2</v>
      </c>
      <c r="G259" s="93">
        <f t="shared" si="67"/>
        <v>2.3809523809523808E-2</v>
      </c>
      <c r="I259" s="56" t="str">
        <f t="shared" si="63"/>
        <v>Transition Probability from state 2 to state 8 on day 24 (Non-CHG)</v>
      </c>
      <c r="J259" s="61"/>
      <c r="K259" s="151"/>
      <c r="L259" s="93">
        <f t="shared" si="68"/>
        <v>0</v>
      </c>
      <c r="N259" s="56" t="str">
        <f t="shared" si="64"/>
        <v>Transition Probability from state 3 to state 8 on day 24 (Non-CHG)</v>
      </c>
      <c r="O259" s="61"/>
      <c r="P259" s="151">
        <v>0</v>
      </c>
      <c r="Q259" s="93">
        <f t="shared" si="69"/>
        <v>0</v>
      </c>
      <c r="S259" s="56" t="str">
        <f t="shared" si="65"/>
        <v>Transition Probability from state 4 to state 8 on day 24 (Non-CHG)</v>
      </c>
      <c r="T259" s="61"/>
      <c r="U259" s="153">
        <v>0</v>
      </c>
      <c r="V259" s="93">
        <f t="shared" si="70"/>
        <v>0</v>
      </c>
      <c r="X259" s="56" t="str">
        <f t="shared" si="66"/>
        <v>Transition Probability from state 6 to state 8 on day 24 (Non-CHG)</v>
      </c>
      <c r="Y259" s="61"/>
      <c r="Z259" s="151"/>
      <c r="AA259" s="93">
        <f t="shared" si="71"/>
        <v>0</v>
      </c>
      <c r="AB259" s="9"/>
      <c r="AC259" s="83"/>
    </row>
    <row r="260" spans="1:29" ht="17" thickTop="1" thickBot="1" x14ac:dyDescent="0.25">
      <c r="B260" s="83"/>
      <c r="D260" s="56" t="str">
        <f t="shared" si="62"/>
        <v>Transition Probability from state 1 to state 8 on day 25 (Non-CHG)</v>
      </c>
      <c r="E260" s="61"/>
      <c r="F260" s="151">
        <v>1.8987341772151899E-2</v>
      </c>
      <c r="G260" s="93">
        <f t="shared" si="67"/>
        <v>1.8987341772151899E-2</v>
      </c>
      <c r="I260" s="56" t="str">
        <f t="shared" si="63"/>
        <v>Transition Probability from state 2 to state 8 on day 25 (Non-CHG)</v>
      </c>
      <c r="J260" s="61"/>
      <c r="K260" s="151"/>
      <c r="L260" s="93">
        <f t="shared" si="68"/>
        <v>0</v>
      </c>
      <c r="N260" s="56" t="str">
        <f t="shared" si="64"/>
        <v>Transition Probability from state 3 to state 8 on day 25 (Non-CHG)</v>
      </c>
      <c r="O260" s="61"/>
      <c r="P260" s="151">
        <v>0</v>
      </c>
      <c r="Q260" s="93">
        <f t="shared" si="69"/>
        <v>0</v>
      </c>
      <c r="S260" s="56" t="str">
        <f t="shared" si="65"/>
        <v>Transition Probability from state 4 to state 8 on day 25 (Non-CHG)</v>
      </c>
      <c r="T260" s="61"/>
      <c r="U260" s="153">
        <v>0</v>
      </c>
      <c r="V260" s="93">
        <f t="shared" si="70"/>
        <v>0</v>
      </c>
      <c r="X260" s="56" t="str">
        <f t="shared" si="66"/>
        <v>Transition Probability from state 6 to state 8 on day 25 (Non-CHG)</v>
      </c>
      <c r="Y260" s="61"/>
      <c r="Z260" s="151"/>
      <c r="AA260" s="93">
        <f t="shared" si="71"/>
        <v>0</v>
      </c>
      <c r="AB260" s="9"/>
      <c r="AC260" s="83"/>
    </row>
    <row r="261" spans="1:29" ht="17" thickTop="1" thickBot="1" x14ac:dyDescent="0.25">
      <c r="B261" s="83"/>
      <c r="D261" s="56" t="str">
        <f t="shared" si="62"/>
        <v>Transition Probability from state 1 to state 8 on day 26 (Non-CHG)</v>
      </c>
      <c r="E261" s="61"/>
      <c r="F261" s="151">
        <v>4.1095890410958902E-2</v>
      </c>
      <c r="G261" s="93">
        <f t="shared" si="67"/>
        <v>4.1095890410958902E-2</v>
      </c>
      <c r="I261" s="56" t="str">
        <f t="shared" si="63"/>
        <v>Transition Probability from state 2 to state 8 on day 26 (Non-CHG)</v>
      </c>
      <c r="J261" s="61"/>
      <c r="K261" s="151"/>
      <c r="L261" s="93">
        <f t="shared" si="68"/>
        <v>0</v>
      </c>
      <c r="N261" s="56" t="str">
        <f t="shared" si="64"/>
        <v>Transition Probability from state 3 to state 8 on day 26 (Non-CHG)</v>
      </c>
      <c r="O261" s="61"/>
      <c r="P261" s="151">
        <v>0</v>
      </c>
      <c r="Q261" s="93">
        <f t="shared" si="69"/>
        <v>0</v>
      </c>
      <c r="S261" s="56" t="str">
        <f t="shared" si="65"/>
        <v>Transition Probability from state 4 to state 8 on day 26 (Non-CHG)</v>
      </c>
      <c r="T261" s="61"/>
      <c r="U261" s="153">
        <v>0</v>
      </c>
      <c r="V261" s="93">
        <f t="shared" si="70"/>
        <v>0</v>
      </c>
      <c r="X261" s="56" t="str">
        <f t="shared" si="66"/>
        <v>Transition Probability from state 6 to state 8 on day 26 (Non-CHG)</v>
      </c>
      <c r="Y261" s="61"/>
      <c r="Z261" s="151"/>
      <c r="AA261" s="93">
        <f t="shared" si="71"/>
        <v>0</v>
      </c>
      <c r="AB261" s="9"/>
      <c r="AC261" s="83"/>
    </row>
    <row r="262" spans="1:29" ht="17" thickTop="1" thickBot="1" x14ac:dyDescent="0.25">
      <c r="B262" s="83"/>
      <c r="D262" s="56" t="str">
        <f t="shared" si="62"/>
        <v>Transition Probability from state 1 to state 8 on day 27 (Non-CHG)</v>
      </c>
      <c r="E262" s="61"/>
      <c r="F262" s="151">
        <v>1.5037593984962405E-2</v>
      </c>
      <c r="G262" s="93">
        <f t="shared" si="67"/>
        <v>1.5037593984962405E-2</v>
      </c>
      <c r="I262" s="56" t="str">
        <f t="shared" si="63"/>
        <v>Transition Probability from state 2 to state 8 on day 27 (Non-CHG)</v>
      </c>
      <c r="J262" s="61"/>
      <c r="K262" s="151">
        <v>1</v>
      </c>
      <c r="L262" s="93">
        <f t="shared" si="68"/>
        <v>1</v>
      </c>
      <c r="N262" s="56" t="str">
        <f t="shared" si="64"/>
        <v>Transition Probability from state 3 to state 8 on day 27 (Non-CHG)</v>
      </c>
      <c r="O262" s="61"/>
      <c r="P262" s="151">
        <v>0</v>
      </c>
      <c r="Q262" s="93">
        <f t="shared" si="69"/>
        <v>0</v>
      </c>
      <c r="S262" s="56" t="str">
        <f t="shared" si="65"/>
        <v>Transition Probability from state 4 to state 8 on day 27 (Non-CHG)</v>
      </c>
      <c r="T262" s="61"/>
      <c r="U262" s="153">
        <v>0</v>
      </c>
      <c r="V262" s="93">
        <f t="shared" si="70"/>
        <v>0</v>
      </c>
      <c r="X262" s="56" t="str">
        <f t="shared" si="66"/>
        <v>Transition Probability from state 6 to state 8 on day 27 (Non-CHG)</v>
      </c>
      <c r="Y262" s="61"/>
      <c r="Z262" s="151"/>
      <c r="AA262" s="93">
        <f t="shared" si="71"/>
        <v>0</v>
      </c>
      <c r="AB262" s="9"/>
      <c r="AC262" s="83"/>
    </row>
    <row r="263" spans="1:29" ht="17" thickTop="1" thickBot="1" x14ac:dyDescent="0.25">
      <c r="B263" s="83"/>
      <c r="D263" s="56" t="str">
        <f t="shared" si="62"/>
        <v>Transition Probability from state 1 to state 8 on day 28 (Non-CHG)</v>
      </c>
      <c r="E263" s="61"/>
      <c r="F263" s="151">
        <v>7.6923076923076927E-3</v>
      </c>
      <c r="G263" s="93">
        <f t="shared" si="67"/>
        <v>7.6923076923076927E-3</v>
      </c>
      <c r="I263" s="56" t="str">
        <f t="shared" si="63"/>
        <v>Transition Probability from state 2 to state 8 on day 28 (Non-CHG)</v>
      </c>
      <c r="J263" s="61"/>
      <c r="K263" s="151"/>
      <c r="L263" s="93">
        <f t="shared" si="68"/>
        <v>0</v>
      </c>
      <c r="N263" s="56" t="str">
        <f t="shared" si="64"/>
        <v>Transition Probability from state 3 to state 8 on day 28 (Non-CHG)</v>
      </c>
      <c r="O263" s="61"/>
      <c r="P263" s="151">
        <v>0</v>
      </c>
      <c r="Q263" s="93">
        <f t="shared" si="69"/>
        <v>0</v>
      </c>
      <c r="S263" s="56" t="str">
        <f t="shared" si="65"/>
        <v>Transition Probability from state 4 to state 8 on day 28 (Non-CHG)</v>
      </c>
      <c r="T263" s="61"/>
      <c r="U263" s="153">
        <v>0</v>
      </c>
      <c r="V263" s="93">
        <f t="shared" si="70"/>
        <v>0</v>
      </c>
      <c r="X263" s="56" t="str">
        <f t="shared" si="66"/>
        <v>Transition Probability from state 6 to state 8 on day 28 (Non-CHG)</v>
      </c>
      <c r="Y263" s="61"/>
      <c r="Z263" s="151"/>
      <c r="AA263" s="93">
        <f t="shared" si="71"/>
        <v>0</v>
      </c>
      <c r="AB263" s="9"/>
      <c r="AC263" s="83"/>
    </row>
    <row r="264" spans="1:29" ht="17" thickTop="1" thickBot="1" x14ac:dyDescent="0.25">
      <c r="B264" s="83"/>
      <c r="D264" s="56" t="str">
        <f t="shared" si="62"/>
        <v>Transition Probability from state 1 to state 8 on day 29 (Non-CHG)</v>
      </c>
      <c r="E264" s="61"/>
      <c r="F264" s="151">
        <v>8.2644628099173556E-3</v>
      </c>
      <c r="G264" s="93">
        <f t="shared" si="67"/>
        <v>8.2644628099173556E-3</v>
      </c>
      <c r="I264" s="56" t="str">
        <f t="shared" si="63"/>
        <v>Transition Probability from state 2 to state 8 on day 29 (Non-CHG)</v>
      </c>
      <c r="J264" s="61"/>
      <c r="K264" s="151"/>
      <c r="L264" s="93">
        <f t="shared" si="68"/>
        <v>0</v>
      </c>
      <c r="N264" s="56" t="str">
        <f t="shared" si="64"/>
        <v>Transition Probability from state 3 to state 8 on day 29 (Non-CHG)</v>
      </c>
      <c r="O264" s="61"/>
      <c r="P264" s="151">
        <v>0</v>
      </c>
      <c r="Q264" s="93">
        <f t="shared" si="69"/>
        <v>0</v>
      </c>
      <c r="S264" s="56" t="str">
        <f t="shared" si="65"/>
        <v>Transition Probability from state 4 to state 8 on day 29 (Non-CHG)</v>
      </c>
      <c r="T264" s="61"/>
      <c r="U264" s="153">
        <v>0</v>
      </c>
      <c r="V264" s="93">
        <f t="shared" si="70"/>
        <v>0</v>
      </c>
      <c r="X264" s="56" t="str">
        <f t="shared" si="66"/>
        <v>Transition Probability from state 6 to state 8 on day 29 (Non-CHG)</v>
      </c>
      <c r="Y264" s="61"/>
      <c r="Z264" s="151"/>
      <c r="AA264" s="93">
        <f t="shared" si="71"/>
        <v>0</v>
      </c>
      <c r="AB264" s="9"/>
      <c r="AC264" s="83"/>
    </row>
    <row r="265" spans="1:29" ht="17" thickTop="1" thickBot="1" x14ac:dyDescent="0.25">
      <c r="B265" s="83"/>
      <c r="D265" s="56" t="str">
        <f t="shared" si="62"/>
        <v>Transition Probability from state 1 to state 8 on day 30 (Non-CHG)</v>
      </c>
      <c r="E265" s="61"/>
      <c r="F265" s="151">
        <v>1.7094017094017096E-2</v>
      </c>
      <c r="G265" s="93">
        <f t="shared" si="67"/>
        <v>1.7094017094017096E-2</v>
      </c>
      <c r="I265" s="56" t="str">
        <f t="shared" si="63"/>
        <v>Transition Probability from state 2 to state 8 on day 30 (Non-CHG)</v>
      </c>
      <c r="J265" s="61"/>
      <c r="K265" s="151"/>
      <c r="L265" s="93">
        <f t="shared" si="68"/>
        <v>0</v>
      </c>
      <c r="N265" s="56" t="str">
        <f t="shared" si="64"/>
        <v>Transition Probability from state 3 to state 8 on day 30 (Non-CHG)</v>
      </c>
      <c r="O265" s="61"/>
      <c r="P265" s="151">
        <v>0</v>
      </c>
      <c r="Q265" s="93">
        <f t="shared" si="69"/>
        <v>0</v>
      </c>
      <c r="S265" s="56" t="str">
        <f t="shared" si="65"/>
        <v>Transition Probability from state 4 to state 8 on day 30 (Non-CHG)</v>
      </c>
      <c r="T265" s="61"/>
      <c r="U265" s="153">
        <v>0</v>
      </c>
      <c r="V265" s="93">
        <f t="shared" si="70"/>
        <v>0</v>
      </c>
      <c r="X265" s="56" t="str">
        <f t="shared" si="66"/>
        <v>Transition Probability from state 6 to state 8 on day 30 (Non-CHG)</v>
      </c>
      <c r="Y265" s="61"/>
      <c r="Z265" s="151"/>
      <c r="AA265" s="93">
        <f t="shared" si="71"/>
        <v>0</v>
      </c>
      <c r="AB265" s="9"/>
      <c r="AC265" s="83"/>
    </row>
    <row r="266" spans="1:29" ht="16" thickTop="1" x14ac:dyDescent="0.2">
      <c r="B266" s="83"/>
      <c r="AB266" s="9"/>
      <c r="AC266" s="83"/>
    </row>
    <row r="267" spans="1:29" x14ac:dyDescent="0.2">
      <c r="B267" s="83"/>
      <c r="AB267" s="9"/>
      <c r="AC267" s="83"/>
    </row>
    <row r="268" spans="1:29" ht="16" thickBot="1" x14ac:dyDescent="0.25">
      <c r="A268" s="82"/>
      <c r="B268" s="87"/>
      <c r="C268" s="84"/>
      <c r="D268" s="84"/>
      <c r="E268" s="84"/>
      <c r="F268" s="84"/>
      <c r="G268" s="84"/>
      <c r="H268" s="84"/>
      <c r="I268" s="84"/>
      <c r="J268" s="84"/>
      <c r="K268" s="84"/>
      <c r="L268" s="84"/>
      <c r="M268" s="84"/>
      <c r="N268" s="84"/>
      <c r="O268" s="84"/>
      <c r="P268" s="84"/>
      <c r="Q268" s="84"/>
      <c r="R268" s="84"/>
      <c r="S268" s="84"/>
      <c r="T268" s="84"/>
      <c r="U268" s="84"/>
      <c r="V268" s="84"/>
      <c r="W268" s="84"/>
      <c r="X268" s="84"/>
      <c r="Y268" s="84"/>
      <c r="Z268" s="84"/>
      <c r="AA268" s="84"/>
      <c r="AB268" s="84"/>
      <c r="AC268" s="83"/>
    </row>
  </sheetData>
  <mergeCells count="36">
    <mergeCell ref="D235:G235"/>
    <mergeCell ref="X203:AA203"/>
    <mergeCell ref="X235:AA235"/>
    <mergeCell ref="S235:V235"/>
    <mergeCell ref="N235:Q235"/>
    <mergeCell ref="I235:L235"/>
    <mergeCell ref="D171:G171"/>
    <mergeCell ref="D203:G203"/>
    <mergeCell ref="I203:L203"/>
    <mergeCell ref="N203:Q203"/>
    <mergeCell ref="S203:V203"/>
    <mergeCell ref="X138:AA138"/>
    <mergeCell ref="S138:V138"/>
    <mergeCell ref="N138:Q138"/>
    <mergeCell ref="I138:L138"/>
    <mergeCell ref="D138:G138"/>
    <mergeCell ref="D106:G106"/>
    <mergeCell ref="I106:L106"/>
    <mergeCell ref="N106:Q106"/>
    <mergeCell ref="S106:V106"/>
    <mergeCell ref="X106:AA106"/>
    <mergeCell ref="X74:AA74"/>
    <mergeCell ref="S74:V74"/>
    <mergeCell ref="N74:Q74"/>
    <mergeCell ref="I74:L74"/>
    <mergeCell ref="D74:G74"/>
    <mergeCell ref="D42:G42"/>
    <mergeCell ref="I42:L42"/>
    <mergeCell ref="N42:Q42"/>
    <mergeCell ref="S42:V42"/>
    <mergeCell ref="X42:AA42"/>
    <mergeCell ref="D10:G10"/>
    <mergeCell ref="I10:L10"/>
    <mergeCell ref="N10:Q10"/>
    <mergeCell ref="S10:V10"/>
    <mergeCell ref="X10:AA1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6BC1D-A6F8-4BF0-8510-872F44CB04AA}">
  <sheetPr codeName="Sheet8">
    <tabColor rgb="FFCC6600"/>
  </sheetPr>
  <dimension ref="A3:O32"/>
  <sheetViews>
    <sheetView showGridLines="0" zoomScaleNormal="100" workbookViewId="0"/>
  </sheetViews>
  <sheetFormatPr baseColWidth="10" defaultColWidth="8.83203125" defaultRowHeight="15" x14ac:dyDescent="0.2"/>
  <cols>
    <col min="1" max="1" width="12.5" customWidth="1"/>
    <col min="2" max="2" width="9.6640625" customWidth="1"/>
    <col min="3" max="3" width="21.5" customWidth="1"/>
    <col min="4" max="5" width="12.33203125" customWidth="1"/>
    <col min="6" max="6" width="20.1640625" customWidth="1"/>
    <col min="7" max="8" width="15.83203125" customWidth="1"/>
    <col min="9" max="9" width="31.1640625" customWidth="1"/>
    <col min="10" max="10" width="15.6640625" customWidth="1"/>
    <col min="11" max="11" width="13.1640625" customWidth="1"/>
    <col min="12" max="12" width="15.83203125" customWidth="1"/>
    <col min="13" max="13" width="13.33203125" bestFit="1" customWidth="1"/>
    <col min="14" max="14" width="13.5" customWidth="1"/>
  </cols>
  <sheetData>
    <row r="3" spans="2:15" ht="26" x14ac:dyDescent="0.3">
      <c r="G3" s="85" t="s">
        <v>91</v>
      </c>
    </row>
    <row r="4" spans="2:15" ht="16" thickBot="1" x14ac:dyDescent="0.25"/>
    <row r="5" spans="2:15" ht="16" thickBot="1" x14ac:dyDescent="0.25">
      <c r="B5" s="79"/>
      <c r="C5" s="80"/>
      <c r="D5" s="80"/>
      <c r="E5" s="80"/>
      <c r="F5" s="80"/>
      <c r="G5" s="80"/>
      <c r="H5" s="80"/>
      <c r="I5" s="80"/>
      <c r="J5" s="80"/>
      <c r="K5" s="80"/>
      <c r="L5" s="80"/>
      <c r="M5" s="80"/>
      <c r="N5" s="81"/>
    </row>
    <row r="6" spans="2:15" ht="37" x14ac:dyDescent="0.45">
      <c r="B6" s="83"/>
      <c r="F6" s="64"/>
      <c r="O6" s="83"/>
    </row>
    <row r="7" spans="2:15" x14ac:dyDescent="0.2">
      <c r="B7" s="83"/>
      <c r="C7" s="1"/>
      <c r="D7" s="1"/>
      <c r="E7" s="1"/>
      <c r="F7" s="1"/>
      <c r="G7" s="1"/>
      <c r="H7" s="1"/>
      <c r="I7" s="1"/>
      <c r="O7" s="83"/>
    </row>
    <row r="8" spans="2:15" ht="18" customHeight="1" x14ac:dyDescent="0.45">
      <c r="B8" s="83"/>
      <c r="C8" s="15"/>
      <c r="D8" s="1"/>
      <c r="E8" s="1"/>
      <c r="F8" s="1"/>
      <c r="G8" s="1"/>
      <c r="H8" s="1"/>
      <c r="I8" s="1"/>
      <c r="J8" s="1"/>
      <c r="K8" s="1"/>
      <c r="L8" s="1"/>
      <c r="M8" s="1"/>
      <c r="O8" s="83"/>
    </row>
    <row r="9" spans="2:15" x14ac:dyDescent="0.2">
      <c r="B9" s="83"/>
      <c r="C9" s="16" t="s">
        <v>63</v>
      </c>
      <c r="D9" s="1"/>
      <c r="E9" s="1"/>
      <c r="F9" s="1"/>
      <c r="G9" s="1"/>
      <c r="H9" s="1"/>
      <c r="I9" s="1"/>
      <c r="J9" s="1"/>
      <c r="K9" s="1"/>
      <c r="L9" s="1"/>
      <c r="M9" s="1"/>
      <c r="O9" s="83"/>
    </row>
    <row r="10" spans="2:15" x14ac:dyDescent="0.2">
      <c r="B10" s="83"/>
      <c r="C10" s="17"/>
      <c r="D10" s="17"/>
      <c r="E10" s="17"/>
      <c r="F10" s="26"/>
      <c r="G10" s="26"/>
      <c r="H10" s="26"/>
      <c r="I10" s="1"/>
      <c r="J10" s="1"/>
      <c r="K10" s="1"/>
      <c r="L10" s="1"/>
      <c r="M10" s="1"/>
      <c r="O10" s="83"/>
    </row>
    <row r="11" spans="2:15" ht="34.5" customHeight="1" thickBot="1" x14ac:dyDescent="0.25">
      <c r="B11" s="83"/>
      <c r="C11" s="96" t="s">
        <v>64</v>
      </c>
      <c r="D11" s="96" t="str">
        <f>"Costs" &amp; "("&amp;c_currency&amp;")"</f>
        <v>Costs(€)</v>
      </c>
      <c r="E11" s="97" t="s">
        <v>65</v>
      </c>
      <c r="F11" s="96" t="str">
        <f>"Incremental Costs" &amp; "(" &amp;c_currency&amp; ")"</f>
        <v>Incremental Costs(€)</v>
      </c>
      <c r="G11" s="96" t="s">
        <v>66</v>
      </c>
      <c r="H11" s="96" t="str">
        <f>"ICER" &amp; "("&amp;c_currency&amp;"/CRBSI Avoided)"</f>
        <v>ICER(€/CRBSI Avoided)</v>
      </c>
      <c r="I11" s="1"/>
      <c r="J11" s="1"/>
      <c r="K11" s="1"/>
      <c r="L11" s="1"/>
      <c r="M11" s="1"/>
      <c r="O11" s="83"/>
    </row>
    <row r="12" spans="2:15" ht="18" thickTop="1" thickBot="1" x14ac:dyDescent="0.25">
      <c r="B12" s="83"/>
      <c r="C12" s="53" t="s">
        <v>221</v>
      </c>
      <c r="D12" s="95">
        <f>D25</f>
        <v>15182.996242719481</v>
      </c>
      <c r="E12" s="94">
        <f>D18</f>
        <v>3.2119914346895064</v>
      </c>
      <c r="F12" s="95"/>
      <c r="G12" s="94"/>
      <c r="H12" s="95"/>
      <c r="I12" s="1"/>
      <c r="J12" s="1"/>
      <c r="K12" s="1"/>
      <c r="L12" s="1"/>
      <c r="M12" s="1"/>
      <c r="O12" s="83"/>
    </row>
    <row r="13" spans="2:15" ht="18" thickTop="1" thickBot="1" x14ac:dyDescent="0.25">
      <c r="B13" s="83"/>
      <c r="C13" s="54" t="s">
        <v>220</v>
      </c>
      <c r="D13" s="95">
        <f>E25</f>
        <v>15053.49164342246</v>
      </c>
      <c r="E13" s="94">
        <f>D19</f>
        <v>14.973262032085563</v>
      </c>
      <c r="F13" s="95">
        <f>$D$12-D13</f>
        <v>129.50459929702083</v>
      </c>
      <c r="G13" s="94">
        <f>$E$13-E12</f>
        <v>11.761270597396056</v>
      </c>
      <c r="H13" s="95">
        <f>IF(G13&gt;0,IF(F13&gt;0,F13/(G13/1000),"Dominates"),IF(G13=0,IF(F13&gt;0,"Dominated","Cost Minimising Option"),IF(G13&lt;0,IF(F13&gt;0,"Dominated","is less costly and less effective"))))</f>
        <v>11011.106174675817</v>
      </c>
      <c r="I13" s="1"/>
      <c r="J13" s="1"/>
      <c r="K13" s="1"/>
      <c r="L13" s="1"/>
      <c r="M13" s="1"/>
      <c r="O13" s="83"/>
    </row>
    <row r="14" spans="2:15" ht="16" thickTop="1" x14ac:dyDescent="0.2">
      <c r="B14" s="83"/>
      <c r="C14" s="1"/>
      <c r="D14" s="1"/>
      <c r="E14" s="18"/>
      <c r="F14" s="1"/>
      <c r="G14" s="1"/>
      <c r="H14" s="1"/>
      <c r="I14" s="1"/>
      <c r="J14" s="1"/>
      <c r="K14" s="1"/>
      <c r="L14" s="1"/>
      <c r="M14" s="1"/>
      <c r="O14" s="83"/>
    </row>
    <row r="15" spans="2:15" x14ac:dyDescent="0.2">
      <c r="B15" s="83"/>
      <c r="C15" s="16" t="s">
        <v>92</v>
      </c>
      <c r="D15" s="1"/>
      <c r="E15" s="1"/>
      <c r="F15" s="1"/>
      <c r="G15" s="1"/>
      <c r="H15" s="1"/>
      <c r="I15" s="1"/>
      <c r="J15" s="1"/>
      <c r="K15" s="1"/>
      <c r="L15" s="1"/>
      <c r="M15" s="1"/>
      <c r="O15" s="83"/>
    </row>
    <row r="16" spans="2:15" x14ac:dyDescent="0.2">
      <c r="B16" s="83"/>
      <c r="C16" s="1"/>
      <c r="D16" s="1"/>
      <c r="E16" s="1"/>
      <c r="F16" s="1"/>
      <c r="G16" s="1"/>
      <c r="H16" s="1"/>
      <c r="I16" s="1"/>
      <c r="J16" s="1"/>
      <c r="K16" s="1"/>
      <c r="L16" s="1"/>
      <c r="M16" s="1"/>
      <c r="O16" s="83"/>
    </row>
    <row r="17" spans="1:15" ht="17" thickBot="1" x14ac:dyDescent="0.25">
      <c r="B17" s="83"/>
      <c r="C17" s="65" t="s">
        <v>64</v>
      </c>
      <c r="D17" s="98" t="s">
        <v>65</v>
      </c>
      <c r="E17" s="19"/>
      <c r="F17" s="19"/>
      <c r="G17" s="19"/>
      <c r="H17" s="19"/>
      <c r="I17" s="19"/>
      <c r="J17" s="1"/>
      <c r="K17" s="1"/>
      <c r="L17" s="1"/>
      <c r="M17" s="1"/>
      <c r="O17" s="83"/>
    </row>
    <row r="18" spans="1:15" ht="18" thickTop="1" thickBot="1" x14ac:dyDescent="0.25">
      <c r="B18" s="83"/>
      <c r="C18" s="53" t="s">
        <v>221</v>
      </c>
      <c r="D18" s="94">
        <f>PF_CHG_Dressing!R9</f>
        <v>3.2119914346895064</v>
      </c>
      <c r="E18" s="20"/>
      <c r="F18" s="20"/>
      <c r="G18" s="1"/>
      <c r="H18" s="1"/>
      <c r="I18" s="1"/>
      <c r="J18" s="1"/>
      <c r="K18" s="1"/>
      <c r="L18" s="1"/>
      <c r="M18" s="1"/>
      <c r="O18" s="83"/>
    </row>
    <row r="19" spans="1:15" ht="18" thickTop="1" thickBot="1" x14ac:dyDescent="0.25">
      <c r="B19" s="83"/>
      <c r="C19" s="54" t="s">
        <v>220</v>
      </c>
      <c r="D19" s="94">
        <f>PF_Non_CHG_Dressing!R10</f>
        <v>14.973262032085563</v>
      </c>
      <c r="E19" s="20"/>
      <c r="F19" s="20"/>
      <c r="G19" s="1"/>
      <c r="H19" s="1"/>
      <c r="I19" s="1"/>
      <c r="J19" s="1"/>
      <c r="K19" s="1"/>
      <c r="L19" s="1"/>
      <c r="M19" s="1"/>
      <c r="O19" s="83"/>
    </row>
    <row r="20" spans="1:15" ht="16" thickTop="1" x14ac:dyDescent="0.2">
      <c r="B20" s="83"/>
      <c r="C20" s="1"/>
      <c r="D20" s="1"/>
      <c r="E20" s="1"/>
      <c r="F20" s="1"/>
      <c r="G20" s="1"/>
      <c r="H20" s="1"/>
      <c r="I20" s="1"/>
      <c r="J20" s="1"/>
      <c r="K20" s="1"/>
      <c r="L20" s="1"/>
      <c r="M20" s="1"/>
      <c r="O20" s="83"/>
    </row>
    <row r="21" spans="1:15" x14ac:dyDescent="0.2">
      <c r="B21" s="83"/>
      <c r="C21" s="1"/>
      <c r="D21" s="1"/>
      <c r="E21" s="1"/>
      <c r="F21" s="1"/>
      <c r="G21" s="1"/>
      <c r="H21" s="1"/>
      <c r="I21" s="1"/>
      <c r="J21" s="1"/>
      <c r="K21" s="1"/>
      <c r="L21" s="1"/>
      <c r="M21" s="1"/>
      <c r="O21" s="83"/>
    </row>
    <row r="22" spans="1:15" x14ac:dyDescent="0.2">
      <c r="B22" s="83"/>
      <c r="C22" s="16" t="s">
        <v>67</v>
      </c>
      <c r="D22" s="1"/>
      <c r="E22" s="1"/>
      <c r="F22" s="1"/>
      <c r="G22" s="1"/>
      <c r="H22" s="1"/>
      <c r="I22" s="1"/>
      <c r="J22" s="1"/>
      <c r="K22" s="1"/>
      <c r="L22" s="1"/>
      <c r="M22" s="1"/>
      <c r="O22" s="83"/>
    </row>
    <row r="23" spans="1:15" ht="14.5" customHeight="1" x14ac:dyDescent="0.2">
      <c r="B23" s="83"/>
      <c r="C23" s="21"/>
      <c r="D23" s="22"/>
      <c r="E23" s="22"/>
      <c r="F23" s="236" t="s">
        <v>222</v>
      </c>
      <c r="G23" s="237"/>
      <c r="J23" s="1"/>
      <c r="K23" s="1"/>
      <c r="L23" s="1"/>
      <c r="M23" s="1"/>
      <c r="O23" s="83"/>
    </row>
    <row r="24" spans="1:15" ht="26.5" customHeight="1" thickBot="1" x14ac:dyDescent="0.25">
      <c r="B24" s="83"/>
      <c r="C24" s="23"/>
      <c r="D24" s="65" t="str">
        <f>"CHG Dressing" &amp; "("&amp;c_currency&amp;")"</f>
        <v>CHG Dressing(€)</v>
      </c>
      <c r="E24" s="65" t="str">
        <f>"Non CHG Dressing" &amp; "("&amp;c_currency&amp;")"</f>
        <v>Non CHG Dressing(€)</v>
      </c>
      <c r="F24" s="96" t="str">
        <f>"Incremental" &amp; "("&amp;c_currency&amp;")"</f>
        <v>Incremental(€)</v>
      </c>
      <c r="G24" s="96" t="s">
        <v>69</v>
      </c>
      <c r="J24" s="1"/>
      <c r="K24" s="1"/>
      <c r="L24" s="1"/>
      <c r="M24" s="1"/>
      <c r="O24" s="83"/>
    </row>
    <row r="25" spans="1:15" ht="17" thickTop="1" thickBot="1" x14ac:dyDescent="0.25">
      <c r="B25" s="83"/>
      <c r="C25" s="24" t="s">
        <v>31</v>
      </c>
      <c r="D25" s="95">
        <f>SUM(D26:D30)</f>
        <v>15182.996242719481</v>
      </c>
      <c r="E25" s="95">
        <f>SUM(E26:E30)</f>
        <v>15053.49164342246</v>
      </c>
      <c r="F25" s="95"/>
      <c r="G25" s="94"/>
      <c r="J25" s="1"/>
      <c r="K25" s="1"/>
      <c r="L25" s="1"/>
      <c r="M25" s="1"/>
      <c r="O25" s="83"/>
    </row>
    <row r="26" spans="1:15" ht="18" thickTop="1" thickBot="1" x14ac:dyDescent="0.25">
      <c r="B26" s="83"/>
      <c r="C26" s="25" t="s">
        <v>70</v>
      </c>
      <c r="D26" s="95">
        <f>PF_CHG_Dressing!S9</f>
        <v>47.098286937901477</v>
      </c>
      <c r="E26" s="95">
        <f>PF_Non_CHG_Dressing!S10</f>
        <v>3.0494117647058827</v>
      </c>
      <c r="F26" s="95">
        <f>$D26-E26</f>
        <v>44.048875173195597</v>
      </c>
      <c r="G26" s="94">
        <f>F26/SUM($F$26:$F$30)</f>
        <v>0.34013367411121315</v>
      </c>
      <c r="J26" s="1"/>
      <c r="K26" s="1"/>
      <c r="L26" s="1"/>
      <c r="M26" s="1"/>
      <c r="O26" s="83"/>
    </row>
    <row r="27" spans="1:15" ht="18" thickTop="1" thickBot="1" x14ac:dyDescent="0.25">
      <c r="B27" s="83"/>
      <c r="C27" s="25" t="s">
        <v>14</v>
      </c>
      <c r="D27" s="95">
        <f>PF_CHG_Dressing!T9</f>
        <v>1.863790149892933</v>
      </c>
      <c r="E27" s="95">
        <f>PF_Non_CHG_Dressing!T10</f>
        <v>8.6883850267379668</v>
      </c>
      <c r="F27" s="95">
        <f>$D27-E27</f>
        <v>-6.8245948768450333</v>
      </c>
      <c r="G27" s="94">
        <f>F27/SUM($F$26:$F$30)</f>
        <v>-5.2697702737126734E-2</v>
      </c>
      <c r="J27" s="1"/>
      <c r="K27" s="1"/>
      <c r="L27" s="1"/>
      <c r="M27" s="1"/>
      <c r="O27" s="83"/>
    </row>
    <row r="28" spans="1:15" ht="18" thickTop="1" thickBot="1" x14ac:dyDescent="0.25">
      <c r="B28" s="83"/>
      <c r="C28" s="25" t="s">
        <v>16</v>
      </c>
      <c r="D28" s="95">
        <f>PF_CHG_Dressing!V9</f>
        <v>27.555535331905769</v>
      </c>
      <c r="E28" s="95">
        <f>PF_Non_CHG_Dressing!V10</f>
        <v>25.596192513368983</v>
      </c>
      <c r="F28" s="95">
        <f>$D28-E28</f>
        <v>1.9593428185367863</v>
      </c>
      <c r="G28" s="94">
        <f>F28/SUM($F$26:$F$30)</f>
        <v>1.5129523037579742E-2</v>
      </c>
      <c r="J28" s="1"/>
      <c r="K28" s="1"/>
      <c r="L28" s="1"/>
      <c r="M28" s="1"/>
      <c r="O28" s="83"/>
    </row>
    <row r="29" spans="1:15" ht="18" thickTop="1" thickBot="1" x14ac:dyDescent="0.25">
      <c r="B29" s="83"/>
      <c r="C29" s="25" t="s">
        <v>15</v>
      </c>
      <c r="D29" s="95">
        <f>PF_CHG_Dressing!U9</f>
        <v>15103.046392612414</v>
      </c>
      <c r="E29" s="95">
        <f>PF_Non_CHG_Dressing!U10</f>
        <v>15014.633846631017</v>
      </c>
      <c r="F29" s="95">
        <f>$D29-E29</f>
        <v>88.412545981396761</v>
      </c>
      <c r="G29" s="94">
        <f>F29/SUM($F$26:$F$30)</f>
        <v>0.68269811621610643</v>
      </c>
      <c r="J29" s="1"/>
      <c r="K29" s="1"/>
      <c r="L29" s="1"/>
      <c r="M29" s="1"/>
      <c r="O29" s="83"/>
    </row>
    <row r="30" spans="1:15" ht="18" thickTop="1" thickBot="1" x14ac:dyDescent="0.25">
      <c r="B30" s="83"/>
      <c r="C30" s="25" t="s">
        <v>71</v>
      </c>
      <c r="D30" s="95">
        <f>PF_CHG_Dressing!W9</f>
        <v>3.432237687366166</v>
      </c>
      <c r="E30" s="95">
        <f>PF_Non_CHG_Dressing!W10</f>
        <v>1.5238074866310156</v>
      </c>
      <c r="F30" s="95">
        <f>$D30-E30</f>
        <v>1.9084302007351504</v>
      </c>
      <c r="G30" s="94">
        <f>F30/SUM($F$26:$F$30)</f>
        <v>1.4736389372227304E-2</v>
      </c>
      <c r="J30" s="1"/>
      <c r="K30" s="1"/>
      <c r="L30" s="1"/>
      <c r="M30" s="1"/>
      <c r="O30" s="83"/>
    </row>
    <row r="31" spans="1:15" ht="16" thickTop="1" x14ac:dyDescent="0.2">
      <c r="B31" s="83"/>
      <c r="C31" s="1"/>
      <c r="D31" s="1"/>
      <c r="E31" s="1"/>
      <c r="F31" s="1"/>
      <c r="G31" s="1"/>
      <c r="H31" s="1"/>
      <c r="I31" s="1"/>
      <c r="J31" s="1"/>
      <c r="K31" s="1"/>
      <c r="L31" s="1"/>
      <c r="M31" s="1"/>
      <c r="O31" s="83"/>
    </row>
    <row r="32" spans="1:15" ht="16" thickBot="1" x14ac:dyDescent="0.25">
      <c r="A32" s="82"/>
      <c r="B32" s="87"/>
      <c r="C32" s="84"/>
      <c r="D32" s="84"/>
      <c r="E32" s="84"/>
      <c r="F32" s="84"/>
      <c r="G32" s="84"/>
      <c r="H32" s="84"/>
      <c r="I32" s="84"/>
      <c r="J32" s="84"/>
      <c r="K32" s="84"/>
      <c r="L32" s="84"/>
      <c r="M32" s="84"/>
      <c r="N32" s="84"/>
      <c r="O32" s="83"/>
    </row>
  </sheetData>
  <mergeCells count="1">
    <mergeCell ref="F23:G23"/>
  </mergeCells>
  <pageMargins left="0.7" right="0.7" top="0.75" bottom="0.75" header="0.3" footer="0.3"/>
  <pageSetup orientation="portrait" r:id="rId1"/>
  <cellWatches>
    <cellWatch r="H13"/>
  </cellWatches>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7D309-30F9-4676-9F9D-E46D117AFD72}">
  <sheetPr codeName="Sheet12">
    <tabColor rgb="FFCC6600"/>
  </sheetPr>
  <dimension ref="A3:O32"/>
  <sheetViews>
    <sheetView showGridLines="0" workbookViewId="0"/>
  </sheetViews>
  <sheetFormatPr baseColWidth="10" defaultColWidth="8.83203125" defaultRowHeight="15" x14ac:dyDescent="0.2"/>
  <cols>
    <col min="1" max="1" width="12.5" customWidth="1"/>
    <col min="2" max="2" width="9.6640625" customWidth="1"/>
    <col min="3" max="3" width="21.5" customWidth="1"/>
    <col min="4" max="5" width="12.33203125" customWidth="1"/>
    <col min="6" max="6" width="20.1640625" customWidth="1"/>
    <col min="7" max="8" width="15.83203125" customWidth="1"/>
    <col min="9" max="9" width="31.1640625" customWidth="1"/>
    <col min="10" max="10" width="15.6640625" customWidth="1"/>
    <col min="11" max="11" width="13.1640625" customWidth="1"/>
    <col min="12" max="12" width="15.83203125" customWidth="1"/>
    <col min="13" max="13" width="13.33203125" bestFit="1" customWidth="1"/>
    <col min="14" max="14" width="13.5" customWidth="1"/>
  </cols>
  <sheetData>
    <row r="3" spans="2:15" ht="26" x14ac:dyDescent="0.3">
      <c r="G3" s="85" t="s">
        <v>91</v>
      </c>
    </row>
    <row r="4" spans="2:15" ht="16" thickBot="1" x14ac:dyDescent="0.25"/>
    <row r="5" spans="2:15" ht="16" thickBot="1" x14ac:dyDescent="0.25">
      <c r="B5" s="79"/>
      <c r="C5" s="80"/>
      <c r="D5" s="80"/>
      <c r="E5" s="80"/>
      <c r="F5" s="80"/>
      <c r="G5" s="80"/>
      <c r="H5" s="80"/>
      <c r="I5" s="80"/>
      <c r="J5" s="80"/>
      <c r="K5" s="80"/>
      <c r="L5" s="80"/>
      <c r="M5" s="80"/>
      <c r="N5" s="81"/>
    </row>
    <row r="6" spans="2:15" ht="37" x14ac:dyDescent="0.45">
      <c r="B6" s="83"/>
      <c r="F6" s="64"/>
      <c r="O6" s="83"/>
    </row>
    <row r="7" spans="2:15" x14ac:dyDescent="0.2">
      <c r="B7" s="83"/>
      <c r="C7" s="1"/>
      <c r="D7" s="1"/>
      <c r="E7" s="1"/>
      <c r="F7" s="1"/>
      <c r="G7" s="1"/>
      <c r="H7" s="1"/>
      <c r="I7" s="1"/>
      <c r="O7" s="83"/>
    </row>
    <row r="8" spans="2:15" ht="18" customHeight="1" x14ac:dyDescent="0.45">
      <c r="B8" s="83"/>
      <c r="C8" s="15"/>
      <c r="D8" s="1"/>
      <c r="E8" s="1"/>
      <c r="F8" s="1"/>
      <c r="G8" s="1"/>
      <c r="H8" s="1"/>
      <c r="I8" s="1"/>
      <c r="J8" s="1"/>
      <c r="K8" s="1"/>
      <c r="L8" s="1"/>
      <c r="M8" s="1"/>
      <c r="O8" s="83"/>
    </row>
    <row r="9" spans="2:15" x14ac:dyDescent="0.2">
      <c r="B9" s="83"/>
      <c r="C9" s="16" t="s">
        <v>63</v>
      </c>
      <c r="D9" s="1"/>
      <c r="E9" s="1"/>
      <c r="F9" s="1"/>
      <c r="G9" s="1"/>
      <c r="H9" s="1"/>
      <c r="I9" s="1"/>
      <c r="J9" s="1"/>
      <c r="K9" s="1"/>
      <c r="L9" s="1"/>
      <c r="M9" s="1"/>
      <c r="O9" s="83"/>
    </row>
    <row r="10" spans="2:15" x14ac:dyDescent="0.2">
      <c r="B10" s="83"/>
      <c r="C10" s="17"/>
      <c r="D10" s="17"/>
      <c r="E10" s="17"/>
      <c r="F10" s="26"/>
      <c r="G10" s="26"/>
      <c r="H10" s="26"/>
      <c r="I10" s="1"/>
      <c r="J10" s="1"/>
      <c r="K10" s="1"/>
      <c r="L10" s="1"/>
      <c r="M10" s="1"/>
      <c r="O10" s="83"/>
    </row>
    <row r="11" spans="2:15" ht="34.5" customHeight="1" thickBot="1" x14ac:dyDescent="0.25">
      <c r="B11" s="83"/>
      <c r="C11" s="96" t="s">
        <v>64</v>
      </c>
      <c r="D11" s="96" t="s">
        <v>156</v>
      </c>
      <c r="E11" s="97" t="s">
        <v>65</v>
      </c>
      <c r="F11" s="96" t="s">
        <v>157</v>
      </c>
      <c r="G11" s="96" t="s">
        <v>66</v>
      </c>
      <c r="H11" s="96" t="s">
        <v>158</v>
      </c>
      <c r="I11" s="1"/>
      <c r="J11" s="1"/>
      <c r="K11" s="1"/>
      <c r="L11" s="1"/>
      <c r="M11" s="1"/>
      <c r="O11" s="83"/>
    </row>
    <row r="12" spans="2:15" ht="18" thickTop="1" thickBot="1" x14ac:dyDescent="0.25">
      <c r="B12" s="83"/>
      <c r="C12" s="66" t="s">
        <v>221</v>
      </c>
      <c r="D12" s="113">
        <v>15182.996242719481</v>
      </c>
      <c r="E12" s="94">
        <v>3.2119914346895064</v>
      </c>
      <c r="F12" s="95"/>
      <c r="G12" s="94"/>
      <c r="H12" s="95"/>
      <c r="I12" s="1"/>
      <c r="J12" s="1"/>
      <c r="K12" s="1"/>
      <c r="L12" s="1"/>
      <c r="M12" s="1"/>
      <c r="O12" s="83"/>
    </row>
    <row r="13" spans="2:15" ht="18" thickTop="1" thickBot="1" x14ac:dyDescent="0.25">
      <c r="B13" s="83"/>
      <c r="C13" s="66" t="s">
        <v>220</v>
      </c>
      <c r="D13" s="113">
        <v>15053.49164342246</v>
      </c>
      <c r="E13" s="94">
        <v>14.973262032085563</v>
      </c>
      <c r="F13" s="95">
        <v>129.50459929702083</v>
      </c>
      <c r="G13" s="94">
        <v>11.761270597396056</v>
      </c>
      <c r="H13" s="95">
        <v>11011.106174675817</v>
      </c>
      <c r="I13" s="1"/>
      <c r="J13" s="1"/>
      <c r="K13" s="1"/>
      <c r="L13" s="1"/>
      <c r="M13" s="1"/>
      <c r="O13" s="83"/>
    </row>
    <row r="14" spans="2:15" ht="16" thickTop="1" x14ac:dyDescent="0.2">
      <c r="B14" s="83"/>
      <c r="C14" s="1"/>
      <c r="D14" s="1"/>
      <c r="E14" s="18"/>
      <c r="F14" s="1"/>
      <c r="G14" s="1"/>
      <c r="H14" s="1"/>
      <c r="I14" s="1"/>
      <c r="J14" s="1"/>
      <c r="K14" s="1"/>
      <c r="L14" s="1"/>
      <c r="M14" s="1"/>
      <c r="O14" s="83"/>
    </row>
    <row r="15" spans="2:15" x14ac:dyDescent="0.2">
      <c r="B15" s="83"/>
      <c r="C15" s="16" t="s">
        <v>92</v>
      </c>
      <c r="D15" s="1"/>
      <c r="E15" s="1"/>
      <c r="F15" s="1"/>
      <c r="G15" s="1"/>
      <c r="H15" s="1"/>
      <c r="I15" s="1"/>
      <c r="J15" s="1"/>
      <c r="K15" s="1"/>
      <c r="L15" s="1"/>
      <c r="M15" s="1"/>
      <c r="O15" s="83"/>
    </row>
    <row r="16" spans="2:15" x14ac:dyDescent="0.2">
      <c r="B16" s="83"/>
      <c r="C16" s="1"/>
      <c r="D16" s="1"/>
      <c r="E16" s="1"/>
      <c r="F16" s="1"/>
      <c r="G16" s="1"/>
      <c r="H16" s="1"/>
      <c r="I16" s="1"/>
      <c r="J16" s="1"/>
      <c r="K16" s="1"/>
      <c r="L16" s="1"/>
      <c r="M16" s="1"/>
      <c r="O16" s="83"/>
    </row>
    <row r="17" spans="1:15" ht="17" thickBot="1" x14ac:dyDescent="0.25">
      <c r="B17" s="83"/>
      <c r="C17" s="65" t="s">
        <v>64</v>
      </c>
      <c r="D17" s="98" t="s">
        <v>65</v>
      </c>
      <c r="E17" s="19"/>
      <c r="F17" s="19"/>
      <c r="G17" s="19"/>
      <c r="H17" s="19"/>
      <c r="I17" s="19"/>
      <c r="J17" s="1"/>
      <c r="K17" s="1"/>
      <c r="L17" s="1"/>
      <c r="M17" s="1"/>
      <c r="O17" s="83"/>
    </row>
    <row r="18" spans="1:15" ht="18" thickTop="1" thickBot="1" x14ac:dyDescent="0.25">
      <c r="B18" s="83"/>
      <c r="C18" s="66" t="s">
        <v>221</v>
      </c>
      <c r="D18" s="114">
        <v>3.2119914346895064</v>
      </c>
      <c r="E18" s="20"/>
      <c r="F18" s="20"/>
      <c r="G18" s="1"/>
      <c r="H18" s="1"/>
      <c r="I18" s="1"/>
      <c r="J18" s="1"/>
      <c r="K18" s="1"/>
      <c r="L18" s="1"/>
      <c r="M18" s="1"/>
      <c r="O18" s="83"/>
    </row>
    <row r="19" spans="1:15" ht="18" thickTop="1" thickBot="1" x14ac:dyDescent="0.25">
      <c r="B19" s="83"/>
      <c r="C19" s="66" t="s">
        <v>220</v>
      </c>
      <c r="D19" s="114">
        <v>14.973262032085563</v>
      </c>
      <c r="E19" s="20"/>
      <c r="F19" s="20"/>
      <c r="G19" s="1"/>
      <c r="H19" s="1"/>
      <c r="I19" s="1"/>
      <c r="J19" s="1"/>
      <c r="K19" s="1"/>
      <c r="L19" s="1"/>
      <c r="M19" s="1"/>
      <c r="O19" s="83"/>
    </row>
    <row r="20" spans="1:15" ht="16" thickTop="1" x14ac:dyDescent="0.2">
      <c r="B20" s="83"/>
      <c r="C20" s="1"/>
      <c r="D20" s="1"/>
      <c r="E20" s="1"/>
      <c r="F20" s="1"/>
      <c r="G20" s="1"/>
      <c r="H20" s="1"/>
      <c r="I20" s="1"/>
      <c r="J20" s="1"/>
      <c r="K20" s="1"/>
      <c r="L20" s="1"/>
      <c r="M20" s="1"/>
      <c r="O20" s="83"/>
    </row>
    <row r="21" spans="1:15" x14ac:dyDescent="0.2">
      <c r="B21" s="83"/>
      <c r="C21" s="1"/>
      <c r="D21" s="1"/>
      <c r="E21" s="1"/>
      <c r="F21" s="1"/>
      <c r="G21" s="1"/>
      <c r="H21" s="1"/>
      <c r="I21" s="1"/>
      <c r="J21" s="1"/>
      <c r="K21" s="1"/>
      <c r="L21" s="1"/>
      <c r="M21" s="1"/>
      <c r="O21" s="83"/>
    </row>
    <row r="22" spans="1:15" x14ac:dyDescent="0.2">
      <c r="B22" s="83"/>
      <c r="C22" s="16" t="s">
        <v>67</v>
      </c>
      <c r="D22" s="1"/>
      <c r="E22" s="1"/>
      <c r="F22" s="1"/>
      <c r="G22" s="1"/>
      <c r="H22" s="1"/>
      <c r="I22" s="1"/>
      <c r="J22" s="1"/>
      <c r="K22" s="1"/>
      <c r="L22" s="1"/>
      <c r="M22" s="1"/>
      <c r="O22" s="83"/>
    </row>
    <row r="23" spans="1:15" ht="14.5" customHeight="1" x14ac:dyDescent="0.2">
      <c r="B23" s="83"/>
      <c r="C23" s="21"/>
      <c r="D23" s="22"/>
      <c r="E23" s="22"/>
      <c r="F23" s="236" t="s">
        <v>222</v>
      </c>
      <c r="G23" s="237"/>
      <c r="J23" s="1"/>
      <c r="K23" s="1"/>
      <c r="L23" s="1"/>
      <c r="M23" s="1"/>
      <c r="O23" s="83"/>
    </row>
    <row r="24" spans="1:15" ht="26.5" customHeight="1" thickBot="1" x14ac:dyDescent="0.25">
      <c r="B24" s="83"/>
      <c r="C24" s="23"/>
      <c r="D24" s="65" t="s">
        <v>262</v>
      </c>
      <c r="E24" s="65" t="s">
        <v>263</v>
      </c>
      <c r="F24" s="96" t="s">
        <v>159</v>
      </c>
      <c r="G24" s="96" t="s">
        <v>69</v>
      </c>
      <c r="J24" s="1"/>
      <c r="K24" s="1"/>
      <c r="L24" s="1"/>
      <c r="M24" s="1"/>
      <c r="O24" s="83"/>
    </row>
    <row r="25" spans="1:15" ht="17" thickTop="1" thickBot="1" x14ac:dyDescent="0.25">
      <c r="B25" s="83"/>
      <c r="C25" s="24" t="s">
        <v>31</v>
      </c>
      <c r="D25" s="95">
        <v>15182.996242719481</v>
      </c>
      <c r="E25" s="95">
        <v>15053.49164342246</v>
      </c>
      <c r="F25" s="95"/>
      <c r="G25" s="94"/>
      <c r="J25" s="1"/>
      <c r="K25" s="1"/>
      <c r="L25" s="1"/>
      <c r="M25" s="1"/>
      <c r="O25" s="83"/>
    </row>
    <row r="26" spans="1:15" ht="18" thickTop="1" thickBot="1" x14ac:dyDescent="0.25">
      <c r="B26" s="83"/>
      <c r="C26" s="25" t="s">
        <v>70</v>
      </c>
      <c r="D26" s="95">
        <v>47.098286937901477</v>
      </c>
      <c r="E26" s="95">
        <v>3.0494117647058827</v>
      </c>
      <c r="F26" s="95">
        <v>44.048875173195597</v>
      </c>
      <c r="G26" s="94">
        <v>0.34013367411121315</v>
      </c>
      <c r="J26" s="1"/>
      <c r="K26" s="1"/>
      <c r="L26" s="1"/>
      <c r="M26" s="1"/>
      <c r="O26" s="83"/>
    </row>
    <row r="27" spans="1:15" ht="18" thickTop="1" thickBot="1" x14ac:dyDescent="0.25">
      <c r="B27" s="83"/>
      <c r="C27" s="25" t="s">
        <v>14</v>
      </c>
      <c r="D27" s="95">
        <v>1.863790149892933</v>
      </c>
      <c r="E27" s="95">
        <v>8.6883850267379668</v>
      </c>
      <c r="F27" s="95">
        <v>-6.8245948768450333</v>
      </c>
      <c r="G27" s="94">
        <v>-5.2697702737126734E-2</v>
      </c>
      <c r="J27" s="1"/>
      <c r="K27" s="1"/>
      <c r="L27" s="1"/>
      <c r="M27" s="1"/>
      <c r="O27" s="83"/>
    </row>
    <row r="28" spans="1:15" ht="18" thickTop="1" thickBot="1" x14ac:dyDescent="0.25">
      <c r="B28" s="83"/>
      <c r="C28" s="25" t="s">
        <v>16</v>
      </c>
      <c r="D28" s="95">
        <v>27.555535331905769</v>
      </c>
      <c r="E28" s="95">
        <v>25.596192513368983</v>
      </c>
      <c r="F28" s="95">
        <v>1.9593428185367863</v>
      </c>
      <c r="G28" s="94">
        <v>1.5129523037579742E-2</v>
      </c>
      <c r="J28" s="1"/>
      <c r="K28" s="1"/>
      <c r="L28" s="1"/>
      <c r="M28" s="1"/>
      <c r="O28" s="83"/>
    </row>
    <row r="29" spans="1:15" ht="18" thickTop="1" thickBot="1" x14ac:dyDescent="0.25">
      <c r="B29" s="83"/>
      <c r="C29" s="25" t="s">
        <v>15</v>
      </c>
      <c r="D29" s="95">
        <v>15103.046392612414</v>
      </c>
      <c r="E29" s="95">
        <v>15014.633846631017</v>
      </c>
      <c r="F29" s="95">
        <v>88.412545981396761</v>
      </c>
      <c r="G29" s="94">
        <v>0.68269811621610643</v>
      </c>
      <c r="J29" s="1"/>
      <c r="K29" s="1"/>
      <c r="L29" s="1"/>
      <c r="M29" s="1"/>
      <c r="O29" s="83"/>
    </row>
    <row r="30" spans="1:15" ht="18" thickTop="1" thickBot="1" x14ac:dyDescent="0.25">
      <c r="B30" s="83"/>
      <c r="C30" s="25" t="s">
        <v>71</v>
      </c>
      <c r="D30" s="95">
        <v>3.432237687366166</v>
      </c>
      <c r="E30" s="95">
        <v>1.5238074866310156</v>
      </c>
      <c r="F30" s="95">
        <v>1.9084302007351504</v>
      </c>
      <c r="G30" s="94">
        <v>1.4736389372227304E-2</v>
      </c>
      <c r="J30" s="1"/>
      <c r="K30" s="1"/>
      <c r="L30" s="1"/>
      <c r="M30" s="1"/>
      <c r="O30" s="83"/>
    </row>
    <row r="31" spans="1:15" ht="16" thickTop="1" x14ac:dyDescent="0.2">
      <c r="B31" s="83"/>
      <c r="C31" s="1"/>
      <c r="D31" s="1"/>
      <c r="E31" s="1"/>
      <c r="F31" s="1"/>
      <c r="G31" s="1"/>
      <c r="H31" s="1"/>
      <c r="I31" s="1"/>
      <c r="J31" s="1"/>
      <c r="K31" s="1"/>
      <c r="L31" s="1"/>
      <c r="M31" s="1"/>
      <c r="O31" s="83"/>
    </row>
    <row r="32" spans="1:15" ht="16" thickBot="1" x14ac:dyDescent="0.25">
      <c r="A32" s="82"/>
      <c r="B32" s="87"/>
      <c r="C32" s="84"/>
      <c r="D32" s="84"/>
      <c r="E32" s="84"/>
      <c r="F32" s="84"/>
      <c r="G32" s="84"/>
      <c r="H32" s="84"/>
      <c r="I32" s="84"/>
      <c r="J32" s="84"/>
      <c r="K32" s="84"/>
      <c r="L32" s="84"/>
      <c r="M32" s="84"/>
      <c r="N32" s="84"/>
      <c r="O32" s="83"/>
    </row>
  </sheetData>
  <mergeCells count="1">
    <mergeCell ref="F23:G2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58DF5-FA14-45C8-875A-509B4DF30859}">
  <sheetPr codeName="Sheet10">
    <tabColor rgb="FFCC6600"/>
  </sheetPr>
  <dimension ref="B2:Q184"/>
  <sheetViews>
    <sheetView showGridLines="0" workbookViewId="0"/>
  </sheetViews>
  <sheetFormatPr baseColWidth="10" defaultColWidth="8.83203125" defaultRowHeight="15" x14ac:dyDescent="0.2"/>
  <cols>
    <col min="4" max="4" width="50" customWidth="1"/>
    <col min="5" max="5" width="22" customWidth="1"/>
    <col min="6" max="6" width="22.6640625" customWidth="1"/>
    <col min="7" max="7" width="21" customWidth="1"/>
    <col min="8" max="8" width="17.5" customWidth="1"/>
    <col min="9" max="9" width="21.6640625" customWidth="1"/>
    <col min="10" max="10" width="17" customWidth="1"/>
    <col min="11" max="11" width="12.5" customWidth="1"/>
  </cols>
  <sheetData>
    <row r="2" spans="2:17" ht="14.5" customHeight="1" x14ac:dyDescent="0.3">
      <c r="E2" s="238" t="s">
        <v>224</v>
      </c>
      <c r="F2" s="238"/>
      <c r="G2" s="238"/>
      <c r="I2" s="85"/>
      <c r="J2" s="85"/>
      <c r="K2" s="85"/>
      <c r="L2" s="85"/>
    </row>
    <row r="3" spans="2:17" ht="14.5" customHeight="1" x14ac:dyDescent="0.3">
      <c r="E3" s="238"/>
      <c r="F3" s="238"/>
      <c r="G3" s="238"/>
      <c r="H3" s="85"/>
      <c r="I3" s="85"/>
      <c r="J3" s="85"/>
      <c r="K3" s="85"/>
      <c r="L3" s="85"/>
    </row>
    <row r="4" spans="2:17" ht="16" thickBot="1" x14ac:dyDescent="0.25"/>
    <row r="5" spans="2:17" ht="16" thickBot="1" x14ac:dyDescent="0.25">
      <c r="B5" s="157"/>
      <c r="C5" s="158"/>
      <c r="D5" s="158"/>
      <c r="E5" s="158"/>
      <c r="F5" s="158"/>
      <c r="G5" s="158"/>
      <c r="H5" s="158"/>
      <c r="I5" s="158"/>
      <c r="J5" s="158"/>
      <c r="K5" s="158"/>
      <c r="L5" s="158"/>
      <c r="M5" s="158"/>
      <c r="N5" s="158"/>
      <c r="O5" s="158"/>
      <c r="P5" s="158"/>
      <c r="Q5" s="159"/>
    </row>
    <row r="6" spans="2:17" x14ac:dyDescent="0.2">
      <c r="B6" s="160"/>
      <c r="Q6" s="161"/>
    </row>
    <row r="7" spans="2:17" x14ac:dyDescent="0.2">
      <c r="B7" s="160"/>
      <c r="Q7" s="161"/>
    </row>
    <row r="8" spans="2:17" x14ac:dyDescent="0.2">
      <c r="B8" s="160"/>
      <c r="Q8" s="161"/>
    </row>
    <row r="9" spans="2:17" x14ac:dyDescent="0.2">
      <c r="B9" s="160"/>
      <c r="Q9" s="161"/>
    </row>
    <row r="10" spans="2:17" x14ac:dyDescent="0.2">
      <c r="B10" s="160"/>
      <c r="Q10" s="161"/>
    </row>
    <row r="11" spans="2:17" x14ac:dyDescent="0.2">
      <c r="B11" s="160"/>
      <c r="Q11" s="161"/>
    </row>
    <row r="12" spans="2:17" ht="19" x14ac:dyDescent="0.25">
      <c r="B12" s="160"/>
      <c r="D12" s="162" t="s">
        <v>225</v>
      </c>
      <c r="E12" s="163"/>
      <c r="F12" s="164" t="s">
        <v>140</v>
      </c>
      <c r="G12" s="5"/>
      <c r="H12" s="5"/>
      <c r="I12" s="165" t="str">
        <f>"Tornado Diagram-"&amp;DSA_output&amp;""</f>
        <v>Tornado Diagram-Incremental Cost</v>
      </c>
      <c r="L12" s="5"/>
      <c r="Q12" s="161"/>
    </row>
    <row r="13" spans="2:17" x14ac:dyDescent="0.2">
      <c r="B13" s="160"/>
      <c r="D13" s="187" t="s">
        <v>226</v>
      </c>
      <c r="E13" s="5"/>
      <c r="F13" s="5"/>
      <c r="G13" s="5"/>
      <c r="H13" s="5"/>
      <c r="L13" s="5"/>
      <c r="Q13" s="161"/>
    </row>
    <row r="14" spans="2:17" x14ac:dyDescent="0.2">
      <c r="B14" s="160"/>
      <c r="C14" s="5"/>
      <c r="G14" s="5"/>
      <c r="H14" s="5"/>
      <c r="I14" s="5"/>
      <c r="L14" s="5"/>
      <c r="Q14" s="161"/>
    </row>
    <row r="15" spans="2:17" x14ac:dyDescent="0.2">
      <c r="B15" s="160"/>
      <c r="C15" s="5"/>
      <c r="D15" s="5"/>
      <c r="E15" s="5"/>
      <c r="F15" s="5"/>
      <c r="G15" s="5"/>
      <c r="H15" s="5"/>
      <c r="I15" s="5"/>
      <c r="K15" s="166"/>
      <c r="L15" s="5"/>
      <c r="Q15" s="161"/>
    </row>
    <row r="16" spans="2:17" x14ac:dyDescent="0.2">
      <c r="B16" s="160"/>
      <c r="C16" s="5"/>
      <c r="D16" s="239"/>
      <c r="E16" s="239"/>
      <c r="F16" s="239"/>
      <c r="G16" s="239"/>
      <c r="H16" s="239"/>
      <c r="I16" s="239"/>
      <c r="J16" s="239"/>
      <c r="K16" s="239"/>
      <c r="L16" s="239"/>
      <c r="Q16" s="161"/>
    </row>
    <row r="17" spans="2:17" x14ac:dyDescent="0.2">
      <c r="B17" s="160"/>
      <c r="C17" s="167" t="s">
        <v>227</v>
      </c>
      <c r="H17" s="5"/>
      <c r="I17" s="5"/>
      <c r="J17" s="5"/>
      <c r="K17" s="5"/>
      <c r="L17" s="5"/>
      <c r="Q17" s="161"/>
    </row>
    <row r="18" spans="2:17" ht="16" x14ac:dyDescent="0.2">
      <c r="B18" s="160"/>
      <c r="C18" s="168" t="s">
        <v>96</v>
      </c>
      <c r="D18" s="169" t="s">
        <v>228</v>
      </c>
      <c r="E18" s="168" t="s">
        <v>229</v>
      </c>
      <c r="F18" s="168" t="s">
        <v>230</v>
      </c>
      <c r="G18" s="168" t="s">
        <v>231</v>
      </c>
      <c r="L18" s="5"/>
      <c r="Q18" s="161"/>
    </row>
    <row r="19" spans="2:17" x14ac:dyDescent="0.2">
      <c r="B19" s="160"/>
      <c r="C19" s="56">
        <v>1</v>
      </c>
      <c r="D19" s="170" t="str">
        <f>INDEX($D$36:$D$184,MATCH(G19,$K$36:$K$184,0))</f>
        <v>Additional ICU Length of stay (LOS) due to CRBSI</v>
      </c>
      <c r="E19" s="170">
        <f>INDEX($G$36:$G$184,MATCH(G19,$K$36:$K$184,0))</f>
        <v>156.73121546046059</v>
      </c>
      <c r="F19" s="170">
        <f>INDEX($J$36:$J$184,MATCH(G19,$K$36:$K$184,0))</f>
        <v>102.27798313358289</v>
      </c>
      <c r="G19" s="171">
        <f>LARGE($K$36:$K$184,C19)</f>
        <v>54.453232326877696</v>
      </c>
      <c r="L19" s="5"/>
      <c r="Q19" s="161"/>
    </row>
    <row r="20" spans="2:17" x14ac:dyDescent="0.2">
      <c r="B20" s="160"/>
      <c r="C20" s="56">
        <v>2</v>
      </c>
      <c r="D20" s="170" t="str">
        <f t="shared" ref="D20:D23" si="0">INDEX($D$36:$D$184,MATCH(G20,$K$36:$K$184,0))</f>
        <v>ICU Cost without CRBSI</v>
      </c>
      <c r="E20" s="170">
        <f t="shared" ref="E20:E23" si="1">INDEX($G$36:$G$184,MATCH(G20,$K$36:$K$184,0))</f>
        <v>112.17605870652005</v>
      </c>
      <c r="F20" s="170">
        <f t="shared" ref="F20:F23" si="2">INDEX($J$36:$J$184,MATCH(G20,$K$36:$K$184,0))</f>
        <v>146.83313988751615</v>
      </c>
      <c r="G20" s="171">
        <f t="shared" ref="G20:G23" si="3">LARGE($K$36:$K$184,C20)</f>
        <v>34.657081180996101</v>
      </c>
      <c r="L20" s="5"/>
      <c r="Q20" s="161"/>
    </row>
    <row r="21" spans="2:17" x14ac:dyDescent="0.2">
      <c r="B21" s="160"/>
      <c r="C21" s="56">
        <v>3</v>
      </c>
      <c r="D21" s="170" t="str">
        <f t="shared" si="0"/>
        <v>CHG Dressing</v>
      </c>
      <c r="E21" s="170">
        <f t="shared" si="1"/>
        <v>120.42524870487796</v>
      </c>
      <c r="F21" s="170">
        <f t="shared" si="2"/>
        <v>138.5839498891637</v>
      </c>
      <c r="G21" s="171">
        <f t="shared" si="3"/>
        <v>18.158701184285746</v>
      </c>
      <c r="L21" s="5"/>
      <c r="Q21" s="161"/>
    </row>
    <row r="22" spans="2:17" x14ac:dyDescent="0.2">
      <c r="B22" s="160"/>
      <c r="C22" s="56">
        <v>4</v>
      </c>
      <c r="D22" s="170" t="str">
        <f t="shared" si="0"/>
        <v xml:space="preserve">Direct cost of treating CRBSI </v>
      </c>
      <c r="E22" s="170">
        <f t="shared" si="1"/>
        <v>130.84219531378949</v>
      </c>
      <c r="F22" s="170">
        <f t="shared" si="2"/>
        <v>128.16700328025036</v>
      </c>
      <c r="G22" s="171">
        <f t="shared" si="3"/>
        <v>2.6751920335391333</v>
      </c>
      <c r="L22" s="5"/>
      <c r="Q22" s="161"/>
    </row>
    <row r="23" spans="2:17" x14ac:dyDescent="0.2">
      <c r="B23" s="160"/>
      <c r="C23" s="56">
        <v>5</v>
      </c>
      <c r="D23" s="170" t="str">
        <f t="shared" si="0"/>
        <v>Non CHG Dressing</v>
      </c>
      <c r="E23" s="170">
        <f t="shared" si="1"/>
        <v>129.95285458948456</v>
      </c>
      <c r="F23" s="170">
        <f t="shared" si="2"/>
        <v>129.05634400455529</v>
      </c>
      <c r="G23" s="171">
        <f t="shared" si="3"/>
        <v>0.89651058492927405</v>
      </c>
      <c r="L23" s="5"/>
      <c r="Q23" s="161"/>
    </row>
    <row r="24" spans="2:17" x14ac:dyDescent="0.2">
      <c r="B24" s="160"/>
      <c r="L24" s="5"/>
      <c r="Q24" s="161"/>
    </row>
    <row r="25" spans="2:17" x14ac:dyDescent="0.2">
      <c r="B25" s="160"/>
      <c r="L25" s="5"/>
      <c r="Q25" s="161"/>
    </row>
    <row r="26" spans="2:17" x14ac:dyDescent="0.2">
      <c r="B26" s="160"/>
      <c r="L26" s="5"/>
      <c r="Q26" s="161"/>
    </row>
    <row r="27" spans="2:17" x14ac:dyDescent="0.2">
      <c r="B27" s="160"/>
      <c r="L27" s="5"/>
      <c r="Q27" s="161"/>
    </row>
    <row r="28" spans="2:17" x14ac:dyDescent="0.2">
      <c r="B28" s="160"/>
      <c r="L28" s="5"/>
      <c r="Q28" s="161"/>
    </row>
    <row r="29" spans="2:17" x14ac:dyDescent="0.2">
      <c r="B29" s="160"/>
      <c r="C29" s="5"/>
      <c r="F29" s="5"/>
      <c r="G29" s="5"/>
      <c r="H29" s="5"/>
      <c r="I29" s="5"/>
      <c r="J29" s="5"/>
      <c r="K29" s="5"/>
      <c r="L29" s="5"/>
      <c r="Q29" s="161"/>
    </row>
    <row r="30" spans="2:17" x14ac:dyDescent="0.2">
      <c r="B30" s="160"/>
      <c r="C30" s="4"/>
      <c r="D30" s="172"/>
      <c r="E30" s="240"/>
      <c r="F30" s="240"/>
      <c r="G30" s="240"/>
      <c r="H30" s="240"/>
      <c r="I30" s="4"/>
      <c r="J30" s="4"/>
      <c r="K30" s="4"/>
      <c r="L30" s="4"/>
      <c r="Q30" s="161"/>
    </row>
    <row r="31" spans="2:17" x14ac:dyDescent="0.2">
      <c r="B31" s="160"/>
      <c r="C31" s="4"/>
      <c r="D31" s="173"/>
      <c r="E31" s="174" t="s">
        <v>140</v>
      </c>
      <c r="F31" s="174" t="s">
        <v>141</v>
      </c>
      <c r="G31" s="174" t="str">
        <f>DSA_output</f>
        <v>Incremental Cost</v>
      </c>
      <c r="H31" s="172"/>
      <c r="I31" s="172"/>
      <c r="J31" s="4"/>
      <c r="K31" s="4"/>
      <c r="L31" s="4"/>
      <c r="Q31" s="161"/>
    </row>
    <row r="32" spans="2:17" x14ac:dyDescent="0.2">
      <c r="B32" s="160"/>
      <c r="C32" s="5"/>
      <c r="D32" s="56" t="s">
        <v>232</v>
      </c>
      <c r="E32" s="175">
        <f>Results_1!F13</f>
        <v>129.50459929702083</v>
      </c>
      <c r="F32" s="176">
        <f>Results_1!G13</f>
        <v>11.761270597396056</v>
      </c>
      <c r="G32" s="171">
        <f>IF(DSA_output="ICER",E32/F32,IF(DSA_output="NMB",ABS(F32)*WTP-E32,IF(DSA_output="Incremental Cost",E32,ABS(F32))))</f>
        <v>129.50459929702083</v>
      </c>
      <c r="H32" s="177"/>
      <c r="I32" s="178"/>
      <c r="J32" s="177"/>
      <c r="K32" s="179"/>
      <c r="L32" s="5"/>
      <c r="Q32" s="161"/>
    </row>
    <row r="33" spans="2:17" x14ac:dyDescent="0.2">
      <c r="B33" s="160"/>
      <c r="C33" s="5"/>
      <c r="D33" s="5"/>
      <c r="E33" s="5"/>
      <c r="F33" s="5"/>
      <c r="G33" s="5"/>
      <c r="H33" s="5"/>
      <c r="I33" s="5"/>
      <c r="J33" s="5"/>
      <c r="K33" s="5"/>
      <c r="L33" s="5"/>
      <c r="Q33" s="161"/>
    </row>
    <row r="34" spans="2:17" ht="15.75" customHeight="1" x14ac:dyDescent="0.2">
      <c r="B34" s="160"/>
      <c r="D34" s="180"/>
      <c r="E34" s="241" t="s">
        <v>233</v>
      </c>
      <c r="F34" s="241"/>
      <c r="G34" s="180"/>
      <c r="H34" s="241" t="s">
        <v>234</v>
      </c>
      <c r="I34" s="241"/>
      <c r="J34" s="180"/>
      <c r="K34" s="242" t="str">
        <f>DSA_output&amp;" difference"</f>
        <v>Incremental Cost difference</v>
      </c>
      <c r="Q34" s="161"/>
    </row>
    <row r="35" spans="2:17" ht="16" x14ac:dyDescent="0.2">
      <c r="B35" s="160"/>
      <c r="C35" s="180" t="s">
        <v>235</v>
      </c>
      <c r="D35" s="180" t="s">
        <v>97</v>
      </c>
      <c r="E35" s="180" t="s">
        <v>236</v>
      </c>
      <c r="F35" s="180" t="s">
        <v>141</v>
      </c>
      <c r="G35" s="180" t="str">
        <f>DSA_output</f>
        <v>Incremental Cost</v>
      </c>
      <c r="H35" s="180" t="s">
        <v>236</v>
      </c>
      <c r="I35" s="180" t="s">
        <v>141</v>
      </c>
      <c r="J35" s="180" t="str">
        <f>DSA_output</f>
        <v>Incremental Cost</v>
      </c>
      <c r="K35" s="242"/>
      <c r="Q35" s="161"/>
    </row>
    <row r="36" spans="2:17" x14ac:dyDescent="0.2">
      <c r="B36" s="160"/>
      <c r="C36" s="56">
        <v>1</v>
      </c>
      <c r="D36" s="56" t="s">
        <v>220</v>
      </c>
      <c r="E36" s="56">
        <v>129.95285458948456</v>
      </c>
      <c r="F36" s="56">
        <v>11.761270597396056</v>
      </c>
      <c r="G36" s="56">
        <f t="shared" ref="G36:G67" si="4">IF(D36="","",IF(DSA_output ="ICER",E36/F36,IF(DSA_output="NMB",F36*WTP-E36,IF(DSA_output="Incremental Cost",E36,F36))))</f>
        <v>129.95285458948456</v>
      </c>
      <c r="H36" s="56">
        <v>129.05634400455529</v>
      </c>
      <c r="I36" s="56">
        <v>11.761270597396056</v>
      </c>
      <c r="J36" s="56">
        <f t="shared" ref="J36:J67" si="5">IF(D36="","",IF(DSA_output ="ICER",H36/I36,IF(DSA_output="NMB",I36*WTP-H36,IF(DSA_output="Incremental Cost",H36,I36))))</f>
        <v>129.05634400455529</v>
      </c>
      <c r="K36" s="184">
        <f>IF(D36="","",ABS(J36-G36))</f>
        <v>0.89651058492927405</v>
      </c>
      <c r="Q36" s="161"/>
    </row>
    <row r="37" spans="2:17" x14ac:dyDescent="0.2">
      <c r="B37" s="160"/>
      <c r="C37" s="56">
        <f t="shared" ref="C37:C100" si="6">C36+1</f>
        <v>2</v>
      </c>
      <c r="D37" s="56" t="s">
        <v>221</v>
      </c>
      <c r="E37" s="56">
        <v>120.42524870487796</v>
      </c>
      <c r="F37" s="56">
        <v>11.761270597396056</v>
      </c>
      <c r="G37" s="56">
        <f t="shared" si="4"/>
        <v>120.42524870487796</v>
      </c>
      <c r="H37" s="56">
        <v>138.5839498891637</v>
      </c>
      <c r="I37" s="56">
        <v>11.761270597396056</v>
      </c>
      <c r="J37" s="56">
        <f t="shared" si="5"/>
        <v>138.5839498891637</v>
      </c>
      <c r="K37" s="184">
        <f t="shared" ref="K37:K100" si="7">IF(D37="","",ABS(J37-G37))</f>
        <v>18.158701184285746</v>
      </c>
      <c r="Q37" s="161"/>
    </row>
    <row r="38" spans="2:17" x14ac:dyDescent="0.2">
      <c r="B38" s="160"/>
      <c r="C38" s="56">
        <f t="shared" si="6"/>
        <v>3</v>
      </c>
      <c r="D38" s="56" t="s">
        <v>237</v>
      </c>
      <c r="E38" s="56">
        <v>129.65401772784207</v>
      </c>
      <c r="F38" s="56">
        <v>11.761270597396056</v>
      </c>
      <c r="G38" s="56">
        <f t="shared" si="4"/>
        <v>129.65401772784207</v>
      </c>
      <c r="H38" s="56">
        <v>129.35518086619959</v>
      </c>
      <c r="I38" s="56">
        <v>11.761270597396056</v>
      </c>
      <c r="J38" s="56">
        <f t="shared" si="5"/>
        <v>129.35518086619959</v>
      </c>
      <c r="K38" s="184">
        <f t="shared" si="7"/>
        <v>0.29883686164248502</v>
      </c>
      <c r="Q38" s="161"/>
    </row>
    <row r="39" spans="2:17" x14ac:dyDescent="0.2">
      <c r="B39" s="160"/>
      <c r="C39" s="56">
        <f t="shared" si="6"/>
        <v>4</v>
      </c>
      <c r="D39" s="56" t="s">
        <v>238</v>
      </c>
      <c r="E39" s="56">
        <v>129.35285527598171</v>
      </c>
      <c r="F39" s="56">
        <v>11.761270597396056</v>
      </c>
      <c r="G39" s="56">
        <f t="shared" si="4"/>
        <v>129.35285527598171</v>
      </c>
      <c r="H39" s="56">
        <v>129.65634331805995</v>
      </c>
      <c r="I39" s="56">
        <v>11.761270597396056</v>
      </c>
      <c r="J39" s="56">
        <f t="shared" si="5"/>
        <v>129.65634331805995</v>
      </c>
      <c r="K39" s="184">
        <f t="shared" si="7"/>
        <v>0.30348804207824287</v>
      </c>
      <c r="Q39" s="161"/>
    </row>
    <row r="40" spans="2:17" x14ac:dyDescent="0.2">
      <c r="B40" s="160"/>
      <c r="C40" s="56">
        <f t="shared" si="6"/>
        <v>5</v>
      </c>
      <c r="D40" s="56" t="s">
        <v>41</v>
      </c>
      <c r="E40" s="56">
        <v>129.43018715656945</v>
      </c>
      <c r="F40" s="56">
        <v>11.761270597396056</v>
      </c>
      <c r="G40" s="56">
        <f t="shared" si="4"/>
        <v>129.43018715656945</v>
      </c>
      <c r="H40" s="56">
        <v>129.5790114374704</v>
      </c>
      <c r="I40" s="56">
        <v>11.761270597396056</v>
      </c>
      <c r="J40" s="56">
        <f t="shared" si="5"/>
        <v>129.5790114374704</v>
      </c>
      <c r="K40" s="184">
        <f t="shared" si="7"/>
        <v>0.14882428090095345</v>
      </c>
      <c r="Q40" s="161"/>
    </row>
    <row r="41" spans="2:17" x14ac:dyDescent="0.2">
      <c r="B41" s="160"/>
      <c r="C41" s="56">
        <f t="shared" si="6"/>
        <v>6</v>
      </c>
      <c r="D41" s="56" t="s">
        <v>172</v>
      </c>
      <c r="E41" s="56">
        <v>129.20572208429985</v>
      </c>
      <c r="F41" s="56">
        <v>11.761270597396056</v>
      </c>
      <c r="G41" s="56">
        <f t="shared" si="4"/>
        <v>129.20572208429985</v>
      </c>
      <c r="H41" s="56">
        <v>129.80347650973999</v>
      </c>
      <c r="I41" s="56">
        <v>11.761270597396056</v>
      </c>
      <c r="J41" s="56">
        <f t="shared" si="5"/>
        <v>129.80347650973999</v>
      </c>
      <c r="K41" s="184">
        <f t="shared" si="7"/>
        <v>0.59775442544014368</v>
      </c>
      <c r="Q41" s="161"/>
    </row>
    <row r="42" spans="2:17" x14ac:dyDescent="0.2">
      <c r="B42" s="160"/>
      <c r="C42" s="56">
        <f t="shared" si="6"/>
        <v>7</v>
      </c>
      <c r="D42" s="56" t="s">
        <v>219</v>
      </c>
      <c r="E42" s="56">
        <v>129.5038432041456</v>
      </c>
      <c r="F42" s="56">
        <v>11.761270597396056</v>
      </c>
      <c r="G42" s="56">
        <f t="shared" si="4"/>
        <v>129.5038432041456</v>
      </c>
      <c r="H42" s="56">
        <v>129.50535538989607</v>
      </c>
      <c r="I42" s="56">
        <v>11.761270597396056</v>
      </c>
      <c r="J42" s="56">
        <f t="shared" si="5"/>
        <v>129.50535538989607</v>
      </c>
      <c r="K42" s="184">
        <f t="shared" si="7"/>
        <v>1.5121857504709624E-3</v>
      </c>
      <c r="Q42" s="161"/>
    </row>
    <row r="43" spans="2:17" x14ac:dyDescent="0.2">
      <c r="B43" s="160"/>
      <c r="C43" s="56">
        <f t="shared" si="6"/>
        <v>8</v>
      </c>
      <c r="D43" s="56" t="s">
        <v>36</v>
      </c>
      <c r="E43" s="56">
        <v>130.84219531378949</v>
      </c>
      <c r="F43" s="56">
        <v>11.761270597396056</v>
      </c>
      <c r="G43" s="56">
        <f t="shared" si="4"/>
        <v>130.84219531378949</v>
      </c>
      <c r="H43" s="56">
        <v>128.16700328025036</v>
      </c>
      <c r="I43" s="56">
        <v>11.761270597396056</v>
      </c>
      <c r="J43" s="56">
        <f t="shared" si="5"/>
        <v>128.16700328025036</v>
      </c>
      <c r="K43" s="56">
        <f t="shared" si="7"/>
        <v>2.6751920335391333</v>
      </c>
      <c r="Q43" s="161"/>
    </row>
    <row r="44" spans="2:17" x14ac:dyDescent="0.2">
      <c r="B44" s="160"/>
      <c r="C44" s="56">
        <f t="shared" si="6"/>
        <v>9</v>
      </c>
      <c r="D44" s="56" t="s">
        <v>98</v>
      </c>
      <c r="E44" s="56">
        <v>112.17605870652005</v>
      </c>
      <c r="F44" s="56">
        <v>11.761270597396056</v>
      </c>
      <c r="G44" s="56">
        <f t="shared" si="4"/>
        <v>112.17605870652005</v>
      </c>
      <c r="H44" s="56">
        <v>146.83313988751615</v>
      </c>
      <c r="I44" s="56">
        <v>11.761270597396056</v>
      </c>
      <c r="J44" s="56">
        <f t="shared" si="5"/>
        <v>146.83313988751615</v>
      </c>
      <c r="K44" s="56">
        <f t="shared" si="7"/>
        <v>34.657081180996101</v>
      </c>
      <c r="Q44" s="161"/>
    </row>
    <row r="45" spans="2:17" x14ac:dyDescent="0.2">
      <c r="B45" s="160"/>
      <c r="C45" s="56">
        <f t="shared" si="6"/>
        <v>10</v>
      </c>
      <c r="D45" s="56" t="s">
        <v>38</v>
      </c>
      <c r="E45" s="56">
        <v>156.73121546046059</v>
      </c>
      <c r="F45" s="56">
        <v>11.761270597396056</v>
      </c>
      <c r="G45" s="56">
        <f t="shared" si="4"/>
        <v>156.73121546046059</v>
      </c>
      <c r="H45" s="56">
        <v>102.27798313358289</v>
      </c>
      <c r="I45" s="56">
        <v>11.761270597396056</v>
      </c>
      <c r="J45" s="56">
        <f t="shared" si="5"/>
        <v>102.27798313358289</v>
      </c>
      <c r="K45" s="56">
        <f t="shared" si="7"/>
        <v>54.453232326877696</v>
      </c>
      <c r="Q45" s="161"/>
    </row>
    <row r="46" spans="2:17" x14ac:dyDescent="0.2">
      <c r="B46" s="160"/>
      <c r="C46" s="56">
        <f t="shared" si="6"/>
        <v>11</v>
      </c>
      <c r="D46" s="56" t="s">
        <v>62</v>
      </c>
      <c r="E46" s="56">
        <v>129.12057516124878</v>
      </c>
      <c r="F46" s="56">
        <v>11.761270597396056</v>
      </c>
      <c r="G46" s="56">
        <f t="shared" si="4"/>
        <v>129.12057516124878</v>
      </c>
      <c r="H46" s="56">
        <v>129.88862343278925</v>
      </c>
      <c r="I46" s="56">
        <v>11.761270597396056</v>
      </c>
      <c r="J46" s="56">
        <f t="shared" si="5"/>
        <v>129.88862343278925</v>
      </c>
      <c r="K46" s="56">
        <f t="shared" si="7"/>
        <v>0.76804827154046507</v>
      </c>
      <c r="Q46" s="161"/>
    </row>
    <row r="47" spans="2:17" x14ac:dyDescent="0.2">
      <c r="B47" s="160"/>
      <c r="C47" s="56">
        <f t="shared" si="6"/>
        <v>12</v>
      </c>
      <c r="D47" s="56"/>
      <c r="E47" s="56"/>
      <c r="F47" s="56"/>
      <c r="G47" s="56" t="str">
        <f t="shared" si="4"/>
        <v/>
      </c>
      <c r="H47" s="56"/>
      <c r="I47" s="56"/>
      <c r="J47" s="56" t="str">
        <f t="shared" si="5"/>
        <v/>
      </c>
      <c r="K47" s="56" t="str">
        <f t="shared" si="7"/>
        <v/>
      </c>
      <c r="Q47" s="161"/>
    </row>
    <row r="48" spans="2:17" x14ac:dyDescent="0.2">
      <c r="B48" s="160"/>
      <c r="C48" s="56">
        <f t="shared" si="6"/>
        <v>13</v>
      </c>
      <c r="D48" s="56"/>
      <c r="E48" s="56"/>
      <c r="F48" s="56"/>
      <c r="G48" s="56" t="str">
        <f t="shared" si="4"/>
        <v/>
      </c>
      <c r="H48" s="56"/>
      <c r="I48" s="56"/>
      <c r="J48" s="56" t="str">
        <f t="shared" si="5"/>
        <v/>
      </c>
      <c r="K48" s="56" t="str">
        <f t="shared" si="7"/>
        <v/>
      </c>
      <c r="Q48" s="161"/>
    </row>
    <row r="49" spans="2:17" x14ac:dyDescent="0.2">
      <c r="B49" s="160"/>
      <c r="C49" s="56">
        <f t="shared" si="6"/>
        <v>14</v>
      </c>
      <c r="D49" s="56"/>
      <c r="E49" s="56"/>
      <c r="F49" s="56"/>
      <c r="G49" s="56" t="str">
        <f t="shared" si="4"/>
        <v/>
      </c>
      <c r="H49" s="56"/>
      <c r="I49" s="56"/>
      <c r="J49" s="56" t="str">
        <f t="shared" si="5"/>
        <v/>
      </c>
      <c r="K49" s="56" t="str">
        <f t="shared" si="7"/>
        <v/>
      </c>
      <c r="Q49" s="161"/>
    </row>
    <row r="50" spans="2:17" x14ac:dyDescent="0.2">
      <c r="B50" s="160"/>
      <c r="C50" s="56">
        <f t="shared" si="6"/>
        <v>15</v>
      </c>
      <c r="D50" s="56"/>
      <c r="E50" s="56"/>
      <c r="F50" s="56"/>
      <c r="G50" s="56" t="str">
        <f t="shared" si="4"/>
        <v/>
      </c>
      <c r="H50" s="56"/>
      <c r="I50" s="56"/>
      <c r="J50" s="56" t="str">
        <f t="shared" si="5"/>
        <v/>
      </c>
      <c r="K50" s="56" t="str">
        <f t="shared" si="7"/>
        <v/>
      </c>
      <c r="Q50" s="161"/>
    </row>
    <row r="51" spans="2:17" x14ac:dyDescent="0.2">
      <c r="B51" s="160"/>
      <c r="C51" s="56">
        <f t="shared" si="6"/>
        <v>16</v>
      </c>
      <c r="D51" s="56"/>
      <c r="E51" s="56"/>
      <c r="F51" s="56"/>
      <c r="G51" s="56" t="str">
        <f t="shared" si="4"/>
        <v/>
      </c>
      <c r="H51" s="56"/>
      <c r="I51" s="56"/>
      <c r="J51" s="56" t="str">
        <f t="shared" si="5"/>
        <v/>
      </c>
      <c r="K51" s="56" t="str">
        <f t="shared" si="7"/>
        <v/>
      </c>
      <c r="Q51" s="161"/>
    </row>
    <row r="52" spans="2:17" x14ac:dyDescent="0.2">
      <c r="B52" s="160"/>
      <c r="C52" s="56">
        <f t="shared" si="6"/>
        <v>17</v>
      </c>
      <c r="D52" s="56"/>
      <c r="E52" s="56"/>
      <c r="F52" s="56"/>
      <c r="G52" s="56" t="str">
        <f t="shared" si="4"/>
        <v/>
      </c>
      <c r="H52" s="56"/>
      <c r="I52" s="56"/>
      <c r="J52" s="56" t="str">
        <f t="shared" si="5"/>
        <v/>
      </c>
      <c r="K52" s="56" t="str">
        <f t="shared" si="7"/>
        <v/>
      </c>
      <c r="Q52" s="161"/>
    </row>
    <row r="53" spans="2:17" x14ac:dyDescent="0.2">
      <c r="B53" s="160"/>
      <c r="C53" s="56">
        <f t="shared" si="6"/>
        <v>18</v>
      </c>
      <c r="D53" s="56"/>
      <c r="E53" s="56"/>
      <c r="F53" s="56"/>
      <c r="G53" s="56" t="str">
        <f t="shared" si="4"/>
        <v/>
      </c>
      <c r="H53" s="56"/>
      <c r="I53" s="56"/>
      <c r="J53" s="56" t="str">
        <f t="shared" si="5"/>
        <v/>
      </c>
      <c r="K53" s="56" t="str">
        <f t="shared" si="7"/>
        <v/>
      </c>
      <c r="Q53" s="161"/>
    </row>
    <row r="54" spans="2:17" x14ac:dyDescent="0.2">
      <c r="B54" s="160"/>
      <c r="C54" s="56">
        <f t="shared" si="6"/>
        <v>19</v>
      </c>
      <c r="D54" s="56"/>
      <c r="E54" s="56"/>
      <c r="F54" s="56"/>
      <c r="G54" s="56" t="str">
        <f t="shared" si="4"/>
        <v/>
      </c>
      <c r="H54" s="56"/>
      <c r="I54" s="56"/>
      <c r="J54" s="56" t="str">
        <f t="shared" si="5"/>
        <v/>
      </c>
      <c r="K54" s="56" t="str">
        <f t="shared" si="7"/>
        <v/>
      </c>
      <c r="Q54" s="161"/>
    </row>
    <row r="55" spans="2:17" x14ac:dyDescent="0.2">
      <c r="B55" s="160"/>
      <c r="C55" s="56">
        <f t="shared" si="6"/>
        <v>20</v>
      </c>
      <c r="D55" s="56"/>
      <c r="E55" s="56"/>
      <c r="F55" s="56"/>
      <c r="G55" s="56" t="str">
        <f t="shared" si="4"/>
        <v/>
      </c>
      <c r="H55" s="56"/>
      <c r="I55" s="56"/>
      <c r="J55" s="56" t="str">
        <f t="shared" si="5"/>
        <v/>
      </c>
      <c r="K55" s="56" t="str">
        <f t="shared" si="7"/>
        <v/>
      </c>
      <c r="Q55" s="161"/>
    </row>
    <row r="56" spans="2:17" x14ac:dyDescent="0.2">
      <c r="B56" s="160"/>
      <c r="C56" s="56">
        <f t="shared" si="6"/>
        <v>21</v>
      </c>
      <c r="D56" s="56"/>
      <c r="E56" s="56"/>
      <c r="F56" s="56"/>
      <c r="G56" s="56" t="str">
        <f t="shared" si="4"/>
        <v/>
      </c>
      <c r="H56" s="56"/>
      <c r="I56" s="56"/>
      <c r="J56" s="56" t="str">
        <f t="shared" si="5"/>
        <v/>
      </c>
      <c r="K56" s="56" t="str">
        <f t="shared" si="7"/>
        <v/>
      </c>
      <c r="Q56" s="161"/>
    </row>
    <row r="57" spans="2:17" x14ac:dyDescent="0.2">
      <c r="B57" s="160"/>
      <c r="C57" s="56">
        <f t="shared" si="6"/>
        <v>22</v>
      </c>
      <c r="D57" s="56"/>
      <c r="E57" s="56"/>
      <c r="F57" s="56"/>
      <c r="G57" s="56" t="str">
        <f t="shared" si="4"/>
        <v/>
      </c>
      <c r="H57" s="56"/>
      <c r="I57" s="56"/>
      <c r="J57" s="56" t="str">
        <f t="shared" si="5"/>
        <v/>
      </c>
      <c r="K57" s="56" t="str">
        <f t="shared" si="7"/>
        <v/>
      </c>
      <c r="Q57" s="161"/>
    </row>
    <row r="58" spans="2:17" x14ac:dyDescent="0.2">
      <c r="B58" s="160"/>
      <c r="C58" s="56">
        <f t="shared" si="6"/>
        <v>23</v>
      </c>
      <c r="D58" s="56"/>
      <c r="E58" s="56"/>
      <c r="F58" s="56"/>
      <c r="G58" s="56" t="str">
        <f t="shared" si="4"/>
        <v/>
      </c>
      <c r="H58" s="56"/>
      <c r="I58" s="56"/>
      <c r="J58" s="56" t="str">
        <f t="shared" si="5"/>
        <v/>
      </c>
      <c r="K58" s="56" t="str">
        <f t="shared" si="7"/>
        <v/>
      </c>
      <c r="Q58" s="161"/>
    </row>
    <row r="59" spans="2:17" x14ac:dyDescent="0.2">
      <c r="B59" s="160"/>
      <c r="C59" s="56">
        <f t="shared" si="6"/>
        <v>24</v>
      </c>
      <c r="D59" s="56"/>
      <c r="E59" s="56"/>
      <c r="F59" s="56"/>
      <c r="G59" s="56" t="str">
        <f t="shared" si="4"/>
        <v/>
      </c>
      <c r="H59" s="56"/>
      <c r="I59" s="56"/>
      <c r="J59" s="56" t="str">
        <f t="shared" si="5"/>
        <v/>
      </c>
      <c r="K59" s="56" t="str">
        <f t="shared" si="7"/>
        <v/>
      </c>
      <c r="Q59" s="161"/>
    </row>
    <row r="60" spans="2:17" x14ac:dyDescent="0.2">
      <c r="B60" s="160"/>
      <c r="C60" s="56">
        <f t="shared" si="6"/>
        <v>25</v>
      </c>
      <c r="D60" s="56"/>
      <c r="E60" s="56"/>
      <c r="F60" s="56"/>
      <c r="G60" s="56" t="str">
        <f t="shared" si="4"/>
        <v/>
      </c>
      <c r="H60" s="56"/>
      <c r="I60" s="56"/>
      <c r="J60" s="56" t="str">
        <f t="shared" si="5"/>
        <v/>
      </c>
      <c r="K60" s="56" t="str">
        <f t="shared" si="7"/>
        <v/>
      </c>
      <c r="Q60" s="161"/>
    </row>
    <row r="61" spans="2:17" x14ac:dyDescent="0.2">
      <c r="B61" s="160"/>
      <c r="C61" s="56">
        <f t="shared" si="6"/>
        <v>26</v>
      </c>
      <c r="D61" s="56"/>
      <c r="E61" s="56"/>
      <c r="F61" s="56"/>
      <c r="G61" s="56" t="str">
        <f t="shared" si="4"/>
        <v/>
      </c>
      <c r="H61" s="56"/>
      <c r="I61" s="56"/>
      <c r="J61" s="56" t="str">
        <f t="shared" si="5"/>
        <v/>
      </c>
      <c r="K61" s="56" t="str">
        <f t="shared" si="7"/>
        <v/>
      </c>
      <c r="Q61" s="161"/>
    </row>
    <row r="62" spans="2:17" x14ac:dyDescent="0.2">
      <c r="B62" s="160"/>
      <c r="C62" s="56">
        <f t="shared" si="6"/>
        <v>27</v>
      </c>
      <c r="D62" s="56"/>
      <c r="E62" s="56"/>
      <c r="F62" s="56"/>
      <c r="G62" s="56" t="str">
        <f t="shared" si="4"/>
        <v/>
      </c>
      <c r="H62" s="56"/>
      <c r="I62" s="56"/>
      <c r="J62" s="56" t="str">
        <f t="shared" si="5"/>
        <v/>
      </c>
      <c r="K62" s="56" t="str">
        <f t="shared" si="7"/>
        <v/>
      </c>
      <c r="Q62" s="161"/>
    </row>
    <row r="63" spans="2:17" x14ac:dyDescent="0.2">
      <c r="B63" s="160"/>
      <c r="C63" s="56">
        <f t="shared" si="6"/>
        <v>28</v>
      </c>
      <c r="D63" s="56"/>
      <c r="E63" s="56"/>
      <c r="F63" s="56"/>
      <c r="G63" s="56" t="str">
        <f t="shared" si="4"/>
        <v/>
      </c>
      <c r="H63" s="56"/>
      <c r="I63" s="56"/>
      <c r="J63" s="56" t="str">
        <f t="shared" si="5"/>
        <v/>
      </c>
      <c r="K63" s="56" t="str">
        <f t="shared" si="7"/>
        <v/>
      </c>
      <c r="Q63" s="161"/>
    </row>
    <row r="64" spans="2:17" x14ac:dyDescent="0.2">
      <c r="B64" s="160"/>
      <c r="C64" s="56">
        <f t="shared" si="6"/>
        <v>29</v>
      </c>
      <c r="D64" s="56"/>
      <c r="E64" s="56"/>
      <c r="F64" s="56"/>
      <c r="G64" s="56" t="str">
        <f t="shared" si="4"/>
        <v/>
      </c>
      <c r="H64" s="56"/>
      <c r="I64" s="56"/>
      <c r="J64" s="56" t="str">
        <f t="shared" si="5"/>
        <v/>
      </c>
      <c r="K64" s="56" t="str">
        <f t="shared" si="7"/>
        <v/>
      </c>
      <c r="Q64" s="161"/>
    </row>
    <row r="65" spans="2:17" x14ac:dyDescent="0.2">
      <c r="B65" s="160"/>
      <c r="C65" s="56">
        <f t="shared" si="6"/>
        <v>30</v>
      </c>
      <c r="D65" s="56"/>
      <c r="E65" s="56"/>
      <c r="F65" s="56"/>
      <c r="G65" s="56" t="str">
        <f t="shared" si="4"/>
        <v/>
      </c>
      <c r="H65" s="56"/>
      <c r="I65" s="56"/>
      <c r="J65" s="56" t="str">
        <f t="shared" si="5"/>
        <v/>
      </c>
      <c r="K65" s="56" t="str">
        <f t="shared" si="7"/>
        <v/>
      </c>
      <c r="Q65" s="161"/>
    </row>
    <row r="66" spans="2:17" x14ac:dyDescent="0.2">
      <c r="B66" s="160"/>
      <c r="C66" s="56">
        <f t="shared" si="6"/>
        <v>31</v>
      </c>
      <c r="D66" s="56"/>
      <c r="E66" s="56"/>
      <c r="F66" s="56"/>
      <c r="G66" s="56" t="str">
        <f t="shared" si="4"/>
        <v/>
      </c>
      <c r="H66" s="56"/>
      <c r="I66" s="56"/>
      <c r="J66" s="56" t="str">
        <f t="shared" si="5"/>
        <v/>
      </c>
      <c r="K66" s="56" t="str">
        <f t="shared" si="7"/>
        <v/>
      </c>
      <c r="Q66" s="161"/>
    </row>
    <row r="67" spans="2:17" x14ac:dyDescent="0.2">
      <c r="B67" s="160"/>
      <c r="C67" s="56">
        <f t="shared" si="6"/>
        <v>32</v>
      </c>
      <c r="D67" s="56"/>
      <c r="E67" s="56"/>
      <c r="F67" s="56"/>
      <c r="G67" s="56" t="str">
        <f t="shared" si="4"/>
        <v/>
      </c>
      <c r="H67" s="56"/>
      <c r="I67" s="56"/>
      <c r="J67" s="56" t="str">
        <f t="shared" si="5"/>
        <v/>
      </c>
      <c r="K67" s="56" t="str">
        <f t="shared" si="7"/>
        <v/>
      </c>
      <c r="Q67" s="161"/>
    </row>
    <row r="68" spans="2:17" x14ac:dyDescent="0.2">
      <c r="B68" s="160"/>
      <c r="C68" s="56">
        <f t="shared" si="6"/>
        <v>33</v>
      </c>
      <c r="D68" s="56"/>
      <c r="E68" s="56"/>
      <c r="F68" s="56"/>
      <c r="G68" s="56" t="str">
        <f t="shared" ref="G68:G99" si="8">IF(D68="","",IF(DSA_output ="ICER",E68/F68,IF(DSA_output="NMB",F68*WTP-E68,IF(DSA_output="Incremental Cost",E68,F68))))</f>
        <v/>
      </c>
      <c r="H68" s="56"/>
      <c r="I68" s="56"/>
      <c r="J68" s="56" t="str">
        <f t="shared" ref="J68:J99" si="9">IF(D68="","",IF(DSA_output ="ICER",H68/I68,IF(DSA_output="NMB",I68*WTP-H68,IF(DSA_output="Incremental Cost",H68,I68))))</f>
        <v/>
      </c>
      <c r="K68" s="56" t="str">
        <f t="shared" si="7"/>
        <v/>
      </c>
      <c r="Q68" s="161"/>
    </row>
    <row r="69" spans="2:17" x14ac:dyDescent="0.2">
      <c r="B69" s="160"/>
      <c r="C69" s="56">
        <f t="shared" si="6"/>
        <v>34</v>
      </c>
      <c r="D69" s="56"/>
      <c r="E69" s="56"/>
      <c r="F69" s="56"/>
      <c r="G69" s="56" t="str">
        <f t="shared" si="8"/>
        <v/>
      </c>
      <c r="H69" s="56"/>
      <c r="I69" s="56"/>
      <c r="J69" s="56" t="str">
        <f t="shared" si="9"/>
        <v/>
      </c>
      <c r="K69" s="56" t="str">
        <f t="shared" si="7"/>
        <v/>
      </c>
      <c r="Q69" s="161"/>
    </row>
    <row r="70" spans="2:17" x14ac:dyDescent="0.2">
      <c r="B70" s="160"/>
      <c r="C70" s="56">
        <f t="shared" si="6"/>
        <v>35</v>
      </c>
      <c r="D70" s="56"/>
      <c r="E70" s="56"/>
      <c r="F70" s="56"/>
      <c r="G70" s="56" t="str">
        <f t="shared" si="8"/>
        <v/>
      </c>
      <c r="H70" s="56"/>
      <c r="I70" s="56"/>
      <c r="J70" s="56" t="str">
        <f t="shared" si="9"/>
        <v/>
      </c>
      <c r="K70" s="56" t="str">
        <f t="shared" si="7"/>
        <v/>
      </c>
      <c r="Q70" s="161"/>
    </row>
    <row r="71" spans="2:17" x14ac:dyDescent="0.2">
      <c r="B71" s="160"/>
      <c r="C71" s="56">
        <f t="shared" si="6"/>
        <v>36</v>
      </c>
      <c r="D71" s="56"/>
      <c r="E71" s="56"/>
      <c r="F71" s="56"/>
      <c r="G71" s="56" t="str">
        <f t="shared" si="8"/>
        <v/>
      </c>
      <c r="H71" s="56"/>
      <c r="I71" s="56"/>
      <c r="J71" s="56" t="str">
        <f t="shared" si="9"/>
        <v/>
      </c>
      <c r="K71" s="56" t="str">
        <f t="shared" si="7"/>
        <v/>
      </c>
      <c r="Q71" s="161"/>
    </row>
    <row r="72" spans="2:17" x14ac:dyDescent="0.2">
      <c r="B72" s="160"/>
      <c r="C72" s="56">
        <f t="shared" si="6"/>
        <v>37</v>
      </c>
      <c r="D72" s="56"/>
      <c r="E72" s="56"/>
      <c r="F72" s="56"/>
      <c r="G72" s="56" t="str">
        <f t="shared" si="8"/>
        <v/>
      </c>
      <c r="H72" s="56"/>
      <c r="I72" s="56"/>
      <c r="J72" s="56" t="str">
        <f t="shared" si="9"/>
        <v/>
      </c>
      <c r="K72" s="56" t="str">
        <f t="shared" si="7"/>
        <v/>
      </c>
      <c r="Q72" s="161"/>
    </row>
    <row r="73" spans="2:17" x14ac:dyDescent="0.2">
      <c r="B73" s="160"/>
      <c r="C73" s="56">
        <f t="shared" si="6"/>
        <v>38</v>
      </c>
      <c r="D73" s="56"/>
      <c r="E73" s="56"/>
      <c r="F73" s="56"/>
      <c r="G73" s="56" t="str">
        <f t="shared" si="8"/>
        <v/>
      </c>
      <c r="H73" s="56"/>
      <c r="I73" s="56"/>
      <c r="J73" s="56" t="str">
        <f t="shared" si="9"/>
        <v/>
      </c>
      <c r="K73" s="56" t="str">
        <f t="shared" si="7"/>
        <v/>
      </c>
      <c r="Q73" s="161"/>
    </row>
    <row r="74" spans="2:17" x14ac:dyDescent="0.2">
      <c r="B74" s="160"/>
      <c r="C74" s="56">
        <f t="shared" si="6"/>
        <v>39</v>
      </c>
      <c r="D74" s="56"/>
      <c r="E74" s="56"/>
      <c r="F74" s="56"/>
      <c r="G74" s="56" t="str">
        <f t="shared" si="8"/>
        <v/>
      </c>
      <c r="H74" s="56"/>
      <c r="I74" s="56"/>
      <c r="J74" s="56" t="str">
        <f t="shared" si="9"/>
        <v/>
      </c>
      <c r="K74" s="56" t="str">
        <f t="shared" si="7"/>
        <v/>
      </c>
      <c r="Q74" s="161"/>
    </row>
    <row r="75" spans="2:17" x14ac:dyDescent="0.2">
      <c r="B75" s="160"/>
      <c r="C75" s="56">
        <f t="shared" si="6"/>
        <v>40</v>
      </c>
      <c r="D75" s="56"/>
      <c r="E75" s="56"/>
      <c r="F75" s="56"/>
      <c r="G75" s="56" t="str">
        <f t="shared" si="8"/>
        <v/>
      </c>
      <c r="H75" s="56"/>
      <c r="I75" s="56"/>
      <c r="J75" s="56" t="str">
        <f t="shared" si="9"/>
        <v/>
      </c>
      <c r="K75" s="56" t="str">
        <f t="shared" si="7"/>
        <v/>
      </c>
      <c r="Q75" s="161"/>
    </row>
    <row r="76" spans="2:17" x14ac:dyDescent="0.2">
      <c r="B76" s="160"/>
      <c r="C76" s="56">
        <f t="shared" si="6"/>
        <v>41</v>
      </c>
      <c r="D76" s="56"/>
      <c r="E76" s="56"/>
      <c r="F76" s="56"/>
      <c r="G76" s="56" t="str">
        <f t="shared" si="8"/>
        <v/>
      </c>
      <c r="H76" s="56"/>
      <c r="I76" s="56"/>
      <c r="J76" s="56" t="str">
        <f t="shared" si="9"/>
        <v/>
      </c>
      <c r="K76" s="56" t="str">
        <f t="shared" si="7"/>
        <v/>
      </c>
      <c r="Q76" s="161"/>
    </row>
    <row r="77" spans="2:17" x14ac:dyDescent="0.2">
      <c r="B77" s="160"/>
      <c r="C77" s="56">
        <f t="shared" si="6"/>
        <v>42</v>
      </c>
      <c r="D77" s="56"/>
      <c r="E77" s="56"/>
      <c r="F77" s="56"/>
      <c r="G77" s="56" t="str">
        <f t="shared" si="8"/>
        <v/>
      </c>
      <c r="H77" s="56"/>
      <c r="I77" s="56"/>
      <c r="J77" s="56" t="str">
        <f t="shared" si="9"/>
        <v/>
      </c>
      <c r="K77" s="56" t="str">
        <f t="shared" si="7"/>
        <v/>
      </c>
      <c r="Q77" s="161"/>
    </row>
    <row r="78" spans="2:17" x14ac:dyDescent="0.2">
      <c r="B78" s="160"/>
      <c r="C78" s="56">
        <f t="shared" si="6"/>
        <v>43</v>
      </c>
      <c r="D78" s="56"/>
      <c r="E78" s="56"/>
      <c r="F78" s="56"/>
      <c r="G78" s="56" t="str">
        <f t="shared" si="8"/>
        <v/>
      </c>
      <c r="H78" s="56"/>
      <c r="I78" s="56"/>
      <c r="J78" s="56" t="str">
        <f t="shared" si="9"/>
        <v/>
      </c>
      <c r="K78" s="56" t="str">
        <f t="shared" si="7"/>
        <v/>
      </c>
      <c r="Q78" s="161"/>
    </row>
    <row r="79" spans="2:17" x14ac:dyDescent="0.2">
      <c r="B79" s="160"/>
      <c r="C79" s="56">
        <f t="shared" si="6"/>
        <v>44</v>
      </c>
      <c r="D79" s="56"/>
      <c r="E79" s="56"/>
      <c r="F79" s="56"/>
      <c r="G79" s="56" t="str">
        <f t="shared" si="8"/>
        <v/>
      </c>
      <c r="H79" s="56"/>
      <c r="I79" s="56"/>
      <c r="J79" s="56" t="str">
        <f t="shared" si="9"/>
        <v/>
      </c>
      <c r="K79" s="56" t="str">
        <f t="shared" si="7"/>
        <v/>
      </c>
      <c r="Q79" s="161"/>
    </row>
    <row r="80" spans="2:17" x14ac:dyDescent="0.2">
      <c r="B80" s="160"/>
      <c r="C80" s="56">
        <f t="shared" si="6"/>
        <v>45</v>
      </c>
      <c r="D80" s="56"/>
      <c r="E80" s="56"/>
      <c r="F80" s="56"/>
      <c r="G80" s="56" t="str">
        <f t="shared" si="8"/>
        <v/>
      </c>
      <c r="H80" s="56"/>
      <c r="I80" s="56"/>
      <c r="J80" s="56" t="str">
        <f t="shared" si="9"/>
        <v/>
      </c>
      <c r="K80" s="56" t="str">
        <f t="shared" si="7"/>
        <v/>
      </c>
      <c r="Q80" s="161"/>
    </row>
    <row r="81" spans="2:17" x14ac:dyDescent="0.2">
      <c r="B81" s="160"/>
      <c r="C81" s="56">
        <f t="shared" si="6"/>
        <v>46</v>
      </c>
      <c r="D81" s="56"/>
      <c r="E81" s="56"/>
      <c r="F81" s="56"/>
      <c r="G81" s="56" t="str">
        <f t="shared" si="8"/>
        <v/>
      </c>
      <c r="H81" s="56"/>
      <c r="I81" s="56"/>
      <c r="J81" s="56" t="str">
        <f t="shared" si="9"/>
        <v/>
      </c>
      <c r="K81" s="56" t="str">
        <f t="shared" si="7"/>
        <v/>
      </c>
      <c r="Q81" s="161"/>
    </row>
    <row r="82" spans="2:17" x14ac:dyDescent="0.2">
      <c r="B82" s="160"/>
      <c r="C82" s="56">
        <f t="shared" si="6"/>
        <v>47</v>
      </c>
      <c r="D82" s="56"/>
      <c r="E82" s="56"/>
      <c r="F82" s="56"/>
      <c r="G82" s="56" t="str">
        <f t="shared" si="8"/>
        <v/>
      </c>
      <c r="H82" s="56"/>
      <c r="I82" s="56"/>
      <c r="J82" s="56" t="str">
        <f t="shared" si="9"/>
        <v/>
      </c>
      <c r="K82" s="56" t="str">
        <f t="shared" si="7"/>
        <v/>
      </c>
      <c r="Q82" s="161"/>
    </row>
    <row r="83" spans="2:17" x14ac:dyDescent="0.2">
      <c r="B83" s="160"/>
      <c r="C83" s="56">
        <f t="shared" si="6"/>
        <v>48</v>
      </c>
      <c r="D83" s="56"/>
      <c r="E83" s="56"/>
      <c r="F83" s="56"/>
      <c r="G83" s="56" t="str">
        <f t="shared" si="8"/>
        <v/>
      </c>
      <c r="H83" s="56"/>
      <c r="I83" s="56"/>
      <c r="J83" s="56" t="str">
        <f t="shared" si="9"/>
        <v/>
      </c>
      <c r="K83" s="56" t="str">
        <f t="shared" si="7"/>
        <v/>
      </c>
      <c r="Q83" s="161"/>
    </row>
    <row r="84" spans="2:17" x14ac:dyDescent="0.2">
      <c r="B84" s="160"/>
      <c r="C84" s="56">
        <f t="shared" si="6"/>
        <v>49</v>
      </c>
      <c r="D84" s="56"/>
      <c r="E84" s="56"/>
      <c r="F84" s="56"/>
      <c r="G84" s="56" t="str">
        <f t="shared" si="8"/>
        <v/>
      </c>
      <c r="H84" s="56"/>
      <c r="I84" s="56"/>
      <c r="J84" s="56" t="str">
        <f t="shared" si="9"/>
        <v/>
      </c>
      <c r="K84" s="56" t="str">
        <f t="shared" si="7"/>
        <v/>
      </c>
      <c r="Q84" s="161"/>
    </row>
    <row r="85" spans="2:17" x14ac:dyDescent="0.2">
      <c r="B85" s="160"/>
      <c r="C85" s="56">
        <f t="shared" si="6"/>
        <v>50</v>
      </c>
      <c r="D85" s="56"/>
      <c r="E85" s="56"/>
      <c r="F85" s="56"/>
      <c r="G85" s="56" t="str">
        <f t="shared" si="8"/>
        <v/>
      </c>
      <c r="H85" s="56"/>
      <c r="I85" s="56"/>
      <c r="J85" s="56" t="str">
        <f t="shared" si="9"/>
        <v/>
      </c>
      <c r="K85" s="56" t="str">
        <f t="shared" si="7"/>
        <v/>
      </c>
      <c r="Q85" s="161"/>
    </row>
    <row r="86" spans="2:17" x14ac:dyDescent="0.2">
      <c r="B86" s="160"/>
      <c r="C86" s="56">
        <f t="shared" si="6"/>
        <v>51</v>
      </c>
      <c r="D86" s="56"/>
      <c r="E86" s="56"/>
      <c r="F86" s="56"/>
      <c r="G86" s="56" t="str">
        <f t="shared" si="8"/>
        <v/>
      </c>
      <c r="H86" s="56"/>
      <c r="I86" s="56"/>
      <c r="J86" s="56" t="str">
        <f t="shared" si="9"/>
        <v/>
      </c>
      <c r="K86" s="56" t="str">
        <f t="shared" si="7"/>
        <v/>
      </c>
      <c r="Q86" s="161"/>
    </row>
    <row r="87" spans="2:17" x14ac:dyDescent="0.2">
      <c r="B87" s="160"/>
      <c r="C87" s="56">
        <f t="shared" si="6"/>
        <v>52</v>
      </c>
      <c r="D87" s="56"/>
      <c r="E87" s="56"/>
      <c r="F87" s="56"/>
      <c r="G87" s="56" t="str">
        <f t="shared" si="8"/>
        <v/>
      </c>
      <c r="H87" s="56"/>
      <c r="I87" s="56"/>
      <c r="J87" s="56" t="str">
        <f t="shared" si="9"/>
        <v/>
      </c>
      <c r="K87" s="56" t="str">
        <f t="shared" si="7"/>
        <v/>
      </c>
      <c r="Q87" s="161"/>
    </row>
    <row r="88" spans="2:17" x14ac:dyDescent="0.2">
      <c r="B88" s="160"/>
      <c r="C88" s="56">
        <f t="shared" si="6"/>
        <v>53</v>
      </c>
      <c r="D88" s="56"/>
      <c r="E88" s="56"/>
      <c r="F88" s="56"/>
      <c r="G88" s="56" t="str">
        <f t="shared" si="8"/>
        <v/>
      </c>
      <c r="H88" s="56"/>
      <c r="I88" s="56"/>
      <c r="J88" s="56" t="str">
        <f t="shared" si="9"/>
        <v/>
      </c>
      <c r="K88" s="56" t="str">
        <f t="shared" si="7"/>
        <v/>
      </c>
      <c r="Q88" s="161"/>
    </row>
    <row r="89" spans="2:17" x14ac:dyDescent="0.2">
      <c r="B89" s="160"/>
      <c r="C89" s="56">
        <f t="shared" si="6"/>
        <v>54</v>
      </c>
      <c r="D89" s="56"/>
      <c r="E89" s="56"/>
      <c r="F89" s="56"/>
      <c r="G89" s="56" t="str">
        <f t="shared" si="8"/>
        <v/>
      </c>
      <c r="H89" s="56"/>
      <c r="I89" s="56"/>
      <c r="J89" s="56" t="str">
        <f t="shared" si="9"/>
        <v/>
      </c>
      <c r="K89" s="56" t="str">
        <f t="shared" si="7"/>
        <v/>
      </c>
      <c r="Q89" s="161"/>
    </row>
    <row r="90" spans="2:17" x14ac:dyDescent="0.2">
      <c r="B90" s="160"/>
      <c r="C90" s="56">
        <f t="shared" si="6"/>
        <v>55</v>
      </c>
      <c r="D90" s="56"/>
      <c r="E90" s="56"/>
      <c r="F90" s="56"/>
      <c r="G90" s="56" t="str">
        <f t="shared" si="8"/>
        <v/>
      </c>
      <c r="H90" s="56"/>
      <c r="I90" s="56"/>
      <c r="J90" s="56" t="str">
        <f t="shared" si="9"/>
        <v/>
      </c>
      <c r="K90" s="56" t="str">
        <f t="shared" si="7"/>
        <v/>
      </c>
      <c r="Q90" s="161"/>
    </row>
    <row r="91" spans="2:17" x14ac:dyDescent="0.2">
      <c r="B91" s="160"/>
      <c r="C91" s="56">
        <f t="shared" si="6"/>
        <v>56</v>
      </c>
      <c r="D91" s="56"/>
      <c r="E91" s="56"/>
      <c r="F91" s="56"/>
      <c r="G91" s="56" t="str">
        <f t="shared" si="8"/>
        <v/>
      </c>
      <c r="H91" s="56"/>
      <c r="I91" s="56"/>
      <c r="J91" s="56" t="str">
        <f t="shared" si="9"/>
        <v/>
      </c>
      <c r="K91" s="56" t="str">
        <f t="shared" si="7"/>
        <v/>
      </c>
      <c r="Q91" s="161"/>
    </row>
    <row r="92" spans="2:17" x14ac:dyDescent="0.2">
      <c r="B92" s="160"/>
      <c r="C92" s="56">
        <f t="shared" si="6"/>
        <v>57</v>
      </c>
      <c r="D92" s="56"/>
      <c r="E92" s="56"/>
      <c r="F92" s="56"/>
      <c r="G92" s="56" t="str">
        <f t="shared" si="8"/>
        <v/>
      </c>
      <c r="H92" s="56"/>
      <c r="I92" s="56"/>
      <c r="J92" s="56" t="str">
        <f t="shared" si="9"/>
        <v/>
      </c>
      <c r="K92" s="56" t="str">
        <f t="shared" si="7"/>
        <v/>
      </c>
      <c r="Q92" s="161"/>
    </row>
    <row r="93" spans="2:17" x14ac:dyDescent="0.2">
      <c r="B93" s="160"/>
      <c r="C93" s="56">
        <f t="shared" si="6"/>
        <v>58</v>
      </c>
      <c r="D93" s="56"/>
      <c r="E93" s="56"/>
      <c r="F93" s="56"/>
      <c r="G93" s="56" t="str">
        <f t="shared" si="8"/>
        <v/>
      </c>
      <c r="H93" s="56"/>
      <c r="I93" s="56"/>
      <c r="J93" s="56" t="str">
        <f t="shared" si="9"/>
        <v/>
      </c>
      <c r="K93" s="56" t="str">
        <f t="shared" si="7"/>
        <v/>
      </c>
      <c r="Q93" s="161"/>
    </row>
    <row r="94" spans="2:17" x14ac:dyDescent="0.2">
      <c r="B94" s="160"/>
      <c r="C94" s="56">
        <f t="shared" si="6"/>
        <v>59</v>
      </c>
      <c r="D94" s="56"/>
      <c r="E94" s="56"/>
      <c r="F94" s="56"/>
      <c r="G94" s="56" t="str">
        <f t="shared" si="8"/>
        <v/>
      </c>
      <c r="H94" s="56"/>
      <c r="I94" s="56"/>
      <c r="J94" s="56" t="str">
        <f t="shared" si="9"/>
        <v/>
      </c>
      <c r="K94" s="56" t="str">
        <f t="shared" si="7"/>
        <v/>
      </c>
      <c r="Q94" s="161"/>
    </row>
    <row r="95" spans="2:17" x14ac:dyDescent="0.2">
      <c r="B95" s="160"/>
      <c r="C95" s="56">
        <f t="shared" si="6"/>
        <v>60</v>
      </c>
      <c r="D95" s="56"/>
      <c r="E95" s="56"/>
      <c r="F95" s="56"/>
      <c r="G95" s="56" t="str">
        <f t="shared" si="8"/>
        <v/>
      </c>
      <c r="H95" s="56"/>
      <c r="I95" s="56"/>
      <c r="J95" s="56" t="str">
        <f t="shared" si="9"/>
        <v/>
      </c>
      <c r="K95" s="56" t="str">
        <f t="shared" si="7"/>
        <v/>
      </c>
      <c r="Q95" s="161"/>
    </row>
    <row r="96" spans="2:17" x14ac:dyDescent="0.2">
      <c r="B96" s="160"/>
      <c r="C96" s="56">
        <f t="shared" si="6"/>
        <v>61</v>
      </c>
      <c r="D96" s="56"/>
      <c r="E96" s="56"/>
      <c r="F96" s="56"/>
      <c r="G96" s="56" t="str">
        <f t="shared" si="8"/>
        <v/>
      </c>
      <c r="H96" s="56"/>
      <c r="I96" s="56"/>
      <c r="J96" s="56" t="str">
        <f t="shared" si="9"/>
        <v/>
      </c>
      <c r="K96" s="56" t="str">
        <f t="shared" si="7"/>
        <v/>
      </c>
      <c r="Q96" s="161"/>
    </row>
    <row r="97" spans="2:17" x14ac:dyDescent="0.2">
      <c r="B97" s="160"/>
      <c r="C97" s="56">
        <f t="shared" si="6"/>
        <v>62</v>
      </c>
      <c r="D97" s="56"/>
      <c r="E97" s="56"/>
      <c r="F97" s="56"/>
      <c r="G97" s="56" t="str">
        <f t="shared" si="8"/>
        <v/>
      </c>
      <c r="H97" s="56"/>
      <c r="I97" s="56"/>
      <c r="J97" s="56" t="str">
        <f t="shared" si="9"/>
        <v/>
      </c>
      <c r="K97" s="56" t="str">
        <f t="shared" si="7"/>
        <v/>
      </c>
      <c r="Q97" s="161"/>
    </row>
    <row r="98" spans="2:17" x14ac:dyDescent="0.2">
      <c r="B98" s="160"/>
      <c r="C98" s="56">
        <f t="shared" si="6"/>
        <v>63</v>
      </c>
      <c r="D98" s="56"/>
      <c r="E98" s="56"/>
      <c r="F98" s="56"/>
      <c r="G98" s="56" t="str">
        <f t="shared" si="8"/>
        <v/>
      </c>
      <c r="H98" s="56"/>
      <c r="I98" s="56"/>
      <c r="J98" s="56" t="str">
        <f t="shared" si="9"/>
        <v/>
      </c>
      <c r="K98" s="56" t="str">
        <f t="shared" si="7"/>
        <v/>
      </c>
      <c r="Q98" s="161"/>
    </row>
    <row r="99" spans="2:17" x14ac:dyDescent="0.2">
      <c r="B99" s="160"/>
      <c r="C99" s="56">
        <f t="shared" si="6"/>
        <v>64</v>
      </c>
      <c r="D99" s="56"/>
      <c r="E99" s="56"/>
      <c r="F99" s="56"/>
      <c r="G99" s="56" t="str">
        <f t="shared" si="8"/>
        <v/>
      </c>
      <c r="H99" s="56"/>
      <c r="I99" s="56"/>
      <c r="J99" s="56" t="str">
        <f t="shared" si="9"/>
        <v/>
      </c>
      <c r="K99" s="56" t="str">
        <f t="shared" si="7"/>
        <v/>
      </c>
      <c r="Q99" s="161"/>
    </row>
    <row r="100" spans="2:17" x14ac:dyDescent="0.2">
      <c r="B100" s="160"/>
      <c r="C100" s="56">
        <f t="shared" si="6"/>
        <v>65</v>
      </c>
      <c r="D100" s="56"/>
      <c r="E100" s="56"/>
      <c r="F100" s="56"/>
      <c r="G100" s="56" t="str">
        <f t="shared" ref="G100:G131" si="10">IF(D100="","",IF(DSA_output ="ICER",E100/F100,IF(DSA_output="NMB",F100*WTP-E100,IF(DSA_output="Incremental Cost",E100,F100))))</f>
        <v/>
      </c>
      <c r="H100" s="56"/>
      <c r="I100" s="56"/>
      <c r="J100" s="56" t="str">
        <f t="shared" ref="J100:J131" si="11">IF(D100="","",IF(DSA_output ="ICER",H100/I100,IF(DSA_output="NMB",I100*WTP-H100,IF(DSA_output="Incremental Cost",H100,I100))))</f>
        <v/>
      </c>
      <c r="K100" s="56" t="str">
        <f t="shared" si="7"/>
        <v/>
      </c>
      <c r="Q100" s="161"/>
    </row>
    <row r="101" spans="2:17" x14ac:dyDescent="0.2">
      <c r="B101" s="160"/>
      <c r="C101" s="56">
        <f t="shared" ref="C101:C159" si="12">C100+1</f>
        <v>66</v>
      </c>
      <c r="D101" s="56"/>
      <c r="E101" s="56"/>
      <c r="F101" s="56"/>
      <c r="G101" s="56" t="str">
        <f t="shared" si="10"/>
        <v/>
      </c>
      <c r="H101" s="56"/>
      <c r="I101" s="56"/>
      <c r="J101" s="56" t="str">
        <f t="shared" si="11"/>
        <v/>
      </c>
      <c r="K101" s="56" t="str">
        <f t="shared" ref="K101:K164" si="13">IF(D101="","",ABS(J101-G101))</f>
        <v/>
      </c>
      <c r="Q101" s="161"/>
    </row>
    <row r="102" spans="2:17" x14ac:dyDescent="0.2">
      <c r="B102" s="160"/>
      <c r="C102" s="56">
        <f t="shared" si="12"/>
        <v>67</v>
      </c>
      <c r="D102" s="56"/>
      <c r="E102" s="56"/>
      <c r="F102" s="56"/>
      <c r="G102" s="56" t="str">
        <f t="shared" si="10"/>
        <v/>
      </c>
      <c r="H102" s="56"/>
      <c r="I102" s="56"/>
      <c r="J102" s="56" t="str">
        <f t="shared" si="11"/>
        <v/>
      </c>
      <c r="K102" s="56" t="str">
        <f t="shared" si="13"/>
        <v/>
      </c>
      <c r="Q102" s="161"/>
    </row>
    <row r="103" spans="2:17" x14ac:dyDescent="0.2">
      <c r="B103" s="160"/>
      <c r="C103" s="56">
        <f t="shared" si="12"/>
        <v>68</v>
      </c>
      <c r="D103" s="56"/>
      <c r="E103" s="56"/>
      <c r="F103" s="56"/>
      <c r="G103" s="56" t="str">
        <f t="shared" si="10"/>
        <v/>
      </c>
      <c r="H103" s="56"/>
      <c r="I103" s="56"/>
      <c r="J103" s="56" t="str">
        <f t="shared" si="11"/>
        <v/>
      </c>
      <c r="K103" s="56" t="str">
        <f t="shared" si="13"/>
        <v/>
      </c>
      <c r="Q103" s="161"/>
    </row>
    <row r="104" spans="2:17" x14ac:dyDescent="0.2">
      <c r="B104" s="160"/>
      <c r="C104" s="56">
        <f t="shared" si="12"/>
        <v>69</v>
      </c>
      <c r="D104" s="56"/>
      <c r="E104" s="56"/>
      <c r="F104" s="56"/>
      <c r="G104" s="56" t="str">
        <f t="shared" si="10"/>
        <v/>
      </c>
      <c r="H104" s="56"/>
      <c r="I104" s="56"/>
      <c r="J104" s="56" t="str">
        <f t="shared" si="11"/>
        <v/>
      </c>
      <c r="K104" s="56" t="str">
        <f t="shared" si="13"/>
        <v/>
      </c>
      <c r="Q104" s="161"/>
    </row>
    <row r="105" spans="2:17" x14ac:dyDescent="0.2">
      <c r="B105" s="160"/>
      <c r="C105" s="56">
        <f t="shared" si="12"/>
        <v>70</v>
      </c>
      <c r="D105" s="56"/>
      <c r="E105" s="56"/>
      <c r="F105" s="56"/>
      <c r="G105" s="56" t="str">
        <f t="shared" si="10"/>
        <v/>
      </c>
      <c r="H105" s="56"/>
      <c r="I105" s="56"/>
      <c r="J105" s="56" t="str">
        <f t="shared" si="11"/>
        <v/>
      </c>
      <c r="K105" s="56" t="str">
        <f t="shared" si="13"/>
        <v/>
      </c>
      <c r="Q105" s="161"/>
    </row>
    <row r="106" spans="2:17" x14ac:dyDescent="0.2">
      <c r="B106" s="160"/>
      <c r="C106" s="56">
        <f t="shared" si="12"/>
        <v>71</v>
      </c>
      <c r="D106" s="56"/>
      <c r="E106" s="56"/>
      <c r="F106" s="56"/>
      <c r="G106" s="56" t="str">
        <f t="shared" si="10"/>
        <v/>
      </c>
      <c r="H106" s="56"/>
      <c r="I106" s="56"/>
      <c r="J106" s="56" t="str">
        <f t="shared" si="11"/>
        <v/>
      </c>
      <c r="K106" s="56" t="str">
        <f t="shared" si="13"/>
        <v/>
      </c>
      <c r="Q106" s="161"/>
    </row>
    <row r="107" spans="2:17" x14ac:dyDescent="0.2">
      <c r="B107" s="160"/>
      <c r="C107" s="56">
        <f t="shared" si="12"/>
        <v>72</v>
      </c>
      <c r="D107" s="56"/>
      <c r="E107" s="56"/>
      <c r="F107" s="56"/>
      <c r="G107" s="56" t="str">
        <f t="shared" si="10"/>
        <v/>
      </c>
      <c r="H107" s="56"/>
      <c r="I107" s="56"/>
      <c r="J107" s="56" t="str">
        <f t="shared" si="11"/>
        <v/>
      </c>
      <c r="K107" s="56" t="str">
        <f t="shared" si="13"/>
        <v/>
      </c>
      <c r="Q107" s="161"/>
    </row>
    <row r="108" spans="2:17" x14ac:dyDescent="0.2">
      <c r="B108" s="160"/>
      <c r="C108" s="56">
        <f t="shared" si="12"/>
        <v>73</v>
      </c>
      <c r="D108" s="56"/>
      <c r="E108" s="56"/>
      <c r="F108" s="56"/>
      <c r="G108" s="56" t="str">
        <f t="shared" si="10"/>
        <v/>
      </c>
      <c r="H108" s="56"/>
      <c r="I108" s="56"/>
      <c r="J108" s="56" t="str">
        <f t="shared" si="11"/>
        <v/>
      </c>
      <c r="K108" s="56" t="str">
        <f t="shared" si="13"/>
        <v/>
      </c>
      <c r="Q108" s="161"/>
    </row>
    <row r="109" spans="2:17" x14ac:dyDescent="0.2">
      <c r="B109" s="160"/>
      <c r="C109" s="56">
        <f t="shared" si="12"/>
        <v>74</v>
      </c>
      <c r="D109" s="56"/>
      <c r="E109" s="56"/>
      <c r="F109" s="56"/>
      <c r="G109" s="56" t="str">
        <f t="shared" si="10"/>
        <v/>
      </c>
      <c r="H109" s="56"/>
      <c r="I109" s="56"/>
      <c r="J109" s="56" t="str">
        <f t="shared" si="11"/>
        <v/>
      </c>
      <c r="K109" s="56" t="str">
        <f t="shared" si="13"/>
        <v/>
      </c>
      <c r="Q109" s="161"/>
    </row>
    <row r="110" spans="2:17" x14ac:dyDescent="0.2">
      <c r="B110" s="160"/>
      <c r="C110" s="56">
        <f t="shared" si="12"/>
        <v>75</v>
      </c>
      <c r="D110" s="56"/>
      <c r="E110" s="56"/>
      <c r="F110" s="56"/>
      <c r="G110" s="56" t="str">
        <f t="shared" si="10"/>
        <v/>
      </c>
      <c r="H110" s="56"/>
      <c r="I110" s="56"/>
      <c r="J110" s="56" t="str">
        <f t="shared" si="11"/>
        <v/>
      </c>
      <c r="K110" s="56" t="str">
        <f t="shared" si="13"/>
        <v/>
      </c>
      <c r="Q110" s="161"/>
    </row>
    <row r="111" spans="2:17" x14ac:dyDescent="0.2">
      <c r="B111" s="160"/>
      <c r="C111" s="56">
        <f t="shared" si="12"/>
        <v>76</v>
      </c>
      <c r="D111" s="56"/>
      <c r="E111" s="56"/>
      <c r="F111" s="56"/>
      <c r="G111" s="56" t="str">
        <f t="shared" si="10"/>
        <v/>
      </c>
      <c r="H111" s="56"/>
      <c r="I111" s="56"/>
      <c r="J111" s="56" t="str">
        <f t="shared" si="11"/>
        <v/>
      </c>
      <c r="K111" s="56" t="str">
        <f t="shared" si="13"/>
        <v/>
      </c>
      <c r="Q111" s="161"/>
    </row>
    <row r="112" spans="2:17" x14ac:dyDescent="0.2">
      <c r="B112" s="160"/>
      <c r="C112" s="56">
        <f t="shared" si="12"/>
        <v>77</v>
      </c>
      <c r="D112" s="56"/>
      <c r="E112" s="56"/>
      <c r="F112" s="56"/>
      <c r="G112" s="56" t="str">
        <f t="shared" si="10"/>
        <v/>
      </c>
      <c r="H112" s="56"/>
      <c r="I112" s="56"/>
      <c r="J112" s="56" t="str">
        <f t="shared" si="11"/>
        <v/>
      </c>
      <c r="K112" s="56" t="str">
        <f t="shared" si="13"/>
        <v/>
      </c>
      <c r="Q112" s="161"/>
    </row>
    <row r="113" spans="2:17" x14ac:dyDescent="0.2">
      <c r="B113" s="160"/>
      <c r="C113" s="56">
        <f t="shared" si="12"/>
        <v>78</v>
      </c>
      <c r="D113" s="56"/>
      <c r="E113" s="56"/>
      <c r="F113" s="56"/>
      <c r="G113" s="56" t="str">
        <f t="shared" si="10"/>
        <v/>
      </c>
      <c r="H113" s="56"/>
      <c r="I113" s="56"/>
      <c r="J113" s="56" t="str">
        <f t="shared" si="11"/>
        <v/>
      </c>
      <c r="K113" s="56" t="str">
        <f t="shared" si="13"/>
        <v/>
      </c>
      <c r="Q113" s="161"/>
    </row>
    <row r="114" spans="2:17" x14ac:dyDescent="0.2">
      <c r="B114" s="160"/>
      <c r="C114" s="56">
        <f t="shared" si="12"/>
        <v>79</v>
      </c>
      <c r="D114" s="56"/>
      <c r="E114" s="56"/>
      <c r="F114" s="56"/>
      <c r="G114" s="56" t="str">
        <f t="shared" si="10"/>
        <v/>
      </c>
      <c r="H114" s="56"/>
      <c r="I114" s="56"/>
      <c r="J114" s="56" t="str">
        <f t="shared" si="11"/>
        <v/>
      </c>
      <c r="K114" s="56" t="str">
        <f t="shared" si="13"/>
        <v/>
      </c>
      <c r="Q114" s="161"/>
    </row>
    <row r="115" spans="2:17" x14ac:dyDescent="0.2">
      <c r="B115" s="160"/>
      <c r="C115" s="56">
        <f t="shared" si="12"/>
        <v>80</v>
      </c>
      <c r="D115" s="56"/>
      <c r="E115" s="56"/>
      <c r="F115" s="56"/>
      <c r="G115" s="56" t="str">
        <f t="shared" si="10"/>
        <v/>
      </c>
      <c r="H115" s="56"/>
      <c r="I115" s="56"/>
      <c r="J115" s="56" t="str">
        <f t="shared" si="11"/>
        <v/>
      </c>
      <c r="K115" s="56" t="str">
        <f t="shared" si="13"/>
        <v/>
      </c>
      <c r="Q115" s="161"/>
    </row>
    <row r="116" spans="2:17" x14ac:dyDescent="0.2">
      <c r="B116" s="160"/>
      <c r="C116" s="56">
        <f t="shared" si="12"/>
        <v>81</v>
      </c>
      <c r="D116" s="56"/>
      <c r="E116" s="56"/>
      <c r="F116" s="56"/>
      <c r="G116" s="56" t="str">
        <f t="shared" si="10"/>
        <v/>
      </c>
      <c r="H116" s="56"/>
      <c r="I116" s="56"/>
      <c r="J116" s="56" t="str">
        <f t="shared" si="11"/>
        <v/>
      </c>
      <c r="K116" s="56" t="str">
        <f t="shared" si="13"/>
        <v/>
      </c>
      <c r="Q116" s="161"/>
    </row>
    <row r="117" spans="2:17" x14ac:dyDescent="0.2">
      <c r="B117" s="160"/>
      <c r="C117" s="56">
        <f t="shared" si="12"/>
        <v>82</v>
      </c>
      <c r="D117" s="56"/>
      <c r="E117" s="56"/>
      <c r="F117" s="56"/>
      <c r="G117" s="56" t="str">
        <f t="shared" si="10"/>
        <v/>
      </c>
      <c r="H117" s="56"/>
      <c r="I117" s="56"/>
      <c r="J117" s="56" t="str">
        <f t="shared" si="11"/>
        <v/>
      </c>
      <c r="K117" s="56" t="str">
        <f t="shared" si="13"/>
        <v/>
      </c>
      <c r="Q117" s="161"/>
    </row>
    <row r="118" spans="2:17" x14ac:dyDescent="0.2">
      <c r="B118" s="160"/>
      <c r="C118" s="56">
        <f t="shared" si="12"/>
        <v>83</v>
      </c>
      <c r="D118" s="56"/>
      <c r="E118" s="56"/>
      <c r="F118" s="56"/>
      <c r="G118" s="56" t="str">
        <f t="shared" si="10"/>
        <v/>
      </c>
      <c r="H118" s="56"/>
      <c r="I118" s="56"/>
      <c r="J118" s="56" t="str">
        <f t="shared" si="11"/>
        <v/>
      </c>
      <c r="K118" s="56" t="str">
        <f t="shared" si="13"/>
        <v/>
      </c>
      <c r="Q118" s="161"/>
    </row>
    <row r="119" spans="2:17" x14ac:dyDescent="0.2">
      <c r="B119" s="160"/>
      <c r="C119" s="56">
        <f t="shared" si="12"/>
        <v>84</v>
      </c>
      <c r="D119" s="56"/>
      <c r="E119" s="56"/>
      <c r="F119" s="56"/>
      <c r="G119" s="56" t="str">
        <f t="shared" si="10"/>
        <v/>
      </c>
      <c r="H119" s="56"/>
      <c r="I119" s="56"/>
      <c r="J119" s="56" t="str">
        <f t="shared" si="11"/>
        <v/>
      </c>
      <c r="K119" s="56" t="str">
        <f t="shared" si="13"/>
        <v/>
      </c>
      <c r="Q119" s="161"/>
    </row>
    <row r="120" spans="2:17" x14ac:dyDescent="0.2">
      <c r="B120" s="160"/>
      <c r="C120" s="56">
        <f t="shared" si="12"/>
        <v>85</v>
      </c>
      <c r="D120" s="56"/>
      <c r="E120" s="56"/>
      <c r="F120" s="56"/>
      <c r="G120" s="56" t="str">
        <f t="shared" si="10"/>
        <v/>
      </c>
      <c r="H120" s="56"/>
      <c r="I120" s="56"/>
      <c r="J120" s="56" t="str">
        <f t="shared" si="11"/>
        <v/>
      </c>
      <c r="K120" s="56" t="str">
        <f t="shared" si="13"/>
        <v/>
      </c>
      <c r="Q120" s="161"/>
    </row>
    <row r="121" spans="2:17" x14ac:dyDescent="0.2">
      <c r="B121" s="160"/>
      <c r="C121" s="56">
        <f t="shared" si="12"/>
        <v>86</v>
      </c>
      <c r="D121" s="56"/>
      <c r="E121" s="56"/>
      <c r="F121" s="56"/>
      <c r="G121" s="56" t="str">
        <f t="shared" si="10"/>
        <v/>
      </c>
      <c r="H121" s="56"/>
      <c r="I121" s="56"/>
      <c r="J121" s="56" t="str">
        <f t="shared" si="11"/>
        <v/>
      </c>
      <c r="K121" s="56" t="str">
        <f t="shared" si="13"/>
        <v/>
      </c>
      <c r="Q121" s="161"/>
    </row>
    <row r="122" spans="2:17" x14ac:dyDescent="0.2">
      <c r="B122" s="160"/>
      <c r="C122" s="56">
        <f t="shared" si="12"/>
        <v>87</v>
      </c>
      <c r="D122" s="56"/>
      <c r="E122" s="56"/>
      <c r="F122" s="56"/>
      <c r="G122" s="56" t="str">
        <f t="shared" si="10"/>
        <v/>
      </c>
      <c r="H122" s="56"/>
      <c r="I122" s="56"/>
      <c r="J122" s="56" t="str">
        <f t="shared" si="11"/>
        <v/>
      </c>
      <c r="K122" s="56" t="str">
        <f t="shared" si="13"/>
        <v/>
      </c>
      <c r="Q122" s="161"/>
    </row>
    <row r="123" spans="2:17" x14ac:dyDescent="0.2">
      <c r="B123" s="160"/>
      <c r="C123" s="56">
        <f t="shared" si="12"/>
        <v>88</v>
      </c>
      <c r="D123" s="56"/>
      <c r="E123" s="56"/>
      <c r="F123" s="56"/>
      <c r="G123" s="56" t="str">
        <f t="shared" si="10"/>
        <v/>
      </c>
      <c r="H123" s="56"/>
      <c r="I123" s="56"/>
      <c r="J123" s="56" t="str">
        <f t="shared" si="11"/>
        <v/>
      </c>
      <c r="K123" s="56" t="str">
        <f t="shared" si="13"/>
        <v/>
      </c>
      <c r="Q123" s="161"/>
    </row>
    <row r="124" spans="2:17" x14ac:dyDescent="0.2">
      <c r="B124" s="160"/>
      <c r="C124" s="56">
        <f t="shared" si="12"/>
        <v>89</v>
      </c>
      <c r="D124" s="56"/>
      <c r="E124" s="56"/>
      <c r="F124" s="56"/>
      <c r="G124" s="56" t="str">
        <f t="shared" si="10"/>
        <v/>
      </c>
      <c r="H124" s="56"/>
      <c r="I124" s="56"/>
      <c r="J124" s="56" t="str">
        <f t="shared" si="11"/>
        <v/>
      </c>
      <c r="K124" s="56" t="str">
        <f t="shared" si="13"/>
        <v/>
      </c>
      <c r="Q124" s="161"/>
    </row>
    <row r="125" spans="2:17" x14ac:dyDescent="0.2">
      <c r="B125" s="160"/>
      <c r="C125" s="56">
        <f t="shared" si="12"/>
        <v>90</v>
      </c>
      <c r="D125" s="56"/>
      <c r="E125" s="56"/>
      <c r="F125" s="56"/>
      <c r="G125" s="56" t="str">
        <f t="shared" si="10"/>
        <v/>
      </c>
      <c r="H125" s="56"/>
      <c r="I125" s="56"/>
      <c r="J125" s="56" t="str">
        <f t="shared" si="11"/>
        <v/>
      </c>
      <c r="K125" s="56" t="str">
        <f t="shared" si="13"/>
        <v/>
      </c>
      <c r="Q125" s="161"/>
    </row>
    <row r="126" spans="2:17" x14ac:dyDescent="0.2">
      <c r="B126" s="160"/>
      <c r="C126" s="56">
        <f t="shared" si="12"/>
        <v>91</v>
      </c>
      <c r="D126" s="56"/>
      <c r="E126" s="56"/>
      <c r="F126" s="56"/>
      <c r="G126" s="56" t="str">
        <f t="shared" si="10"/>
        <v/>
      </c>
      <c r="H126" s="56"/>
      <c r="I126" s="56"/>
      <c r="J126" s="56" t="str">
        <f t="shared" si="11"/>
        <v/>
      </c>
      <c r="K126" s="56" t="str">
        <f t="shared" si="13"/>
        <v/>
      </c>
      <c r="Q126" s="161"/>
    </row>
    <row r="127" spans="2:17" x14ac:dyDescent="0.2">
      <c r="B127" s="160"/>
      <c r="C127" s="56">
        <f t="shared" si="12"/>
        <v>92</v>
      </c>
      <c r="D127" s="56"/>
      <c r="E127" s="56"/>
      <c r="F127" s="56"/>
      <c r="G127" s="56" t="str">
        <f t="shared" si="10"/>
        <v/>
      </c>
      <c r="H127" s="56"/>
      <c r="I127" s="56"/>
      <c r="J127" s="56" t="str">
        <f t="shared" si="11"/>
        <v/>
      </c>
      <c r="K127" s="56" t="str">
        <f t="shared" si="13"/>
        <v/>
      </c>
      <c r="Q127" s="161"/>
    </row>
    <row r="128" spans="2:17" x14ac:dyDescent="0.2">
      <c r="B128" s="160"/>
      <c r="C128" s="56">
        <f t="shared" si="12"/>
        <v>93</v>
      </c>
      <c r="D128" s="56"/>
      <c r="E128" s="56"/>
      <c r="F128" s="56"/>
      <c r="G128" s="56" t="str">
        <f t="shared" si="10"/>
        <v/>
      </c>
      <c r="H128" s="56"/>
      <c r="I128" s="56"/>
      <c r="J128" s="56" t="str">
        <f t="shared" si="11"/>
        <v/>
      </c>
      <c r="K128" s="56" t="str">
        <f t="shared" si="13"/>
        <v/>
      </c>
      <c r="Q128" s="161"/>
    </row>
    <row r="129" spans="2:17" x14ac:dyDescent="0.2">
      <c r="B129" s="160"/>
      <c r="C129" s="56">
        <f t="shared" si="12"/>
        <v>94</v>
      </c>
      <c r="D129" s="56"/>
      <c r="E129" s="56"/>
      <c r="F129" s="56"/>
      <c r="G129" s="56" t="str">
        <f t="shared" si="10"/>
        <v/>
      </c>
      <c r="H129" s="56"/>
      <c r="I129" s="56"/>
      <c r="J129" s="56" t="str">
        <f t="shared" si="11"/>
        <v/>
      </c>
      <c r="K129" s="56" t="str">
        <f t="shared" si="13"/>
        <v/>
      </c>
      <c r="Q129" s="161"/>
    </row>
    <row r="130" spans="2:17" x14ac:dyDescent="0.2">
      <c r="B130" s="160"/>
      <c r="C130" s="56">
        <f t="shared" si="12"/>
        <v>95</v>
      </c>
      <c r="D130" s="56"/>
      <c r="E130" s="56"/>
      <c r="F130" s="56"/>
      <c r="G130" s="56" t="str">
        <f t="shared" si="10"/>
        <v/>
      </c>
      <c r="H130" s="56"/>
      <c r="I130" s="56"/>
      <c r="J130" s="56" t="str">
        <f t="shared" si="11"/>
        <v/>
      </c>
      <c r="K130" s="56" t="str">
        <f t="shared" si="13"/>
        <v/>
      </c>
      <c r="Q130" s="161"/>
    </row>
    <row r="131" spans="2:17" x14ac:dyDescent="0.2">
      <c r="B131" s="160"/>
      <c r="C131" s="56">
        <f t="shared" si="12"/>
        <v>96</v>
      </c>
      <c r="D131" s="56"/>
      <c r="E131" s="56"/>
      <c r="F131" s="56"/>
      <c r="G131" s="56" t="str">
        <f t="shared" si="10"/>
        <v/>
      </c>
      <c r="H131" s="56"/>
      <c r="I131" s="56"/>
      <c r="J131" s="56" t="str">
        <f t="shared" si="11"/>
        <v/>
      </c>
      <c r="K131" s="56" t="str">
        <f t="shared" si="13"/>
        <v/>
      </c>
      <c r="Q131" s="161"/>
    </row>
    <row r="132" spans="2:17" x14ac:dyDescent="0.2">
      <c r="B132" s="160"/>
      <c r="C132" s="56">
        <f t="shared" si="12"/>
        <v>97</v>
      </c>
      <c r="D132" s="56"/>
      <c r="E132" s="56"/>
      <c r="F132" s="56"/>
      <c r="G132" s="56" t="str">
        <f t="shared" ref="G132:G163" si="14">IF(D132="","",IF(DSA_output ="ICER",E132/F132,IF(DSA_output="NMB",F132*WTP-E132,IF(DSA_output="Incremental Cost",E132,F132))))</f>
        <v/>
      </c>
      <c r="H132" s="56"/>
      <c r="I132" s="56"/>
      <c r="J132" s="56" t="str">
        <f t="shared" ref="J132:J163" si="15">IF(D132="","",IF(DSA_output ="ICER",H132/I132,IF(DSA_output="NMB",I132*WTP-H132,IF(DSA_output="Incremental Cost",H132,I132))))</f>
        <v/>
      </c>
      <c r="K132" s="56" t="str">
        <f t="shared" si="13"/>
        <v/>
      </c>
      <c r="Q132" s="161"/>
    </row>
    <row r="133" spans="2:17" x14ac:dyDescent="0.2">
      <c r="B133" s="160"/>
      <c r="C133" s="56">
        <f t="shared" si="12"/>
        <v>98</v>
      </c>
      <c r="D133" s="56"/>
      <c r="E133" s="56"/>
      <c r="F133" s="56"/>
      <c r="G133" s="56" t="str">
        <f t="shared" si="14"/>
        <v/>
      </c>
      <c r="H133" s="56"/>
      <c r="I133" s="56"/>
      <c r="J133" s="56" t="str">
        <f t="shared" si="15"/>
        <v/>
      </c>
      <c r="K133" s="56" t="str">
        <f t="shared" si="13"/>
        <v/>
      </c>
      <c r="Q133" s="161"/>
    </row>
    <row r="134" spans="2:17" x14ac:dyDescent="0.2">
      <c r="B134" s="160"/>
      <c r="C134" s="56">
        <f t="shared" si="12"/>
        <v>99</v>
      </c>
      <c r="D134" s="56"/>
      <c r="E134" s="56"/>
      <c r="F134" s="56"/>
      <c r="G134" s="56" t="str">
        <f t="shared" si="14"/>
        <v/>
      </c>
      <c r="H134" s="56"/>
      <c r="I134" s="56"/>
      <c r="J134" s="56" t="str">
        <f t="shared" si="15"/>
        <v/>
      </c>
      <c r="K134" s="56" t="str">
        <f t="shared" si="13"/>
        <v/>
      </c>
      <c r="Q134" s="161"/>
    </row>
    <row r="135" spans="2:17" x14ac:dyDescent="0.2">
      <c r="B135" s="160"/>
      <c r="C135" s="56">
        <f t="shared" si="12"/>
        <v>100</v>
      </c>
      <c r="D135" s="56"/>
      <c r="E135" s="56"/>
      <c r="F135" s="56"/>
      <c r="G135" s="56" t="str">
        <f t="shared" si="14"/>
        <v/>
      </c>
      <c r="H135" s="56"/>
      <c r="I135" s="56"/>
      <c r="J135" s="56" t="str">
        <f t="shared" si="15"/>
        <v/>
      </c>
      <c r="K135" s="56" t="str">
        <f t="shared" si="13"/>
        <v/>
      </c>
      <c r="Q135" s="161"/>
    </row>
    <row r="136" spans="2:17" x14ac:dyDescent="0.2">
      <c r="B136" s="160"/>
      <c r="C136" s="56">
        <f t="shared" si="12"/>
        <v>101</v>
      </c>
      <c r="D136" s="56"/>
      <c r="E136" s="56"/>
      <c r="F136" s="56"/>
      <c r="G136" s="56" t="str">
        <f t="shared" si="14"/>
        <v/>
      </c>
      <c r="H136" s="56"/>
      <c r="I136" s="56"/>
      <c r="J136" s="56" t="str">
        <f t="shared" si="15"/>
        <v/>
      </c>
      <c r="K136" s="56" t="str">
        <f t="shared" si="13"/>
        <v/>
      </c>
      <c r="Q136" s="161"/>
    </row>
    <row r="137" spans="2:17" x14ac:dyDescent="0.2">
      <c r="B137" s="160"/>
      <c r="C137" s="56">
        <f t="shared" si="12"/>
        <v>102</v>
      </c>
      <c r="D137" s="56"/>
      <c r="E137" s="56"/>
      <c r="F137" s="56"/>
      <c r="G137" s="56" t="str">
        <f t="shared" si="14"/>
        <v/>
      </c>
      <c r="H137" s="56"/>
      <c r="I137" s="56"/>
      <c r="J137" s="56" t="str">
        <f t="shared" si="15"/>
        <v/>
      </c>
      <c r="K137" s="56" t="str">
        <f t="shared" si="13"/>
        <v/>
      </c>
      <c r="Q137" s="161"/>
    </row>
    <row r="138" spans="2:17" x14ac:dyDescent="0.2">
      <c r="B138" s="160"/>
      <c r="C138" s="56">
        <f t="shared" si="12"/>
        <v>103</v>
      </c>
      <c r="D138" s="56"/>
      <c r="E138" s="56"/>
      <c r="F138" s="56"/>
      <c r="G138" s="56" t="str">
        <f t="shared" si="14"/>
        <v/>
      </c>
      <c r="H138" s="56"/>
      <c r="I138" s="56"/>
      <c r="J138" s="56" t="str">
        <f t="shared" si="15"/>
        <v/>
      </c>
      <c r="K138" s="56" t="str">
        <f t="shared" si="13"/>
        <v/>
      </c>
      <c r="Q138" s="161"/>
    </row>
    <row r="139" spans="2:17" x14ac:dyDescent="0.2">
      <c r="B139" s="160"/>
      <c r="C139" s="56">
        <f t="shared" si="12"/>
        <v>104</v>
      </c>
      <c r="D139" s="56"/>
      <c r="E139" s="56"/>
      <c r="F139" s="56"/>
      <c r="G139" s="56" t="str">
        <f t="shared" si="14"/>
        <v/>
      </c>
      <c r="H139" s="56"/>
      <c r="I139" s="56"/>
      <c r="J139" s="56" t="str">
        <f t="shared" si="15"/>
        <v/>
      </c>
      <c r="K139" s="56" t="str">
        <f t="shared" si="13"/>
        <v/>
      </c>
      <c r="Q139" s="161"/>
    </row>
    <row r="140" spans="2:17" x14ac:dyDescent="0.2">
      <c r="B140" s="160"/>
      <c r="C140" s="56">
        <f t="shared" si="12"/>
        <v>105</v>
      </c>
      <c r="D140" s="56"/>
      <c r="E140" s="56"/>
      <c r="F140" s="56"/>
      <c r="G140" s="56" t="str">
        <f t="shared" si="14"/>
        <v/>
      </c>
      <c r="H140" s="56"/>
      <c r="I140" s="56"/>
      <c r="J140" s="56" t="str">
        <f t="shared" si="15"/>
        <v/>
      </c>
      <c r="K140" s="56" t="str">
        <f t="shared" si="13"/>
        <v/>
      </c>
      <c r="Q140" s="161"/>
    </row>
    <row r="141" spans="2:17" x14ac:dyDescent="0.2">
      <c r="B141" s="160"/>
      <c r="C141" s="56">
        <f t="shared" si="12"/>
        <v>106</v>
      </c>
      <c r="D141" s="56"/>
      <c r="E141" s="56"/>
      <c r="F141" s="56"/>
      <c r="G141" s="56" t="str">
        <f t="shared" si="14"/>
        <v/>
      </c>
      <c r="H141" s="56"/>
      <c r="I141" s="56"/>
      <c r="J141" s="56" t="str">
        <f t="shared" si="15"/>
        <v/>
      </c>
      <c r="K141" s="56" t="str">
        <f t="shared" si="13"/>
        <v/>
      </c>
      <c r="Q141" s="161"/>
    </row>
    <row r="142" spans="2:17" x14ac:dyDescent="0.2">
      <c r="B142" s="160"/>
      <c r="C142" s="56">
        <f t="shared" si="12"/>
        <v>107</v>
      </c>
      <c r="D142" s="56"/>
      <c r="E142" s="56"/>
      <c r="F142" s="56"/>
      <c r="G142" s="56" t="str">
        <f t="shared" si="14"/>
        <v/>
      </c>
      <c r="H142" s="56"/>
      <c r="I142" s="56"/>
      <c r="J142" s="56" t="str">
        <f t="shared" si="15"/>
        <v/>
      </c>
      <c r="K142" s="56" t="str">
        <f t="shared" si="13"/>
        <v/>
      </c>
      <c r="Q142" s="161"/>
    </row>
    <row r="143" spans="2:17" x14ac:dyDescent="0.2">
      <c r="B143" s="160"/>
      <c r="C143" s="56">
        <f t="shared" si="12"/>
        <v>108</v>
      </c>
      <c r="D143" s="56"/>
      <c r="E143" s="56"/>
      <c r="F143" s="56"/>
      <c r="G143" s="56" t="str">
        <f t="shared" si="14"/>
        <v/>
      </c>
      <c r="H143" s="56"/>
      <c r="I143" s="56"/>
      <c r="J143" s="56" t="str">
        <f t="shared" si="15"/>
        <v/>
      </c>
      <c r="K143" s="56" t="str">
        <f t="shared" si="13"/>
        <v/>
      </c>
      <c r="Q143" s="161"/>
    </row>
    <row r="144" spans="2:17" x14ac:dyDescent="0.2">
      <c r="B144" s="160"/>
      <c r="C144" s="56">
        <f t="shared" si="12"/>
        <v>109</v>
      </c>
      <c r="D144" s="56"/>
      <c r="E144" s="56"/>
      <c r="F144" s="56"/>
      <c r="G144" s="56" t="str">
        <f t="shared" si="14"/>
        <v/>
      </c>
      <c r="H144" s="56"/>
      <c r="I144" s="56"/>
      <c r="J144" s="56" t="str">
        <f t="shared" si="15"/>
        <v/>
      </c>
      <c r="K144" s="56" t="str">
        <f t="shared" si="13"/>
        <v/>
      </c>
      <c r="Q144" s="161"/>
    </row>
    <row r="145" spans="2:17" x14ac:dyDescent="0.2">
      <c r="B145" s="160"/>
      <c r="C145" s="56">
        <f t="shared" si="12"/>
        <v>110</v>
      </c>
      <c r="D145" s="56"/>
      <c r="E145" s="56"/>
      <c r="F145" s="56"/>
      <c r="G145" s="56" t="str">
        <f t="shared" si="14"/>
        <v/>
      </c>
      <c r="H145" s="56"/>
      <c r="I145" s="56"/>
      <c r="J145" s="56" t="str">
        <f t="shared" si="15"/>
        <v/>
      </c>
      <c r="K145" s="56" t="str">
        <f t="shared" si="13"/>
        <v/>
      </c>
      <c r="Q145" s="161"/>
    </row>
    <row r="146" spans="2:17" x14ac:dyDescent="0.2">
      <c r="B146" s="160"/>
      <c r="C146" s="56">
        <f t="shared" si="12"/>
        <v>111</v>
      </c>
      <c r="D146" s="56"/>
      <c r="E146" s="56"/>
      <c r="F146" s="56"/>
      <c r="G146" s="56" t="str">
        <f t="shared" si="14"/>
        <v/>
      </c>
      <c r="H146" s="56"/>
      <c r="I146" s="56"/>
      <c r="J146" s="56" t="str">
        <f t="shared" si="15"/>
        <v/>
      </c>
      <c r="K146" s="56" t="str">
        <f t="shared" si="13"/>
        <v/>
      </c>
      <c r="Q146" s="161"/>
    </row>
    <row r="147" spans="2:17" x14ac:dyDescent="0.2">
      <c r="B147" s="160"/>
      <c r="C147" s="56">
        <f t="shared" si="12"/>
        <v>112</v>
      </c>
      <c r="D147" s="56"/>
      <c r="E147" s="56"/>
      <c r="F147" s="56"/>
      <c r="G147" s="56" t="str">
        <f t="shared" si="14"/>
        <v/>
      </c>
      <c r="H147" s="56"/>
      <c r="I147" s="56"/>
      <c r="J147" s="56" t="str">
        <f t="shared" si="15"/>
        <v/>
      </c>
      <c r="K147" s="56" t="str">
        <f t="shared" si="13"/>
        <v/>
      </c>
      <c r="Q147" s="161"/>
    </row>
    <row r="148" spans="2:17" x14ac:dyDescent="0.2">
      <c r="B148" s="160"/>
      <c r="C148" s="56">
        <f t="shared" si="12"/>
        <v>113</v>
      </c>
      <c r="D148" s="56"/>
      <c r="E148" s="56"/>
      <c r="F148" s="56"/>
      <c r="G148" s="56" t="str">
        <f t="shared" si="14"/>
        <v/>
      </c>
      <c r="H148" s="56"/>
      <c r="I148" s="56"/>
      <c r="J148" s="56" t="str">
        <f t="shared" si="15"/>
        <v/>
      </c>
      <c r="K148" s="56" t="str">
        <f t="shared" si="13"/>
        <v/>
      </c>
      <c r="Q148" s="161"/>
    </row>
    <row r="149" spans="2:17" x14ac:dyDescent="0.2">
      <c r="B149" s="160"/>
      <c r="C149" s="56">
        <f t="shared" si="12"/>
        <v>114</v>
      </c>
      <c r="D149" s="56"/>
      <c r="E149" s="56"/>
      <c r="F149" s="56"/>
      <c r="G149" s="56" t="str">
        <f t="shared" si="14"/>
        <v/>
      </c>
      <c r="H149" s="56"/>
      <c r="I149" s="56"/>
      <c r="J149" s="56" t="str">
        <f t="shared" si="15"/>
        <v/>
      </c>
      <c r="K149" s="56" t="str">
        <f t="shared" si="13"/>
        <v/>
      </c>
      <c r="Q149" s="161"/>
    </row>
    <row r="150" spans="2:17" x14ac:dyDescent="0.2">
      <c r="B150" s="160"/>
      <c r="C150" s="56">
        <f t="shared" si="12"/>
        <v>115</v>
      </c>
      <c r="D150" s="56"/>
      <c r="E150" s="56"/>
      <c r="F150" s="56"/>
      <c r="G150" s="56" t="str">
        <f t="shared" si="14"/>
        <v/>
      </c>
      <c r="H150" s="56"/>
      <c r="I150" s="56"/>
      <c r="J150" s="56" t="str">
        <f t="shared" si="15"/>
        <v/>
      </c>
      <c r="K150" s="56" t="str">
        <f t="shared" si="13"/>
        <v/>
      </c>
      <c r="Q150" s="161"/>
    </row>
    <row r="151" spans="2:17" x14ac:dyDescent="0.2">
      <c r="B151" s="160"/>
      <c r="C151" s="56">
        <f t="shared" si="12"/>
        <v>116</v>
      </c>
      <c r="D151" s="56"/>
      <c r="E151" s="56"/>
      <c r="F151" s="56"/>
      <c r="G151" s="56" t="str">
        <f t="shared" si="14"/>
        <v/>
      </c>
      <c r="H151" s="56"/>
      <c r="I151" s="56"/>
      <c r="J151" s="56" t="str">
        <f t="shared" si="15"/>
        <v/>
      </c>
      <c r="K151" s="56" t="str">
        <f t="shared" si="13"/>
        <v/>
      </c>
      <c r="Q151" s="161"/>
    </row>
    <row r="152" spans="2:17" x14ac:dyDescent="0.2">
      <c r="B152" s="160"/>
      <c r="C152" s="56">
        <f t="shared" si="12"/>
        <v>117</v>
      </c>
      <c r="D152" s="56"/>
      <c r="E152" s="56"/>
      <c r="F152" s="56"/>
      <c r="G152" s="56" t="str">
        <f t="shared" si="14"/>
        <v/>
      </c>
      <c r="H152" s="56"/>
      <c r="I152" s="56"/>
      <c r="J152" s="56" t="str">
        <f t="shared" si="15"/>
        <v/>
      </c>
      <c r="K152" s="56" t="str">
        <f t="shared" si="13"/>
        <v/>
      </c>
      <c r="Q152" s="161"/>
    </row>
    <row r="153" spans="2:17" x14ac:dyDescent="0.2">
      <c r="B153" s="160"/>
      <c r="C153" s="56">
        <f t="shared" si="12"/>
        <v>118</v>
      </c>
      <c r="D153" s="56"/>
      <c r="E153" s="56"/>
      <c r="F153" s="56"/>
      <c r="G153" s="56" t="str">
        <f t="shared" si="14"/>
        <v/>
      </c>
      <c r="H153" s="56"/>
      <c r="I153" s="56"/>
      <c r="J153" s="56" t="str">
        <f t="shared" si="15"/>
        <v/>
      </c>
      <c r="K153" s="56" t="str">
        <f t="shared" si="13"/>
        <v/>
      </c>
      <c r="Q153" s="161"/>
    </row>
    <row r="154" spans="2:17" x14ac:dyDescent="0.2">
      <c r="B154" s="160"/>
      <c r="C154" s="56">
        <f t="shared" si="12"/>
        <v>119</v>
      </c>
      <c r="D154" s="56"/>
      <c r="E154" s="56"/>
      <c r="F154" s="56"/>
      <c r="G154" s="56" t="str">
        <f t="shared" si="14"/>
        <v/>
      </c>
      <c r="H154" s="56"/>
      <c r="I154" s="56"/>
      <c r="J154" s="56" t="str">
        <f t="shared" si="15"/>
        <v/>
      </c>
      <c r="K154" s="56" t="str">
        <f t="shared" si="13"/>
        <v/>
      </c>
      <c r="Q154" s="161"/>
    </row>
    <row r="155" spans="2:17" x14ac:dyDescent="0.2">
      <c r="B155" s="160"/>
      <c r="C155" s="56">
        <f t="shared" si="12"/>
        <v>120</v>
      </c>
      <c r="D155" s="56"/>
      <c r="E155" s="56"/>
      <c r="F155" s="56"/>
      <c r="G155" s="56" t="str">
        <f t="shared" si="14"/>
        <v/>
      </c>
      <c r="H155" s="56"/>
      <c r="I155" s="56"/>
      <c r="J155" s="56" t="str">
        <f t="shared" si="15"/>
        <v/>
      </c>
      <c r="K155" s="56" t="str">
        <f t="shared" si="13"/>
        <v/>
      </c>
      <c r="Q155" s="161"/>
    </row>
    <row r="156" spans="2:17" x14ac:dyDescent="0.2">
      <c r="B156" s="160"/>
      <c r="C156" s="56">
        <f t="shared" si="12"/>
        <v>121</v>
      </c>
      <c r="D156" s="56"/>
      <c r="E156" s="56"/>
      <c r="F156" s="56"/>
      <c r="G156" s="56" t="str">
        <f t="shared" si="14"/>
        <v/>
      </c>
      <c r="H156" s="56"/>
      <c r="I156" s="56"/>
      <c r="J156" s="56" t="str">
        <f t="shared" si="15"/>
        <v/>
      </c>
      <c r="K156" s="56" t="str">
        <f t="shared" si="13"/>
        <v/>
      </c>
      <c r="Q156" s="161"/>
    </row>
    <row r="157" spans="2:17" x14ac:dyDescent="0.2">
      <c r="B157" s="160"/>
      <c r="C157" s="56">
        <f t="shared" si="12"/>
        <v>122</v>
      </c>
      <c r="D157" s="56"/>
      <c r="E157" s="56"/>
      <c r="F157" s="56"/>
      <c r="G157" s="56" t="str">
        <f t="shared" si="14"/>
        <v/>
      </c>
      <c r="H157" s="56"/>
      <c r="I157" s="56"/>
      <c r="J157" s="56" t="str">
        <f t="shared" si="15"/>
        <v/>
      </c>
      <c r="K157" s="56" t="str">
        <f t="shared" si="13"/>
        <v/>
      </c>
      <c r="Q157" s="161"/>
    </row>
    <row r="158" spans="2:17" x14ac:dyDescent="0.2">
      <c r="B158" s="160"/>
      <c r="C158" s="56">
        <f t="shared" si="12"/>
        <v>123</v>
      </c>
      <c r="D158" s="56"/>
      <c r="E158" s="56"/>
      <c r="F158" s="56"/>
      <c r="G158" s="56" t="str">
        <f t="shared" si="14"/>
        <v/>
      </c>
      <c r="H158" s="56"/>
      <c r="I158" s="56"/>
      <c r="J158" s="56" t="str">
        <f t="shared" si="15"/>
        <v/>
      </c>
      <c r="K158" s="56" t="str">
        <f t="shared" si="13"/>
        <v/>
      </c>
      <c r="Q158" s="161"/>
    </row>
    <row r="159" spans="2:17" x14ac:dyDescent="0.2">
      <c r="B159" s="160"/>
      <c r="C159" s="56">
        <f t="shared" si="12"/>
        <v>124</v>
      </c>
      <c r="D159" s="56"/>
      <c r="E159" s="56"/>
      <c r="F159" s="56"/>
      <c r="G159" s="56" t="str">
        <f t="shared" si="14"/>
        <v/>
      </c>
      <c r="H159" s="56"/>
      <c r="I159" s="56"/>
      <c r="J159" s="56" t="str">
        <f t="shared" si="15"/>
        <v/>
      </c>
      <c r="K159" s="56" t="str">
        <f t="shared" si="13"/>
        <v/>
      </c>
      <c r="Q159" s="161"/>
    </row>
    <row r="160" spans="2:17" x14ac:dyDescent="0.2">
      <c r="B160" s="160"/>
      <c r="C160" s="56"/>
      <c r="D160" s="56"/>
      <c r="E160" s="56"/>
      <c r="F160" s="56"/>
      <c r="G160" s="56" t="str">
        <f t="shared" si="14"/>
        <v/>
      </c>
      <c r="H160" s="56"/>
      <c r="I160" s="56"/>
      <c r="J160" s="56" t="str">
        <f t="shared" si="15"/>
        <v/>
      </c>
      <c r="K160" s="56" t="str">
        <f t="shared" si="13"/>
        <v/>
      </c>
      <c r="Q160" s="161"/>
    </row>
    <row r="161" spans="2:17" x14ac:dyDescent="0.2">
      <c r="B161" s="160"/>
      <c r="C161" s="56"/>
      <c r="D161" s="56"/>
      <c r="E161" s="56"/>
      <c r="F161" s="56"/>
      <c r="G161" s="56" t="str">
        <f t="shared" si="14"/>
        <v/>
      </c>
      <c r="H161" s="56"/>
      <c r="I161" s="56"/>
      <c r="J161" s="56" t="str">
        <f t="shared" si="15"/>
        <v/>
      </c>
      <c r="K161" s="56" t="str">
        <f t="shared" si="13"/>
        <v/>
      </c>
      <c r="Q161" s="161"/>
    </row>
    <row r="162" spans="2:17" x14ac:dyDescent="0.2">
      <c r="B162" s="160"/>
      <c r="C162" s="56"/>
      <c r="D162" s="56"/>
      <c r="E162" s="56"/>
      <c r="F162" s="56"/>
      <c r="G162" s="56" t="str">
        <f t="shared" si="14"/>
        <v/>
      </c>
      <c r="H162" s="56"/>
      <c r="I162" s="56"/>
      <c r="J162" s="56" t="str">
        <f t="shared" si="15"/>
        <v/>
      </c>
      <c r="K162" s="56" t="str">
        <f t="shared" si="13"/>
        <v/>
      </c>
      <c r="Q162" s="161"/>
    </row>
    <row r="163" spans="2:17" x14ac:dyDescent="0.2">
      <c r="B163" s="160"/>
      <c r="C163" s="56"/>
      <c r="D163" s="56"/>
      <c r="E163" s="56"/>
      <c r="F163" s="56"/>
      <c r="G163" s="56" t="str">
        <f t="shared" si="14"/>
        <v/>
      </c>
      <c r="H163" s="56"/>
      <c r="I163" s="56"/>
      <c r="J163" s="56" t="str">
        <f t="shared" si="15"/>
        <v/>
      </c>
      <c r="K163" s="56" t="str">
        <f t="shared" si="13"/>
        <v/>
      </c>
      <c r="Q163" s="161"/>
    </row>
    <row r="164" spans="2:17" x14ac:dyDescent="0.2">
      <c r="B164" s="160"/>
      <c r="C164" s="56"/>
      <c r="D164" s="56"/>
      <c r="E164" s="56"/>
      <c r="F164" s="56"/>
      <c r="G164" s="56" t="str">
        <f t="shared" ref="G164:G184" si="16">IF(D164="","",IF(DSA_output ="ICER",E164/F164,IF(DSA_output="NMB",F164*WTP-E164,IF(DSA_output="Incremental Cost",E164,F164))))</f>
        <v/>
      </c>
      <c r="H164" s="56"/>
      <c r="I164" s="56"/>
      <c r="J164" s="56" t="str">
        <f t="shared" ref="J164:J184" si="17">IF(D164="","",IF(DSA_output ="ICER",H164/I164,IF(DSA_output="NMB",I164*WTP-H164,IF(DSA_output="Incremental Cost",H164,I164))))</f>
        <v/>
      </c>
      <c r="K164" s="56" t="str">
        <f t="shared" si="13"/>
        <v/>
      </c>
      <c r="Q164" s="161"/>
    </row>
    <row r="165" spans="2:17" x14ac:dyDescent="0.2">
      <c r="B165" s="160"/>
      <c r="C165" s="56"/>
      <c r="D165" s="56"/>
      <c r="E165" s="56"/>
      <c r="F165" s="56"/>
      <c r="G165" s="56" t="str">
        <f t="shared" si="16"/>
        <v/>
      </c>
      <c r="H165" s="56"/>
      <c r="I165" s="56"/>
      <c r="J165" s="56" t="str">
        <f t="shared" si="17"/>
        <v/>
      </c>
      <c r="K165" s="56" t="str">
        <f t="shared" ref="K165:K184" si="18">IF(D165="","",ABS(J165-G165))</f>
        <v/>
      </c>
      <c r="Q165" s="161"/>
    </row>
    <row r="166" spans="2:17" x14ac:dyDescent="0.2">
      <c r="B166" s="160"/>
      <c r="C166" s="56"/>
      <c r="D166" s="56"/>
      <c r="E166" s="56"/>
      <c r="F166" s="56"/>
      <c r="G166" s="56" t="str">
        <f t="shared" si="16"/>
        <v/>
      </c>
      <c r="H166" s="56"/>
      <c r="I166" s="56"/>
      <c r="J166" s="56" t="str">
        <f t="shared" si="17"/>
        <v/>
      </c>
      <c r="K166" s="56" t="str">
        <f t="shared" si="18"/>
        <v/>
      </c>
      <c r="Q166" s="161"/>
    </row>
    <row r="167" spans="2:17" x14ac:dyDescent="0.2">
      <c r="B167" s="160"/>
      <c r="C167" s="56"/>
      <c r="D167" s="56"/>
      <c r="E167" s="56"/>
      <c r="F167" s="56"/>
      <c r="G167" s="56" t="str">
        <f t="shared" si="16"/>
        <v/>
      </c>
      <c r="H167" s="56"/>
      <c r="I167" s="56"/>
      <c r="J167" s="56" t="str">
        <f t="shared" si="17"/>
        <v/>
      </c>
      <c r="K167" s="56" t="str">
        <f t="shared" si="18"/>
        <v/>
      </c>
      <c r="Q167" s="161"/>
    </row>
    <row r="168" spans="2:17" x14ac:dyDescent="0.2">
      <c r="B168" s="160"/>
      <c r="C168" s="56"/>
      <c r="D168" s="56"/>
      <c r="E168" s="56"/>
      <c r="F168" s="56"/>
      <c r="G168" s="56" t="str">
        <f t="shared" si="16"/>
        <v/>
      </c>
      <c r="H168" s="56"/>
      <c r="I168" s="56"/>
      <c r="J168" s="56" t="str">
        <f t="shared" si="17"/>
        <v/>
      </c>
      <c r="K168" s="56" t="str">
        <f t="shared" si="18"/>
        <v/>
      </c>
      <c r="Q168" s="161"/>
    </row>
    <row r="169" spans="2:17" x14ac:dyDescent="0.2">
      <c r="B169" s="160"/>
      <c r="C169" s="56"/>
      <c r="D169" s="56"/>
      <c r="E169" s="56"/>
      <c r="F169" s="56"/>
      <c r="G169" s="56" t="str">
        <f t="shared" si="16"/>
        <v/>
      </c>
      <c r="H169" s="56"/>
      <c r="I169" s="56"/>
      <c r="J169" s="56" t="str">
        <f t="shared" si="17"/>
        <v/>
      </c>
      <c r="K169" s="56" t="str">
        <f t="shared" si="18"/>
        <v/>
      </c>
      <c r="Q169" s="161"/>
    </row>
    <row r="170" spans="2:17" x14ac:dyDescent="0.2">
      <c r="B170" s="160"/>
      <c r="C170" s="56"/>
      <c r="D170" s="56"/>
      <c r="E170" s="56"/>
      <c r="F170" s="56"/>
      <c r="G170" s="56" t="str">
        <f t="shared" si="16"/>
        <v/>
      </c>
      <c r="H170" s="56"/>
      <c r="I170" s="56"/>
      <c r="J170" s="56" t="str">
        <f t="shared" si="17"/>
        <v/>
      </c>
      <c r="K170" s="56" t="str">
        <f t="shared" si="18"/>
        <v/>
      </c>
      <c r="Q170" s="161"/>
    </row>
    <row r="171" spans="2:17" x14ac:dyDescent="0.2">
      <c r="B171" s="160"/>
      <c r="C171" s="56"/>
      <c r="D171" s="56"/>
      <c r="E171" s="56"/>
      <c r="F171" s="56"/>
      <c r="G171" s="56" t="str">
        <f t="shared" si="16"/>
        <v/>
      </c>
      <c r="H171" s="56"/>
      <c r="I171" s="56"/>
      <c r="J171" s="56" t="str">
        <f t="shared" si="17"/>
        <v/>
      </c>
      <c r="K171" s="56" t="str">
        <f t="shared" si="18"/>
        <v/>
      </c>
      <c r="Q171" s="161"/>
    </row>
    <row r="172" spans="2:17" x14ac:dyDescent="0.2">
      <c r="B172" s="160"/>
      <c r="C172" s="56"/>
      <c r="D172" s="56"/>
      <c r="E172" s="56"/>
      <c r="F172" s="56"/>
      <c r="G172" s="56" t="str">
        <f t="shared" si="16"/>
        <v/>
      </c>
      <c r="H172" s="56"/>
      <c r="I172" s="56"/>
      <c r="J172" s="56" t="str">
        <f t="shared" si="17"/>
        <v/>
      </c>
      <c r="K172" s="56" t="str">
        <f t="shared" si="18"/>
        <v/>
      </c>
      <c r="Q172" s="161"/>
    </row>
    <row r="173" spans="2:17" x14ac:dyDescent="0.2">
      <c r="B173" s="160"/>
      <c r="C173" s="56"/>
      <c r="D173" s="56"/>
      <c r="E173" s="56"/>
      <c r="F173" s="56"/>
      <c r="G173" s="56" t="str">
        <f t="shared" si="16"/>
        <v/>
      </c>
      <c r="H173" s="56"/>
      <c r="I173" s="56"/>
      <c r="J173" s="56" t="str">
        <f t="shared" si="17"/>
        <v/>
      </c>
      <c r="K173" s="56" t="str">
        <f t="shared" si="18"/>
        <v/>
      </c>
      <c r="Q173" s="161"/>
    </row>
    <row r="174" spans="2:17" x14ac:dyDescent="0.2">
      <c r="B174" s="160"/>
      <c r="C174" s="56"/>
      <c r="D174" s="56"/>
      <c r="E174" s="56"/>
      <c r="F174" s="56"/>
      <c r="G174" s="56" t="str">
        <f t="shared" si="16"/>
        <v/>
      </c>
      <c r="H174" s="56"/>
      <c r="I174" s="56"/>
      <c r="J174" s="56" t="str">
        <f t="shared" si="17"/>
        <v/>
      </c>
      <c r="K174" s="56" t="str">
        <f t="shared" si="18"/>
        <v/>
      </c>
      <c r="Q174" s="161"/>
    </row>
    <row r="175" spans="2:17" x14ac:dyDescent="0.2">
      <c r="B175" s="160"/>
      <c r="C175" s="56"/>
      <c r="D175" s="56"/>
      <c r="E175" s="56"/>
      <c r="F175" s="56"/>
      <c r="G175" s="56" t="str">
        <f t="shared" si="16"/>
        <v/>
      </c>
      <c r="H175" s="56"/>
      <c r="I175" s="56"/>
      <c r="J175" s="56" t="str">
        <f t="shared" si="17"/>
        <v/>
      </c>
      <c r="K175" s="56" t="str">
        <f t="shared" si="18"/>
        <v/>
      </c>
      <c r="Q175" s="161"/>
    </row>
    <row r="176" spans="2:17" x14ac:dyDescent="0.2">
      <c r="B176" s="160"/>
      <c r="C176" s="56"/>
      <c r="D176" s="56"/>
      <c r="E176" s="56"/>
      <c r="F176" s="56"/>
      <c r="G176" s="56" t="str">
        <f t="shared" si="16"/>
        <v/>
      </c>
      <c r="H176" s="56"/>
      <c r="I176" s="56"/>
      <c r="J176" s="56" t="str">
        <f t="shared" si="17"/>
        <v/>
      </c>
      <c r="K176" s="56" t="str">
        <f t="shared" si="18"/>
        <v/>
      </c>
      <c r="Q176" s="161"/>
    </row>
    <row r="177" spans="2:17" x14ac:dyDescent="0.2">
      <c r="B177" s="160"/>
      <c r="C177" s="56"/>
      <c r="D177" s="56"/>
      <c r="E177" s="56"/>
      <c r="F177" s="56"/>
      <c r="G177" s="56" t="str">
        <f t="shared" si="16"/>
        <v/>
      </c>
      <c r="H177" s="56"/>
      <c r="I177" s="56"/>
      <c r="J177" s="56" t="str">
        <f t="shared" si="17"/>
        <v/>
      </c>
      <c r="K177" s="56" t="str">
        <f t="shared" si="18"/>
        <v/>
      </c>
      <c r="Q177" s="161"/>
    </row>
    <row r="178" spans="2:17" x14ac:dyDescent="0.2">
      <c r="B178" s="160"/>
      <c r="C178" s="56"/>
      <c r="D178" s="56"/>
      <c r="E178" s="56"/>
      <c r="F178" s="56"/>
      <c r="G178" s="56" t="str">
        <f t="shared" si="16"/>
        <v/>
      </c>
      <c r="H178" s="56"/>
      <c r="I178" s="56"/>
      <c r="J178" s="56" t="str">
        <f t="shared" si="17"/>
        <v/>
      </c>
      <c r="K178" s="56" t="str">
        <f t="shared" si="18"/>
        <v/>
      </c>
      <c r="Q178" s="161"/>
    </row>
    <row r="179" spans="2:17" x14ac:dyDescent="0.2">
      <c r="B179" s="160"/>
      <c r="C179" s="56"/>
      <c r="D179" s="56"/>
      <c r="E179" s="56"/>
      <c r="F179" s="56"/>
      <c r="G179" s="56" t="str">
        <f t="shared" si="16"/>
        <v/>
      </c>
      <c r="H179" s="56"/>
      <c r="I179" s="56"/>
      <c r="J179" s="56" t="str">
        <f t="shared" si="17"/>
        <v/>
      </c>
      <c r="K179" s="56" t="str">
        <f t="shared" si="18"/>
        <v/>
      </c>
      <c r="Q179" s="161"/>
    </row>
    <row r="180" spans="2:17" x14ac:dyDescent="0.2">
      <c r="B180" s="160"/>
      <c r="C180" s="56"/>
      <c r="D180" s="56"/>
      <c r="E180" s="56"/>
      <c r="F180" s="56"/>
      <c r="G180" s="56" t="str">
        <f t="shared" si="16"/>
        <v/>
      </c>
      <c r="H180" s="56"/>
      <c r="I180" s="56"/>
      <c r="J180" s="56" t="str">
        <f t="shared" si="17"/>
        <v/>
      </c>
      <c r="K180" s="56" t="str">
        <f t="shared" si="18"/>
        <v/>
      </c>
      <c r="Q180" s="161"/>
    </row>
    <row r="181" spans="2:17" x14ac:dyDescent="0.2">
      <c r="B181" s="160"/>
      <c r="C181" s="56"/>
      <c r="D181" s="56"/>
      <c r="E181" s="56"/>
      <c r="F181" s="56"/>
      <c r="G181" s="56" t="str">
        <f t="shared" si="16"/>
        <v/>
      </c>
      <c r="H181" s="56"/>
      <c r="I181" s="56"/>
      <c r="J181" s="56" t="str">
        <f t="shared" si="17"/>
        <v/>
      </c>
      <c r="K181" s="56" t="str">
        <f t="shared" si="18"/>
        <v/>
      </c>
      <c r="Q181" s="161"/>
    </row>
    <row r="182" spans="2:17" x14ac:dyDescent="0.2">
      <c r="B182" s="160"/>
      <c r="C182" s="56"/>
      <c r="D182" s="56"/>
      <c r="E182" s="56"/>
      <c r="F182" s="56"/>
      <c r="G182" s="56" t="str">
        <f t="shared" si="16"/>
        <v/>
      </c>
      <c r="H182" s="56"/>
      <c r="I182" s="56"/>
      <c r="J182" s="56" t="str">
        <f t="shared" si="17"/>
        <v/>
      </c>
      <c r="K182" s="56" t="str">
        <f t="shared" si="18"/>
        <v/>
      </c>
      <c r="Q182" s="161"/>
    </row>
    <row r="183" spans="2:17" x14ac:dyDescent="0.2">
      <c r="B183" s="160"/>
      <c r="C183" s="56"/>
      <c r="D183" s="56"/>
      <c r="E183" s="56"/>
      <c r="F183" s="56"/>
      <c r="G183" s="56" t="str">
        <f t="shared" si="16"/>
        <v/>
      </c>
      <c r="H183" s="56"/>
      <c r="I183" s="56"/>
      <c r="J183" s="56" t="str">
        <f t="shared" si="17"/>
        <v/>
      </c>
      <c r="K183" s="56" t="str">
        <f t="shared" si="18"/>
        <v/>
      </c>
      <c r="Q183" s="161"/>
    </row>
    <row r="184" spans="2:17" ht="16" thickBot="1" x14ac:dyDescent="0.25">
      <c r="B184" s="181"/>
      <c r="C184" s="182"/>
      <c r="D184" s="182"/>
      <c r="E184" s="182"/>
      <c r="F184" s="182"/>
      <c r="G184" s="182" t="str">
        <f t="shared" si="16"/>
        <v/>
      </c>
      <c r="H184" s="182"/>
      <c r="I184" s="182"/>
      <c r="J184" s="182" t="str">
        <f t="shared" si="17"/>
        <v/>
      </c>
      <c r="K184" s="182" t="str">
        <f t="shared" si="18"/>
        <v/>
      </c>
      <c r="L184" s="182"/>
      <c r="M184" s="182"/>
      <c r="N184" s="182"/>
      <c r="O184" s="182"/>
      <c r="P184" s="182"/>
      <c r="Q184" s="183"/>
    </row>
  </sheetData>
  <mergeCells count="7">
    <mergeCell ref="E2:G3"/>
    <mergeCell ref="D16:L16"/>
    <mergeCell ref="E30:F30"/>
    <mergeCell ref="G30:H30"/>
    <mergeCell ref="E34:F34"/>
    <mergeCell ref="H34:I34"/>
    <mergeCell ref="K34:K35"/>
  </mergeCells>
  <dataValidations count="2">
    <dataValidation type="list" allowBlank="1" showInputMessage="1" showErrorMessage="1" sqref="K12" xr:uid="{AF59E9B9-9D4E-4BFB-A2A9-83812C9238F4}">
      <formula1>"ICER,NMB,Incremental Cost, Incremental QALY"</formula1>
    </dataValidation>
    <dataValidation type="list" allowBlank="1" showInputMessage="1" showErrorMessage="1" sqref="F12" xr:uid="{9BC5335C-2B7C-42DB-9BD3-401AA8A5BD48}">
      <formula1>"ICER,NMB,Incremental Cost"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DSA_run" altText="Run DSA">
                <anchor moveWithCells="1" sizeWithCells="1">
                  <from>
                    <xdr:col>3</xdr:col>
                    <xdr:colOff>38100</xdr:colOff>
                    <xdr:row>8</xdr:row>
                    <xdr:rowOff>50800</xdr:rowOff>
                  </from>
                  <to>
                    <xdr:col>3</xdr:col>
                    <xdr:colOff>1498600</xdr:colOff>
                    <xdr:row>10</xdr:row>
                    <xdr:rowOff>114300</xdr:rowOff>
                  </to>
                </anchor>
              </controlPr>
            </control>
          </mc:Choice>
        </mc:AlternateContent>
        <mc:AlternateContent xmlns:mc="http://schemas.openxmlformats.org/markup-compatibility/2006">
          <mc:Choice Requires="x14">
            <control shapeId="35842" r:id="rId5" name="Button 2">
              <controlPr defaultSize="0" print="0" autoFill="0" autoPict="0" macro="[0]!Button2_Click">
                <anchor moveWithCells="1" sizeWithCells="1">
                  <from>
                    <xdr:col>3</xdr:col>
                    <xdr:colOff>63500</xdr:colOff>
                    <xdr:row>5</xdr:row>
                    <xdr:rowOff>177800</xdr:rowOff>
                  </from>
                  <to>
                    <xdr:col>3</xdr:col>
                    <xdr:colOff>1485900</xdr:colOff>
                    <xdr:row>7</xdr:row>
                    <xdr:rowOff>165100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E28C38-29B8-4BA0-9F13-414FB62B37C7}">
  <sheetPr codeName="Sheet13">
    <tabColor rgb="FFCC6600"/>
  </sheetPr>
  <dimension ref="B2:I39"/>
  <sheetViews>
    <sheetView showGridLines="0" workbookViewId="0"/>
  </sheetViews>
  <sheetFormatPr baseColWidth="10" defaultColWidth="8.83203125" defaultRowHeight="15" x14ac:dyDescent="0.2"/>
  <cols>
    <col min="4" max="4" width="50" customWidth="1"/>
    <col min="5" max="5" width="22" customWidth="1"/>
    <col min="6" max="6" width="22.6640625" customWidth="1"/>
    <col min="7" max="7" width="21" customWidth="1"/>
    <col min="8" max="8" width="17.5" customWidth="1"/>
  </cols>
  <sheetData>
    <row r="2" spans="2:9" ht="14.5" customHeight="1" x14ac:dyDescent="0.2">
      <c r="E2" s="238" t="s">
        <v>224</v>
      </c>
      <c r="F2" s="238"/>
      <c r="G2" s="238"/>
    </row>
    <row r="3" spans="2:9" ht="14.5" customHeight="1" x14ac:dyDescent="0.3">
      <c r="E3" s="238"/>
      <c r="F3" s="238"/>
      <c r="G3" s="238"/>
      <c r="H3" s="85"/>
    </row>
    <row r="4" spans="2:9" ht="16" thickBot="1" x14ac:dyDescent="0.25"/>
    <row r="5" spans="2:9" ht="16" thickBot="1" x14ac:dyDescent="0.25">
      <c r="B5" s="157"/>
      <c r="C5" s="158"/>
      <c r="D5" s="158"/>
      <c r="E5" s="158"/>
      <c r="F5" s="158"/>
      <c r="G5" s="158"/>
      <c r="H5" s="158"/>
      <c r="I5" s="159"/>
    </row>
    <row r="6" spans="2:9" x14ac:dyDescent="0.2">
      <c r="B6" s="160"/>
      <c r="I6" s="161"/>
    </row>
    <row r="7" spans="2:9" x14ac:dyDescent="0.2">
      <c r="B7" s="160"/>
      <c r="I7" s="161"/>
    </row>
    <row r="8" spans="2:9" x14ac:dyDescent="0.2">
      <c r="B8" s="160"/>
      <c r="I8" s="161"/>
    </row>
    <row r="9" spans="2:9" x14ac:dyDescent="0.2">
      <c r="B9" s="160"/>
      <c r="I9" s="161"/>
    </row>
    <row r="10" spans="2:9" x14ac:dyDescent="0.2">
      <c r="B10" s="160"/>
      <c r="I10" s="161"/>
    </row>
    <row r="11" spans="2:9" x14ac:dyDescent="0.2">
      <c r="B11" s="160"/>
      <c r="I11" s="161"/>
    </row>
    <row r="12" spans="2:9" x14ac:dyDescent="0.2">
      <c r="B12" s="160"/>
      <c r="I12" s="161"/>
    </row>
    <row r="13" spans="2:9" x14ac:dyDescent="0.2">
      <c r="B13" s="160"/>
      <c r="I13" s="161"/>
    </row>
    <row r="14" spans="2:9" x14ac:dyDescent="0.2">
      <c r="B14" s="160"/>
      <c r="I14" s="161"/>
    </row>
    <row r="15" spans="2:9" x14ac:dyDescent="0.2">
      <c r="B15" s="160"/>
      <c r="I15" s="161"/>
    </row>
    <row r="16" spans="2:9" x14ac:dyDescent="0.2">
      <c r="B16" s="160"/>
      <c r="I16" s="161"/>
    </row>
    <row r="17" spans="2:9" x14ac:dyDescent="0.2">
      <c r="B17" s="160"/>
      <c r="I17" s="161"/>
    </row>
    <row r="18" spans="2:9" x14ac:dyDescent="0.2">
      <c r="B18" s="160"/>
      <c r="I18" s="161"/>
    </row>
    <row r="19" spans="2:9" x14ac:dyDescent="0.2">
      <c r="B19" s="160"/>
      <c r="I19" s="161"/>
    </row>
    <row r="20" spans="2:9" x14ac:dyDescent="0.2">
      <c r="B20" s="160"/>
      <c r="F20" s="5"/>
      <c r="G20" s="5"/>
      <c r="H20" s="5"/>
      <c r="I20" s="161"/>
    </row>
    <row r="21" spans="2:9" x14ac:dyDescent="0.2">
      <c r="B21" s="160"/>
      <c r="F21" s="5"/>
      <c r="G21" s="5"/>
      <c r="H21" s="5"/>
      <c r="I21" s="161"/>
    </row>
    <row r="22" spans="2:9" x14ac:dyDescent="0.2">
      <c r="B22" s="160"/>
      <c r="F22" s="5"/>
      <c r="G22" s="5"/>
      <c r="H22" s="5"/>
      <c r="I22" s="161"/>
    </row>
    <row r="23" spans="2:9" x14ac:dyDescent="0.2">
      <c r="B23" s="160"/>
      <c r="F23" s="5"/>
      <c r="G23" s="5"/>
      <c r="H23" s="5"/>
      <c r="I23" s="161"/>
    </row>
    <row r="24" spans="2:9" x14ac:dyDescent="0.2">
      <c r="B24" s="160"/>
      <c r="F24" s="5"/>
      <c r="G24" s="5"/>
      <c r="H24" s="5"/>
      <c r="I24" s="161"/>
    </row>
    <row r="25" spans="2:9" x14ac:dyDescent="0.2">
      <c r="B25" s="160"/>
      <c r="F25" s="5"/>
      <c r="G25" s="5"/>
      <c r="H25" s="5"/>
      <c r="I25" s="161"/>
    </row>
    <row r="26" spans="2:9" x14ac:dyDescent="0.2">
      <c r="B26" s="160"/>
      <c r="G26" s="5"/>
      <c r="H26" s="5"/>
      <c r="I26" s="161"/>
    </row>
    <row r="27" spans="2:9" x14ac:dyDescent="0.2">
      <c r="B27" s="160"/>
      <c r="C27" s="5"/>
      <c r="D27" s="5"/>
      <c r="E27" s="5"/>
      <c r="F27" s="5"/>
      <c r="G27" s="5"/>
      <c r="H27" s="5"/>
      <c r="I27" s="161"/>
    </row>
    <row r="28" spans="2:9" x14ac:dyDescent="0.2">
      <c r="B28" s="160"/>
      <c r="C28" s="5"/>
      <c r="D28" s="239"/>
      <c r="E28" s="239"/>
      <c r="F28" s="239"/>
      <c r="G28" s="239"/>
      <c r="H28" s="239"/>
      <c r="I28" s="161"/>
    </row>
    <row r="29" spans="2:9" x14ac:dyDescent="0.2">
      <c r="B29" s="160"/>
      <c r="C29" s="167" t="s">
        <v>227</v>
      </c>
      <c r="H29" s="5"/>
      <c r="I29" s="161"/>
    </row>
    <row r="30" spans="2:9" ht="16" x14ac:dyDescent="0.2">
      <c r="B30" s="160"/>
      <c r="C30" s="168" t="s">
        <v>96</v>
      </c>
      <c r="D30" s="169" t="s">
        <v>228</v>
      </c>
      <c r="E30" s="168" t="s">
        <v>229</v>
      </c>
      <c r="F30" s="168" t="s">
        <v>230</v>
      </c>
      <c r="G30" s="168" t="s">
        <v>231</v>
      </c>
      <c r="I30" s="161"/>
    </row>
    <row r="31" spans="2:9" x14ac:dyDescent="0.2">
      <c r="B31" s="160"/>
      <c r="C31" s="56">
        <v>1</v>
      </c>
      <c r="D31" s="170" t="s">
        <v>38</v>
      </c>
      <c r="E31" s="170">
        <v>156.73121546046059</v>
      </c>
      <c r="F31" s="170">
        <v>102.27798313358289</v>
      </c>
      <c r="G31" s="171">
        <v>54.453232326877696</v>
      </c>
      <c r="I31" s="161"/>
    </row>
    <row r="32" spans="2:9" x14ac:dyDescent="0.2">
      <c r="B32" s="160"/>
      <c r="C32" s="56">
        <v>2</v>
      </c>
      <c r="D32" s="170" t="s">
        <v>98</v>
      </c>
      <c r="E32" s="170">
        <v>112.17605870652005</v>
      </c>
      <c r="F32" s="170">
        <v>146.83313988751615</v>
      </c>
      <c r="G32" s="171">
        <v>34.657081180996101</v>
      </c>
      <c r="I32" s="161"/>
    </row>
    <row r="33" spans="2:9" x14ac:dyDescent="0.2">
      <c r="B33" s="160"/>
      <c r="C33" s="56">
        <v>3</v>
      </c>
      <c r="D33" s="170" t="s">
        <v>221</v>
      </c>
      <c r="E33" s="170">
        <v>120.42524870487796</v>
      </c>
      <c r="F33" s="170">
        <v>138.5839498891637</v>
      </c>
      <c r="G33" s="171">
        <v>18.158701184285746</v>
      </c>
      <c r="I33" s="161"/>
    </row>
    <row r="34" spans="2:9" x14ac:dyDescent="0.2">
      <c r="B34" s="160"/>
      <c r="C34" s="56">
        <v>4</v>
      </c>
      <c r="D34" s="170" t="s">
        <v>36</v>
      </c>
      <c r="E34" s="170">
        <v>130.84219531378949</v>
      </c>
      <c r="F34" s="170">
        <v>128.16700328025036</v>
      </c>
      <c r="G34" s="171">
        <v>2.6751920335391333</v>
      </c>
      <c r="I34" s="161"/>
    </row>
    <row r="35" spans="2:9" x14ac:dyDescent="0.2">
      <c r="B35" s="160"/>
      <c r="C35" s="56">
        <v>5</v>
      </c>
      <c r="D35" s="170" t="s">
        <v>220</v>
      </c>
      <c r="E35" s="170">
        <v>129.95285458948456</v>
      </c>
      <c r="F35" s="170">
        <v>129.05634400455529</v>
      </c>
      <c r="G35" s="171">
        <v>0.89651058492927405</v>
      </c>
      <c r="I35" s="161"/>
    </row>
    <row r="36" spans="2:9" x14ac:dyDescent="0.2">
      <c r="B36" s="160"/>
      <c r="I36" s="161"/>
    </row>
    <row r="37" spans="2:9" x14ac:dyDescent="0.2">
      <c r="B37" s="160"/>
      <c r="I37" s="161"/>
    </row>
    <row r="38" spans="2:9" x14ac:dyDescent="0.2">
      <c r="B38" s="160"/>
      <c r="I38" s="161"/>
    </row>
    <row r="39" spans="2:9" ht="16" thickBot="1" x14ac:dyDescent="0.25">
      <c r="B39" s="181"/>
      <c r="C39" s="182"/>
      <c r="D39" s="182"/>
      <c r="E39" s="182"/>
      <c r="F39" s="182"/>
      <c r="G39" s="182"/>
      <c r="H39" s="182"/>
      <c r="I39" s="183"/>
    </row>
  </sheetData>
  <mergeCells count="2">
    <mergeCell ref="E2:G3"/>
    <mergeCell ref="D28:H28"/>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1C4B73-CA8C-4AE4-A2EC-431C446AB7E9}">
  <sheetPr codeName="Sheet21">
    <tabColor rgb="FFCC6600"/>
  </sheetPr>
  <dimension ref="A3:T1041"/>
  <sheetViews>
    <sheetView showGridLines="0" zoomScaleNormal="100" workbookViewId="0"/>
  </sheetViews>
  <sheetFormatPr baseColWidth="10" defaultColWidth="8.83203125" defaultRowHeight="15" x14ac:dyDescent="0.2"/>
  <cols>
    <col min="3" max="3" width="16.5" customWidth="1"/>
    <col min="4" max="4" width="11.83203125" bestFit="1" customWidth="1"/>
    <col min="5" max="5" width="15.5" bestFit="1" customWidth="1"/>
    <col min="6" max="6" width="11.83203125" bestFit="1" customWidth="1"/>
    <col min="7" max="7" width="11.1640625" bestFit="1" customWidth="1"/>
    <col min="8" max="8" width="11.83203125" bestFit="1" customWidth="1"/>
    <col min="9" max="9" width="11.1640625" bestFit="1" customWidth="1"/>
    <col min="10" max="10" width="11.83203125" bestFit="1" customWidth="1"/>
    <col min="11" max="11" width="10.1640625" bestFit="1" customWidth="1"/>
    <col min="12" max="12" width="15" bestFit="1" customWidth="1"/>
    <col min="13" max="13" width="12.83203125" bestFit="1" customWidth="1"/>
    <col min="14" max="14" width="12.83203125" customWidth="1"/>
    <col min="15" max="15" width="15" bestFit="1" customWidth="1"/>
    <col min="16" max="16" width="10.6640625" bestFit="1" customWidth="1"/>
    <col min="24" max="24" width="17.1640625" bestFit="1" customWidth="1"/>
    <col min="25" max="25" width="17.5" customWidth="1"/>
  </cols>
  <sheetData>
    <row r="3" spans="2:20" ht="26" x14ac:dyDescent="0.3">
      <c r="J3" s="85" t="s">
        <v>135</v>
      </c>
    </row>
    <row r="4" spans="2:20" ht="16" thickBot="1" x14ac:dyDescent="0.25"/>
    <row r="5" spans="2:20" ht="16" thickBot="1" x14ac:dyDescent="0.25">
      <c r="B5" s="79"/>
      <c r="C5" s="80"/>
      <c r="D5" s="80"/>
      <c r="E5" s="80"/>
      <c r="F5" s="80"/>
      <c r="G5" s="80"/>
      <c r="H5" s="80"/>
      <c r="I5" s="80"/>
      <c r="J5" s="80"/>
      <c r="K5" s="80"/>
      <c r="L5" s="80"/>
      <c r="M5" s="80"/>
      <c r="N5" s="80"/>
      <c r="O5" s="80"/>
      <c r="P5" s="80"/>
      <c r="Q5" s="80"/>
      <c r="R5" s="80"/>
      <c r="S5" s="81"/>
    </row>
    <row r="6" spans="2:20" x14ac:dyDescent="0.2">
      <c r="B6" s="83"/>
      <c r="T6" s="83"/>
    </row>
    <row r="7" spans="2:20" x14ac:dyDescent="0.2">
      <c r="B7" s="83"/>
      <c r="T7" s="83"/>
    </row>
    <row r="8" spans="2:20" x14ac:dyDescent="0.2">
      <c r="B8" s="83"/>
      <c r="T8" s="83"/>
    </row>
    <row r="9" spans="2:20" x14ac:dyDescent="0.2">
      <c r="B9" s="83"/>
      <c r="T9" s="83"/>
    </row>
    <row r="10" spans="2:20" x14ac:dyDescent="0.2">
      <c r="B10" s="83"/>
      <c r="T10" s="83"/>
    </row>
    <row r="11" spans="2:20" x14ac:dyDescent="0.2">
      <c r="B11" s="83"/>
      <c r="T11" s="83"/>
    </row>
    <row r="12" spans="2:20" x14ac:dyDescent="0.2">
      <c r="B12" s="83"/>
      <c r="T12" s="83"/>
    </row>
    <row r="13" spans="2:20" x14ac:dyDescent="0.2">
      <c r="B13" s="83"/>
      <c r="J13" s="167"/>
      <c r="T13" s="83"/>
    </row>
    <row r="14" spans="2:20" x14ac:dyDescent="0.2">
      <c r="B14" s="83"/>
      <c r="T14" s="83"/>
    </row>
    <row r="15" spans="2:20" x14ac:dyDescent="0.2">
      <c r="B15" s="83"/>
      <c r="T15" s="83"/>
    </row>
    <row r="16" spans="2:20" x14ac:dyDescent="0.2">
      <c r="B16" s="83"/>
      <c r="T16" s="83"/>
    </row>
    <row r="17" spans="2:20" x14ac:dyDescent="0.2">
      <c r="B17" s="83"/>
      <c r="T17" s="83"/>
    </row>
    <row r="18" spans="2:20" x14ac:dyDescent="0.2">
      <c r="B18" s="83"/>
      <c r="T18" s="83"/>
    </row>
    <row r="19" spans="2:20" x14ac:dyDescent="0.2">
      <c r="B19" s="83"/>
      <c r="T19" s="83"/>
    </row>
    <row r="20" spans="2:20" x14ac:dyDescent="0.2">
      <c r="B20" s="83"/>
      <c r="T20" s="83"/>
    </row>
    <row r="21" spans="2:20" x14ac:dyDescent="0.2">
      <c r="B21" s="83"/>
      <c r="T21" s="83"/>
    </row>
    <row r="22" spans="2:20" x14ac:dyDescent="0.2">
      <c r="B22" s="83"/>
      <c r="T22" s="83"/>
    </row>
    <row r="23" spans="2:20" x14ac:dyDescent="0.2">
      <c r="B23" s="83"/>
      <c r="T23" s="83"/>
    </row>
    <row r="24" spans="2:20" x14ac:dyDescent="0.2">
      <c r="B24" s="83"/>
      <c r="T24" s="83"/>
    </row>
    <row r="25" spans="2:20" x14ac:dyDescent="0.2">
      <c r="B25" s="83"/>
      <c r="T25" s="83"/>
    </row>
    <row r="26" spans="2:20" x14ac:dyDescent="0.2">
      <c r="B26" s="83"/>
      <c r="T26" s="83"/>
    </row>
    <row r="27" spans="2:20" x14ac:dyDescent="0.2">
      <c r="B27" s="83"/>
      <c r="T27" s="83"/>
    </row>
    <row r="28" spans="2:20" x14ac:dyDescent="0.2">
      <c r="B28" s="83"/>
      <c r="T28" s="83"/>
    </row>
    <row r="29" spans="2:20" x14ac:dyDescent="0.2">
      <c r="B29" s="83"/>
      <c r="T29" s="83"/>
    </row>
    <row r="30" spans="2:20" x14ac:dyDescent="0.2">
      <c r="B30" s="83"/>
      <c r="T30" s="83"/>
    </row>
    <row r="31" spans="2:20" x14ac:dyDescent="0.2">
      <c r="B31" s="83"/>
      <c r="T31" s="83"/>
    </row>
    <row r="32" spans="2:20" x14ac:dyDescent="0.2">
      <c r="B32" s="83"/>
      <c r="T32" s="83"/>
    </row>
    <row r="33" spans="2:20" x14ac:dyDescent="0.2">
      <c r="B33" s="83"/>
      <c r="T33" s="83"/>
    </row>
    <row r="34" spans="2:20" x14ac:dyDescent="0.2">
      <c r="B34" s="83"/>
      <c r="C34" s="56" t="s">
        <v>137</v>
      </c>
      <c r="D34" s="57">
        <v>1000</v>
      </c>
      <c r="N34" s="154"/>
      <c r="T34" s="83"/>
    </row>
    <row r="35" spans="2:20" x14ac:dyDescent="0.2">
      <c r="B35" s="83"/>
      <c r="C35" s="56" t="s">
        <v>255</v>
      </c>
      <c r="D35" s="56">
        <f t="shared" ref="D35:E35" si="0">AVERAGE(D40:D1039)</f>
        <v>15465.050103735213</v>
      </c>
      <c r="E35" s="56">
        <f t="shared" si="0"/>
        <v>3.2569119035243963</v>
      </c>
      <c r="F35" s="56">
        <f>AVERAGE(F40:F1039)</f>
        <v>15113.945760342134</v>
      </c>
      <c r="G35" s="56">
        <f>AVERAGE(G40:G1039)</f>
        <v>15.011865446125258</v>
      </c>
      <c r="H35" s="56">
        <f t="shared" ref="H35:I35" si="1">AVERAGE(H40:H1039)</f>
        <v>351.10434339308136</v>
      </c>
      <c r="I35" s="56">
        <f t="shared" si="1"/>
        <v>-11.754953542600839</v>
      </c>
      <c r="J35" s="235" t="s">
        <v>143</v>
      </c>
      <c r="K35" s="235"/>
      <c r="T35" s="83"/>
    </row>
    <row r="36" spans="2:20" x14ac:dyDescent="0.2">
      <c r="B36" s="83"/>
      <c r="D36" s="235" t="s">
        <v>249</v>
      </c>
      <c r="E36" s="235"/>
      <c r="F36" s="235" t="s">
        <v>250</v>
      </c>
      <c r="G36" s="235"/>
      <c r="H36" s="235" t="s">
        <v>251</v>
      </c>
      <c r="I36" s="235"/>
      <c r="J36" s="56" t="s">
        <v>249</v>
      </c>
      <c r="K36" s="56" t="s">
        <v>250</v>
      </c>
      <c r="T36" s="83"/>
    </row>
    <row r="37" spans="2:20" x14ac:dyDescent="0.2">
      <c r="B37" s="83"/>
      <c r="C37" s="71" t="s">
        <v>138</v>
      </c>
      <c r="D37" s="56" t="s">
        <v>35</v>
      </c>
      <c r="E37" s="56" t="s">
        <v>139</v>
      </c>
      <c r="F37" s="56" t="s">
        <v>35</v>
      </c>
      <c r="G37" s="56" t="s">
        <v>139</v>
      </c>
      <c r="H37" s="56" t="s">
        <v>140</v>
      </c>
      <c r="I37" s="56" t="s">
        <v>141</v>
      </c>
      <c r="T37" s="83"/>
    </row>
    <row r="38" spans="2:20" x14ac:dyDescent="0.2">
      <c r="B38" s="83"/>
      <c r="C38" s="56" t="s">
        <v>254</v>
      </c>
      <c r="D38" s="56">
        <f>pf_cost_CHG_T1</f>
        <v>15182.996242719481</v>
      </c>
      <c r="E38" s="185">
        <f>pf_CRBSI_redu_CHG_T1</f>
        <v>3.2119914346895064</v>
      </c>
      <c r="F38" s="56">
        <f>pf_cost_PVI_T1</f>
        <v>15053.491643422463</v>
      </c>
      <c r="G38" s="56">
        <f>pf_CRBSI_redu_PVI_T1</f>
        <v>14.973262032085563</v>
      </c>
      <c r="H38" s="56">
        <f>D38-F38</f>
        <v>129.50459929701719</v>
      </c>
      <c r="I38" s="56">
        <f>E38-G38</f>
        <v>-11.761270597396056</v>
      </c>
      <c r="J38" s="56">
        <f>E38*WTP-D38</f>
        <v>117870.53694785862</v>
      </c>
      <c r="K38" s="56">
        <f>G38*WTP-F38</f>
        <v>605198.91477368982</v>
      </c>
      <c r="T38" s="83"/>
    </row>
    <row r="39" spans="2:20" x14ac:dyDescent="0.2">
      <c r="B39" s="83"/>
      <c r="C39" t="s">
        <v>142</v>
      </c>
      <c r="T39" s="83"/>
    </row>
    <row r="40" spans="2:20" x14ac:dyDescent="0.2">
      <c r="B40" s="83"/>
      <c r="C40" s="56" cm="1">
        <f t="array" ref="C40:C1039">_xlfn.SEQUENCE(1000)</f>
        <v>1</v>
      </c>
      <c r="D40" s="56">
        <v>20967.973159282603</v>
      </c>
      <c r="E40" s="56">
        <v>3.7738296183939881</v>
      </c>
      <c r="F40" s="56">
        <v>16984.158969716882</v>
      </c>
      <c r="G40" s="56">
        <v>14.239641422610548</v>
      </c>
      <c r="H40" s="56">
        <f t="shared" ref="H40:H103" si="2">IF($C40&lt;=No_of_iterations_PSA,D40-$F40,"")</f>
        <v>3983.8141895657209</v>
      </c>
      <c r="I40" s="56">
        <f t="shared" ref="I40:I103" si="3">IF($C40&lt;=No_of_iterations_PSA,E40-$G40,"")</f>
        <v>-10.46581180421656</v>
      </c>
      <c r="J40" s="56">
        <f t="shared" ref="J40:J103" si="4">IF($C40&lt;=No_of_iterations_PSA,E40*WTP-D40,"")</f>
        <v>135359.14495306995</v>
      </c>
      <c r="K40" s="56">
        <f t="shared" ref="K40:K103" si="5">IF($C40&lt;=No_of_iterations_PSA,G40*WTP-F40,"")</f>
        <v>572878.74732050253</v>
      </c>
      <c r="T40" s="83"/>
    </row>
    <row r="41" spans="2:20" x14ac:dyDescent="0.2">
      <c r="B41" s="83"/>
      <c r="C41" s="56">
        <v>2</v>
      </c>
      <c r="D41" s="56">
        <v>15810.787967822436</v>
      </c>
      <c r="E41" s="56">
        <v>3.2166399460389359</v>
      </c>
      <c r="F41" s="56">
        <v>17160.734850274737</v>
      </c>
      <c r="G41" s="56">
        <v>19.312979716691068</v>
      </c>
      <c r="H41" s="56">
        <f t="shared" si="2"/>
        <v>-1349.946882452301</v>
      </c>
      <c r="I41" s="56">
        <f t="shared" si="3"/>
        <v>-16.096339770652133</v>
      </c>
      <c r="J41" s="56">
        <f t="shared" si="4"/>
        <v>117435.30515689445</v>
      </c>
      <c r="K41" s="56">
        <f t="shared" si="5"/>
        <v>782860.13693393604</v>
      </c>
      <c r="T41" s="83"/>
    </row>
    <row r="42" spans="2:20" x14ac:dyDescent="0.2">
      <c r="B42" s="83"/>
      <c r="C42" s="56">
        <v>3</v>
      </c>
      <c r="D42" s="56">
        <v>10300.949792820787</v>
      </c>
      <c r="E42" s="56">
        <v>2.0460046949175581</v>
      </c>
      <c r="F42" s="56">
        <v>15301.094392988827</v>
      </c>
      <c r="G42" s="56">
        <v>14.322159068176788</v>
      </c>
      <c r="H42" s="56">
        <f t="shared" si="2"/>
        <v>-5000.1446001680397</v>
      </c>
      <c r="I42" s="56">
        <f t="shared" si="3"/>
        <v>-12.27615437325923</v>
      </c>
      <c r="J42" s="56">
        <f t="shared" si="4"/>
        <v>74452.748689444139</v>
      </c>
      <c r="K42" s="56">
        <f t="shared" si="5"/>
        <v>577980.0228471664</v>
      </c>
      <c r="T42" s="83"/>
    </row>
    <row r="43" spans="2:20" x14ac:dyDescent="0.2">
      <c r="B43" s="83"/>
      <c r="C43" s="56">
        <v>4</v>
      </c>
      <c r="D43" s="56">
        <v>14069.796477133812</v>
      </c>
      <c r="E43" s="56">
        <v>2.6186754047191725</v>
      </c>
      <c r="F43" s="56">
        <v>15666.26954676149</v>
      </c>
      <c r="G43" s="56">
        <v>17.259195505784398</v>
      </c>
      <c r="H43" s="56">
        <f t="shared" si="2"/>
        <v>-1596.4730696276783</v>
      </c>
      <c r="I43" s="56">
        <f t="shared" si="3"/>
        <v>-14.640520101065224</v>
      </c>
      <c r="J43" s="56">
        <f t="shared" si="4"/>
        <v>94406.21348795318</v>
      </c>
      <c r="K43" s="56">
        <f t="shared" si="5"/>
        <v>699278.64508485131</v>
      </c>
      <c r="T43" s="83"/>
    </row>
    <row r="44" spans="2:20" x14ac:dyDescent="0.2">
      <c r="B44" s="83"/>
      <c r="C44" s="56">
        <v>5</v>
      </c>
      <c r="D44" s="56">
        <v>18030.578736012263</v>
      </c>
      <c r="E44" s="56">
        <v>3.4119019104882868</v>
      </c>
      <c r="F44" s="56">
        <v>16621.862747397969</v>
      </c>
      <c r="G44" s="56">
        <v>15.21637057753928</v>
      </c>
      <c r="H44" s="56">
        <f t="shared" si="2"/>
        <v>1408.7159886142945</v>
      </c>
      <c r="I44" s="56">
        <f t="shared" si="3"/>
        <v>-11.804468667050994</v>
      </c>
      <c r="J44" s="56">
        <f t="shared" si="4"/>
        <v>123304.04600405453</v>
      </c>
      <c r="K44" s="56">
        <f t="shared" si="5"/>
        <v>613701.07205658918</v>
      </c>
      <c r="T44" s="83"/>
    </row>
    <row r="45" spans="2:20" x14ac:dyDescent="0.2">
      <c r="B45" s="83"/>
      <c r="C45" s="56">
        <v>6</v>
      </c>
      <c r="D45" s="56">
        <v>17448.897454357371</v>
      </c>
      <c r="E45" s="56">
        <v>3.3511619578004348</v>
      </c>
      <c r="F45" s="56">
        <v>10712.848683221473</v>
      </c>
      <c r="G45" s="56">
        <v>9.5456303637193916</v>
      </c>
      <c r="H45" s="56">
        <f t="shared" si="2"/>
        <v>6736.0487711358983</v>
      </c>
      <c r="I45" s="56">
        <f t="shared" si="3"/>
        <v>-6.1944684059189568</v>
      </c>
      <c r="J45" s="56">
        <f t="shared" si="4"/>
        <v>121369.63548556784</v>
      </c>
      <c r="K45" s="56">
        <f t="shared" si="5"/>
        <v>384705.34350349056</v>
      </c>
      <c r="T45" s="83"/>
    </row>
    <row r="46" spans="2:20" x14ac:dyDescent="0.2">
      <c r="B46" s="83"/>
      <c r="C46" s="56">
        <v>7</v>
      </c>
      <c r="D46" s="56">
        <v>23490.535074345527</v>
      </c>
      <c r="E46" s="56">
        <v>4.0456184503607933</v>
      </c>
      <c r="F46" s="56">
        <v>12506.629513294782</v>
      </c>
      <c r="G46" s="56">
        <v>9.9079637754427932</v>
      </c>
      <c r="H46" s="56">
        <f t="shared" si="2"/>
        <v>10983.905561050746</v>
      </c>
      <c r="I46" s="56">
        <f t="shared" si="3"/>
        <v>-5.8623453250819999</v>
      </c>
      <c r="J46" s="56">
        <f t="shared" si="4"/>
        <v>144095.16361339996</v>
      </c>
      <c r="K46" s="56">
        <f t="shared" si="5"/>
        <v>397920.8619206475</v>
      </c>
      <c r="T46" s="83"/>
    </row>
    <row r="47" spans="2:20" x14ac:dyDescent="0.2">
      <c r="B47" s="83"/>
      <c r="C47" s="56">
        <v>8</v>
      </c>
      <c r="D47" s="56">
        <v>11404.192935646652</v>
      </c>
      <c r="E47" s="56">
        <v>2.7311866635170192</v>
      </c>
      <c r="F47" s="56">
        <v>15954.342780086441</v>
      </c>
      <c r="G47" s="56">
        <v>19.797236404507249</v>
      </c>
      <c r="H47" s="56">
        <f t="shared" si="2"/>
        <v>-4550.1498444397894</v>
      </c>
      <c r="I47" s="56">
        <f t="shared" si="3"/>
        <v>-17.066049740990231</v>
      </c>
      <c r="J47" s="56">
        <f t="shared" si="4"/>
        <v>101732.48341388235</v>
      </c>
      <c r="K47" s="56">
        <f t="shared" si="5"/>
        <v>804126.37804022187</v>
      </c>
      <c r="T47" s="83"/>
    </row>
    <row r="48" spans="2:20" x14ac:dyDescent="0.2">
      <c r="B48" s="83"/>
      <c r="C48" s="56">
        <v>9</v>
      </c>
      <c r="D48" s="56">
        <v>15307.367310557827</v>
      </c>
      <c r="E48" s="56">
        <v>2.2630847212021878</v>
      </c>
      <c r="F48" s="56">
        <v>16501.216160409323</v>
      </c>
      <c r="G48" s="56">
        <v>14.194866671425569</v>
      </c>
      <c r="H48" s="56">
        <f t="shared" si="2"/>
        <v>-1193.8488498514962</v>
      </c>
      <c r="I48" s="56">
        <f t="shared" si="3"/>
        <v>-11.931781950223382</v>
      </c>
      <c r="J48" s="56">
        <f t="shared" si="4"/>
        <v>78438.654180521611</v>
      </c>
      <c r="K48" s="56">
        <f t="shared" si="5"/>
        <v>571506.94083672354</v>
      </c>
      <c r="T48" s="83"/>
    </row>
    <row r="49" spans="2:20" x14ac:dyDescent="0.2">
      <c r="B49" s="83"/>
      <c r="C49" s="56">
        <v>10</v>
      </c>
      <c r="D49" s="56">
        <v>16468.570863677036</v>
      </c>
      <c r="E49" s="56">
        <v>5.4555625642290497</v>
      </c>
      <c r="F49" s="56">
        <v>7738.9663062478758</v>
      </c>
      <c r="G49" s="56">
        <v>10.736502855475697</v>
      </c>
      <c r="H49" s="56">
        <f t="shared" si="2"/>
        <v>8729.6045574291602</v>
      </c>
      <c r="I49" s="56">
        <f t="shared" si="3"/>
        <v>-5.2809402912466474</v>
      </c>
      <c r="J49" s="56">
        <f t="shared" si="4"/>
        <v>209522.65279694711</v>
      </c>
      <c r="K49" s="56">
        <f t="shared" si="5"/>
        <v>437009.92797897739</v>
      </c>
      <c r="T49" s="83"/>
    </row>
    <row r="50" spans="2:20" x14ac:dyDescent="0.2">
      <c r="B50" s="83"/>
      <c r="C50" s="56">
        <v>11</v>
      </c>
      <c r="D50" s="56">
        <v>18306.991159283458</v>
      </c>
      <c r="E50" s="56">
        <v>2.8385262346937323</v>
      </c>
      <c r="F50" s="56">
        <v>15975.163986547355</v>
      </c>
      <c r="G50" s="56">
        <v>13.095977910279046</v>
      </c>
      <c r="H50" s="56">
        <f t="shared" si="2"/>
        <v>2331.8271727361025</v>
      </c>
      <c r="I50" s="56">
        <f t="shared" si="3"/>
        <v>-10.257451675585314</v>
      </c>
      <c r="J50" s="56">
        <f t="shared" si="4"/>
        <v>99276.119586669709</v>
      </c>
      <c r="K50" s="56">
        <f t="shared" si="5"/>
        <v>526512.6249688518</v>
      </c>
      <c r="T50" s="83"/>
    </row>
    <row r="51" spans="2:20" x14ac:dyDescent="0.2">
      <c r="B51" s="83"/>
      <c r="C51" s="56">
        <v>12</v>
      </c>
      <c r="D51" s="56">
        <v>16670.621161740426</v>
      </c>
      <c r="E51" s="56">
        <v>3.3737501375970078</v>
      </c>
      <c r="F51" s="56">
        <v>18243.061291377722</v>
      </c>
      <c r="G51" s="56">
        <v>19.170018353816076</v>
      </c>
      <c r="H51" s="56">
        <f t="shared" si="2"/>
        <v>-1572.4401296372962</v>
      </c>
      <c r="I51" s="56">
        <f t="shared" si="3"/>
        <v>-15.796268216219069</v>
      </c>
      <c r="J51" s="56">
        <f t="shared" si="4"/>
        <v>123083.60453807804</v>
      </c>
      <c r="K51" s="56">
        <f t="shared" si="5"/>
        <v>775855.77899709938</v>
      </c>
      <c r="T51" s="83"/>
    </row>
    <row r="52" spans="2:20" x14ac:dyDescent="0.2">
      <c r="B52" s="83"/>
      <c r="C52" s="56">
        <v>13</v>
      </c>
      <c r="D52" s="56">
        <v>13693.055493033931</v>
      </c>
      <c r="E52" s="56">
        <v>2.5179954144777423</v>
      </c>
      <c r="F52" s="56">
        <v>15332.345821393572</v>
      </c>
      <c r="G52" s="56">
        <v>12.727004631347336</v>
      </c>
      <c r="H52" s="56">
        <f t="shared" si="2"/>
        <v>-1639.2903283596406</v>
      </c>
      <c r="I52" s="56">
        <f t="shared" si="3"/>
        <v>-10.209009216869594</v>
      </c>
      <c r="J52" s="56">
        <f t="shared" si="4"/>
        <v>90612.386556292069</v>
      </c>
      <c r="K52" s="56">
        <f t="shared" si="5"/>
        <v>511871.09402753849</v>
      </c>
      <c r="T52" s="83"/>
    </row>
    <row r="53" spans="2:20" x14ac:dyDescent="0.2">
      <c r="B53" s="83"/>
      <c r="C53" s="56">
        <v>14</v>
      </c>
      <c r="D53" s="56">
        <v>18941.518568263535</v>
      </c>
      <c r="E53" s="56">
        <v>4.2465641565064303</v>
      </c>
      <c r="F53" s="56">
        <v>20450.066918763423</v>
      </c>
      <c r="G53" s="56">
        <v>22.860828048800354</v>
      </c>
      <c r="H53" s="56">
        <f t="shared" si="2"/>
        <v>-1508.5483504998883</v>
      </c>
      <c r="I53" s="56">
        <f t="shared" si="3"/>
        <v>-18.614263892293923</v>
      </c>
      <c r="J53" s="56">
        <f t="shared" si="4"/>
        <v>156968.15505085883</v>
      </c>
      <c r="K53" s="56">
        <f t="shared" si="5"/>
        <v>926536.87417474238</v>
      </c>
      <c r="T53" s="83"/>
    </row>
    <row r="54" spans="2:20" x14ac:dyDescent="0.2">
      <c r="B54" s="83"/>
      <c r="C54" s="56">
        <v>15</v>
      </c>
      <c r="D54" s="56">
        <v>15428.159772853112</v>
      </c>
      <c r="E54" s="56">
        <v>3.7836183870765505</v>
      </c>
      <c r="F54" s="56">
        <v>15602.505144215816</v>
      </c>
      <c r="G54" s="56">
        <v>16.375205646592352</v>
      </c>
      <c r="H54" s="56">
        <f t="shared" si="2"/>
        <v>-174.3453713627041</v>
      </c>
      <c r="I54" s="56">
        <f t="shared" si="3"/>
        <v>-12.591587259515801</v>
      </c>
      <c r="J54" s="56">
        <f t="shared" si="4"/>
        <v>141304.44829340593</v>
      </c>
      <c r="K54" s="56">
        <f t="shared" si="5"/>
        <v>662724.01356022584</v>
      </c>
      <c r="T54" s="83"/>
    </row>
    <row r="55" spans="2:20" x14ac:dyDescent="0.2">
      <c r="B55" s="83"/>
      <c r="C55" s="56">
        <v>16</v>
      </c>
      <c r="D55" s="56">
        <v>11005.294974413564</v>
      </c>
      <c r="E55" s="56">
        <v>1.960282763057654</v>
      </c>
      <c r="F55" s="56">
        <v>12083.398833138355</v>
      </c>
      <c r="G55" s="56">
        <v>11.758543875664474</v>
      </c>
      <c r="H55" s="56">
        <f t="shared" si="2"/>
        <v>-1078.1038587247913</v>
      </c>
      <c r="I55" s="56">
        <f t="shared" si="3"/>
        <v>-9.79826111260682</v>
      </c>
      <c r="J55" s="56">
        <f t="shared" si="4"/>
        <v>70197.458202486698</v>
      </c>
      <c r="K55" s="56">
        <f t="shared" si="5"/>
        <v>475002.52267238684</v>
      </c>
      <c r="T55" s="83"/>
    </row>
    <row r="56" spans="2:20" x14ac:dyDescent="0.2">
      <c r="B56" s="83"/>
      <c r="C56" s="56">
        <v>17</v>
      </c>
      <c r="D56" s="56">
        <v>8359.0487837684996</v>
      </c>
      <c r="E56" s="56">
        <v>1.9586274090933329</v>
      </c>
      <c r="F56" s="56">
        <v>22260.955005512318</v>
      </c>
      <c r="G56" s="56">
        <v>21.874873528239732</v>
      </c>
      <c r="H56" s="56">
        <f t="shared" si="2"/>
        <v>-13901.906221743819</v>
      </c>
      <c r="I56" s="56">
        <f t="shared" si="3"/>
        <v>-19.9162461191464</v>
      </c>
      <c r="J56" s="56">
        <f t="shared" si="4"/>
        <v>72775.133010513731</v>
      </c>
      <c r="K56" s="56">
        <f t="shared" si="5"/>
        <v>883883.8060282903</v>
      </c>
      <c r="T56" s="83"/>
    </row>
    <row r="57" spans="2:20" x14ac:dyDescent="0.2">
      <c r="B57" s="83"/>
      <c r="C57" s="56">
        <v>18</v>
      </c>
      <c r="D57" s="56">
        <v>20176.65679270339</v>
      </c>
      <c r="E57" s="56">
        <v>4.1144040812204352</v>
      </c>
      <c r="F57" s="56">
        <v>15223.024361331629</v>
      </c>
      <c r="G57" s="56">
        <v>13.781058684674441</v>
      </c>
      <c r="H57" s="56">
        <f t="shared" si="2"/>
        <v>4953.6324313717614</v>
      </c>
      <c r="I57" s="56">
        <f t="shared" si="3"/>
        <v>-9.6666546034540062</v>
      </c>
      <c r="J57" s="56">
        <f t="shared" si="4"/>
        <v>150258.41786777193</v>
      </c>
      <c r="K57" s="56">
        <f t="shared" si="5"/>
        <v>555643.55059262249</v>
      </c>
      <c r="T57" s="83"/>
    </row>
    <row r="58" spans="2:20" x14ac:dyDescent="0.2">
      <c r="B58" s="83"/>
      <c r="C58" s="56">
        <v>19</v>
      </c>
      <c r="D58" s="56">
        <v>10914.193548918072</v>
      </c>
      <c r="E58" s="56">
        <v>2.1909925250365143</v>
      </c>
      <c r="F58" s="56">
        <v>14760.237991285418</v>
      </c>
      <c r="G58" s="56">
        <v>16.333759831288354</v>
      </c>
      <c r="H58" s="56">
        <f t="shared" si="2"/>
        <v>-3846.0444423673453</v>
      </c>
      <c r="I58" s="56">
        <f t="shared" si="3"/>
        <v>-14.142767306251841</v>
      </c>
      <c r="J58" s="56">
        <f t="shared" si="4"/>
        <v>79845.480808194494</v>
      </c>
      <c r="K58" s="56">
        <f t="shared" si="5"/>
        <v>661849.42926000338</v>
      </c>
      <c r="T58" s="83"/>
    </row>
    <row r="59" spans="2:20" x14ac:dyDescent="0.2">
      <c r="B59" s="83"/>
      <c r="C59" s="56">
        <v>20</v>
      </c>
      <c r="D59" s="56">
        <v>17488.361179538926</v>
      </c>
      <c r="E59" s="56">
        <v>3.9799486563561493</v>
      </c>
      <c r="F59" s="56">
        <v>16874.913815525899</v>
      </c>
      <c r="G59" s="56">
        <v>18.017807979910501</v>
      </c>
      <c r="H59" s="56">
        <f t="shared" si="2"/>
        <v>613.44736401302725</v>
      </c>
      <c r="I59" s="56">
        <f t="shared" si="3"/>
        <v>-14.037859323554351</v>
      </c>
      <c r="J59" s="56">
        <f t="shared" si="4"/>
        <v>147377.03196135821</v>
      </c>
      <c r="K59" s="56">
        <f t="shared" si="5"/>
        <v>729494.76394428662</v>
      </c>
      <c r="T59" s="83"/>
    </row>
    <row r="60" spans="2:20" x14ac:dyDescent="0.2">
      <c r="B60" s="83"/>
      <c r="C60" s="56">
        <v>21</v>
      </c>
      <c r="D60" s="56">
        <v>19444.170077928047</v>
      </c>
      <c r="E60" s="56">
        <v>3.7096517536839486</v>
      </c>
      <c r="F60" s="56">
        <v>9630.7983624951812</v>
      </c>
      <c r="G60" s="56">
        <v>8.2780496263417085</v>
      </c>
      <c r="H60" s="56">
        <f t="shared" si="2"/>
        <v>9813.371715432866</v>
      </c>
      <c r="I60" s="56">
        <f t="shared" si="3"/>
        <v>-4.5683978726577603</v>
      </c>
      <c r="J60" s="56">
        <f t="shared" si="4"/>
        <v>134224.44416667585</v>
      </c>
      <c r="K60" s="56">
        <f t="shared" si="5"/>
        <v>333279.12935908372</v>
      </c>
      <c r="T60" s="83"/>
    </row>
    <row r="61" spans="2:20" x14ac:dyDescent="0.2">
      <c r="B61" s="83"/>
      <c r="C61" s="56">
        <v>22</v>
      </c>
      <c r="D61" s="56">
        <v>15109.20620071558</v>
      </c>
      <c r="E61" s="56">
        <v>3.3673595382075199</v>
      </c>
      <c r="F61" s="56">
        <v>18689.01854341348</v>
      </c>
      <c r="G61" s="56">
        <v>17.736811006932356</v>
      </c>
      <c r="H61" s="56">
        <f t="shared" si="2"/>
        <v>-3579.8123426979</v>
      </c>
      <c r="I61" s="56">
        <f t="shared" si="3"/>
        <v>-14.369451468724836</v>
      </c>
      <c r="J61" s="56">
        <f t="shared" si="4"/>
        <v>124380.29530999273</v>
      </c>
      <c r="K61" s="56">
        <f t="shared" si="5"/>
        <v>716040.64060775249</v>
      </c>
      <c r="T61" s="83"/>
    </row>
    <row r="62" spans="2:20" x14ac:dyDescent="0.2">
      <c r="B62" s="83"/>
      <c r="C62" s="56">
        <v>23</v>
      </c>
      <c r="D62" s="56">
        <v>18126.160729140556</v>
      </c>
      <c r="E62" s="56">
        <v>3.8242224274927041</v>
      </c>
      <c r="F62" s="56">
        <v>11726.814436093982</v>
      </c>
      <c r="G62" s="56">
        <v>8.5035221293191867</v>
      </c>
      <c r="H62" s="56">
        <f t="shared" si="2"/>
        <v>6399.3462930465739</v>
      </c>
      <c r="I62" s="56">
        <f t="shared" si="3"/>
        <v>-4.6792997018264826</v>
      </c>
      <c r="J62" s="56">
        <f t="shared" si="4"/>
        <v>140288.42910731721</v>
      </c>
      <c r="K62" s="56">
        <f t="shared" si="5"/>
        <v>340523.08624882402</v>
      </c>
      <c r="T62" s="83"/>
    </row>
    <row r="63" spans="2:20" x14ac:dyDescent="0.2">
      <c r="B63" s="83"/>
      <c r="C63" s="56">
        <v>24</v>
      </c>
      <c r="D63" s="56">
        <v>18232.715504075099</v>
      </c>
      <c r="E63" s="56">
        <v>4.2572272750763238</v>
      </c>
      <c r="F63" s="56">
        <v>16099.523575415464</v>
      </c>
      <c r="G63" s="56">
        <v>14.560348723704504</v>
      </c>
      <c r="H63" s="56">
        <f t="shared" si="2"/>
        <v>2133.1919286596349</v>
      </c>
      <c r="I63" s="56">
        <f t="shared" si="3"/>
        <v>-10.303121448628179</v>
      </c>
      <c r="J63" s="56">
        <f t="shared" si="4"/>
        <v>158118.66713868652</v>
      </c>
      <c r="K63" s="56">
        <f t="shared" si="5"/>
        <v>587048.36195531988</v>
      </c>
      <c r="T63" s="83"/>
    </row>
    <row r="64" spans="2:20" x14ac:dyDescent="0.2">
      <c r="B64" s="83"/>
      <c r="C64" s="56">
        <v>25</v>
      </c>
      <c r="D64" s="56">
        <v>21952.320930347214</v>
      </c>
      <c r="E64" s="56">
        <v>4.2654071921515877</v>
      </c>
      <c r="F64" s="56">
        <v>21197.362044370431</v>
      </c>
      <c r="G64" s="56">
        <v>20.858624914310123</v>
      </c>
      <c r="H64" s="56">
        <f t="shared" si="2"/>
        <v>754.95888597678277</v>
      </c>
      <c r="I64" s="56">
        <f t="shared" si="3"/>
        <v>-16.593217722158535</v>
      </c>
      <c r="J64" s="56">
        <f t="shared" si="4"/>
        <v>154737.90659734013</v>
      </c>
      <c r="K64" s="56">
        <f t="shared" si="5"/>
        <v>842850.31640601216</v>
      </c>
      <c r="T64" s="83"/>
    </row>
    <row r="65" spans="2:20" x14ac:dyDescent="0.2">
      <c r="B65" s="83"/>
      <c r="C65" s="56">
        <v>26</v>
      </c>
      <c r="D65" s="56">
        <v>20249.990554790136</v>
      </c>
      <c r="E65" s="56">
        <v>4.717613175603443</v>
      </c>
      <c r="F65" s="56">
        <v>9025.8551017873506</v>
      </c>
      <c r="G65" s="56">
        <v>10.021241755685519</v>
      </c>
      <c r="H65" s="56">
        <f t="shared" si="2"/>
        <v>11224.135453002786</v>
      </c>
      <c r="I65" s="56">
        <f t="shared" si="3"/>
        <v>-5.3036285800820764</v>
      </c>
      <c r="J65" s="56">
        <f t="shared" si="4"/>
        <v>175172.41763140689</v>
      </c>
      <c r="K65" s="56">
        <f t="shared" si="5"/>
        <v>406094.06338572956</v>
      </c>
      <c r="T65" s="83"/>
    </row>
    <row r="66" spans="2:20" x14ac:dyDescent="0.2">
      <c r="B66" s="83"/>
      <c r="C66" s="56">
        <v>27</v>
      </c>
      <c r="D66" s="56">
        <v>9760.2963045906854</v>
      </c>
      <c r="E66" s="56">
        <v>1.9889912612657543</v>
      </c>
      <c r="F66" s="56">
        <v>15481.558032939396</v>
      </c>
      <c r="G66" s="56">
        <v>19.999746159765234</v>
      </c>
      <c r="H66" s="56">
        <f t="shared" si="2"/>
        <v>-5721.2617283487107</v>
      </c>
      <c r="I66" s="56">
        <f t="shared" si="3"/>
        <v>-18.010754898499478</v>
      </c>
      <c r="J66" s="56">
        <f t="shared" si="4"/>
        <v>72631.677702081928</v>
      </c>
      <c r="K66" s="56">
        <f t="shared" si="5"/>
        <v>812987.92688917567</v>
      </c>
      <c r="T66" s="83"/>
    </row>
    <row r="67" spans="2:20" x14ac:dyDescent="0.2">
      <c r="B67" s="83"/>
      <c r="C67" s="56">
        <v>28</v>
      </c>
      <c r="D67" s="56">
        <v>15234.044573765908</v>
      </c>
      <c r="E67" s="56">
        <v>3.4896611009744078</v>
      </c>
      <c r="F67" s="56">
        <v>14145.956494552438</v>
      </c>
      <c r="G67" s="56">
        <v>12.107875082162527</v>
      </c>
      <c r="H67" s="56">
        <f t="shared" si="2"/>
        <v>1088.0880792134703</v>
      </c>
      <c r="I67" s="56">
        <f t="shared" si="3"/>
        <v>-8.61821398118812</v>
      </c>
      <c r="J67" s="56">
        <f t="shared" si="4"/>
        <v>129321.67687299797</v>
      </c>
      <c r="K67" s="56">
        <f t="shared" si="5"/>
        <v>487410.66090894811</v>
      </c>
      <c r="T67" s="83"/>
    </row>
    <row r="68" spans="2:20" x14ac:dyDescent="0.2">
      <c r="B68" s="83"/>
      <c r="C68" s="56">
        <v>29</v>
      </c>
      <c r="D68" s="56">
        <v>16651.315562334094</v>
      </c>
      <c r="E68" s="56">
        <v>3.4196156715451895</v>
      </c>
      <c r="F68" s="56">
        <v>10865.096558359704</v>
      </c>
      <c r="G68" s="56">
        <v>9.7772635189031387</v>
      </c>
      <c r="H68" s="56">
        <f t="shared" si="2"/>
        <v>5786.2190039743891</v>
      </c>
      <c r="I68" s="56">
        <f t="shared" si="3"/>
        <v>-6.3576478473579492</v>
      </c>
      <c r="J68" s="56">
        <f t="shared" si="4"/>
        <v>125002.84401575386</v>
      </c>
      <c r="K68" s="56">
        <f t="shared" si="5"/>
        <v>394148.26744868391</v>
      </c>
      <c r="T68" s="83"/>
    </row>
    <row r="69" spans="2:20" x14ac:dyDescent="0.2">
      <c r="B69" s="83"/>
      <c r="C69" s="56">
        <v>30</v>
      </c>
      <c r="D69" s="56">
        <v>20299.600228138868</v>
      </c>
      <c r="E69" s="56">
        <v>4.3501958683408777</v>
      </c>
      <c r="F69" s="56">
        <v>17492.120765220687</v>
      </c>
      <c r="G69" s="56">
        <v>18.056354513999704</v>
      </c>
      <c r="H69" s="56">
        <f t="shared" si="2"/>
        <v>2807.4794629181815</v>
      </c>
      <c r="I69" s="56">
        <f t="shared" si="3"/>
        <v>-13.706158645658826</v>
      </c>
      <c r="J69" s="56">
        <f t="shared" si="4"/>
        <v>159902.91342201363</v>
      </c>
      <c r="K69" s="56">
        <f t="shared" si="5"/>
        <v>730474.30862270296</v>
      </c>
      <c r="T69" s="83"/>
    </row>
    <row r="70" spans="2:20" x14ac:dyDescent="0.2">
      <c r="B70" s="83"/>
      <c r="C70" s="56">
        <v>31</v>
      </c>
      <c r="D70" s="56">
        <v>19069.210677720213</v>
      </c>
      <c r="E70" s="56">
        <v>3.053227042556462</v>
      </c>
      <c r="F70" s="56">
        <v>17069.417109206588</v>
      </c>
      <c r="G70" s="56">
        <v>13.620991962835319</v>
      </c>
      <c r="H70" s="56">
        <f t="shared" si="2"/>
        <v>1999.7935685136254</v>
      </c>
      <c r="I70" s="56">
        <f t="shared" si="3"/>
        <v>-10.567764920278858</v>
      </c>
      <c r="J70" s="56">
        <f t="shared" si="4"/>
        <v>107407.66633313867</v>
      </c>
      <c r="K70" s="56">
        <f t="shared" si="5"/>
        <v>547166.55395928374</v>
      </c>
      <c r="T70" s="83"/>
    </row>
    <row r="71" spans="2:20" x14ac:dyDescent="0.2">
      <c r="B71" s="83"/>
      <c r="C71" s="56">
        <v>32</v>
      </c>
      <c r="D71" s="56">
        <v>13862.477050142741</v>
      </c>
      <c r="E71" s="56">
        <v>2.0688866645670063</v>
      </c>
      <c r="F71" s="56">
        <v>13059.888582575284</v>
      </c>
      <c r="G71" s="56">
        <v>12.613992119043077</v>
      </c>
      <c r="H71" s="56">
        <f t="shared" si="2"/>
        <v>802.58846756745697</v>
      </c>
      <c r="I71" s="56">
        <f t="shared" si="3"/>
        <v>-10.545105454476071</v>
      </c>
      <c r="J71" s="56">
        <f t="shared" si="4"/>
        <v>71839.084142880922</v>
      </c>
      <c r="K71" s="56">
        <f t="shared" si="5"/>
        <v>509462.12095666514</v>
      </c>
      <c r="T71" s="83"/>
    </row>
    <row r="72" spans="2:20" x14ac:dyDescent="0.2">
      <c r="B72" s="83"/>
      <c r="C72" s="56">
        <v>33</v>
      </c>
      <c r="D72" s="56">
        <v>13117.043015127012</v>
      </c>
      <c r="E72" s="56">
        <v>2.6476627113102529</v>
      </c>
      <c r="F72" s="56">
        <v>11838.171858490741</v>
      </c>
      <c r="G72" s="56">
        <v>12.091091747605892</v>
      </c>
      <c r="H72" s="56">
        <f t="shared" si="2"/>
        <v>1278.8711566362708</v>
      </c>
      <c r="I72" s="56">
        <f t="shared" si="3"/>
        <v>-9.4434290362956403</v>
      </c>
      <c r="J72" s="56">
        <f t="shared" si="4"/>
        <v>96559.73713818891</v>
      </c>
      <c r="K72" s="56">
        <f t="shared" si="5"/>
        <v>489023.21269433573</v>
      </c>
      <c r="T72" s="83"/>
    </row>
    <row r="73" spans="2:20" x14ac:dyDescent="0.2">
      <c r="B73" s="83"/>
      <c r="C73" s="56">
        <v>34</v>
      </c>
      <c r="D73" s="56">
        <v>13066.620120880994</v>
      </c>
      <c r="E73" s="56">
        <v>2.3945389137544382</v>
      </c>
      <c r="F73" s="56">
        <v>17744.905707804257</v>
      </c>
      <c r="G73" s="56">
        <v>17.819995644211055</v>
      </c>
      <c r="H73" s="56">
        <f t="shared" si="2"/>
        <v>-4678.2855869232626</v>
      </c>
      <c r="I73" s="56">
        <f t="shared" si="3"/>
        <v>-15.425456730456617</v>
      </c>
      <c r="J73" s="56">
        <f t="shared" si="4"/>
        <v>86124.759842482847</v>
      </c>
      <c r="K73" s="56">
        <f t="shared" si="5"/>
        <v>720430.59385799454</v>
      </c>
      <c r="T73" s="83"/>
    </row>
    <row r="74" spans="2:20" x14ac:dyDescent="0.2">
      <c r="B74" s="83"/>
      <c r="C74" s="56">
        <v>35</v>
      </c>
      <c r="D74" s="56">
        <v>15105.051995635868</v>
      </c>
      <c r="E74" s="56">
        <v>2.4426559566916404</v>
      </c>
      <c r="F74" s="56">
        <v>14214.162735662929</v>
      </c>
      <c r="G74" s="56">
        <v>14.493939798622211</v>
      </c>
      <c r="H74" s="56">
        <f t="shared" si="2"/>
        <v>890.88925997293882</v>
      </c>
      <c r="I74" s="56">
        <f t="shared" si="3"/>
        <v>-12.051283841930571</v>
      </c>
      <c r="J74" s="56">
        <f t="shared" si="4"/>
        <v>86079.528354358656</v>
      </c>
      <c r="K74" s="56">
        <f t="shared" si="5"/>
        <v>586182.79948246363</v>
      </c>
      <c r="T74" s="83"/>
    </row>
    <row r="75" spans="2:20" x14ac:dyDescent="0.2">
      <c r="B75" s="83"/>
      <c r="C75" s="56">
        <v>36</v>
      </c>
      <c r="D75" s="56">
        <v>17918.720510476545</v>
      </c>
      <c r="E75" s="56">
        <v>3.6271310956994096</v>
      </c>
      <c r="F75" s="56">
        <v>17560.013349319601</v>
      </c>
      <c r="G75" s="56">
        <v>17.832382441203379</v>
      </c>
      <c r="H75" s="56">
        <f t="shared" si="2"/>
        <v>358.70716115694449</v>
      </c>
      <c r="I75" s="56">
        <f t="shared" si="3"/>
        <v>-14.205251345503969</v>
      </c>
      <c r="J75" s="56">
        <f t="shared" si="4"/>
        <v>132331.55799777579</v>
      </c>
      <c r="K75" s="56">
        <f t="shared" si="5"/>
        <v>721128.59689508914</v>
      </c>
      <c r="T75" s="83"/>
    </row>
    <row r="76" spans="2:20" x14ac:dyDescent="0.2">
      <c r="B76" s="83"/>
      <c r="C76" s="56">
        <v>37</v>
      </c>
      <c r="D76" s="56">
        <v>16631.243107033293</v>
      </c>
      <c r="E76" s="56">
        <v>3.9211762510874903</v>
      </c>
      <c r="F76" s="56">
        <v>13679.86454420066</v>
      </c>
      <c r="G76" s="56">
        <v>15.113974466692525</v>
      </c>
      <c r="H76" s="56">
        <f t="shared" si="2"/>
        <v>2951.3785628326332</v>
      </c>
      <c r="I76" s="56">
        <f t="shared" si="3"/>
        <v>-11.192798215605034</v>
      </c>
      <c r="J76" s="56">
        <f t="shared" si="4"/>
        <v>145799.56191801492</v>
      </c>
      <c r="K76" s="56">
        <f t="shared" si="5"/>
        <v>612401.41376407049</v>
      </c>
      <c r="T76" s="83"/>
    </row>
    <row r="77" spans="2:20" x14ac:dyDescent="0.2">
      <c r="B77" s="83"/>
      <c r="C77" s="56">
        <v>38</v>
      </c>
      <c r="D77" s="56">
        <v>14369.563801329892</v>
      </c>
      <c r="E77" s="56">
        <v>3.6056855367127953</v>
      </c>
      <c r="F77" s="56">
        <v>3179.6930730101562</v>
      </c>
      <c r="G77" s="56">
        <v>3.8091460601965896</v>
      </c>
      <c r="H77" s="56">
        <f t="shared" si="2"/>
        <v>11189.870728319736</v>
      </c>
      <c r="I77" s="56">
        <f t="shared" si="3"/>
        <v>-0.20346052348379429</v>
      </c>
      <c r="J77" s="56">
        <f t="shared" si="4"/>
        <v>134992.35387146095</v>
      </c>
      <c r="K77" s="56">
        <f t="shared" si="5"/>
        <v>154610.37332457336</v>
      </c>
      <c r="T77" s="83"/>
    </row>
    <row r="78" spans="2:20" x14ac:dyDescent="0.2">
      <c r="B78" s="83"/>
      <c r="C78" s="56">
        <v>39</v>
      </c>
      <c r="D78" s="56">
        <v>8236.2614895120605</v>
      </c>
      <c r="E78" s="56">
        <v>1.8640204994318106</v>
      </c>
      <c r="F78" s="56">
        <v>17909.545309230725</v>
      </c>
      <c r="G78" s="56">
        <v>26.061136732252372</v>
      </c>
      <c r="H78" s="56">
        <f t="shared" si="2"/>
        <v>-9673.2838197186647</v>
      </c>
      <c r="I78" s="56">
        <f t="shared" si="3"/>
        <v>-24.197116232820562</v>
      </c>
      <c r="J78" s="56">
        <f t="shared" si="4"/>
        <v>68978.923678951251</v>
      </c>
      <c r="K78" s="56">
        <f t="shared" si="5"/>
        <v>1061646.9826875916</v>
      </c>
      <c r="T78" s="83"/>
    </row>
    <row r="79" spans="2:20" x14ac:dyDescent="0.2">
      <c r="B79" s="83"/>
      <c r="C79" s="56">
        <v>40</v>
      </c>
      <c r="D79" s="56">
        <v>10691.316326962518</v>
      </c>
      <c r="E79" s="56">
        <v>1.7287434996130795</v>
      </c>
      <c r="F79" s="56">
        <v>16402.998797720571</v>
      </c>
      <c r="G79" s="56">
        <v>16.6498039880261</v>
      </c>
      <c r="H79" s="56">
        <f t="shared" si="2"/>
        <v>-5711.6824707580527</v>
      </c>
      <c r="I79" s="56">
        <f t="shared" si="3"/>
        <v>-14.921060488413021</v>
      </c>
      <c r="J79" s="56">
        <f t="shared" si="4"/>
        <v>60920.154401009684</v>
      </c>
      <c r="K79" s="56">
        <f t="shared" si="5"/>
        <v>673298.4816022726</v>
      </c>
      <c r="T79" s="83"/>
    </row>
    <row r="80" spans="2:20" x14ac:dyDescent="0.2">
      <c r="B80" s="83"/>
      <c r="C80" s="56">
        <v>41</v>
      </c>
      <c r="D80" s="56">
        <v>17622.218117597171</v>
      </c>
      <c r="E80" s="56">
        <v>3.0059865754031616</v>
      </c>
      <c r="F80" s="56">
        <v>19325.996290543826</v>
      </c>
      <c r="G80" s="56">
        <v>17.78725578243666</v>
      </c>
      <c r="H80" s="56">
        <f t="shared" si="2"/>
        <v>-1703.7781729466551</v>
      </c>
      <c r="I80" s="56">
        <f t="shared" si="3"/>
        <v>-14.781269207033498</v>
      </c>
      <c r="J80" s="56">
        <f t="shared" si="4"/>
        <v>106897.76978190339</v>
      </c>
      <c r="K80" s="56">
        <f t="shared" si="5"/>
        <v>717493.28724111232</v>
      </c>
      <c r="T80" s="83"/>
    </row>
    <row r="81" spans="2:20" x14ac:dyDescent="0.2">
      <c r="B81" s="83"/>
      <c r="C81" s="56">
        <v>42</v>
      </c>
      <c r="D81" s="56">
        <v>10018.366654196461</v>
      </c>
      <c r="E81" s="56">
        <v>2.0984372159287967</v>
      </c>
      <c r="F81" s="56">
        <v>18177.780682797613</v>
      </c>
      <c r="G81" s="56">
        <v>19.867839437310806</v>
      </c>
      <c r="H81" s="56">
        <f t="shared" si="2"/>
        <v>-8159.4140286011516</v>
      </c>
      <c r="I81" s="56">
        <f t="shared" si="3"/>
        <v>-17.769402221382009</v>
      </c>
      <c r="J81" s="56">
        <f t="shared" si="4"/>
        <v>76907.296578438007</v>
      </c>
      <c r="K81" s="56">
        <f t="shared" si="5"/>
        <v>804827.60016836517</v>
      </c>
      <c r="T81" s="83"/>
    </row>
    <row r="82" spans="2:20" x14ac:dyDescent="0.2">
      <c r="B82" s="83"/>
      <c r="C82" s="56">
        <v>43</v>
      </c>
      <c r="D82" s="56">
        <v>12595.3850618738</v>
      </c>
      <c r="E82" s="56">
        <v>2.3849543768665264</v>
      </c>
      <c r="F82" s="56">
        <v>13102.401995773689</v>
      </c>
      <c r="G82" s="56">
        <v>11.200178909038915</v>
      </c>
      <c r="H82" s="56">
        <f t="shared" si="2"/>
        <v>-507.01693389988941</v>
      </c>
      <c r="I82" s="56">
        <f t="shared" si="3"/>
        <v>-8.8152245321723885</v>
      </c>
      <c r="J82" s="56">
        <f t="shared" si="4"/>
        <v>86198.965045445191</v>
      </c>
      <c r="K82" s="56">
        <f t="shared" si="5"/>
        <v>450853.80913225433</v>
      </c>
      <c r="T82" s="83"/>
    </row>
    <row r="83" spans="2:20" x14ac:dyDescent="0.2">
      <c r="B83" s="83"/>
      <c r="C83" s="56">
        <v>44</v>
      </c>
      <c r="D83" s="56">
        <v>11541.591637399792</v>
      </c>
      <c r="E83" s="56">
        <v>2.4200604427955748</v>
      </c>
      <c r="F83" s="56">
        <v>13229.15392244947</v>
      </c>
      <c r="G83" s="56">
        <v>13.781576046799056</v>
      </c>
      <c r="H83" s="56">
        <f t="shared" si="2"/>
        <v>-1687.5622850496784</v>
      </c>
      <c r="I83" s="56">
        <f t="shared" si="3"/>
        <v>-11.361515604003483</v>
      </c>
      <c r="J83" s="56">
        <f t="shared" si="4"/>
        <v>88706.992144964097</v>
      </c>
      <c r="K83" s="56">
        <f t="shared" si="5"/>
        <v>557658.85224015464</v>
      </c>
      <c r="T83" s="83"/>
    </row>
    <row r="84" spans="2:20" x14ac:dyDescent="0.2">
      <c r="B84" s="83"/>
      <c r="C84" s="56">
        <v>45</v>
      </c>
      <c r="D84" s="56">
        <v>11442.352846042859</v>
      </c>
      <c r="E84" s="56">
        <v>2.4220925134634292</v>
      </c>
      <c r="F84" s="56">
        <v>14318.369378180691</v>
      </c>
      <c r="G84" s="56">
        <v>14.9750227036174</v>
      </c>
      <c r="H84" s="56">
        <f t="shared" si="2"/>
        <v>-2876.0165321378317</v>
      </c>
      <c r="I84" s="56">
        <f t="shared" si="3"/>
        <v>-12.552930190153971</v>
      </c>
      <c r="J84" s="56">
        <f t="shared" si="4"/>
        <v>88890.40743166623</v>
      </c>
      <c r="K84" s="56">
        <f t="shared" si="5"/>
        <v>606006.97109646641</v>
      </c>
      <c r="T84" s="83"/>
    </row>
    <row r="85" spans="2:20" x14ac:dyDescent="0.2">
      <c r="B85" s="83"/>
      <c r="C85" s="56">
        <v>46</v>
      </c>
      <c r="D85" s="56">
        <v>17182.161770426781</v>
      </c>
      <c r="E85" s="56">
        <v>3.8612773368221744</v>
      </c>
      <c r="F85" s="56">
        <v>15785.886243439269</v>
      </c>
      <c r="G85" s="56">
        <v>16.524229612736249</v>
      </c>
      <c r="H85" s="56">
        <f t="shared" si="2"/>
        <v>1396.2755269875124</v>
      </c>
      <c r="I85" s="56">
        <f t="shared" si="3"/>
        <v>-12.662952275914074</v>
      </c>
      <c r="J85" s="56">
        <f t="shared" si="4"/>
        <v>142767.39063009497</v>
      </c>
      <c r="K85" s="56">
        <f t="shared" si="5"/>
        <v>668713.80123454717</v>
      </c>
      <c r="T85" s="83"/>
    </row>
    <row r="86" spans="2:20" x14ac:dyDescent="0.2">
      <c r="B86" s="83"/>
      <c r="C86" s="56">
        <v>47</v>
      </c>
      <c r="D86" s="56">
        <v>16860.535348313882</v>
      </c>
      <c r="E86" s="56">
        <v>2.8563767126388564</v>
      </c>
      <c r="F86" s="56">
        <v>6314.5870266029851</v>
      </c>
      <c r="G86" s="56">
        <v>3.7024747922188208</v>
      </c>
      <c r="H86" s="56">
        <f t="shared" si="2"/>
        <v>10545.948321710897</v>
      </c>
      <c r="I86" s="56">
        <f t="shared" si="3"/>
        <v>-0.84609807957996441</v>
      </c>
      <c r="J86" s="56">
        <f t="shared" si="4"/>
        <v>101462.0135960381</v>
      </c>
      <c r="K86" s="56">
        <f t="shared" si="5"/>
        <v>147056.72876626943</v>
      </c>
      <c r="T86" s="83"/>
    </row>
    <row r="87" spans="2:20" x14ac:dyDescent="0.2">
      <c r="B87" s="83"/>
      <c r="C87" s="56">
        <v>48</v>
      </c>
      <c r="D87" s="56">
        <v>13544.735776185571</v>
      </c>
      <c r="E87" s="56">
        <v>3.0770887573604768</v>
      </c>
      <c r="F87" s="56">
        <v>15414.643613940374</v>
      </c>
      <c r="G87" s="56">
        <v>17.757016773060652</v>
      </c>
      <c r="H87" s="56">
        <f t="shared" si="2"/>
        <v>-1869.907837754803</v>
      </c>
      <c r="I87" s="56">
        <f t="shared" si="3"/>
        <v>-14.679928015700176</v>
      </c>
      <c r="J87" s="56">
        <f t="shared" si="4"/>
        <v>113920.58890871482</v>
      </c>
      <c r="K87" s="56">
        <f t="shared" si="5"/>
        <v>720152.01919332414</v>
      </c>
      <c r="T87" s="83"/>
    </row>
    <row r="88" spans="2:20" x14ac:dyDescent="0.2">
      <c r="B88" s="83"/>
      <c r="C88" s="56">
        <v>49</v>
      </c>
      <c r="D88" s="56">
        <v>18810.299276013782</v>
      </c>
      <c r="E88" s="56">
        <v>3.6582238331685684</v>
      </c>
      <c r="F88" s="56">
        <v>16121.197402580676</v>
      </c>
      <c r="G88" s="56">
        <v>15.9795054406608</v>
      </c>
      <c r="H88" s="56">
        <f t="shared" si="2"/>
        <v>2689.1018734331064</v>
      </c>
      <c r="I88" s="56">
        <f t="shared" si="3"/>
        <v>-12.321281607492232</v>
      </c>
      <c r="J88" s="56">
        <f t="shared" si="4"/>
        <v>132727.96478916099</v>
      </c>
      <c r="K88" s="56">
        <f t="shared" si="5"/>
        <v>645813.8359713523</v>
      </c>
      <c r="T88" s="83"/>
    </row>
    <row r="89" spans="2:20" x14ac:dyDescent="0.2">
      <c r="B89" s="83"/>
      <c r="C89" s="56">
        <v>50</v>
      </c>
      <c r="D89" s="56">
        <v>31375.424957995805</v>
      </c>
      <c r="E89" s="56">
        <v>6.4490980911502014</v>
      </c>
      <c r="F89" s="56">
        <v>15435.680277129806</v>
      </c>
      <c r="G89" s="56">
        <v>11.942394415256146</v>
      </c>
      <c r="H89" s="56">
        <f t="shared" si="2"/>
        <v>15939.744680865999</v>
      </c>
      <c r="I89" s="56">
        <f t="shared" si="3"/>
        <v>-5.4932963241059447</v>
      </c>
      <c r="J89" s="56">
        <f t="shared" si="4"/>
        <v>235772.01436981015</v>
      </c>
      <c r="K89" s="56">
        <f t="shared" si="5"/>
        <v>479266.06598044076</v>
      </c>
      <c r="T89" s="83"/>
    </row>
    <row r="90" spans="2:20" x14ac:dyDescent="0.2">
      <c r="B90" s="83"/>
      <c r="C90" s="56">
        <v>51</v>
      </c>
      <c r="D90" s="56">
        <v>15816.649683866606</v>
      </c>
      <c r="E90" s="56">
        <v>3.52066179847409</v>
      </c>
      <c r="F90" s="56">
        <v>22270.7627305432</v>
      </c>
      <c r="G90" s="56">
        <v>23.234168027012675</v>
      </c>
      <c r="H90" s="56">
        <f t="shared" si="2"/>
        <v>-6454.1130466765935</v>
      </c>
      <c r="I90" s="56">
        <f t="shared" si="3"/>
        <v>-19.713506228538584</v>
      </c>
      <c r="J90" s="56">
        <f t="shared" si="4"/>
        <v>130023.24465612411</v>
      </c>
      <c r="K90" s="56">
        <f t="shared" si="5"/>
        <v>940181.41362042993</v>
      </c>
      <c r="T90" s="83"/>
    </row>
    <row r="91" spans="2:20" x14ac:dyDescent="0.2">
      <c r="B91" s="83"/>
      <c r="C91" s="56">
        <v>52</v>
      </c>
      <c r="D91" s="56">
        <v>17407.347910810669</v>
      </c>
      <c r="E91" s="56">
        <v>3.180782990422709</v>
      </c>
      <c r="F91" s="56">
        <v>13615.119305354821</v>
      </c>
      <c r="G91" s="56">
        <v>11.39201131306895</v>
      </c>
      <c r="H91" s="56">
        <f t="shared" si="2"/>
        <v>3792.2286054558481</v>
      </c>
      <c r="I91" s="56">
        <f t="shared" si="3"/>
        <v>-8.2112283226462424</v>
      </c>
      <c r="J91" s="56">
        <f t="shared" si="4"/>
        <v>114353.40668445962</v>
      </c>
      <c r="K91" s="56">
        <f t="shared" si="5"/>
        <v>458287.55732721335</v>
      </c>
      <c r="T91" s="83"/>
    </row>
    <row r="92" spans="2:20" x14ac:dyDescent="0.2">
      <c r="B92" s="83"/>
      <c r="C92" s="56">
        <v>53</v>
      </c>
      <c r="D92" s="56">
        <v>11401.402584754986</v>
      </c>
      <c r="E92" s="56">
        <v>2.6666672299018552</v>
      </c>
      <c r="F92" s="56">
        <v>19122.60981086269</v>
      </c>
      <c r="G92" s="56">
        <v>21.276537730942341</v>
      </c>
      <c r="H92" s="56">
        <f t="shared" si="2"/>
        <v>-7721.2072261077046</v>
      </c>
      <c r="I92" s="56">
        <f t="shared" si="3"/>
        <v>-18.609870501040486</v>
      </c>
      <c r="J92" s="56">
        <f t="shared" si="4"/>
        <v>99062.620746699453</v>
      </c>
      <c r="K92" s="56">
        <f t="shared" si="5"/>
        <v>862236.68915569282</v>
      </c>
      <c r="T92" s="83"/>
    </row>
    <row r="93" spans="2:20" x14ac:dyDescent="0.2">
      <c r="B93" s="83"/>
      <c r="C93" s="56">
        <v>54</v>
      </c>
      <c r="D93" s="56">
        <v>14138.505110966718</v>
      </c>
      <c r="E93" s="56">
        <v>2.9041951417166576</v>
      </c>
      <c r="F93" s="56">
        <v>16995.543785806029</v>
      </c>
      <c r="G93" s="56">
        <v>17.395751409903088</v>
      </c>
      <c r="H93" s="56">
        <f t="shared" si="2"/>
        <v>-2857.0386748393103</v>
      </c>
      <c r="I93" s="56">
        <f t="shared" si="3"/>
        <v>-14.491556268186431</v>
      </c>
      <c r="J93" s="56">
        <f t="shared" si="4"/>
        <v>106164.87443950411</v>
      </c>
      <c r="K93" s="56">
        <f t="shared" si="5"/>
        <v>703606.06261801952</v>
      </c>
      <c r="T93" s="83"/>
    </row>
    <row r="94" spans="2:20" x14ac:dyDescent="0.2">
      <c r="B94" s="83"/>
      <c r="C94" s="56">
        <v>55</v>
      </c>
      <c r="D94" s="56">
        <v>23372.434527173104</v>
      </c>
      <c r="E94" s="56">
        <v>3.8182146756229205</v>
      </c>
      <c r="F94" s="56">
        <v>18919.231419315351</v>
      </c>
      <c r="G94" s="56">
        <v>17.518377793207886</v>
      </c>
      <c r="H94" s="56">
        <f t="shared" si="2"/>
        <v>4453.2031078577529</v>
      </c>
      <c r="I94" s="56">
        <f t="shared" si="3"/>
        <v>-13.700163117584966</v>
      </c>
      <c r="J94" s="56">
        <f t="shared" si="4"/>
        <v>134793.29019583075</v>
      </c>
      <c r="K94" s="56">
        <f t="shared" si="5"/>
        <v>706762.05028652819</v>
      </c>
      <c r="T94" s="83"/>
    </row>
    <row r="95" spans="2:20" x14ac:dyDescent="0.2">
      <c r="B95" s="83"/>
      <c r="C95" s="56">
        <v>56</v>
      </c>
      <c r="D95" s="56">
        <v>15841.181264050094</v>
      </c>
      <c r="E95" s="56">
        <v>3.6452179962322733</v>
      </c>
      <c r="F95" s="56">
        <v>15546.647728821537</v>
      </c>
      <c r="G95" s="56">
        <v>14.123535131201059</v>
      </c>
      <c r="H95" s="56">
        <f t="shared" si="2"/>
        <v>294.5335352285565</v>
      </c>
      <c r="I95" s="56">
        <f t="shared" si="3"/>
        <v>-10.478317134968787</v>
      </c>
      <c r="J95" s="56">
        <f t="shared" si="4"/>
        <v>135158.32901187558</v>
      </c>
      <c r="K95" s="56">
        <f t="shared" si="5"/>
        <v>569506.67154605116</v>
      </c>
      <c r="T95" s="83"/>
    </row>
    <row r="96" spans="2:20" x14ac:dyDescent="0.2">
      <c r="B96" s="83"/>
      <c r="C96" s="56">
        <v>57</v>
      </c>
      <c r="D96" s="56">
        <v>22370.278954664172</v>
      </c>
      <c r="E96" s="56">
        <v>3.7824155079775719</v>
      </c>
      <c r="F96" s="56">
        <v>18219.961792546837</v>
      </c>
      <c r="G96" s="56">
        <v>17.071130529105318</v>
      </c>
      <c r="H96" s="56">
        <f t="shared" si="2"/>
        <v>4150.3171621173351</v>
      </c>
      <c r="I96" s="56">
        <f t="shared" si="3"/>
        <v>-13.288715021127746</v>
      </c>
      <c r="J96" s="56">
        <f t="shared" si="4"/>
        <v>134312.50104779878</v>
      </c>
      <c r="K96" s="56">
        <f t="shared" si="5"/>
        <v>688934.54924511188</v>
      </c>
      <c r="T96" s="83"/>
    </row>
    <row r="97" spans="2:20" x14ac:dyDescent="0.2">
      <c r="B97" s="83"/>
      <c r="C97" s="56">
        <v>58</v>
      </c>
      <c r="D97" s="56">
        <v>13208.710630312764</v>
      </c>
      <c r="E97" s="56">
        <v>3.1776064333211487</v>
      </c>
      <c r="F97" s="56">
        <v>11003.022872344836</v>
      </c>
      <c r="G97" s="56">
        <v>10.507750481330117</v>
      </c>
      <c r="H97" s="56">
        <f t="shared" si="2"/>
        <v>2205.6877579679276</v>
      </c>
      <c r="I97" s="56">
        <f t="shared" si="3"/>
        <v>-7.3301440480089681</v>
      </c>
      <c r="J97" s="56">
        <f t="shared" si="4"/>
        <v>118420.45826358249</v>
      </c>
      <c r="K97" s="56">
        <f t="shared" si="5"/>
        <v>424270.03306627396</v>
      </c>
      <c r="T97" s="83"/>
    </row>
    <row r="98" spans="2:20" x14ac:dyDescent="0.2">
      <c r="B98" s="83"/>
      <c r="C98" s="56">
        <v>59</v>
      </c>
      <c r="D98" s="56">
        <v>19550.804456688336</v>
      </c>
      <c r="E98" s="56">
        <v>3.6390204702750748</v>
      </c>
      <c r="F98" s="56">
        <v>12821.484935570174</v>
      </c>
      <c r="G98" s="56">
        <v>10.771781586394198</v>
      </c>
      <c r="H98" s="56">
        <f t="shared" si="2"/>
        <v>6729.3195211181628</v>
      </c>
      <c r="I98" s="56">
        <f t="shared" si="3"/>
        <v>-7.1327611161191236</v>
      </c>
      <c r="J98" s="56">
        <f t="shared" si="4"/>
        <v>131191.97950398634</v>
      </c>
      <c r="K98" s="56">
        <f t="shared" si="5"/>
        <v>433388.79549922311</v>
      </c>
      <c r="T98" s="83"/>
    </row>
    <row r="99" spans="2:20" x14ac:dyDescent="0.2">
      <c r="B99" s="83"/>
      <c r="C99" s="56">
        <v>60</v>
      </c>
      <c r="D99" s="56">
        <v>11240.551070523377</v>
      </c>
      <c r="E99" s="56">
        <v>2.8492482347047954</v>
      </c>
      <c r="F99" s="56">
        <v>16427.214379802692</v>
      </c>
      <c r="G99" s="56">
        <v>16.677828648882844</v>
      </c>
      <c r="H99" s="56">
        <f t="shared" si="2"/>
        <v>-5186.6633092793145</v>
      </c>
      <c r="I99" s="56">
        <f t="shared" si="3"/>
        <v>-13.828580414178049</v>
      </c>
      <c r="J99" s="56">
        <f t="shared" si="4"/>
        <v>106786.70780388807</v>
      </c>
      <c r="K99" s="56">
        <f t="shared" si="5"/>
        <v>674435.15957152029</v>
      </c>
      <c r="T99" s="83"/>
    </row>
    <row r="100" spans="2:20" x14ac:dyDescent="0.2">
      <c r="B100" s="83"/>
      <c r="C100" s="56">
        <v>61</v>
      </c>
      <c r="D100" s="56">
        <v>17258.266116080355</v>
      </c>
      <c r="E100" s="56">
        <v>3.6700135321791221</v>
      </c>
      <c r="F100" s="56">
        <v>20634.179117052819</v>
      </c>
      <c r="G100" s="56">
        <v>19.424662249825097</v>
      </c>
      <c r="H100" s="56">
        <f t="shared" si="2"/>
        <v>-3375.9130009724649</v>
      </c>
      <c r="I100" s="56">
        <f t="shared" si="3"/>
        <v>-15.754648717645974</v>
      </c>
      <c r="J100" s="56">
        <f t="shared" si="4"/>
        <v>134768.37444090762</v>
      </c>
      <c r="K100" s="56">
        <f t="shared" si="5"/>
        <v>784013.02991970198</v>
      </c>
      <c r="T100" s="83"/>
    </row>
    <row r="101" spans="2:20" x14ac:dyDescent="0.2">
      <c r="B101" s="83"/>
      <c r="C101" s="56">
        <v>62</v>
      </c>
      <c r="D101" s="56">
        <v>24340.814317444194</v>
      </c>
      <c r="E101" s="56">
        <v>5.0593755625621881</v>
      </c>
      <c r="F101" s="56">
        <v>18700.589917498579</v>
      </c>
      <c r="G101" s="56">
        <v>17.497678103867255</v>
      </c>
      <c r="H101" s="56">
        <f t="shared" si="2"/>
        <v>5640.224399945615</v>
      </c>
      <c r="I101" s="56">
        <f t="shared" si="3"/>
        <v>-12.438302541305067</v>
      </c>
      <c r="J101" s="56">
        <f t="shared" si="4"/>
        <v>185238.7589861319</v>
      </c>
      <c r="K101" s="56">
        <f t="shared" si="5"/>
        <v>706123.22785709868</v>
      </c>
      <c r="T101" s="83"/>
    </row>
    <row r="102" spans="2:20" x14ac:dyDescent="0.2">
      <c r="B102" s="83"/>
      <c r="C102" s="56">
        <v>63</v>
      </c>
      <c r="D102" s="56">
        <v>12866.188127354504</v>
      </c>
      <c r="E102" s="56">
        <v>2.7118574519184353</v>
      </c>
      <c r="F102" s="56">
        <v>16255.888274547053</v>
      </c>
      <c r="G102" s="56">
        <v>16.666951922165872</v>
      </c>
      <c r="H102" s="56">
        <f t="shared" si="2"/>
        <v>-3389.7001471925487</v>
      </c>
      <c r="I102" s="56">
        <f t="shared" si="3"/>
        <v>-13.955094470247436</v>
      </c>
      <c r="J102" s="56">
        <f t="shared" si="4"/>
        <v>99469.794960914762</v>
      </c>
      <c r="K102" s="56">
        <f t="shared" si="5"/>
        <v>674155.92814925197</v>
      </c>
      <c r="T102" s="83"/>
    </row>
    <row r="103" spans="2:20" x14ac:dyDescent="0.2">
      <c r="B103" s="83"/>
      <c r="C103" s="56">
        <v>64</v>
      </c>
      <c r="D103" s="56">
        <v>16473.357314707504</v>
      </c>
      <c r="E103" s="56">
        <v>2.9623773764562475</v>
      </c>
      <c r="F103" s="56">
        <v>14401.570278747889</v>
      </c>
      <c r="G103" s="56">
        <v>13.529271588820569</v>
      </c>
      <c r="H103" s="56">
        <f t="shared" si="2"/>
        <v>2071.7870359596145</v>
      </c>
      <c r="I103" s="56">
        <f t="shared" si="3"/>
        <v>-10.566894212364321</v>
      </c>
      <c r="J103" s="56">
        <f t="shared" si="4"/>
        <v>106240.16312761609</v>
      </c>
      <c r="K103" s="56">
        <f t="shared" si="5"/>
        <v>546034.97601655533</v>
      </c>
      <c r="T103" s="83"/>
    </row>
    <row r="104" spans="2:20" x14ac:dyDescent="0.2">
      <c r="B104" s="83"/>
      <c r="C104" s="56">
        <v>65</v>
      </c>
      <c r="D104" s="56">
        <v>17076.596947781141</v>
      </c>
      <c r="E104" s="56">
        <v>3.7935427724161199</v>
      </c>
      <c r="F104" s="56">
        <v>14372.601557492835</v>
      </c>
      <c r="G104" s="56">
        <v>15.368863751214258</v>
      </c>
      <c r="H104" s="56">
        <f t="shared" ref="H104:H167" si="6">IF($C104&lt;=No_of_iterations_PSA,D104-$F104,"")</f>
        <v>2703.9953902883062</v>
      </c>
      <c r="I104" s="56">
        <f t="shared" ref="I104:I167" si="7">IF($C104&lt;=No_of_iterations_PSA,E104-$G104,"")</f>
        <v>-11.575320978798139</v>
      </c>
      <c r="J104" s="56">
        <f t="shared" ref="J104:J167" si="8">IF($C104&lt;=No_of_iterations_PSA,E104*WTP-D104,"")</f>
        <v>140067.11885678422</v>
      </c>
      <c r="K104" s="56">
        <f t="shared" ref="K104:K167" si="9">IF($C104&lt;=No_of_iterations_PSA,G104*WTP-F104,"")</f>
        <v>622267.21047280659</v>
      </c>
      <c r="T104" s="83"/>
    </row>
    <row r="105" spans="2:20" x14ac:dyDescent="0.2">
      <c r="B105" s="83"/>
      <c r="C105" s="56">
        <v>66</v>
      </c>
      <c r="D105" s="56">
        <v>15213.993950014703</v>
      </c>
      <c r="E105" s="56">
        <v>3.1514654146836656</v>
      </c>
      <c r="F105" s="56">
        <v>13282.16188360838</v>
      </c>
      <c r="G105" s="56">
        <v>13.729157496302076</v>
      </c>
      <c r="H105" s="56">
        <f t="shared" si="6"/>
        <v>1931.8320664063231</v>
      </c>
      <c r="I105" s="56">
        <f t="shared" si="7"/>
        <v>-10.577692081618411</v>
      </c>
      <c r="J105" s="56">
        <f t="shared" si="8"/>
        <v>115332.30938784147</v>
      </c>
      <c r="K105" s="56">
        <f t="shared" si="9"/>
        <v>555434.4582432087</v>
      </c>
      <c r="T105" s="83"/>
    </row>
    <row r="106" spans="2:20" x14ac:dyDescent="0.2">
      <c r="B106" s="83"/>
      <c r="C106" s="56">
        <v>67</v>
      </c>
      <c r="D106" s="56">
        <v>16124.410397809414</v>
      </c>
      <c r="E106" s="56">
        <v>4.2337184130375185</v>
      </c>
      <c r="F106" s="56">
        <v>11676.121252267041</v>
      </c>
      <c r="G106" s="56">
        <v>11.67234399895521</v>
      </c>
      <c r="H106" s="56">
        <f t="shared" si="6"/>
        <v>4448.2891455423724</v>
      </c>
      <c r="I106" s="56">
        <f t="shared" si="7"/>
        <v>-7.4386255859176913</v>
      </c>
      <c r="J106" s="56">
        <f t="shared" si="8"/>
        <v>159253.14114385677</v>
      </c>
      <c r="K106" s="56">
        <f t="shared" si="9"/>
        <v>471839.05656045355</v>
      </c>
      <c r="T106" s="83"/>
    </row>
    <row r="107" spans="2:20" x14ac:dyDescent="0.2">
      <c r="B107" s="83"/>
      <c r="C107" s="56">
        <v>68</v>
      </c>
      <c r="D107" s="56">
        <v>15921.684038542944</v>
      </c>
      <c r="E107" s="56">
        <v>3.5179942024060171</v>
      </c>
      <c r="F107" s="56">
        <v>9962.0119917288557</v>
      </c>
      <c r="G107" s="56">
        <v>8.7777126911814989</v>
      </c>
      <c r="H107" s="56">
        <f t="shared" si="6"/>
        <v>5959.6720468140884</v>
      </c>
      <c r="I107" s="56">
        <f t="shared" si="7"/>
        <v>-5.2597184887754818</v>
      </c>
      <c r="J107" s="56">
        <f t="shared" si="8"/>
        <v>129807.70780192391</v>
      </c>
      <c r="K107" s="56">
        <f t="shared" si="9"/>
        <v>353645.95852777356</v>
      </c>
      <c r="T107" s="83"/>
    </row>
    <row r="108" spans="2:20" x14ac:dyDescent="0.2">
      <c r="B108" s="83"/>
      <c r="C108" s="56">
        <v>69</v>
      </c>
      <c r="D108" s="56">
        <v>16863.689463830022</v>
      </c>
      <c r="E108" s="56">
        <v>2.7174960966044921</v>
      </c>
      <c r="F108" s="56">
        <v>15092.219329135723</v>
      </c>
      <c r="G108" s="56">
        <v>13.560554385493965</v>
      </c>
      <c r="H108" s="56">
        <f t="shared" si="6"/>
        <v>1771.4701346942984</v>
      </c>
      <c r="I108" s="56">
        <f t="shared" si="7"/>
        <v>-10.843058288889473</v>
      </c>
      <c r="J108" s="56">
        <f t="shared" si="8"/>
        <v>95705.86884191446</v>
      </c>
      <c r="K108" s="56">
        <f t="shared" si="9"/>
        <v>546640.1855355663</v>
      </c>
      <c r="T108" s="83"/>
    </row>
    <row r="109" spans="2:20" x14ac:dyDescent="0.2">
      <c r="B109" s="83"/>
      <c r="C109" s="56">
        <v>70</v>
      </c>
      <c r="D109" s="56">
        <v>13555.196086969063</v>
      </c>
      <c r="E109" s="56">
        <v>2.7775543694217695</v>
      </c>
      <c r="F109" s="56">
        <v>13025.357277029771</v>
      </c>
      <c r="G109" s="56">
        <v>12.301930398164147</v>
      </c>
      <c r="H109" s="56">
        <f t="shared" si="6"/>
        <v>529.83880993929233</v>
      </c>
      <c r="I109" s="56">
        <f t="shared" si="7"/>
        <v>-9.5243760287423775</v>
      </c>
      <c r="J109" s="56">
        <f t="shared" si="8"/>
        <v>101502.21611195832</v>
      </c>
      <c r="K109" s="56">
        <f t="shared" si="9"/>
        <v>496569.80753652187</v>
      </c>
      <c r="T109" s="83"/>
    </row>
    <row r="110" spans="2:20" x14ac:dyDescent="0.2">
      <c r="B110" s="83"/>
      <c r="C110" s="56">
        <v>71</v>
      </c>
      <c r="D110" s="56">
        <v>19570.873074215691</v>
      </c>
      <c r="E110" s="56">
        <v>3.6885164799561396</v>
      </c>
      <c r="F110" s="56">
        <v>19482.220983562049</v>
      </c>
      <c r="G110" s="56">
        <v>18.462177979985565</v>
      </c>
      <c r="H110" s="56">
        <f t="shared" si="6"/>
        <v>88.652090653642517</v>
      </c>
      <c r="I110" s="56">
        <f t="shared" si="7"/>
        <v>-14.773661500029426</v>
      </c>
      <c r="J110" s="56">
        <f t="shared" si="8"/>
        <v>133222.23359148743</v>
      </c>
      <c r="K110" s="56">
        <f t="shared" si="9"/>
        <v>745295.03965935996</v>
      </c>
      <c r="T110" s="83"/>
    </row>
    <row r="111" spans="2:20" x14ac:dyDescent="0.2">
      <c r="B111" s="83"/>
      <c r="C111" s="56">
        <v>72</v>
      </c>
      <c r="D111" s="56">
        <v>16601.694722094944</v>
      </c>
      <c r="E111" s="56">
        <v>3.3152479969885014</v>
      </c>
      <c r="F111" s="56">
        <v>12564.057177185188</v>
      </c>
      <c r="G111" s="56">
        <v>10.328803166221599</v>
      </c>
      <c r="H111" s="56">
        <f t="shared" si="6"/>
        <v>4037.6375449097559</v>
      </c>
      <c r="I111" s="56">
        <f t="shared" si="7"/>
        <v>-7.0135551692330971</v>
      </c>
      <c r="J111" s="56">
        <f t="shared" si="8"/>
        <v>120729.13830515672</v>
      </c>
      <c r="K111" s="56">
        <f t="shared" si="9"/>
        <v>415296.2851803783</v>
      </c>
      <c r="T111" s="83"/>
    </row>
    <row r="112" spans="2:20" x14ac:dyDescent="0.2">
      <c r="B112" s="83"/>
      <c r="C112" s="56">
        <v>73</v>
      </c>
      <c r="D112" s="56">
        <v>19940.758648760722</v>
      </c>
      <c r="E112" s="56">
        <v>4.2798479786522892</v>
      </c>
      <c r="F112" s="56">
        <v>14148.941141195044</v>
      </c>
      <c r="G112" s="56">
        <v>15.387497892352943</v>
      </c>
      <c r="H112" s="56">
        <f t="shared" si="6"/>
        <v>5791.8175075656782</v>
      </c>
      <c r="I112" s="56">
        <f t="shared" si="7"/>
        <v>-11.107649913700655</v>
      </c>
      <c r="J112" s="56">
        <f t="shared" si="8"/>
        <v>157347.66401893168</v>
      </c>
      <c r="K112" s="56">
        <f t="shared" si="9"/>
        <v>623262.77155163325</v>
      </c>
      <c r="T112" s="83"/>
    </row>
    <row r="113" spans="2:20" x14ac:dyDescent="0.2">
      <c r="B113" s="83"/>
      <c r="C113" s="56">
        <v>74</v>
      </c>
      <c r="D113" s="56">
        <v>12679.422014396745</v>
      </c>
      <c r="E113" s="56">
        <v>3.1639704337422794</v>
      </c>
      <c r="F113" s="56">
        <v>13578.873039161339</v>
      </c>
      <c r="G113" s="56">
        <v>14.089056339055908</v>
      </c>
      <c r="H113" s="56">
        <f t="shared" si="6"/>
        <v>-899.45102476459397</v>
      </c>
      <c r="I113" s="56">
        <f t="shared" si="7"/>
        <v>-10.92508590531363</v>
      </c>
      <c r="J113" s="56">
        <f t="shared" si="8"/>
        <v>118384.88923294345</v>
      </c>
      <c r="K113" s="56">
        <f t="shared" si="9"/>
        <v>570046.19674989057</v>
      </c>
      <c r="T113" s="83"/>
    </row>
    <row r="114" spans="2:20" x14ac:dyDescent="0.2">
      <c r="B114" s="83"/>
      <c r="C114" s="56">
        <v>75</v>
      </c>
      <c r="D114" s="56">
        <v>16453.754439244804</v>
      </c>
      <c r="E114" s="56">
        <v>3.62606932117514</v>
      </c>
      <c r="F114" s="56">
        <v>22293.493837013732</v>
      </c>
      <c r="G114" s="56">
        <v>21.410927586219348</v>
      </c>
      <c r="H114" s="56">
        <f t="shared" si="6"/>
        <v>-5839.739397768928</v>
      </c>
      <c r="I114" s="56">
        <f t="shared" si="7"/>
        <v>-17.784858265044207</v>
      </c>
      <c r="J114" s="56">
        <f t="shared" si="8"/>
        <v>133752.54112111419</v>
      </c>
      <c r="K114" s="56">
        <f t="shared" si="9"/>
        <v>864632.7704945365</v>
      </c>
      <c r="T114" s="83"/>
    </row>
    <row r="115" spans="2:20" x14ac:dyDescent="0.2">
      <c r="B115" s="83"/>
      <c r="C115" s="56">
        <v>76</v>
      </c>
      <c r="D115" s="56">
        <v>14112.761197894395</v>
      </c>
      <c r="E115" s="56">
        <v>3.2116288354370095</v>
      </c>
      <c r="F115" s="56">
        <v>19526.375239841858</v>
      </c>
      <c r="G115" s="56">
        <v>20.690606583900806</v>
      </c>
      <c r="H115" s="56">
        <f t="shared" si="6"/>
        <v>-5413.6140419474632</v>
      </c>
      <c r="I115" s="56">
        <f t="shared" si="7"/>
        <v>-17.478977748463798</v>
      </c>
      <c r="J115" s="56">
        <f t="shared" si="8"/>
        <v>118925.75168124829</v>
      </c>
      <c r="K115" s="56">
        <f t="shared" si="9"/>
        <v>837561.3118916651</v>
      </c>
      <c r="T115" s="83"/>
    </row>
    <row r="116" spans="2:20" x14ac:dyDescent="0.2">
      <c r="B116" s="83"/>
      <c r="C116" s="56">
        <v>77</v>
      </c>
      <c r="D116" s="56">
        <v>17837.453865460262</v>
      </c>
      <c r="E116" s="56">
        <v>3.8727183052549421</v>
      </c>
      <c r="F116" s="56">
        <v>17033.224288959111</v>
      </c>
      <c r="G116" s="56">
        <v>15.223212647953332</v>
      </c>
      <c r="H116" s="56">
        <f t="shared" si="6"/>
        <v>804.22957650115131</v>
      </c>
      <c r="I116" s="56">
        <f t="shared" si="7"/>
        <v>-11.35049434269839</v>
      </c>
      <c r="J116" s="56">
        <f t="shared" si="8"/>
        <v>142586.02921142045</v>
      </c>
      <c r="K116" s="56">
        <f t="shared" si="9"/>
        <v>613573.13643985975</v>
      </c>
      <c r="T116" s="83"/>
    </row>
    <row r="117" spans="2:20" x14ac:dyDescent="0.2">
      <c r="B117" s="83"/>
      <c r="C117" s="56">
        <v>78</v>
      </c>
      <c r="D117" s="56">
        <v>22108.536729760523</v>
      </c>
      <c r="E117" s="56">
        <v>4.3934994241385539</v>
      </c>
      <c r="F117" s="56">
        <v>17852.35932015401</v>
      </c>
      <c r="G117" s="56">
        <v>17.164014147000898</v>
      </c>
      <c r="H117" s="56">
        <f t="shared" si="6"/>
        <v>4256.1774096065128</v>
      </c>
      <c r="I117" s="56">
        <f t="shared" si="7"/>
        <v>-12.770514722862345</v>
      </c>
      <c r="J117" s="56">
        <f t="shared" si="8"/>
        <v>159887.78341575494</v>
      </c>
      <c r="K117" s="56">
        <f t="shared" si="9"/>
        <v>693149.76270521118</v>
      </c>
      <c r="T117" s="83"/>
    </row>
    <row r="118" spans="2:20" x14ac:dyDescent="0.2">
      <c r="B118" s="83"/>
      <c r="C118" s="56">
        <v>79</v>
      </c>
      <c r="D118" s="56">
        <v>20325.109411274108</v>
      </c>
      <c r="E118" s="56">
        <v>3.6738150829047473</v>
      </c>
      <c r="F118" s="56">
        <v>28890.777813953348</v>
      </c>
      <c r="G118" s="56">
        <v>26.024115176929509</v>
      </c>
      <c r="H118" s="56">
        <f t="shared" si="6"/>
        <v>-8565.6684026792391</v>
      </c>
      <c r="I118" s="56">
        <f t="shared" si="7"/>
        <v>-22.35030009402476</v>
      </c>
      <c r="J118" s="56">
        <f t="shared" si="8"/>
        <v>131859.00658297213</v>
      </c>
      <c r="K118" s="56">
        <f t="shared" si="9"/>
        <v>1049132.1692751746</v>
      </c>
      <c r="T118" s="83"/>
    </row>
    <row r="119" spans="2:20" x14ac:dyDescent="0.2">
      <c r="B119" s="83"/>
      <c r="C119" s="56">
        <v>80</v>
      </c>
      <c r="D119" s="56">
        <v>26481.328247894751</v>
      </c>
      <c r="E119" s="56">
        <v>4.7171439240448461</v>
      </c>
      <c r="F119" s="56">
        <v>14477.389314845988</v>
      </c>
      <c r="G119" s="56">
        <v>12.312230564624334</v>
      </c>
      <c r="H119" s="56">
        <f t="shared" si="6"/>
        <v>12003.938933048763</v>
      </c>
      <c r="I119" s="56">
        <f t="shared" si="7"/>
        <v>-7.5950866405794883</v>
      </c>
      <c r="J119" s="56">
        <f t="shared" si="8"/>
        <v>168921.64166173898</v>
      </c>
      <c r="K119" s="56">
        <f t="shared" si="9"/>
        <v>495544.44959415245</v>
      </c>
      <c r="T119" s="83"/>
    </row>
    <row r="120" spans="2:20" x14ac:dyDescent="0.2">
      <c r="B120" s="83"/>
      <c r="C120" s="56">
        <v>81</v>
      </c>
      <c r="D120" s="56">
        <v>12670.777351628543</v>
      </c>
      <c r="E120" s="56">
        <v>3.4113391603244514</v>
      </c>
      <c r="F120" s="56">
        <v>15214.54689047309</v>
      </c>
      <c r="G120" s="56">
        <v>16.653099037456904</v>
      </c>
      <c r="H120" s="56">
        <f t="shared" si="6"/>
        <v>-2543.7695388445463</v>
      </c>
      <c r="I120" s="56">
        <f t="shared" si="7"/>
        <v>-13.241759877132452</v>
      </c>
      <c r="J120" s="56">
        <f t="shared" si="8"/>
        <v>128640.53602565154</v>
      </c>
      <c r="K120" s="56">
        <f t="shared" si="9"/>
        <v>674623.42763714166</v>
      </c>
      <c r="T120" s="83"/>
    </row>
    <row r="121" spans="2:20" x14ac:dyDescent="0.2">
      <c r="B121" s="83"/>
      <c r="C121" s="56">
        <v>82</v>
      </c>
      <c r="D121" s="56">
        <v>14771.121963563994</v>
      </c>
      <c r="E121" s="56">
        <v>3.4138582720177428</v>
      </c>
      <c r="F121" s="56">
        <v>14205.098658815785</v>
      </c>
      <c r="G121" s="56">
        <v>11.81252747217161</v>
      </c>
      <c r="H121" s="56">
        <f t="shared" si="6"/>
        <v>566.02330474820883</v>
      </c>
      <c r="I121" s="56">
        <f t="shared" si="7"/>
        <v>-8.3986692001538668</v>
      </c>
      <c r="J121" s="56">
        <f t="shared" si="8"/>
        <v>126644.54309649899</v>
      </c>
      <c r="K121" s="56">
        <f t="shared" si="9"/>
        <v>475117.03934842098</v>
      </c>
      <c r="T121" s="83"/>
    </row>
    <row r="122" spans="2:20" x14ac:dyDescent="0.2">
      <c r="B122" s="83"/>
      <c r="C122" s="56">
        <v>83</v>
      </c>
      <c r="D122" s="56">
        <v>19698.934154787636</v>
      </c>
      <c r="E122" s="56">
        <v>4.00062732235327</v>
      </c>
      <c r="F122" s="56">
        <v>11966.769644146971</v>
      </c>
      <c r="G122" s="56">
        <v>10.955212569545193</v>
      </c>
      <c r="H122" s="56">
        <f t="shared" si="6"/>
        <v>7732.164510640665</v>
      </c>
      <c r="I122" s="56">
        <f t="shared" si="7"/>
        <v>-6.9545852471919227</v>
      </c>
      <c r="J122" s="56">
        <f t="shared" si="8"/>
        <v>146023.05204637424</v>
      </c>
      <c r="K122" s="56">
        <f t="shared" si="9"/>
        <v>441841.95583669312</v>
      </c>
      <c r="T122" s="83"/>
    </row>
    <row r="123" spans="2:20" x14ac:dyDescent="0.2">
      <c r="B123" s="83"/>
      <c r="C123" s="56">
        <v>84</v>
      </c>
      <c r="D123" s="56">
        <v>9641.515150836256</v>
      </c>
      <c r="E123" s="56">
        <v>2.5218036581941883</v>
      </c>
      <c r="F123" s="56">
        <v>9732.3116120900522</v>
      </c>
      <c r="G123" s="56">
        <v>8.7938393622045492</v>
      </c>
      <c r="H123" s="56">
        <f t="shared" si="6"/>
        <v>-90.796461253796224</v>
      </c>
      <c r="I123" s="56">
        <f t="shared" si="7"/>
        <v>-6.2720357040103609</v>
      </c>
      <c r="J123" s="56">
        <f t="shared" si="8"/>
        <v>94821.679586199796</v>
      </c>
      <c r="K123" s="56">
        <f t="shared" si="9"/>
        <v>354543.69012787123</v>
      </c>
      <c r="T123" s="83"/>
    </row>
    <row r="124" spans="2:20" x14ac:dyDescent="0.2">
      <c r="B124" s="83"/>
      <c r="C124" s="56">
        <v>85</v>
      </c>
      <c r="D124" s="56">
        <v>19884.073099418343</v>
      </c>
      <c r="E124" s="56">
        <v>5.2944126176061843</v>
      </c>
      <c r="F124" s="56">
        <v>11859.297432571946</v>
      </c>
      <c r="G124" s="56">
        <v>14.414619083896737</v>
      </c>
      <c r="H124" s="56">
        <f t="shared" si="6"/>
        <v>8024.7756668463971</v>
      </c>
      <c r="I124" s="56">
        <f t="shared" si="7"/>
        <v>-9.1202064662905524</v>
      </c>
      <c r="J124" s="56">
        <f t="shared" si="8"/>
        <v>199431.67517230025</v>
      </c>
      <c r="K124" s="56">
        <f t="shared" si="9"/>
        <v>585251.88349876646</v>
      </c>
      <c r="T124" s="83"/>
    </row>
    <row r="125" spans="2:20" x14ac:dyDescent="0.2">
      <c r="B125" s="83"/>
      <c r="C125" s="56">
        <v>86</v>
      </c>
      <c r="D125" s="56">
        <v>17096.183142084232</v>
      </c>
      <c r="E125" s="56">
        <v>3.4927096704923697</v>
      </c>
      <c r="F125" s="56">
        <v>14422.242893849418</v>
      </c>
      <c r="G125" s="56">
        <v>15.546431821608968</v>
      </c>
      <c r="H125" s="56">
        <f t="shared" si="6"/>
        <v>2673.9402482348141</v>
      </c>
      <c r="I125" s="56">
        <f t="shared" si="7"/>
        <v>-12.053722151116599</v>
      </c>
      <c r="J125" s="56">
        <f t="shared" si="8"/>
        <v>127585.82224839168</v>
      </c>
      <c r="K125" s="56">
        <f t="shared" si="9"/>
        <v>629573.14888448047</v>
      </c>
      <c r="T125" s="83"/>
    </row>
    <row r="126" spans="2:20" x14ac:dyDescent="0.2">
      <c r="B126" s="83"/>
      <c r="C126" s="56">
        <v>87</v>
      </c>
      <c r="D126" s="56">
        <v>20307.575117245306</v>
      </c>
      <c r="E126" s="56">
        <v>4.0727067259195859</v>
      </c>
      <c r="F126" s="56">
        <v>15501.643663765477</v>
      </c>
      <c r="G126" s="56">
        <v>13.638887451098407</v>
      </c>
      <c r="H126" s="56">
        <f t="shared" si="6"/>
        <v>4805.9314534798286</v>
      </c>
      <c r="I126" s="56">
        <f t="shared" si="7"/>
        <v>-9.5661807251788211</v>
      </c>
      <c r="J126" s="56">
        <f t="shared" si="8"/>
        <v>148400.22829724761</v>
      </c>
      <c r="K126" s="56">
        <f t="shared" si="9"/>
        <v>549475.63011053496</v>
      </c>
      <c r="T126" s="83"/>
    </row>
    <row r="127" spans="2:20" x14ac:dyDescent="0.2">
      <c r="B127" s="83"/>
      <c r="C127" s="56">
        <v>88</v>
      </c>
      <c r="D127" s="56">
        <v>20439.071379669174</v>
      </c>
      <c r="E127" s="56">
        <v>4.5698987663687802</v>
      </c>
      <c r="F127" s="56">
        <v>8661.842980716372</v>
      </c>
      <c r="G127" s="56">
        <v>8.015111766050639</v>
      </c>
      <c r="H127" s="56">
        <f t="shared" si="6"/>
        <v>11777.228398952802</v>
      </c>
      <c r="I127" s="56">
        <f t="shared" si="7"/>
        <v>-3.4452129996818588</v>
      </c>
      <c r="J127" s="56">
        <f t="shared" si="8"/>
        <v>168864.41511839116</v>
      </c>
      <c r="K127" s="56">
        <f t="shared" si="9"/>
        <v>323356.1468161653</v>
      </c>
      <c r="T127" s="83"/>
    </row>
    <row r="128" spans="2:20" x14ac:dyDescent="0.2">
      <c r="B128" s="83"/>
      <c r="C128" s="56">
        <v>89</v>
      </c>
      <c r="D128" s="56">
        <v>10531.806873581854</v>
      </c>
      <c r="E128" s="56">
        <v>1.7199697025156646</v>
      </c>
      <c r="F128" s="56">
        <v>11121.06681495561</v>
      </c>
      <c r="G128" s="56">
        <v>10.219521397259086</v>
      </c>
      <c r="H128" s="56">
        <f t="shared" si="6"/>
        <v>-589.25994137375528</v>
      </c>
      <c r="I128" s="56">
        <f t="shared" si="7"/>
        <v>-8.4995516947434222</v>
      </c>
      <c r="J128" s="56">
        <f t="shared" si="8"/>
        <v>60716.21808342704</v>
      </c>
      <c r="K128" s="56">
        <f t="shared" si="9"/>
        <v>412212.38754510478</v>
      </c>
      <c r="T128" s="83"/>
    </row>
    <row r="129" spans="2:20" x14ac:dyDescent="0.2">
      <c r="B129" s="83"/>
      <c r="C129" s="56">
        <v>90</v>
      </c>
      <c r="D129" s="56">
        <v>16307.745385503928</v>
      </c>
      <c r="E129" s="56">
        <v>3.6380046068654739</v>
      </c>
      <c r="F129" s="56">
        <v>20634.858994837738</v>
      </c>
      <c r="G129" s="56">
        <v>21.818793281603501</v>
      </c>
      <c r="H129" s="56">
        <f t="shared" si="6"/>
        <v>-4327.11360933381</v>
      </c>
      <c r="I129" s="56">
        <f t="shared" si="7"/>
        <v>-18.180788674738025</v>
      </c>
      <c r="J129" s="56">
        <f t="shared" si="8"/>
        <v>134392.95744929148</v>
      </c>
      <c r="K129" s="56">
        <f t="shared" si="9"/>
        <v>883186.83390230569</v>
      </c>
      <c r="T129" s="83"/>
    </row>
    <row r="130" spans="2:20" x14ac:dyDescent="0.2">
      <c r="B130" s="83"/>
      <c r="C130" s="56">
        <v>91</v>
      </c>
      <c r="D130" s="56">
        <v>10750.950276840951</v>
      </c>
      <c r="E130" s="56">
        <v>2.8460320413979767</v>
      </c>
      <c r="F130" s="56">
        <v>12175.519809366893</v>
      </c>
      <c r="G130" s="56">
        <v>12.122915499955937</v>
      </c>
      <c r="H130" s="56">
        <f t="shared" si="6"/>
        <v>-1424.5695325259421</v>
      </c>
      <c r="I130" s="56">
        <f t="shared" si="7"/>
        <v>-9.2768834585579611</v>
      </c>
      <c r="J130" s="56">
        <f t="shared" si="8"/>
        <v>107143.08100602883</v>
      </c>
      <c r="K130" s="56">
        <f t="shared" si="9"/>
        <v>490004.13186080783</v>
      </c>
      <c r="T130" s="83"/>
    </row>
    <row r="131" spans="2:20" x14ac:dyDescent="0.2">
      <c r="B131" s="83"/>
      <c r="C131" s="56">
        <v>92</v>
      </c>
      <c r="D131" s="56">
        <v>27605.958324808693</v>
      </c>
      <c r="E131" s="56">
        <v>4.9302073766087577</v>
      </c>
      <c r="F131" s="56">
        <v>11051.508682401092</v>
      </c>
      <c r="G131" s="56">
        <v>9.4389655500276923</v>
      </c>
      <c r="H131" s="56">
        <f t="shared" si="6"/>
        <v>16554.449642407599</v>
      </c>
      <c r="I131" s="56">
        <f t="shared" si="7"/>
        <v>-4.5087581734189346</v>
      </c>
      <c r="J131" s="56">
        <f t="shared" si="8"/>
        <v>176622.95204383248</v>
      </c>
      <c r="K131" s="56">
        <f t="shared" si="9"/>
        <v>379948.20026194601</v>
      </c>
      <c r="T131" s="83"/>
    </row>
    <row r="132" spans="2:20" x14ac:dyDescent="0.2">
      <c r="B132" s="83"/>
      <c r="C132" s="56">
        <v>93</v>
      </c>
      <c r="D132" s="56">
        <v>18313.814664830075</v>
      </c>
      <c r="E132" s="56">
        <v>4.0096269149662351</v>
      </c>
      <c r="F132" s="56">
        <v>14434.761483769857</v>
      </c>
      <c r="G132" s="56">
        <v>16.511684548022458</v>
      </c>
      <c r="H132" s="56">
        <f t="shared" si="6"/>
        <v>3879.0531810602188</v>
      </c>
      <c r="I132" s="56">
        <f t="shared" si="7"/>
        <v>-12.502057633056223</v>
      </c>
      <c r="J132" s="56">
        <f t="shared" si="8"/>
        <v>147780.97066073125</v>
      </c>
      <c r="K132" s="56">
        <f t="shared" si="9"/>
        <v>669545.25923351245</v>
      </c>
      <c r="T132" s="83"/>
    </row>
    <row r="133" spans="2:20" x14ac:dyDescent="0.2">
      <c r="B133" s="83"/>
      <c r="C133" s="56">
        <v>94</v>
      </c>
      <c r="D133" s="56">
        <v>12627.51451064787</v>
      </c>
      <c r="E133" s="56">
        <v>3.0686775850218924</v>
      </c>
      <c r="F133" s="56">
        <v>11757.053071099548</v>
      </c>
      <c r="G133" s="56">
        <v>11.303335358085826</v>
      </c>
      <c r="H133" s="56">
        <f t="shared" si="6"/>
        <v>870.46143954832223</v>
      </c>
      <c r="I133" s="56">
        <f t="shared" si="7"/>
        <v>-8.2346577730639332</v>
      </c>
      <c r="J133" s="56">
        <f t="shared" si="8"/>
        <v>114489.385771299</v>
      </c>
      <c r="K133" s="56">
        <f t="shared" si="9"/>
        <v>456472.31080224772</v>
      </c>
      <c r="T133" s="83"/>
    </row>
    <row r="134" spans="2:20" x14ac:dyDescent="0.2">
      <c r="B134" s="83"/>
      <c r="C134" s="56">
        <v>95</v>
      </c>
      <c r="D134" s="56">
        <v>10841.080430422517</v>
      </c>
      <c r="E134" s="56">
        <v>2.3545313929519374</v>
      </c>
      <c r="F134" s="56">
        <v>16663.448974318115</v>
      </c>
      <c r="G134" s="56">
        <v>16.026908146985342</v>
      </c>
      <c r="H134" s="56">
        <f t="shared" si="6"/>
        <v>-5822.3685438955981</v>
      </c>
      <c r="I134" s="56">
        <f t="shared" si="7"/>
        <v>-13.672376754033404</v>
      </c>
      <c r="J134" s="56">
        <f t="shared" si="8"/>
        <v>86693.027991218536</v>
      </c>
      <c r="K134" s="56">
        <f t="shared" si="9"/>
        <v>647235.19410640269</v>
      </c>
      <c r="T134" s="83"/>
    </row>
    <row r="135" spans="2:20" x14ac:dyDescent="0.2">
      <c r="B135" s="83"/>
      <c r="C135" s="56">
        <v>96</v>
      </c>
      <c r="D135" s="56">
        <v>9720.8088698209867</v>
      </c>
      <c r="E135" s="56">
        <v>1.8206165308737472</v>
      </c>
      <c r="F135" s="56">
        <v>17888.87557918403</v>
      </c>
      <c r="G135" s="56">
        <v>18.184775329746696</v>
      </c>
      <c r="H135" s="56">
        <f t="shared" si="6"/>
        <v>-8168.0667093630436</v>
      </c>
      <c r="I135" s="56">
        <f t="shared" si="7"/>
        <v>-16.36415879887295</v>
      </c>
      <c r="J135" s="56">
        <f t="shared" si="8"/>
        <v>65696.410305093115</v>
      </c>
      <c r="K135" s="56">
        <f t="shared" si="9"/>
        <v>735397.25768024311</v>
      </c>
      <c r="T135" s="83"/>
    </row>
    <row r="136" spans="2:20" x14ac:dyDescent="0.2">
      <c r="B136" s="83"/>
      <c r="C136" s="56">
        <v>97</v>
      </c>
      <c r="D136" s="56">
        <v>17824.428944382234</v>
      </c>
      <c r="E136" s="56">
        <v>3.7362480991392548</v>
      </c>
      <c r="F136" s="56">
        <v>13675.010343529981</v>
      </c>
      <c r="G136" s="56">
        <v>13.1009255021025</v>
      </c>
      <c r="H136" s="56">
        <f t="shared" si="6"/>
        <v>4149.4186008522538</v>
      </c>
      <c r="I136" s="56">
        <f t="shared" si="7"/>
        <v>-9.3646774029632454</v>
      </c>
      <c r="J136" s="56">
        <f t="shared" si="8"/>
        <v>136945.91231436227</v>
      </c>
      <c r="K136" s="56">
        <f t="shared" si="9"/>
        <v>529017.72765556397</v>
      </c>
      <c r="T136" s="83"/>
    </row>
    <row r="137" spans="2:20" x14ac:dyDescent="0.2">
      <c r="B137" s="83"/>
      <c r="C137" s="56">
        <v>98</v>
      </c>
      <c r="D137" s="56">
        <v>14883.749985165503</v>
      </c>
      <c r="E137" s="56">
        <v>3.6637019459531777</v>
      </c>
      <c r="F137" s="56">
        <v>19818.368943803038</v>
      </c>
      <c r="G137" s="56">
        <v>21.12645413392525</v>
      </c>
      <c r="H137" s="56">
        <f t="shared" si="6"/>
        <v>-4934.6189586375349</v>
      </c>
      <c r="I137" s="56">
        <f t="shared" si="7"/>
        <v>-17.462752187972072</v>
      </c>
      <c r="J137" s="56">
        <f t="shared" si="8"/>
        <v>136881.43942399891</v>
      </c>
      <c r="K137" s="56">
        <f t="shared" si="9"/>
        <v>855323.86709991656</v>
      </c>
      <c r="T137" s="83"/>
    </row>
    <row r="138" spans="2:20" x14ac:dyDescent="0.2">
      <c r="B138" s="83"/>
      <c r="C138" s="56">
        <v>99</v>
      </c>
      <c r="D138" s="56">
        <v>22200.830924041707</v>
      </c>
      <c r="E138" s="56">
        <v>5.1347369450227243</v>
      </c>
      <c r="F138" s="56">
        <v>16388.421688714036</v>
      </c>
      <c r="G138" s="56">
        <v>16.815159458001197</v>
      </c>
      <c r="H138" s="56">
        <f t="shared" si="6"/>
        <v>5812.4092353276719</v>
      </c>
      <c r="I138" s="56">
        <f t="shared" si="7"/>
        <v>-11.680422512978474</v>
      </c>
      <c r="J138" s="56">
        <f t="shared" si="8"/>
        <v>190500.51228657961</v>
      </c>
      <c r="K138" s="56">
        <f t="shared" si="9"/>
        <v>680162.74369952758</v>
      </c>
      <c r="T138" s="83"/>
    </row>
    <row r="139" spans="2:20" x14ac:dyDescent="0.2">
      <c r="B139" s="83"/>
      <c r="C139" s="56">
        <v>100</v>
      </c>
      <c r="D139" s="56">
        <v>18331.829182142494</v>
      </c>
      <c r="E139" s="56">
        <v>2.8534858688614317</v>
      </c>
      <c r="F139" s="56">
        <v>13854.234878169036</v>
      </c>
      <c r="G139" s="56">
        <v>13.49819792857202</v>
      </c>
      <c r="H139" s="56">
        <f t="shared" si="6"/>
        <v>4477.5943039734575</v>
      </c>
      <c r="I139" s="56">
        <f t="shared" si="7"/>
        <v>-10.644712059710589</v>
      </c>
      <c r="J139" s="56">
        <f t="shared" si="8"/>
        <v>99870.969449573458</v>
      </c>
      <c r="K139" s="56">
        <f t="shared" si="9"/>
        <v>545295.11611499835</v>
      </c>
      <c r="T139" s="83"/>
    </row>
    <row r="140" spans="2:20" x14ac:dyDescent="0.2">
      <c r="B140" s="83"/>
      <c r="C140" s="56">
        <v>101</v>
      </c>
      <c r="D140" s="56">
        <v>12371.296756082327</v>
      </c>
      <c r="E140" s="56">
        <v>2.0401575522279485</v>
      </c>
      <c r="F140" s="56">
        <v>18863.509755823507</v>
      </c>
      <c r="G140" s="56">
        <v>17.00479793314506</v>
      </c>
      <c r="H140" s="56">
        <f t="shared" si="6"/>
        <v>-6492.2129997411794</v>
      </c>
      <c r="I140" s="56">
        <f t="shared" si="7"/>
        <v>-14.96464038091711</v>
      </c>
      <c r="J140" s="56">
        <f t="shared" si="8"/>
        <v>72140.189687408201</v>
      </c>
      <c r="K140" s="56">
        <f t="shared" si="9"/>
        <v>685543.23982677748</v>
      </c>
      <c r="T140" s="83"/>
    </row>
    <row r="141" spans="2:20" x14ac:dyDescent="0.2">
      <c r="B141" s="83"/>
      <c r="C141" s="56">
        <v>102</v>
      </c>
      <c r="D141" s="56">
        <v>17308.933151051348</v>
      </c>
      <c r="E141" s="56">
        <v>3.6032765319708711</v>
      </c>
      <c r="F141" s="56">
        <v>14795.579069496091</v>
      </c>
      <c r="G141" s="56">
        <v>13.749484926827552</v>
      </c>
      <c r="H141" s="56">
        <f t="shared" si="6"/>
        <v>2513.3540815552569</v>
      </c>
      <c r="I141" s="56">
        <f t="shared" si="7"/>
        <v>-10.146208394856682</v>
      </c>
      <c r="J141" s="56">
        <f t="shared" si="8"/>
        <v>131953.19390931001</v>
      </c>
      <c r="K141" s="56">
        <f t="shared" si="9"/>
        <v>554763.08453940845</v>
      </c>
      <c r="T141" s="83"/>
    </row>
    <row r="142" spans="2:20" x14ac:dyDescent="0.2">
      <c r="B142" s="83"/>
      <c r="C142" s="56">
        <v>103</v>
      </c>
      <c r="D142" s="56">
        <v>17926.791202459117</v>
      </c>
      <c r="E142" s="56">
        <v>3.9331184004025972</v>
      </c>
      <c r="F142" s="56">
        <v>12452.929063117612</v>
      </c>
      <c r="G142" s="56">
        <v>11.266915231789158</v>
      </c>
      <c r="H142" s="56">
        <f t="shared" si="6"/>
        <v>5473.8621393415051</v>
      </c>
      <c r="I142" s="56">
        <f t="shared" si="7"/>
        <v>-7.3337968313865609</v>
      </c>
      <c r="J142" s="56">
        <f t="shared" si="8"/>
        <v>144998.70541581808</v>
      </c>
      <c r="K142" s="56">
        <f t="shared" si="9"/>
        <v>454267.76749851648</v>
      </c>
      <c r="T142" s="83"/>
    </row>
    <row r="143" spans="2:20" x14ac:dyDescent="0.2">
      <c r="B143" s="83"/>
      <c r="C143" s="56">
        <v>104</v>
      </c>
      <c r="D143" s="56">
        <v>17224.047919307468</v>
      </c>
      <c r="E143" s="56">
        <v>3.6941808517716588</v>
      </c>
      <c r="F143" s="56">
        <v>20517.616500363536</v>
      </c>
      <c r="G143" s="56">
        <v>21.199317516816606</v>
      </c>
      <c r="H143" s="56">
        <f t="shared" si="6"/>
        <v>-3293.5685810560681</v>
      </c>
      <c r="I143" s="56">
        <f t="shared" si="7"/>
        <v>-17.505136665044947</v>
      </c>
      <c r="J143" s="56">
        <f t="shared" si="8"/>
        <v>135803.69968448175</v>
      </c>
      <c r="K143" s="56">
        <f t="shared" si="9"/>
        <v>857642.91231624747</v>
      </c>
      <c r="T143" s="83"/>
    </row>
    <row r="144" spans="2:20" x14ac:dyDescent="0.2">
      <c r="B144" s="83"/>
      <c r="C144" s="56">
        <v>105</v>
      </c>
      <c r="D144" s="56">
        <v>18962.976209033292</v>
      </c>
      <c r="E144" s="56">
        <v>4.4875164191745691</v>
      </c>
      <c r="F144" s="56">
        <v>22066.880450181237</v>
      </c>
      <c r="G144" s="56">
        <v>23.469821463314751</v>
      </c>
      <c r="H144" s="56">
        <f t="shared" si="6"/>
        <v>-3103.9042411479459</v>
      </c>
      <c r="I144" s="56">
        <f t="shared" si="7"/>
        <v>-18.982305044140183</v>
      </c>
      <c r="J144" s="56">
        <f t="shared" si="8"/>
        <v>166927.90393885408</v>
      </c>
      <c r="K144" s="56">
        <f t="shared" si="9"/>
        <v>950147.0038461691</v>
      </c>
      <c r="T144" s="83"/>
    </row>
    <row r="145" spans="2:20" x14ac:dyDescent="0.2">
      <c r="B145" s="83"/>
      <c r="C145" s="56">
        <v>106</v>
      </c>
      <c r="D145" s="56">
        <v>13146.405437951746</v>
      </c>
      <c r="E145" s="56">
        <v>3.186262369949282</v>
      </c>
      <c r="F145" s="56">
        <v>9307.5900781352484</v>
      </c>
      <c r="G145" s="56">
        <v>9.5054112072360244</v>
      </c>
      <c r="H145" s="56">
        <f t="shared" si="6"/>
        <v>3838.8153598164972</v>
      </c>
      <c r="I145" s="56">
        <f t="shared" si="7"/>
        <v>-6.3191488372867424</v>
      </c>
      <c r="J145" s="56">
        <f t="shared" si="8"/>
        <v>118841.32697482732</v>
      </c>
      <c r="K145" s="56">
        <f t="shared" si="9"/>
        <v>384444.56377040985</v>
      </c>
      <c r="T145" s="83"/>
    </row>
    <row r="146" spans="2:20" x14ac:dyDescent="0.2">
      <c r="B146" s="83"/>
      <c r="C146" s="56">
        <v>107</v>
      </c>
      <c r="D146" s="56">
        <v>20049.141966478957</v>
      </c>
      <c r="E146" s="56">
        <v>4.6412828519604741</v>
      </c>
      <c r="F146" s="56">
        <v>13859.103458186928</v>
      </c>
      <c r="G146" s="56">
        <v>13.022180948080251</v>
      </c>
      <c r="H146" s="56">
        <f t="shared" si="6"/>
        <v>6190.0385082920293</v>
      </c>
      <c r="I146" s="56">
        <f t="shared" si="7"/>
        <v>-8.3808980961197772</v>
      </c>
      <c r="J146" s="56">
        <f t="shared" si="8"/>
        <v>172211.35889313172</v>
      </c>
      <c r="K146" s="56">
        <f t="shared" si="9"/>
        <v>525571.72013508936</v>
      </c>
      <c r="T146" s="83"/>
    </row>
    <row r="147" spans="2:20" x14ac:dyDescent="0.2">
      <c r="B147" s="83"/>
      <c r="C147" s="56">
        <v>108</v>
      </c>
      <c r="D147" s="56">
        <v>18757.394013973848</v>
      </c>
      <c r="E147" s="56">
        <v>4.2540671176832943</v>
      </c>
      <c r="F147" s="56">
        <v>18374.003930537732</v>
      </c>
      <c r="G147" s="56">
        <v>17.837548721304621</v>
      </c>
      <c r="H147" s="56">
        <f t="shared" si="6"/>
        <v>383.39008343611567</v>
      </c>
      <c r="I147" s="56">
        <f t="shared" si="7"/>
        <v>-13.583481603621326</v>
      </c>
      <c r="J147" s="56">
        <f t="shared" si="8"/>
        <v>157463.08226893892</v>
      </c>
      <c r="K147" s="56">
        <f t="shared" si="9"/>
        <v>720528.61430078489</v>
      </c>
      <c r="T147" s="83"/>
    </row>
    <row r="148" spans="2:20" x14ac:dyDescent="0.2">
      <c r="B148" s="83"/>
      <c r="C148" s="56">
        <v>109</v>
      </c>
      <c r="D148" s="56">
        <v>9159.7619057470984</v>
      </c>
      <c r="E148" s="56">
        <v>1.4074578174595072</v>
      </c>
      <c r="F148" s="56">
        <v>16227.390726666672</v>
      </c>
      <c r="G148" s="56">
        <v>16.60234496112848</v>
      </c>
      <c r="H148" s="56">
        <f t="shared" si="6"/>
        <v>-7067.6288209195736</v>
      </c>
      <c r="I148" s="56">
        <f t="shared" si="7"/>
        <v>-15.194887143668973</v>
      </c>
      <c r="J148" s="56">
        <f t="shared" si="8"/>
        <v>49142.770724695525</v>
      </c>
      <c r="K148" s="56">
        <f t="shared" si="9"/>
        <v>671508.14694311947</v>
      </c>
      <c r="T148" s="83"/>
    </row>
    <row r="149" spans="2:20" x14ac:dyDescent="0.2">
      <c r="B149" s="83"/>
      <c r="C149" s="56">
        <v>110</v>
      </c>
      <c r="D149" s="56">
        <v>9192.9706323607243</v>
      </c>
      <c r="E149" s="56">
        <v>2.0457906728412398</v>
      </c>
      <c r="F149" s="56">
        <v>9013.102397234441</v>
      </c>
      <c r="G149" s="56">
        <v>10.315779477359932</v>
      </c>
      <c r="H149" s="56">
        <f t="shared" si="6"/>
        <v>179.86823512628325</v>
      </c>
      <c r="I149" s="56">
        <f t="shared" si="7"/>
        <v>-8.2699888045186931</v>
      </c>
      <c r="J149" s="56">
        <f t="shared" si="8"/>
        <v>75551.862199414798</v>
      </c>
      <c r="K149" s="56">
        <f t="shared" si="9"/>
        <v>418307.74667292333</v>
      </c>
      <c r="T149" s="83"/>
    </row>
    <row r="150" spans="2:20" x14ac:dyDescent="0.2">
      <c r="B150" s="83"/>
      <c r="C150" s="56">
        <v>111</v>
      </c>
      <c r="D150" s="56">
        <v>17960.849707600297</v>
      </c>
      <c r="E150" s="56">
        <v>3.3252829011747367</v>
      </c>
      <c r="F150" s="56">
        <v>16495.534821647834</v>
      </c>
      <c r="G150" s="56">
        <v>15.715417347402235</v>
      </c>
      <c r="H150" s="56">
        <f t="shared" si="6"/>
        <v>1465.3148859524626</v>
      </c>
      <c r="I150" s="56">
        <f t="shared" si="7"/>
        <v>-12.390134446227499</v>
      </c>
      <c r="J150" s="56">
        <f t="shared" si="8"/>
        <v>119785.669190662</v>
      </c>
      <c r="K150" s="56">
        <f t="shared" si="9"/>
        <v>634499.91337714239</v>
      </c>
      <c r="T150" s="83"/>
    </row>
    <row r="151" spans="2:20" x14ac:dyDescent="0.2">
      <c r="B151" s="83"/>
      <c r="C151" s="56">
        <v>112</v>
      </c>
      <c r="D151" s="56">
        <v>12331.416801336325</v>
      </c>
      <c r="E151" s="56">
        <v>2.843132324645703</v>
      </c>
      <c r="F151" s="56">
        <v>16248.962548344836</v>
      </c>
      <c r="G151" s="56">
        <v>17.465583486402508</v>
      </c>
      <c r="H151" s="56">
        <f t="shared" si="6"/>
        <v>-3917.5457470085112</v>
      </c>
      <c r="I151" s="56">
        <f t="shared" si="7"/>
        <v>-14.622451161756805</v>
      </c>
      <c r="J151" s="56">
        <f t="shared" si="8"/>
        <v>105442.49661478728</v>
      </c>
      <c r="K151" s="56">
        <f t="shared" si="9"/>
        <v>707245.36779239262</v>
      </c>
      <c r="T151" s="83"/>
    </row>
    <row r="152" spans="2:20" x14ac:dyDescent="0.2">
      <c r="B152" s="83"/>
      <c r="C152" s="56">
        <v>113</v>
      </c>
      <c r="D152" s="56">
        <v>11982.61328690954</v>
      </c>
      <c r="E152" s="56">
        <v>2.8164378337280964</v>
      </c>
      <c r="F152" s="56">
        <v>16289.85698581263</v>
      </c>
      <c r="G152" s="56">
        <v>18.51746437901695</v>
      </c>
      <c r="H152" s="56">
        <f t="shared" si="6"/>
        <v>-4307.2436989030903</v>
      </c>
      <c r="I152" s="56">
        <f t="shared" si="7"/>
        <v>-15.701026545288853</v>
      </c>
      <c r="J152" s="56">
        <f t="shared" si="8"/>
        <v>104685.50753744312</v>
      </c>
      <c r="K152" s="56">
        <f t="shared" si="9"/>
        <v>750777.58745058544</v>
      </c>
      <c r="T152" s="83"/>
    </row>
    <row r="153" spans="2:20" x14ac:dyDescent="0.2">
      <c r="B153" s="83"/>
      <c r="C153" s="56">
        <v>114</v>
      </c>
      <c r="D153" s="56">
        <v>10872.193344409117</v>
      </c>
      <c r="E153" s="56">
        <v>1.925315649779431</v>
      </c>
      <c r="F153" s="56">
        <v>19898.125425253642</v>
      </c>
      <c r="G153" s="56">
        <v>19.948838883506035</v>
      </c>
      <c r="H153" s="56">
        <f t="shared" si="6"/>
        <v>-9025.9320808445245</v>
      </c>
      <c r="I153" s="56">
        <f t="shared" si="7"/>
        <v>-18.023523233726603</v>
      </c>
      <c r="J153" s="56">
        <f t="shared" si="8"/>
        <v>68882.082132054042</v>
      </c>
      <c r="K153" s="56">
        <f t="shared" si="9"/>
        <v>806462.57648510032</v>
      </c>
      <c r="T153" s="83"/>
    </row>
    <row r="154" spans="2:20" x14ac:dyDescent="0.2">
      <c r="B154" s="83"/>
      <c r="C154" s="56">
        <v>115</v>
      </c>
      <c r="D154" s="56">
        <v>20636.596235053014</v>
      </c>
      <c r="E154" s="56">
        <v>3.543139163287965</v>
      </c>
      <c r="F154" s="56">
        <v>16084.022371943758</v>
      </c>
      <c r="G154" s="56">
        <v>12.232997233929261</v>
      </c>
      <c r="H154" s="56">
        <f t="shared" si="6"/>
        <v>4552.5738631092554</v>
      </c>
      <c r="I154" s="56">
        <f t="shared" si="7"/>
        <v>-8.6898580706412965</v>
      </c>
      <c r="J154" s="56">
        <f t="shared" si="8"/>
        <v>126134.40046498763</v>
      </c>
      <c r="K154" s="56">
        <f t="shared" si="9"/>
        <v>490655.65504634194</v>
      </c>
      <c r="T154" s="83"/>
    </row>
    <row r="155" spans="2:20" x14ac:dyDescent="0.2">
      <c r="B155" s="83"/>
      <c r="C155" s="56">
        <v>116</v>
      </c>
      <c r="D155" s="56">
        <v>13538.144390091993</v>
      </c>
      <c r="E155" s="56">
        <v>2.5473327282668308</v>
      </c>
      <c r="F155" s="56">
        <v>12877.498971628522</v>
      </c>
      <c r="G155" s="56">
        <v>13.113598995253206</v>
      </c>
      <c r="H155" s="56">
        <f t="shared" si="6"/>
        <v>660.64541846347129</v>
      </c>
      <c r="I155" s="56">
        <f t="shared" si="7"/>
        <v>-10.566266266986375</v>
      </c>
      <c r="J155" s="56">
        <f t="shared" si="8"/>
        <v>91982.566545633206</v>
      </c>
      <c r="K155" s="56">
        <f t="shared" si="9"/>
        <v>530340.22580774035</v>
      </c>
      <c r="T155" s="83"/>
    </row>
    <row r="156" spans="2:20" x14ac:dyDescent="0.2">
      <c r="B156" s="83"/>
      <c r="C156" s="56">
        <v>117</v>
      </c>
      <c r="D156" s="56">
        <v>19925.379925207126</v>
      </c>
      <c r="E156" s="56">
        <v>3.3469805186757156</v>
      </c>
      <c r="F156" s="56">
        <v>17126.712818734202</v>
      </c>
      <c r="G156" s="56">
        <v>18.229438475757142</v>
      </c>
      <c r="H156" s="56">
        <f t="shared" si="6"/>
        <v>2798.6671064729235</v>
      </c>
      <c r="I156" s="56">
        <f t="shared" si="7"/>
        <v>-14.882457957081426</v>
      </c>
      <c r="J156" s="56">
        <f t="shared" si="8"/>
        <v>118719.94108041571</v>
      </c>
      <c r="K156" s="56">
        <f t="shared" si="9"/>
        <v>738009.54660102958</v>
      </c>
      <c r="T156" s="83"/>
    </row>
    <row r="157" spans="2:20" x14ac:dyDescent="0.2">
      <c r="B157" s="83"/>
      <c r="C157" s="56">
        <v>118</v>
      </c>
      <c r="D157" s="56">
        <v>19817.762089376352</v>
      </c>
      <c r="E157" s="56">
        <v>4.2218031157681786</v>
      </c>
      <c r="F157" s="56">
        <v>10490.994016109611</v>
      </c>
      <c r="G157" s="56">
        <v>10.359879541638598</v>
      </c>
      <c r="H157" s="56">
        <f t="shared" si="6"/>
        <v>9326.7680732667413</v>
      </c>
      <c r="I157" s="56">
        <f t="shared" si="7"/>
        <v>-6.1380764258704197</v>
      </c>
      <c r="J157" s="56">
        <f t="shared" si="8"/>
        <v>155066.2101782047</v>
      </c>
      <c r="K157" s="56">
        <f t="shared" si="9"/>
        <v>418656.65611672768</v>
      </c>
      <c r="T157" s="83"/>
    </row>
    <row r="158" spans="2:20" x14ac:dyDescent="0.2">
      <c r="B158" s="83"/>
      <c r="C158" s="56">
        <v>119</v>
      </c>
      <c r="D158" s="56">
        <v>18503.900905107996</v>
      </c>
      <c r="E158" s="56">
        <v>4.2302717895040107</v>
      </c>
      <c r="F158" s="56">
        <v>24333.514648434313</v>
      </c>
      <c r="G158" s="56">
        <v>24.888484837028447</v>
      </c>
      <c r="H158" s="56">
        <f t="shared" si="6"/>
        <v>-5829.6137433263175</v>
      </c>
      <c r="I158" s="56">
        <f t="shared" si="7"/>
        <v>-20.658213047524434</v>
      </c>
      <c r="J158" s="56">
        <f t="shared" si="8"/>
        <v>156730.87770330615</v>
      </c>
      <c r="K158" s="56">
        <f t="shared" si="9"/>
        <v>1006647.081240632</v>
      </c>
      <c r="T158" s="83"/>
    </row>
    <row r="159" spans="2:20" x14ac:dyDescent="0.2">
      <c r="B159" s="83"/>
      <c r="C159" s="56">
        <v>120</v>
      </c>
      <c r="D159" s="56">
        <v>17825.758113802334</v>
      </c>
      <c r="E159" s="56">
        <v>4.0857714559374747</v>
      </c>
      <c r="F159" s="56">
        <v>6035.4452350701013</v>
      </c>
      <c r="G159" s="56">
        <v>5.0443674471384963</v>
      </c>
      <c r="H159" s="56">
        <f t="shared" si="6"/>
        <v>11790.312878732233</v>
      </c>
      <c r="I159" s="56">
        <f t="shared" si="7"/>
        <v>-0.95859599120102157</v>
      </c>
      <c r="J159" s="56">
        <f t="shared" si="8"/>
        <v>151423.23867695162</v>
      </c>
      <c r="K159" s="56">
        <f t="shared" si="9"/>
        <v>202922.43189519495</v>
      </c>
      <c r="T159" s="83"/>
    </row>
    <row r="160" spans="2:20" x14ac:dyDescent="0.2">
      <c r="B160" s="83"/>
      <c r="C160" s="56">
        <v>121</v>
      </c>
      <c r="D160" s="56">
        <v>15703.34337059787</v>
      </c>
      <c r="E160" s="56">
        <v>4.127770124238058</v>
      </c>
      <c r="F160" s="56">
        <v>10767.909825899753</v>
      </c>
      <c r="G160" s="56">
        <v>10.075195105693956</v>
      </c>
      <c r="H160" s="56">
        <f t="shared" si="6"/>
        <v>4935.4335446981167</v>
      </c>
      <c r="I160" s="56">
        <f t="shared" si="7"/>
        <v>-5.9474249814558977</v>
      </c>
      <c r="J160" s="56">
        <f t="shared" si="8"/>
        <v>155285.40625583945</v>
      </c>
      <c r="K160" s="56">
        <f t="shared" si="9"/>
        <v>406586.97223236668</v>
      </c>
      <c r="T160" s="83"/>
    </row>
    <row r="161" spans="2:20" x14ac:dyDescent="0.2">
      <c r="B161" s="83"/>
      <c r="C161" s="56">
        <v>122</v>
      </c>
      <c r="D161" s="56">
        <v>24134.4663511914</v>
      </c>
      <c r="E161" s="56">
        <v>4.7085623669031822</v>
      </c>
      <c r="F161" s="56">
        <v>22437.989911130699</v>
      </c>
      <c r="G161" s="56">
        <v>17.819963024371766</v>
      </c>
      <c r="H161" s="56">
        <f t="shared" si="6"/>
        <v>1696.4764400607019</v>
      </c>
      <c r="I161" s="56">
        <f t="shared" si="7"/>
        <v>-13.111400657468584</v>
      </c>
      <c r="J161" s="56">
        <f t="shared" si="8"/>
        <v>170913.02113540602</v>
      </c>
      <c r="K161" s="56">
        <f t="shared" si="9"/>
        <v>715736.15841044532</v>
      </c>
      <c r="T161" s="83"/>
    </row>
    <row r="162" spans="2:20" x14ac:dyDescent="0.2">
      <c r="B162" s="83"/>
      <c r="C162" s="56">
        <v>123</v>
      </c>
      <c r="D162" s="56">
        <v>12842.240861321447</v>
      </c>
      <c r="E162" s="56">
        <v>2.5763015023023859</v>
      </c>
      <c r="F162" s="56">
        <v>16809.888995864341</v>
      </c>
      <c r="G162" s="56">
        <v>19.045906232971031</v>
      </c>
      <c r="H162" s="56">
        <f t="shared" si="6"/>
        <v>-3967.6481345428947</v>
      </c>
      <c r="I162" s="56">
        <f t="shared" si="7"/>
        <v>-16.469604730668646</v>
      </c>
      <c r="J162" s="56">
        <f t="shared" si="8"/>
        <v>93878.472570052589</v>
      </c>
      <c r="K162" s="56">
        <f t="shared" si="9"/>
        <v>772147.73079872772</v>
      </c>
      <c r="T162" s="83"/>
    </row>
    <row r="163" spans="2:20" x14ac:dyDescent="0.2">
      <c r="B163" s="83"/>
      <c r="C163" s="56">
        <v>124</v>
      </c>
      <c r="D163" s="56">
        <v>18384.775170027413</v>
      </c>
      <c r="E163" s="56">
        <v>4.2467760751251005</v>
      </c>
      <c r="F163" s="56">
        <v>17076.953408266992</v>
      </c>
      <c r="G163" s="56">
        <v>18.725673445016696</v>
      </c>
      <c r="H163" s="56">
        <f t="shared" si="6"/>
        <v>1307.8217617604205</v>
      </c>
      <c r="I163" s="56">
        <f t="shared" si="7"/>
        <v>-14.478897369891595</v>
      </c>
      <c r="J163" s="56">
        <f t="shared" si="8"/>
        <v>157533.67696595474</v>
      </c>
      <c r="K163" s="56">
        <f t="shared" si="9"/>
        <v>758615.34337810462</v>
      </c>
      <c r="T163" s="83"/>
    </row>
    <row r="164" spans="2:20" x14ac:dyDescent="0.2">
      <c r="B164" s="83"/>
      <c r="C164" s="56">
        <v>125</v>
      </c>
      <c r="D164" s="56">
        <v>20036.003240193328</v>
      </c>
      <c r="E164" s="56">
        <v>4.6896525867919152</v>
      </c>
      <c r="F164" s="56">
        <v>16780.431059979699</v>
      </c>
      <c r="G164" s="56">
        <v>19.956357509688548</v>
      </c>
      <c r="H164" s="56">
        <f t="shared" si="6"/>
        <v>3255.5721802136286</v>
      </c>
      <c r="I164" s="56">
        <f t="shared" si="7"/>
        <v>-15.266704922896633</v>
      </c>
      <c r="J164" s="56">
        <f t="shared" si="8"/>
        <v>174228.16551507497</v>
      </c>
      <c r="K164" s="56">
        <f t="shared" si="9"/>
        <v>809891.72242135869</v>
      </c>
      <c r="T164" s="83"/>
    </row>
    <row r="165" spans="2:20" x14ac:dyDescent="0.2">
      <c r="B165" s="83"/>
      <c r="C165" s="56">
        <v>126</v>
      </c>
      <c r="D165" s="56">
        <v>14206.179141622986</v>
      </c>
      <c r="E165" s="56">
        <v>3.1128638939453275</v>
      </c>
      <c r="F165" s="56">
        <v>10036.980867361388</v>
      </c>
      <c r="G165" s="56">
        <v>7.3310189294448636</v>
      </c>
      <c r="H165" s="56">
        <f t="shared" si="6"/>
        <v>4169.1982742615983</v>
      </c>
      <c r="I165" s="56">
        <f t="shared" si="7"/>
        <v>-4.2181550354995361</v>
      </c>
      <c r="J165" s="56">
        <f t="shared" si="8"/>
        <v>114741.09480116826</v>
      </c>
      <c r="K165" s="56">
        <f t="shared" si="9"/>
        <v>293643.14726596267</v>
      </c>
      <c r="T165" s="83"/>
    </row>
    <row r="166" spans="2:20" x14ac:dyDescent="0.2">
      <c r="B166" s="83"/>
      <c r="C166" s="56">
        <v>127</v>
      </c>
      <c r="D166" s="56">
        <v>11741.974837633992</v>
      </c>
      <c r="E166" s="56">
        <v>2.7259050326579692</v>
      </c>
      <c r="F166" s="56">
        <v>17925.443555912629</v>
      </c>
      <c r="G166" s="56">
        <v>21.620344686562959</v>
      </c>
      <c r="H166" s="56">
        <f t="shared" si="6"/>
        <v>-6183.4687182786365</v>
      </c>
      <c r="I166" s="56">
        <f t="shared" si="7"/>
        <v>-18.894439653904989</v>
      </c>
      <c r="J166" s="56">
        <f t="shared" si="8"/>
        <v>101175.91523518972</v>
      </c>
      <c r="K166" s="56">
        <f t="shared" si="9"/>
        <v>877675.71474027145</v>
      </c>
      <c r="T166" s="83"/>
    </row>
    <row r="167" spans="2:20" x14ac:dyDescent="0.2">
      <c r="B167" s="83"/>
      <c r="C167" s="56">
        <v>128</v>
      </c>
      <c r="D167" s="56">
        <v>15863.596987222567</v>
      </c>
      <c r="E167" s="56">
        <v>3.7902980589554454</v>
      </c>
      <c r="F167" s="56">
        <v>19152.29689254997</v>
      </c>
      <c r="G167" s="56">
        <v>20.883844562920217</v>
      </c>
      <c r="H167" s="56">
        <f t="shared" si="6"/>
        <v>-3288.699905327403</v>
      </c>
      <c r="I167" s="56">
        <f t="shared" si="7"/>
        <v>-17.09354650396477</v>
      </c>
      <c r="J167" s="56">
        <f t="shared" si="8"/>
        <v>141145.70980694782</v>
      </c>
      <c r="K167" s="56">
        <f t="shared" si="9"/>
        <v>845940.08028185705</v>
      </c>
      <c r="T167" s="83"/>
    </row>
    <row r="168" spans="2:20" x14ac:dyDescent="0.2">
      <c r="B168" s="83"/>
      <c r="C168" s="56">
        <v>129</v>
      </c>
      <c r="D168" s="56">
        <v>20398.217575062768</v>
      </c>
      <c r="E168" s="56">
        <v>4.036929919643887</v>
      </c>
      <c r="F168" s="56">
        <v>17366.155535760823</v>
      </c>
      <c r="G168" s="56">
        <v>16.834646176071658</v>
      </c>
      <c r="H168" s="56">
        <f t="shared" ref="H168:H231" si="10">IF($C168&lt;=No_of_iterations_PSA,D168-$F168,"")</f>
        <v>3032.0620393019453</v>
      </c>
      <c r="I168" s="56">
        <f t="shared" ref="I168:I231" si="11">IF($C168&lt;=No_of_iterations_PSA,E168-$G168,"")</f>
        <v>-12.797716256427771</v>
      </c>
      <c r="J168" s="56">
        <f t="shared" ref="J168:J231" si="12">IF($C168&lt;=No_of_iterations_PSA,E168*WTP-D168,"")</f>
        <v>146827.56741626561</v>
      </c>
      <c r="K168" s="56">
        <f t="shared" ref="K168:K231" si="13">IF($C168&lt;=No_of_iterations_PSA,G168*WTP-F168,"")</f>
        <v>679992.22766183154</v>
      </c>
      <c r="T168" s="83"/>
    </row>
    <row r="169" spans="2:20" x14ac:dyDescent="0.2">
      <c r="B169" s="83"/>
      <c r="C169" s="56">
        <v>130</v>
      </c>
      <c r="D169" s="56">
        <v>12306.452712988783</v>
      </c>
      <c r="E169" s="56">
        <v>2.4726897985517047</v>
      </c>
      <c r="F169" s="56">
        <v>12997.273168746437</v>
      </c>
      <c r="G169" s="56">
        <v>13.362313938014132</v>
      </c>
      <c r="H169" s="56">
        <f t="shared" si="10"/>
        <v>-690.82045575765369</v>
      </c>
      <c r="I169" s="56">
        <f t="shared" si="11"/>
        <v>-10.889624139462427</v>
      </c>
      <c r="J169" s="56">
        <f t="shared" si="12"/>
        <v>90122.249502217033</v>
      </c>
      <c r="K169" s="56">
        <f t="shared" si="13"/>
        <v>540523.21939955105</v>
      </c>
      <c r="T169" s="83"/>
    </row>
    <row r="170" spans="2:20" x14ac:dyDescent="0.2">
      <c r="B170" s="83"/>
      <c r="C170" s="56">
        <v>131</v>
      </c>
      <c r="D170" s="56">
        <v>13838.350344765582</v>
      </c>
      <c r="E170" s="56">
        <v>3.0074332193085342</v>
      </c>
      <c r="F170" s="56">
        <v>17867.642404089464</v>
      </c>
      <c r="G170" s="56">
        <v>17.014897424440068</v>
      </c>
      <c r="H170" s="56">
        <f t="shared" si="10"/>
        <v>-4029.2920593238814</v>
      </c>
      <c r="I170" s="56">
        <f t="shared" si="11"/>
        <v>-14.007464205131534</v>
      </c>
      <c r="J170" s="56">
        <f t="shared" si="12"/>
        <v>110741.56333187113</v>
      </c>
      <c r="K170" s="56">
        <f t="shared" si="13"/>
        <v>686957.46850591595</v>
      </c>
      <c r="T170" s="83"/>
    </row>
    <row r="171" spans="2:20" x14ac:dyDescent="0.2">
      <c r="B171" s="83"/>
      <c r="C171" s="56">
        <v>132</v>
      </c>
      <c r="D171" s="56">
        <v>20136.298955432634</v>
      </c>
      <c r="E171" s="56">
        <v>4.6945281264293239</v>
      </c>
      <c r="F171" s="56">
        <v>14709.346850795631</v>
      </c>
      <c r="G171" s="56">
        <v>13.28297430973797</v>
      </c>
      <c r="H171" s="56">
        <f t="shared" si="10"/>
        <v>5426.9521046370028</v>
      </c>
      <c r="I171" s="56">
        <f t="shared" si="11"/>
        <v>-8.5884461833086458</v>
      </c>
      <c r="J171" s="56">
        <f t="shared" si="12"/>
        <v>174329.83415377568</v>
      </c>
      <c r="K171" s="56">
        <f t="shared" si="13"/>
        <v>535524.58095579001</v>
      </c>
      <c r="T171" s="83"/>
    </row>
    <row r="172" spans="2:20" x14ac:dyDescent="0.2">
      <c r="B172" s="83"/>
      <c r="C172" s="56">
        <v>133</v>
      </c>
      <c r="D172" s="56">
        <v>15916.36839727671</v>
      </c>
      <c r="E172" s="56">
        <v>3.2333614741653705</v>
      </c>
      <c r="F172" s="56">
        <v>16859.454142802802</v>
      </c>
      <c r="G172" s="56">
        <v>16.747741115317091</v>
      </c>
      <c r="H172" s="56">
        <f t="shared" si="10"/>
        <v>-943.08574552609207</v>
      </c>
      <c r="I172" s="56">
        <f t="shared" si="11"/>
        <v>-13.51437964115172</v>
      </c>
      <c r="J172" s="56">
        <f t="shared" si="12"/>
        <v>118022.39730854961</v>
      </c>
      <c r="K172" s="56">
        <f t="shared" si="13"/>
        <v>676898.97381809237</v>
      </c>
      <c r="T172" s="83"/>
    </row>
    <row r="173" spans="2:20" x14ac:dyDescent="0.2">
      <c r="B173" s="83"/>
      <c r="C173" s="56">
        <v>134</v>
      </c>
      <c r="D173" s="56">
        <v>15262.684090851477</v>
      </c>
      <c r="E173" s="56">
        <v>3.8831818356253587</v>
      </c>
      <c r="F173" s="56">
        <v>12910.165762347879</v>
      </c>
      <c r="G173" s="56">
        <v>15.363062448986366</v>
      </c>
      <c r="H173" s="56">
        <f t="shared" si="10"/>
        <v>2352.5183285035982</v>
      </c>
      <c r="I173" s="56">
        <f t="shared" si="11"/>
        <v>-11.479880613361008</v>
      </c>
      <c r="J173" s="56">
        <f t="shared" si="12"/>
        <v>145594.24026809336</v>
      </c>
      <c r="K173" s="56">
        <f t="shared" si="13"/>
        <v>623489.33312446333</v>
      </c>
      <c r="T173" s="83"/>
    </row>
    <row r="174" spans="2:20" x14ac:dyDescent="0.2">
      <c r="B174" s="83"/>
      <c r="C174" s="56">
        <v>135</v>
      </c>
      <c r="D174" s="56">
        <v>16276.364969338847</v>
      </c>
      <c r="E174" s="56">
        <v>3.774075124039959</v>
      </c>
      <c r="F174" s="56">
        <v>10750.924251325079</v>
      </c>
      <c r="G174" s="56">
        <v>12.079665978339088</v>
      </c>
      <c r="H174" s="56">
        <f t="shared" si="10"/>
        <v>5525.4407180137678</v>
      </c>
      <c r="I174" s="56">
        <f t="shared" si="11"/>
        <v>-8.3055908542991297</v>
      </c>
      <c r="J174" s="56">
        <f t="shared" si="12"/>
        <v>140060.92296889241</v>
      </c>
      <c r="K174" s="56">
        <f t="shared" si="13"/>
        <v>489637.15923539334</v>
      </c>
      <c r="T174" s="83"/>
    </row>
    <row r="175" spans="2:20" x14ac:dyDescent="0.2">
      <c r="B175" s="83"/>
      <c r="C175" s="56">
        <v>136</v>
      </c>
      <c r="D175" s="56">
        <v>21189.736042015433</v>
      </c>
      <c r="E175" s="56">
        <v>4.9474665349894194</v>
      </c>
      <c r="F175" s="56">
        <v>7371.0958740525184</v>
      </c>
      <c r="G175" s="56">
        <v>6.3319946428438181</v>
      </c>
      <c r="H175" s="56">
        <f t="shared" si="10"/>
        <v>13818.640167962914</v>
      </c>
      <c r="I175" s="56">
        <f t="shared" si="11"/>
        <v>-1.3845281078543987</v>
      </c>
      <c r="J175" s="56">
        <f t="shared" si="12"/>
        <v>183754.11770338629</v>
      </c>
      <c r="K175" s="56">
        <f t="shared" si="13"/>
        <v>254925.4502111098</v>
      </c>
      <c r="T175" s="83"/>
    </row>
    <row r="176" spans="2:20" x14ac:dyDescent="0.2">
      <c r="B176" s="83"/>
      <c r="C176" s="56">
        <v>137</v>
      </c>
      <c r="D176" s="56">
        <v>16325.603883999422</v>
      </c>
      <c r="E176" s="56">
        <v>4.0885089611121526</v>
      </c>
      <c r="F176" s="56">
        <v>14266.753027123486</v>
      </c>
      <c r="G176" s="56">
        <v>16.920230510757023</v>
      </c>
      <c r="H176" s="56">
        <f t="shared" si="10"/>
        <v>2058.8508568759353</v>
      </c>
      <c r="I176" s="56">
        <f t="shared" si="11"/>
        <v>-12.83172154964487</v>
      </c>
      <c r="J176" s="56">
        <f t="shared" si="12"/>
        <v>153036.79132111039</v>
      </c>
      <c r="K176" s="56">
        <f t="shared" si="13"/>
        <v>686636.87565047538</v>
      </c>
      <c r="T176" s="83"/>
    </row>
    <row r="177" spans="2:20" x14ac:dyDescent="0.2">
      <c r="B177" s="83"/>
      <c r="C177" s="56">
        <v>138</v>
      </c>
      <c r="D177" s="56">
        <v>23224.039227579193</v>
      </c>
      <c r="E177" s="56">
        <v>4.7817511550164298</v>
      </c>
      <c r="F177" s="56">
        <v>21713.19254857548</v>
      </c>
      <c r="G177" s="56">
        <v>18.219619516512672</v>
      </c>
      <c r="H177" s="56">
        <f t="shared" si="10"/>
        <v>1510.8466790037128</v>
      </c>
      <c r="I177" s="56">
        <f t="shared" si="11"/>
        <v>-13.437868361496243</v>
      </c>
      <c r="J177" s="56">
        <f t="shared" si="12"/>
        <v>174855.22061782138</v>
      </c>
      <c r="K177" s="56">
        <f t="shared" si="13"/>
        <v>733016.3263034455</v>
      </c>
      <c r="T177" s="83"/>
    </row>
    <row r="178" spans="2:20" x14ac:dyDescent="0.2">
      <c r="B178" s="83"/>
      <c r="C178" s="56">
        <v>139</v>
      </c>
      <c r="D178" s="56">
        <v>11776.210690397429</v>
      </c>
      <c r="E178" s="56">
        <v>2.6269794203897616</v>
      </c>
      <c r="F178" s="56">
        <v>12476.791788333756</v>
      </c>
      <c r="G178" s="56">
        <v>12.026299138095485</v>
      </c>
      <c r="H178" s="56">
        <f t="shared" si="10"/>
        <v>-700.58109793632684</v>
      </c>
      <c r="I178" s="56">
        <f t="shared" si="11"/>
        <v>-9.3993197177057226</v>
      </c>
      <c r="J178" s="56">
        <f t="shared" si="12"/>
        <v>97043.784819828055</v>
      </c>
      <c r="K178" s="56">
        <f t="shared" si="13"/>
        <v>485700.62370813364</v>
      </c>
      <c r="T178" s="83"/>
    </row>
    <row r="179" spans="2:20" x14ac:dyDescent="0.2">
      <c r="B179" s="83"/>
      <c r="C179" s="56">
        <v>140</v>
      </c>
      <c r="D179" s="56">
        <v>3028.8606730562278</v>
      </c>
      <c r="E179" s="56">
        <v>0.63749883370034688</v>
      </c>
      <c r="F179" s="56">
        <v>13440.389245450804</v>
      </c>
      <c r="G179" s="56">
        <v>13.181977112456094</v>
      </c>
      <c r="H179" s="56">
        <f t="shared" si="10"/>
        <v>-10411.528572394576</v>
      </c>
      <c r="I179" s="56">
        <f t="shared" si="11"/>
        <v>-12.544478278755747</v>
      </c>
      <c r="J179" s="56">
        <f t="shared" si="12"/>
        <v>23378.891014146942</v>
      </c>
      <c r="K179" s="56">
        <f t="shared" si="13"/>
        <v>532609.83066093037</v>
      </c>
      <c r="T179" s="83"/>
    </row>
    <row r="180" spans="2:20" x14ac:dyDescent="0.2">
      <c r="B180" s="83"/>
      <c r="C180" s="56">
        <v>141</v>
      </c>
      <c r="D180" s="56">
        <v>18207.640573424931</v>
      </c>
      <c r="E180" s="56">
        <v>4.4712110518404593</v>
      </c>
      <c r="F180" s="56">
        <v>14853.011019692558</v>
      </c>
      <c r="G180" s="56">
        <v>16.692017505220484</v>
      </c>
      <c r="H180" s="56">
        <f t="shared" si="10"/>
        <v>3354.6295537323731</v>
      </c>
      <c r="I180" s="56">
        <f t="shared" si="11"/>
        <v>-12.220806453380025</v>
      </c>
      <c r="J180" s="56">
        <f t="shared" si="12"/>
        <v>167007.80603801427</v>
      </c>
      <c r="K180" s="56">
        <f t="shared" si="13"/>
        <v>676597.12211656081</v>
      </c>
      <c r="T180" s="83"/>
    </row>
    <row r="181" spans="2:20" x14ac:dyDescent="0.2">
      <c r="B181" s="83"/>
      <c r="C181" s="56">
        <v>142</v>
      </c>
      <c r="D181" s="56">
        <v>15398.14244619561</v>
      </c>
      <c r="E181" s="56">
        <v>2.5355928327006252</v>
      </c>
      <c r="F181" s="56">
        <v>14029.263293494654</v>
      </c>
      <c r="G181" s="56">
        <v>12.1066391524823</v>
      </c>
      <c r="H181" s="56">
        <f t="shared" si="10"/>
        <v>1368.8791527009562</v>
      </c>
      <c r="I181" s="56">
        <f t="shared" si="11"/>
        <v>-9.5710463197816757</v>
      </c>
      <c r="J181" s="56">
        <f t="shared" si="12"/>
        <v>89636.255055595087</v>
      </c>
      <c r="K181" s="56">
        <f t="shared" si="13"/>
        <v>487476.15695893217</v>
      </c>
      <c r="T181" s="83"/>
    </row>
    <row r="182" spans="2:20" x14ac:dyDescent="0.2">
      <c r="B182" s="83"/>
      <c r="C182" s="56">
        <v>143</v>
      </c>
      <c r="D182" s="56">
        <v>19593.268513609721</v>
      </c>
      <c r="E182" s="56">
        <v>5.1035772633146079</v>
      </c>
      <c r="F182" s="56">
        <v>14671.105304399127</v>
      </c>
      <c r="G182" s="56">
        <v>17.672024813907026</v>
      </c>
      <c r="H182" s="56">
        <f t="shared" si="10"/>
        <v>4922.1632092105938</v>
      </c>
      <c r="I182" s="56">
        <f t="shared" si="11"/>
        <v>-12.568447550592417</v>
      </c>
      <c r="J182" s="56">
        <f t="shared" si="12"/>
        <v>191817.31604193459</v>
      </c>
      <c r="K182" s="56">
        <f t="shared" si="13"/>
        <v>717374.85058688547</v>
      </c>
      <c r="T182" s="83"/>
    </row>
    <row r="183" spans="2:20" x14ac:dyDescent="0.2">
      <c r="B183" s="83"/>
      <c r="C183" s="56">
        <v>144</v>
      </c>
      <c r="D183" s="56">
        <v>18080.514129688203</v>
      </c>
      <c r="E183" s="56">
        <v>3.9286707358129287</v>
      </c>
      <c r="F183" s="56">
        <v>10546.446222324679</v>
      </c>
      <c r="G183" s="56">
        <v>8.9706355117902845</v>
      </c>
      <c r="H183" s="56">
        <f t="shared" si="10"/>
        <v>7534.0679073635238</v>
      </c>
      <c r="I183" s="56">
        <f t="shared" si="11"/>
        <v>-5.0419647759773554</v>
      </c>
      <c r="J183" s="56">
        <f t="shared" si="12"/>
        <v>144660.74243062656</v>
      </c>
      <c r="K183" s="56">
        <f t="shared" si="13"/>
        <v>361053.15921807609</v>
      </c>
      <c r="T183" s="83"/>
    </row>
    <row r="184" spans="2:20" x14ac:dyDescent="0.2">
      <c r="B184" s="83"/>
      <c r="C184" s="56">
        <v>145</v>
      </c>
      <c r="D184" s="56">
        <v>22717.650394149034</v>
      </c>
      <c r="E184" s="56">
        <v>4.4977761532837874</v>
      </c>
      <c r="F184" s="56">
        <v>19230.39024801915</v>
      </c>
      <c r="G184" s="56">
        <v>19.906098159085222</v>
      </c>
      <c r="H184" s="56">
        <f t="shared" si="10"/>
        <v>3487.2601461298837</v>
      </c>
      <c r="I184" s="56">
        <f t="shared" si="11"/>
        <v>-15.408322005801434</v>
      </c>
      <c r="J184" s="56">
        <f t="shared" si="12"/>
        <v>163598.22897947856</v>
      </c>
      <c r="K184" s="56">
        <f t="shared" si="13"/>
        <v>805359.81989392708</v>
      </c>
      <c r="T184" s="83"/>
    </row>
    <row r="185" spans="2:20" x14ac:dyDescent="0.2">
      <c r="B185" s="83"/>
      <c r="C185" s="56">
        <v>146</v>
      </c>
      <c r="D185" s="56">
        <v>15261.917155916819</v>
      </c>
      <c r="E185" s="56">
        <v>2.9188214958776864</v>
      </c>
      <c r="F185" s="56">
        <v>12547.790063490576</v>
      </c>
      <c r="G185" s="56">
        <v>9.1137820871689037</v>
      </c>
      <c r="H185" s="56">
        <f t="shared" si="10"/>
        <v>2714.1270924262426</v>
      </c>
      <c r="I185" s="56">
        <f t="shared" si="11"/>
        <v>-6.1949605912912169</v>
      </c>
      <c r="J185" s="56">
        <f t="shared" si="12"/>
        <v>105647.34448932046</v>
      </c>
      <c r="K185" s="56">
        <f t="shared" si="13"/>
        <v>364981.5191153941</v>
      </c>
      <c r="T185" s="83"/>
    </row>
    <row r="186" spans="2:20" x14ac:dyDescent="0.2">
      <c r="B186" s="83"/>
      <c r="C186" s="56">
        <v>147</v>
      </c>
      <c r="D186" s="56">
        <v>14098.795935304744</v>
      </c>
      <c r="E186" s="56">
        <v>3.0988651786970474</v>
      </c>
      <c r="F186" s="56">
        <v>13343.092340583176</v>
      </c>
      <c r="G186" s="56">
        <v>14.951937275802999</v>
      </c>
      <c r="H186" s="56">
        <f t="shared" si="10"/>
        <v>755.70359472156815</v>
      </c>
      <c r="I186" s="56">
        <f t="shared" si="11"/>
        <v>-11.853072097105951</v>
      </c>
      <c r="J186" s="56">
        <f t="shared" si="12"/>
        <v>114268.59522704175</v>
      </c>
      <c r="K186" s="56">
        <f t="shared" si="13"/>
        <v>606025.95737228019</v>
      </c>
      <c r="T186" s="83"/>
    </row>
    <row r="187" spans="2:20" x14ac:dyDescent="0.2">
      <c r="B187" s="83"/>
      <c r="C187" s="56">
        <v>148</v>
      </c>
      <c r="D187" s="56">
        <v>16290.446308631617</v>
      </c>
      <c r="E187" s="56">
        <v>3.5973329305925903</v>
      </c>
      <c r="F187" s="56">
        <v>20613.097607818196</v>
      </c>
      <c r="G187" s="56">
        <v>23.26273646258942</v>
      </c>
      <c r="H187" s="56">
        <f t="shared" si="10"/>
        <v>-4322.6512991865784</v>
      </c>
      <c r="I187" s="56">
        <f t="shared" si="11"/>
        <v>-19.66540353199683</v>
      </c>
      <c r="J187" s="56">
        <f t="shared" si="12"/>
        <v>132725.47300823583</v>
      </c>
      <c r="K187" s="56">
        <f t="shared" si="13"/>
        <v>943022.49761848594</v>
      </c>
      <c r="T187" s="83"/>
    </row>
    <row r="188" spans="2:20" x14ac:dyDescent="0.2">
      <c r="B188" s="83"/>
      <c r="C188" s="56">
        <v>149</v>
      </c>
      <c r="D188" s="56">
        <v>14087.835091719387</v>
      </c>
      <c r="E188" s="56">
        <v>3.1171897349220039</v>
      </c>
      <c r="F188" s="56">
        <v>13370.389259858486</v>
      </c>
      <c r="G188" s="56">
        <v>13.299538740286955</v>
      </c>
      <c r="H188" s="56">
        <f t="shared" si="10"/>
        <v>717.44583186090131</v>
      </c>
      <c r="I188" s="56">
        <f t="shared" si="11"/>
        <v>-10.182349005364951</v>
      </c>
      <c r="J188" s="56">
        <f t="shared" si="12"/>
        <v>115038.6324876897</v>
      </c>
      <c r="K188" s="56">
        <f t="shared" si="13"/>
        <v>537549.70351778832</v>
      </c>
      <c r="T188" s="83"/>
    </row>
    <row r="189" spans="2:20" x14ac:dyDescent="0.2">
      <c r="B189" s="83"/>
      <c r="C189" s="56">
        <v>150</v>
      </c>
      <c r="D189" s="56">
        <v>13572.01347962074</v>
      </c>
      <c r="E189" s="56">
        <v>2.7194206618955077</v>
      </c>
      <c r="F189" s="56">
        <v>27556.13140478354</v>
      </c>
      <c r="G189" s="56">
        <v>26.819854986990954</v>
      </c>
      <c r="H189" s="56">
        <f t="shared" si="10"/>
        <v>-13984.1179251628</v>
      </c>
      <c r="I189" s="56">
        <f t="shared" si="11"/>
        <v>-24.100434325095446</v>
      </c>
      <c r="J189" s="56">
        <f t="shared" si="12"/>
        <v>99077.268018738774</v>
      </c>
      <c r="K189" s="56">
        <f t="shared" si="13"/>
        <v>1083429.5415763296</v>
      </c>
      <c r="T189" s="83"/>
    </row>
    <row r="190" spans="2:20" x14ac:dyDescent="0.2">
      <c r="B190" s="83"/>
      <c r="C190" s="56">
        <v>151</v>
      </c>
      <c r="D190" s="56">
        <v>10771.575249640318</v>
      </c>
      <c r="E190" s="56">
        <v>2.2998945504948982</v>
      </c>
      <c r="F190" s="56">
        <v>17715.501379434183</v>
      </c>
      <c r="G190" s="56">
        <v>19.22452324232902</v>
      </c>
      <c r="H190" s="56">
        <f t="shared" si="10"/>
        <v>-6943.9261297938647</v>
      </c>
      <c r="I190" s="56">
        <f t="shared" si="11"/>
        <v>-16.924628691834123</v>
      </c>
      <c r="J190" s="56">
        <f t="shared" si="12"/>
        <v>84499.256610060344</v>
      </c>
      <c r="K190" s="56">
        <f t="shared" si="13"/>
        <v>778641.14941080322</v>
      </c>
      <c r="T190" s="83"/>
    </row>
    <row r="191" spans="2:20" x14ac:dyDescent="0.2">
      <c r="B191" s="83"/>
      <c r="C191" s="56">
        <v>152</v>
      </c>
      <c r="D191" s="56">
        <v>13333.970245798326</v>
      </c>
      <c r="E191" s="56">
        <v>2.9822789887607137</v>
      </c>
      <c r="F191" s="56">
        <v>10017.728107676876</v>
      </c>
      <c r="G191" s="56">
        <v>9.1643858220754133</v>
      </c>
      <c r="H191" s="56">
        <f t="shared" si="10"/>
        <v>3316.2421381214499</v>
      </c>
      <c r="I191" s="56">
        <f t="shared" si="11"/>
        <v>-6.1821068333147</v>
      </c>
      <c r="J191" s="56">
        <f t="shared" si="12"/>
        <v>110203.95458462548</v>
      </c>
      <c r="K191" s="56">
        <f t="shared" si="13"/>
        <v>369607.79018597503</v>
      </c>
      <c r="T191" s="83"/>
    </row>
    <row r="192" spans="2:20" x14ac:dyDescent="0.2">
      <c r="B192" s="83"/>
      <c r="C192" s="56">
        <v>153</v>
      </c>
      <c r="D192" s="56">
        <v>12470.137031043452</v>
      </c>
      <c r="E192" s="56">
        <v>2.1885862338490383</v>
      </c>
      <c r="F192" s="56">
        <v>14734.805349354558</v>
      </c>
      <c r="G192" s="56">
        <v>14.429803369851536</v>
      </c>
      <c r="H192" s="56">
        <f t="shared" si="10"/>
        <v>-2264.6683183111054</v>
      </c>
      <c r="I192" s="56">
        <f t="shared" si="11"/>
        <v>-12.241217136002497</v>
      </c>
      <c r="J192" s="56">
        <f t="shared" si="12"/>
        <v>78189.8591199191</v>
      </c>
      <c r="K192" s="56">
        <f t="shared" si="13"/>
        <v>583005.3694433755</v>
      </c>
      <c r="T192" s="83"/>
    </row>
    <row r="193" spans="2:20" x14ac:dyDescent="0.2">
      <c r="B193" s="83"/>
      <c r="C193" s="56">
        <v>154</v>
      </c>
      <c r="D193" s="56">
        <v>20527.724879165329</v>
      </c>
      <c r="E193" s="56">
        <v>3.8875275816312826</v>
      </c>
      <c r="F193" s="56">
        <v>12831.780781008036</v>
      </c>
      <c r="G193" s="56">
        <v>11.612685487224802</v>
      </c>
      <c r="H193" s="56">
        <f t="shared" si="10"/>
        <v>7695.9440981572934</v>
      </c>
      <c r="I193" s="56">
        <f t="shared" si="11"/>
        <v>-7.7251579055935196</v>
      </c>
      <c r="J193" s="56">
        <f t="shared" si="12"/>
        <v>140509.21766232891</v>
      </c>
      <c r="K193" s="56">
        <f t="shared" si="13"/>
        <v>468212.10284179216</v>
      </c>
      <c r="T193" s="83"/>
    </row>
    <row r="194" spans="2:20" x14ac:dyDescent="0.2">
      <c r="B194" s="83"/>
      <c r="C194" s="56">
        <v>155</v>
      </c>
      <c r="D194" s="56">
        <v>19690.034574618079</v>
      </c>
      <c r="E194" s="56">
        <v>4.3123381955094331</v>
      </c>
      <c r="F194" s="56">
        <v>15274.198099064228</v>
      </c>
      <c r="G194" s="56">
        <v>14.758409040193593</v>
      </c>
      <c r="H194" s="56">
        <f t="shared" si="10"/>
        <v>4415.8364755538514</v>
      </c>
      <c r="I194" s="56">
        <f t="shared" si="11"/>
        <v>-10.44607084468416</v>
      </c>
      <c r="J194" s="56">
        <f t="shared" si="12"/>
        <v>158944.26283616468</v>
      </c>
      <c r="K194" s="56">
        <f t="shared" si="13"/>
        <v>596078.13798191526</v>
      </c>
      <c r="T194" s="83"/>
    </row>
    <row r="195" spans="2:20" x14ac:dyDescent="0.2">
      <c r="B195" s="83"/>
      <c r="C195" s="56">
        <v>156</v>
      </c>
      <c r="D195" s="56">
        <v>12752.709041394863</v>
      </c>
      <c r="E195" s="56">
        <v>3.3234233864240408</v>
      </c>
      <c r="F195" s="56">
        <v>11986.086525461429</v>
      </c>
      <c r="G195" s="56">
        <v>14.956440043705594</v>
      </c>
      <c r="H195" s="56">
        <f t="shared" si="10"/>
        <v>766.62251593343353</v>
      </c>
      <c r="I195" s="56">
        <f t="shared" si="11"/>
        <v>-11.633016657281553</v>
      </c>
      <c r="J195" s="56">
        <f t="shared" si="12"/>
        <v>124916.78131783461</v>
      </c>
      <c r="K195" s="56">
        <f t="shared" si="13"/>
        <v>607569.48584499909</v>
      </c>
      <c r="T195" s="83"/>
    </row>
    <row r="196" spans="2:20" x14ac:dyDescent="0.2">
      <c r="B196" s="83"/>
      <c r="C196" s="56">
        <v>157</v>
      </c>
      <c r="D196" s="56">
        <v>5375.0535822009115</v>
      </c>
      <c r="E196" s="56">
        <v>1.0921088102597123</v>
      </c>
      <c r="F196" s="56">
        <v>17156.810074747551</v>
      </c>
      <c r="G196" s="56">
        <v>19.376569551897795</v>
      </c>
      <c r="H196" s="56">
        <f t="shared" si="10"/>
        <v>-11781.756492546639</v>
      </c>
      <c r="I196" s="56">
        <f t="shared" si="11"/>
        <v>-18.284460741638082</v>
      </c>
      <c r="J196" s="56">
        <f t="shared" si="12"/>
        <v>39864.461773997413</v>
      </c>
      <c r="K196" s="56">
        <f t="shared" si="13"/>
        <v>785498.20704306674</v>
      </c>
      <c r="T196" s="83"/>
    </row>
    <row r="197" spans="2:20" x14ac:dyDescent="0.2">
      <c r="B197" s="83"/>
      <c r="C197" s="56">
        <v>158</v>
      </c>
      <c r="D197" s="56">
        <v>10951.84649571077</v>
      </c>
      <c r="E197" s="56">
        <v>2.9512474321094686</v>
      </c>
      <c r="F197" s="56">
        <v>11486.523063615206</v>
      </c>
      <c r="G197" s="56">
        <v>13.033056585398334</v>
      </c>
      <c r="H197" s="56">
        <f t="shared" si="10"/>
        <v>-534.67656790443652</v>
      </c>
      <c r="I197" s="56">
        <f t="shared" si="11"/>
        <v>-10.081809153288866</v>
      </c>
      <c r="J197" s="56">
        <f t="shared" si="12"/>
        <v>111300.62713199186</v>
      </c>
      <c r="K197" s="56">
        <f t="shared" si="13"/>
        <v>528394.81292992539</v>
      </c>
      <c r="T197" s="83"/>
    </row>
    <row r="198" spans="2:20" x14ac:dyDescent="0.2">
      <c r="B198" s="83"/>
      <c r="C198" s="56">
        <v>159</v>
      </c>
      <c r="D198" s="56">
        <v>20572.922891234961</v>
      </c>
      <c r="E198" s="56">
        <v>4.4848812797320683</v>
      </c>
      <c r="F198" s="56">
        <v>11262.299650004024</v>
      </c>
      <c r="G198" s="56">
        <v>8.9551495539624142</v>
      </c>
      <c r="H198" s="56">
        <f t="shared" si="10"/>
        <v>9310.6232412309364</v>
      </c>
      <c r="I198" s="56">
        <f t="shared" si="11"/>
        <v>-4.4702682742303459</v>
      </c>
      <c r="J198" s="56">
        <f t="shared" si="12"/>
        <v>165208.79924038626</v>
      </c>
      <c r="K198" s="56">
        <f t="shared" si="13"/>
        <v>359695.81547333504</v>
      </c>
      <c r="T198" s="83"/>
    </row>
    <row r="199" spans="2:20" x14ac:dyDescent="0.2">
      <c r="B199" s="83"/>
      <c r="C199" s="56">
        <v>160</v>
      </c>
      <c r="D199" s="56">
        <v>18099.228551902517</v>
      </c>
      <c r="E199" s="56">
        <v>3.9276879180711384</v>
      </c>
      <c r="F199" s="56">
        <v>12779.909763270787</v>
      </c>
      <c r="G199" s="56">
        <v>13.145536544452343</v>
      </c>
      <c r="H199" s="56">
        <f t="shared" si="10"/>
        <v>5319.3187886317301</v>
      </c>
      <c r="I199" s="56">
        <f t="shared" si="11"/>
        <v>-9.2178486263812047</v>
      </c>
      <c r="J199" s="56">
        <f t="shared" si="12"/>
        <v>144601.31576627633</v>
      </c>
      <c r="K199" s="56">
        <f t="shared" si="13"/>
        <v>531760.79605412309</v>
      </c>
      <c r="T199" s="83"/>
    </row>
    <row r="200" spans="2:20" x14ac:dyDescent="0.2">
      <c r="B200" s="83"/>
      <c r="C200" s="56">
        <v>161</v>
      </c>
      <c r="D200" s="56">
        <v>17675.534418460862</v>
      </c>
      <c r="E200" s="56">
        <v>3.4774610120230975</v>
      </c>
      <c r="F200" s="56">
        <v>13434.576812425732</v>
      </c>
      <c r="G200" s="56">
        <v>11.519798035982879</v>
      </c>
      <c r="H200" s="56">
        <f t="shared" si="10"/>
        <v>4240.9576060351301</v>
      </c>
      <c r="I200" s="56">
        <f t="shared" si="11"/>
        <v>-8.0423370239597816</v>
      </c>
      <c r="J200" s="56">
        <f t="shared" si="12"/>
        <v>126374.81054358394</v>
      </c>
      <c r="K200" s="56">
        <f t="shared" si="13"/>
        <v>463761.53703012899</v>
      </c>
      <c r="T200" s="83"/>
    </row>
    <row r="201" spans="2:20" x14ac:dyDescent="0.2">
      <c r="B201" s="83"/>
      <c r="C201" s="56">
        <v>162</v>
      </c>
      <c r="D201" s="56">
        <v>13911.486879598269</v>
      </c>
      <c r="E201" s="56">
        <v>3.3766929020793337</v>
      </c>
      <c r="F201" s="56">
        <v>11231.051378259832</v>
      </c>
      <c r="G201" s="56">
        <v>12.709958854230361</v>
      </c>
      <c r="H201" s="56">
        <f t="shared" si="10"/>
        <v>2680.4355013384375</v>
      </c>
      <c r="I201" s="56">
        <f t="shared" si="11"/>
        <v>-9.3332659521510273</v>
      </c>
      <c r="J201" s="56">
        <f t="shared" si="12"/>
        <v>125964.63989613607</v>
      </c>
      <c r="K201" s="56">
        <f t="shared" si="13"/>
        <v>515266.28419937863</v>
      </c>
      <c r="T201" s="83"/>
    </row>
    <row r="202" spans="2:20" x14ac:dyDescent="0.2">
      <c r="B202" s="83"/>
      <c r="C202" s="56">
        <v>163</v>
      </c>
      <c r="D202" s="56">
        <v>17094.806641633873</v>
      </c>
      <c r="E202" s="56">
        <v>4.5702064903481459</v>
      </c>
      <c r="F202" s="56">
        <v>14514.829081616757</v>
      </c>
      <c r="G202" s="56">
        <v>16.377312083298705</v>
      </c>
      <c r="H202" s="56">
        <f t="shared" si="10"/>
        <v>2579.977560017116</v>
      </c>
      <c r="I202" s="56">
        <f t="shared" si="11"/>
        <v>-11.80710559295056</v>
      </c>
      <c r="J202" s="56">
        <f t="shared" si="12"/>
        <v>172221.42701454772</v>
      </c>
      <c r="K202" s="56">
        <f t="shared" si="13"/>
        <v>663898.94665694889</v>
      </c>
      <c r="T202" s="83"/>
    </row>
    <row r="203" spans="2:20" x14ac:dyDescent="0.2">
      <c r="B203" s="83"/>
      <c r="C203" s="56">
        <v>164</v>
      </c>
      <c r="D203" s="56">
        <v>15047.115379141593</v>
      </c>
      <c r="E203" s="56">
        <v>2.6819918937853151</v>
      </c>
      <c r="F203" s="56">
        <v>17127.110261686375</v>
      </c>
      <c r="G203" s="56">
        <v>14.586474946664611</v>
      </c>
      <c r="H203" s="56">
        <f t="shared" si="10"/>
        <v>-2079.9948825447827</v>
      </c>
      <c r="I203" s="56">
        <f t="shared" si="11"/>
        <v>-11.904483052879296</v>
      </c>
      <c r="J203" s="56">
        <f t="shared" si="12"/>
        <v>96051.716829021287</v>
      </c>
      <c r="K203" s="56">
        <f t="shared" si="13"/>
        <v>587103.0279289484</v>
      </c>
      <c r="T203" s="83"/>
    </row>
    <row r="204" spans="2:20" x14ac:dyDescent="0.2">
      <c r="B204" s="83"/>
      <c r="C204" s="56">
        <v>165</v>
      </c>
      <c r="D204" s="56">
        <v>18166.404423308821</v>
      </c>
      <c r="E204" s="56">
        <v>5.044521322724167</v>
      </c>
      <c r="F204" s="56">
        <v>13483.208495985637</v>
      </c>
      <c r="G204" s="56">
        <v>14.6590990156371</v>
      </c>
      <c r="H204" s="56">
        <f t="shared" si="10"/>
        <v>4683.1959273231842</v>
      </c>
      <c r="I204" s="56">
        <f t="shared" si="11"/>
        <v>-9.614577692912933</v>
      </c>
      <c r="J204" s="56">
        <f t="shared" si="12"/>
        <v>190797.84684921708</v>
      </c>
      <c r="K204" s="56">
        <f t="shared" si="13"/>
        <v>593755.30912776559</v>
      </c>
      <c r="T204" s="83"/>
    </row>
    <row r="205" spans="2:20" x14ac:dyDescent="0.2">
      <c r="B205" s="83"/>
      <c r="C205" s="56">
        <v>166</v>
      </c>
      <c r="D205" s="56">
        <v>17797.701167947886</v>
      </c>
      <c r="E205" s="56">
        <v>4.7570798729838772</v>
      </c>
      <c r="F205" s="56">
        <v>13787.74969340096</v>
      </c>
      <c r="G205" s="56">
        <v>16.529337623099426</v>
      </c>
      <c r="H205" s="56">
        <f t="shared" si="10"/>
        <v>4009.951474546926</v>
      </c>
      <c r="I205" s="56">
        <f t="shared" si="11"/>
        <v>-11.77225775011555</v>
      </c>
      <c r="J205" s="56">
        <f t="shared" si="12"/>
        <v>179259.57549053626</v>
      </c>
      <c r="K205" s="56">
        <f t="shared" si="13"/>
        <v>670923.53200586967</v>
      </c>
      <c r="T205" s="83"/>
    </row>
    <row r="206" spans="2:20" x14ac:dyDescent="0.2">
      <c r="B206" s="83"/>
      <c r="C206" s="56">
        <v>167</v>
      </c>
      <c r="D206" s="56">
        <v>15155.569794483174</v>
      </c>
      <c r="E206" s="56">
        <v>3.2864759034126938</v>
      </c>
      <c r="F206" s="56">
        <v>14572.869986948517</v>
      </c>
      <c r="G206" s="56">
        <v>18.68235783796149</v>
      </c>
      <c r="H206" s="56">
        <f t="shared" si="10"/>
        <v>582.69980753465643</v>
      </c>
      <c r="I206" s="56">
        <f t="shared" si="11"/>
        <v>-15.395881934548797</v>
      </c>
      <c r="J206" s="56">
        <f t="shared" si="12"/>
        <v>120983.40802848425</v>
      </c>
      <c r="K206" s="56">
        <f t="shared" si="13"/>
        <v>759325.12109276815</v>
      </c>
      <c r="T206" s="83"/>
    </row>
    <row r="207" spans="2:20" x14ac:dyDescent="0.2">
      <c r="B207" s="83"/>
      <c r="C207" s="56">
        <v>168</v>
      </c>
      <c r="D207" s="56">
        <v>19643.762182566807</v>
      </c>
      <c r="E207" s="56">
        <v>3.8898782130098279</v>
      </c>
      <c r="F207" s="56">
        <v>19350.531165376287</v>
      </c>
      <c r="G207" s="56">
        <v>16.988686654178167</v>
      </c>
      <c r="H207" s="56">
        <f t="shared" si="10"/>
        <v>293.2310171905192</v>
      </c>
      <c r="I207" s="56">
        <f t="shared" si="11"/>
        <v>-13.098808441168339</v>
      </c>
      <c r="J207" s="56">
        <f t="shared" si="12"/>
        <v>141490.55291315232</v>
      </c>
      <c r="K207" s="56">
        <f t="shared" si="13"/>
        <v>684388.82479730004</v>
      </c>
      <c r="T207" s="83"/>
    </row>
    <row r="208" spans="2:20" x14ac:dyDescent="0.2">
      <c r="B208" s="83"/>
      <c r="C208" s="56">
        <v>169</v>
      </c>
      <c r="D208" s="56">
        <v>16119.735940843915</v>
      </c>
      <c r="E208" s="56">
        <v>3.6963563240286001</v>
      </c>
      <c r="F208" s="56">
        <v>11794.404429188609</v>
      </c>
      <c r="G208" s="56">
        <v>14.647679681939376</v>
      </c>
      <c r="H208" s="56">
        <f t="shared" si="10"/>
        <v>4325.3315116553058</v>
      </c>
      <c r="I208" s="56">
        <f t="shared" si="11"/>
        <v>-10.951323357910777</v>
      </c>
      <c r="J208" s="56">
        <f t="shared" si="12"/>
        <v>136998.12842571683</v>
      </c>
      <c r="K208" s="56">
        <f t="shared" si="13"/>
        <v>594971.07871546817</v>
      </c>
      <c r="T208" s="83"/>
    </row>
    <row r="209" spans="2:20" x14ac:dyDescent="0.2">
      <c r="B209" s="83"/>
      <c r="C209" s="56">
        <v>170</v>
      </c>
      <c r="D209" s="56">
        <v>17792.997773045499</v>
      </c>
      <c r="E209" s="56">
        <v>3.8493723758065359</v>
      </c>
      <c r="F209" s="56">
        <v>21547.217677089197</v>
      </c>
      <c r="G209" s="56">
        <v>22.845678973948715</v>
      </c>
      <c r="H209" s="56">
        <f t="shared" si="10"/>
        <v>-3754.2199040436972</v>
      </c>
      <c r="I209" s="56">
        <f t="shared" si="11"/>
        <v>-18.99630659814218</v>
      </c>
      <c r="J209" s="56">
        <f t="shared" si="12"/>
        <v>141663.40352236445</v>
      </c>
      <c r="K209" s="56">
        <f t="shared" si="13"/>
        <v>924812.18813976238</v>
      </c>
      <c r="T209" s="83"/>
    </row>
    <row r="210" spans="2:20" x14ac:dyDescent="0.2">
      <c r="B210" s="83"/>
      <c r="C210" s="56">
        <v>171</v>
      </c>
      <c r="D210" s="56">
        <v>18938.252070010945</v>
      </c>
      <c r="E210" s="56">
        <v>3.6031814602092229</v>
      </c>
      <c r="F210" s="56">
        <v>20750.359031530839</v>
      </c>
      <c r="G210" s="56">
        <v>16.684116962392988</v>
      </c>
      <c r="H210" s="56">
        <f t="shared" si="10"/>
        <v>-1812.106961519894</v>
      </c>
      <c r="I210" s="56">
        <f t="shared" si="11"/>
        <v>-13.080935502183765</v>
      </c>
      <c r="J210" s="56">
        <f t="shared" si="12"/>
        <v>130319.9367376959</v>
      </c>
      <c r="K210" s="56">
        <f t="shared" si="13"/>
        <v>670372.50201863633</v>
      </c>
      <c r="T210" s="83"/>
    </row>
    <row r="211" spans="2:20" x14ac:dyDescent="0.2">
      <c r="B211" s="83"/>
      <c r="C211" s="56">
        <v>172</v>
      </c>
      <c r="D211" s="56">
        <v>14808.945512265473</v>
      </c>
      <c r="E211" s="56">
        <v>3.3661815270599966</v>
      </c>
      <c r="F211" s="56">
        <v>17241.32999101263</v>
      </c>
      <c r="G211" s="56">
        <v>18.693964337720683</v>
      </c>
      <c r="H211" s="56">
        <f t="shared" si="10"/>
        <v>-2432.3844787471571</v>
      </c>
      <c r="I211" s="56">
        <f t="shared" si="11"/>
        <v>-15.327782810660686</v>
      </c>
      <c r="J211" s="56">
        <f t="shared" si="12"/>
        <v>124631.75806466783</v>
      </c>
      <c r="K211" s="56">
        <f t="shared" si="13"/>
        <v>757137.44873472897</v>
      </c>
      <c r="T211" s="83"/>
    </row>
    <row r="212" spans="2:20" x14ac:dyDescent="0.2">
      <c r="B212" s="83"/>
      <c r="C212" s="56">
        <v>173</v>
      </c>
      <c r="D212" s="56">
        <v>19276.484466278522</v>
      </c>
      <c r="E212" s="56">
        <v>3.9166192298943296</v>
      </c>
      <c r="F212" s="56">
        <v>16528.826979647893</v>
      </c>
      <c r="G212" s="56">
        <v>16.027338946797617</v>
      </c>
      <c r="H212" s="56">
        <f t="shared" si="10"/>
        <v>2747.6574866306291</v>
      </c>
      <c r="I212" s="56">
        <f t="shared" si="11"/>
        <v>-12.110719716903287</v>
      </c>
      <c r="J212" s="56">
        <f t="shared" si="12"/>
        <v>142965.5505128642</v>
      </c>
      <c r="K212" s="56">
        <f t="shared" si="13"/>
        <v>647387.6615524966</v>
      </c>
      <c r="T212" s="83"/>
    </row>
    <row r="213" spans="2:20" x14ac:dyDescent="0.2">
      <c r="B213" s="83"/>
      <c r="C213" s="56">
        <v>174</v>
      </c>
      <c r="D213" s="56">
        <v>11971.174250624106</v>
      </c>
      <c r="E213" s="56">
        <v>2.3722267815875626</v>
      </c>
      <c r="F213" s="56">
        <v>15023.530686056289</v>
      </c>
      <c r="G213" s="56">
        <v>14.279061355459479</v>
      </c>
      <c r="H213" s="56">
        <f t="shared" si="10"/>
        <v>-3052.3564354321825</v>
      </c>
      <c r="I213" s="56">
        <f t="shared" si="11"/>
        <v>-11.906834573871917</v>
      </c>
      <c r="J213" s="56">
        <f t="shared" si="12"/>
        <v>86295.947949859081</v>
      </c>
      <c r="K213" s="56">
        <f t="shared" si="13"/>
        <v>576472.30690249719</v>
      </c>
      <c r="T213" s="83"/>
    </row>
    <row r="214" spans="2:20" x14ac:dyDescent="0.2">
      <c r="B214" s="83"/>
      <c r="C214" s="56">
        <v>175</v>
      </c>
      <c r="D214" s="56">
        <v>15522.698774725712</v>
      </c>
      <c r="E214" s="56">
        <v>4.1666087612013207</v>
      </c>
      <c r="F214" s="56">
        <v>18259.203343719753</v>
      </c>
      <c r="G214" s="56">
        <v>19.272285470378634</v>
      </c>
      <c r="H214" s="56">
        <f t="shared" si="10"/>
        <v>-2736.5045689940416</v>
      </c>
      <c r="I214" s="56">
        <f t="shared" si="11"/>
        <v>-15.105676709177313</v>
      </c>
      <c r="J214" s="56">
        <f t="shared" si="12"/>
        <v>157074.90254927779</v>
      </c>
      <c r="K214" s="56">
        <f t="shared" si="13"/>
        <v>780075.94998124486</v>
      </c>
      <c r="T214" s="83"/>
    </row>
    <row r="215" spans="2:20" x14ac:dyDescent="0.2">
      <c r="B215" s="83"/>
      <c r="C215" s="56">
        <v>176</v>
      </c>
      <c r="D215" s="56">
        <v>23798.700033721325</v>
      </c>
      <c r="E215" s="56">
        <v>4.8857780442529517</v>
      </c>
      <c r="F215" s="56">
        <v>18017.938587169017</v>
      </c>
      <c r="G215" s="56">
        <v>17.545026372971272</v>
      </c>
      <c r="H215" s="56">
        <f t="shared" si="10"/>
        <v>5780.7614465523075</v>
      </c>
      <c r="I215" s="56">
        <f t="shared" si="11"/>
        <v>-12.65924832871832</v>
      </c>
      <c r="J215" s="56">
        <f t="shared" si="12"/>
        <v>178589.76967141294</v>
      </c>
      <c r="K215" s="56">
        <f t="shared" si="13"/>
        <v>708767.23388679291</v>
      </c>
      <c r="T215" s="83"/>
    </row>
    <row r="216" spans="2:20" x14ac:dyDescent="0.2">
      <c r="B216" s="83"/>
      <c r="C216" s="56">
        <v>177</v>
      </c>
      <c r="D216" s="56">
        <v>20510.439985820278</v>
      </c>
      <c r="E216" s="56">
        <v>4.1891787982293476</v>
      </c>
      <c r="F216" s="56">
        <v>13181.32325219017</v>
      </c>
      <c r="G216" s="56">
        <v>11.282090608047723</v>
      </c>
      <c r="H216" s="56">
        <f t="shared" si="10"/>
        <v>7329.1167336301078</v>
      </c>
      <c r="I216" s="56">
        <f t="shared" si="11"/>
        <v>-7.092911809818375</v>
      </c>
      <c r="J216" s="56">
        <f t="shared" si="12"/>
        <v>153022.10255203221</v>
      </c>
      <c r="K216" s="56">
        <f t="shared" si="13"/>
        <v>454167.99809557869</v>
      </c>
      <c r="T216" s="83"/>
    </row>
    <row r="217" spans="2:20" x14ac:dyDescent="0.2">
      <c r="B217" s="83"/>
      <c r="C217" s="56">
        <v>178</v>
      </c>
      <c r="D217" s="56">
        <v>17391.800928956851</v>
      </c>
      <c r="E217" s="56">
        <v>3.8110461139881222</v>
      </c>
      <c r="F217" s="56">
        <v>12863.182729271628</v>
      </c>
      <c r="G217" s="56">
        <v>11.856709345570225</v>
      </c>
      <c r="H217" s="56">
        <f t="shared" si="10"/>
        <v>4528.6181996852229</v>
      </c>
      <c r="I217" s="56">
        <f t="shared" si="11"/>
        <v>-8.0456632315821039</v>
      </c>
      <c r="J217" s="56">
        <f t="shared" si="12"/>
        <v>140476.97329688712</v>
      </c>
      <c r="K217" s="56">
        <f t="shared" si="13"/>
        <v>478289.14520162938</v>
      </c>
      <c r="T217" s="83"/>
    </row>
    <row r="218" spans="2:20" x14ac:dyDescent="0.2">
      <c r="B218" s="83"/>
      <c r="C218" s="56">
        <v>179</v>
      </c>
      <c r="D218" s="56">
        <v>11481.443735891904</v>
      </c>
      <c r="E218" s="56">
        <v>2.6847524008919876</v>
      </c>
      <c r="F218" s="56">
        <v>13775.246981207922</v>
      </c>
      <c r="G218" s="56">
        <v>15.705172736031974</v>
      </c>
      <c r="H218" s="56">
        <f t="shared" si="10"/>
        <v>-2293.8032453160176</v>
      </c>
      <c r="I218" s="56">
        <f t="shared" si="11"/>
        <v>-13.020420335139987</v>
      </c>
      <c r="J218" s="56">
        <f t="shared" si="12"/>
        <v>99731.739718657787</v>
      </c>
      <c r="K218" s="56">
        <f t="shared" si="13"/>
        <v>636795.82843618048</v>
      </c>
      <c r="T218" s="83"/>
    </row>
    <row r="219" spans="2:20" x14ac:dyDescent="0.2">
      <c r="B219" s="83"/>
      <c r="C219" s="56">
        <v>180</v>
      </c>
      <c r="D219" s="56">
        <v>13718.160437036129</v>
      </c>
      <c r="E219" s="56">
        <v>2.6659681996545848</v>
      </c>
      <c r="F219" s="56">
        <v>17735.029926700619</v>
      </c>
      <c r="G219" s="56">
        <v>16.010707578180888</v>
      </c>
      <c r="H219" s="56">
        <f t="shared" si="10"/>
        <v>-4016.8694896644902</v>
      </c>
      <c r="I219" s="56">
        <f t="shared" si="11"/>
        <v>-13.344739378526302</v>
      </c>
      <c r="J219" s="56">
        <f t="shared" si="12"/>
        <v>96716.906265455385</v>
      </c>
      <c r="K219" s="56">
        <f t="shared" si="13"/>
        <v>645492.52079186449</v>
      </c>
      <c r="T219" s="83"/>
    </row>
    <row r="220" spans="2:20" x14ac:dyDescent="0.2">
      <c r="B220" s="83"/>
      <c r="C220" s="56">
        <v>181</v>
      </c>
      <c r="D220" s="56">
        <v>14769.667681054867</v>
      </c>
      <c r="E220" s="56">
        <v>3.4119801801322867</v>
      </c>
      <c r="F220" s="56">
        <v>10832.762079623668</v>
      </c>
      <c r="G220" s="56">
        <v>10.463513201881822</v>
      </c>
      <c r="H220" s="56">
        <f t="shared" si="10"/>
        <v>3936.9056014311991</v>
      </c>
      <c r="I220" s="56">
        <f t="shared" si="11"/>
        <v>-7.0515330217495356</v>
      </c>
      <c r="J220" s="56">
        <f t="shared" si="12"/>
        <v>126568.19930074496</v>
      </c>
      <c r="K220" s="56">
        <f t="shared" si="13"/>
        <v>422607.80879512895</v>
      </c>
      <c r="T220" s="83"/>
    </row>
    <row r="221" spans="2:20" x14ac:dyDescent="0.2">
      <c r="B221" s="83"/>
      <c r="C221" s="56">
        <v>182</v>
      </c>
      <c r="D221" s="56">
        <v>21196.911276115341</v>
      </c>
      <c r="E221" s="56">
        <v>3.3437133825154195</v>
      </c>
      <c r="F221" s="56">
        <v>15476.779999583021</v>
      </c>
      <c r="G221" s="56">
        <v>12.55397264365928</v>
      </c>
      <c r="H221" s="56">
        <f t="shared" si="10"/>
        <v>5720.13127653232</v>
      </c>
      <c r="I221" s="56">
        <f t="shared" si="11"/>
        <v>-9.210259261143861</v>
      </c>
      <c r="J221" s="56">
        <f t="shared" si="12"/>
        <v>117313.07188120339</v>
      </c>
      <c r="K221" s="56">
        <f t="shared" si="13"/>
        <v>504558.98279135901</v>
      </c>
      <c r="T221" s="83"/>
    </row>
    <row r="222" spans="2:20" x14ac:dyDescent="0.2">
      <c r="B222" s="83"/>
      <c r="C222" s="56">
        <v>183</v>
      </c>
      <c r="D222" s="56">
        <v>18400.340147231924</v>
      </c>
      <c r="E222" s="56">
        <v>3.9636414544130294</v>
      </c>
      <c r="F222" s="56">
        <v>14957.033079256431</v>
      </c>
      <c r="G222" s="56">
        <v>13.885230463761115</v>
      </c>
      <c r="H222" s="56">
        <f t="shared" si="10"/>
        <v>3443.3070679754928</v>
      </c>
      <c r="I222" s="56">
        <f t="shared" si="11"/>
        <v>-9.9215890093480859</v>
      </c>
      <c r="J222" s="56">
        <f t="shared" si="12"/>
        <v>145789.54346037342</v>
      </c>
      <c r="K222" s="56">
        <f t="shared" si="13"/>
        <v>560224.75365158403</v>
      </c>
      <c r="T222" s="83"/>
    </row>
    <row r="223" spans="2:20" x14ac:dyDescent="0.2">
      <c r="B223" s="83"/>
      <c r="C223" s="56">
        <v>184</v>
      </c>
      <c r="D223" s="56">
        <v>15119.173299868395</v>
      </c>
      <c r="E223" s="56">
        <v>3.5980202749493735</v>
      </c>
      <c r="F223" s="56">
        <v>17075.521284136368</v>
      </c>
      <c r="G223" s="56">
        <v>19.297240201766559</v>
      </c>
      <c r="H223" s="56">
        <f t="shared" si="10"/>
        <v>-1956.3479842679735</v>
      </c>
      <c r="I223" s="56">
        <f t="shared" si="11"/>
        <v>-15.699219926817186</v>
      </c>
      <c r="J223" s="56">
        <f t="shared" si="12"/>
        <v>133925.21856963445</v>
      </c>
      <c r="K223" s="56">
        <f t="shared" si="13"/>
        <v>782293.35683384165</v>
      </c>
      <c r="T223" s="83"/>
    </row>
    <row r="224" spans="2:20" x14ac:dyDescent="0.2">
      <c r="B224" s="83"/>
      <c r="C224" s="56">
        <v>185</v>
      </c>
      <c r="D224" s="56">
        <v>18914.86302741255</v>
      </c>
      <c r="E224" s="56">
        <v>3.6988105004372405</v>
      </c>
      <c r="F224" s="56">
        <v>14225.69047917189</v>
      </c>
      <c r="G224" s="56">
        <v>13.231095702690434</v>
      </c>
      <c r="H224" s="56">
        <f t="shared" si="10"/>
        <v>4689.17254824066</v>
      </c>
      <c r="I224" s="56">
        <f t="shared" si="11"/>
        <v>-9.5322852022531936</v>
      </c>
      <c r="J224" s="56">
        <f t="shared" si="12"/>
        <v>134304.66314269969</v>
      </c>
      <c r="K224" s="56">
        <f t="shared" si="13"/>
        <v>533859.2179090766</v>
      </c>
      <c r="T224" s="83"/>
    </row>
    <row r="225" spans="2:20" x14ac:dyDescent="0.2">
      <c r="B225" s="83"/>
      <c r="C225" s="56">
        <v>186</v>
      </c>
      <c r="D225" s="56">
        <v>11602.817579408396</v>
      </c>
      <c r="E225" s="56">
        <v>3.3721252692181656</v>
      </c>
      <c r="F225" s="56">
        <v>17285.313410013325</v>
      </c>
      <c r="G225" s="56">
        <v>19.636377517542126</v>
      </c>
      <c r="H225" s="56">
        <f t="shared" si="10"/>
        <v>-5682.4958306049284</v>
      </c>
      <c r="I225" s="56">
        <f t="shared" si="11"/>
        <v>-16.26425224832396</v>
      </c>
      <c r="J225" s="56">
        <f t="shared" si="12"/>
        <v>128084.09957268489</v>
      </c>
      <c r="K225" s="56">
        <f t="shared" si="13"/>
        <v>796131.98887665174</v>
      </c>
      <c r="T225" s="83"/>
    </row>
    <row r="226" spans="2:20" x14ac:dyDescent="0.2">
      <c r="B226" s="83"/>
      <c r="C226" s="56">
        <v>187</v>
      </c>
      <c r="D226" s="56">
        <v>16372.663475420421</v>
      </c>
      <c r="E226" s="56">
        <v>3.0021479485877705</v>
      </c>
      <c r="F226" s="56">
        <v>9594.2724818140796</v>
      </c>
      <c r="G226" s="56">
        <v>7.4108563811314765</v>
      </c>
      <c r="H226" s="56">
        <f t="shared" si="10"/>
        <v>6778.390993606341</v>
      </c>
      <c r="I226" s="56">
        <f t="shared" si="11"/>
        <v>-4.4087084325437065</v>
      </c>
      <c r="J226" s="56">
        <f t="shared" si="12"/>
        <v>107988.31314687937</v>
      </c>
      <c r="K226" s="56">
        <f t="shared" si="13"/>
        <v>297393.04225017619</v>
      </c>
      <c r="T226" s="83"/>
    </row>
    <row r="227" spans="2:20" x14ac:dyDescent="0.2">
      <c r="B227" s="83"/>
      <c r="C227" s="56">
        <v>188</v>
      </c>
      <c r="D227" s="56">
        <v>12602.41430083098</v>
      </c>
      <c r="E227" s="56">
        <v>2.6224118100526419</v>
      </c>
      <c r="F227" s="56">
        <v>16853.945629935239</v>
      </c>
      <c r="G227" s="56">
        <v>18.232942793219287</v>
      </c>
      <c r="H227" s="56">
        <f t="shared" si="10"/>
        <v>-4251.5313291042585</v>
      </c>
      <c r="I227" s="56">
        <f t="shared" si="11"/>
        <v>-15.610530983166646</v>
      </c>
      <c r="J227" s="56">
        <f t="shared" si="12"/>
        <v>96028.372518789663</v>
      </c>
      <c r="K227" s="56">
        <f t="shared" si="13"/>
        <v>738427.47663638054</v>
      </c>
      <c r="T227" s="83"/>
    </row>
    <row r="228" spans="2:20" x14ac:dyDescent="0.2">
      <c r="B228" s="83"/>
      <c r="C228" s="56">
        <v>189</v>
      </c>
      <c r="D228" s="56">
        <v>18818.335674755643</v>
      </c>
      <c r="E228" s="56">
        <v>3.8230211879666047</v>
      </c>
      <c r="F228" s="56">
        <v>9621.4364404573298</v>
      </c>
      <c r="G228" s="56">
        <v>9.879621778261745</v>
      </c>
      <c r="H228" s="56">
        <f t="shared" si="10"/>
        <v>9196.8992342983129</v>
      </c>
      <c r="I228" s="56">
        <f t="shared" si="11"/>
        <v>-6.0566005902951403</v>
      </c>
      <c r="J228" s="56">
        <f t="shared" si="12"/>
        <v>139546.49401557297</v>
      </c>
      <c r="K228" s="56">
        <f t="shared" si="13"/>
        <v>399632.01610225718</v>
      </c>
      <c r="T228" s="83"/>
    </row>
    <row r="229" spans="2:20" x14ac:dyDescent="0.2">
      <c r="B229" s="83"/>
      <c r="C229" s="56">
        <v>190</v>
      </c>
      <c r="D229" s="56">
        <v>10055.281445545188</v>
      </c>
      <c r="E229" s="56">
        <v>2.0581339688282925</v>
      </c>
      <c r="F229" s="56">
        <v>18927.340779908602</v>
      </c>
      <c r="G229" s="56">
        <v>18.2828106361635</v>
      </c>
      <c r="H229" s="56">
        <f t="shared" si="10"/>
        <v>-8872.0593343634137</v>
      </c>
      <c r="I229" s="56">
        <f t="shared" si="11"/>
        <v>-16.224676667335206</v>
      </c>
      <c r="J229" s="56">
        <f t="shared" si="12"/>
        <v>75200.860079197999</v>
      </c>
      <c r="K229" s="56">
        <f t="shared" si="13"/>
        <v>738419.8070125283</v>
      </c>
      <c r="T229" s="83"/>
    </row>
    <row r="230" spans="2:20" x14ac:dyDescent="0.2">
      <c r="B230" s="83"/>
      <c r="C230" s="56">
        <v>191</v>
      </c>
      <c r="D230" s="56">
        <v>23868.80978903094</v>
      </c>
      <c r="E230" s="56">
        <v>4.6411008985188893</v>
      </c>
      <c r="F230" s="56">
        <v>7917.5516414752265</v>
      </c>
      <c r="G230" s="56">
        <v>7.3660769667410104</v>
      </c>
      <c r="H230" s="56">
        <f t="shared" si="10"/>
        <v>15951.258147555713</v>
      </c>
      <c r="I230" s="56">
        <f t="shared" si="11"/>
        <v>-2.7249760682221211</v>
      </c>
      <c r="J230" s="56">
        <f t="shared" si="12"/>
        <v>168384.15383121555</v>
      </c>
      <c r="K230" s="56">
        <f t="shared" si="13"/>
        <v>297214.82062880439</v>
      </c>
      <c r="T230" s="83"/>
    </row>
    <row r="231" spans="2:20" x14ac:dyDescent="0.2">
      <c r="B231" s="83"/>
      <c r="C231" s="56">
        <v>192</v>
      </c>
      <c r="D231" s="56">
        <v>15073.057010525305</v>
      </c>
      <c r="E231" s="56">
        <v>2.9038569444949403</v>
      </c>
      <c r="F231" s="56">
        <v>12799.53083402328</v>
      </c>
      <c r="G231" s="56">
        <v>13.036068280915359</v>
      </c>
      <c r="H231" s="56">
        <f t="shared" si="10"/>
        <v>2273.5261765020241</v>
      </c>
      <c r="I231" s="56">
        <f t="shared" si="11"/>
        <v>-10.132211336420418</v>
      </c>
      <c r="J231" s="56">
        <f t="shared" si="12"/>
        <v>105216.31305823311</v>
      </c>
      <c r="K231" s="56">
        <f t="shared" si="13"/>
        <v>527206.5616346146</v>
      </c>
      <c r="T231" s="83"/>
    </row>
    <row r="232" spans="2:20" x14ac:dyDescent="0.2">
      <c r="B232" s="83"/>
      <c r="C232" s="56">
        <v>193</v>
      </c>
      <c r="D232" s="56">
        <v>14756.290759931639</v>
      </c>
      <c r="E232" s="56">
        <v>3.3691917607376363</v>
      </c>
      <c r="F232" s="56">
        <v>9057.4682619792784</v>
      </c>
      <c r="G232" s="56">
        <v>8.7275819631306284</v>
      </c>
      <c r="H232" s="56">
        <f t="shared" ref="H232:H295" si="14">IF($C232&lt;=No_of_iterations_PSA,D232-$F232,"")</f>
        <v>5698.8224979523602</v>
      </c>
      <c r="I232" s="56">
        <f t="shared" ref="I232:I295" si="15">IF($C232&lt;=No_of_iterations_PSA,E232-$G232,"")</f>
        <v>-5.3583902023929921</v>
      </c>
      <c r="J232" s="56">
        <f t="shared" ref="J232:J295" si="16">IF($C232&lt;=No_of_iterations_PSA,E232*WTP-D232,"")</f>
        <v>124809.1087368642</v>
      </c>
      <c r="K232" s="56">
        <f t="shared" ref="K232:K295" si="17">IF($C232&lt;=No_of_iterations_PSA,G232*WTP-F232,"")</f>
        <v>352473.88697874389</v>
      </c>
      <c r="T232" s="83"/>
    </row>
    <row r="233" spans="2:20" x14ac:dyDescent="0.2">
      <c r="B233" s="83"/>
      <c r="C233" s="56">
        <v>194</v>
      </c>
      <c r="D233" s="56">
        <v>8987.3407307560865</v>
      </c>
      <c r="E233" s="56">
        <v>2.6455441035590996</v>
      </c>
      <c r="F233" s="56">
        <v>10753.176163859407</v>
      </c>
      <c r="G233" s="56">
        <v>14.449419966752313</v>
      </c>
      <c r="H233" s="56">
        <f t="shared" si="14"/>
        <v>-1765.8354331033206</v>
      </c>
      <c r="I233" s="56">
        <f t="shared" si="15"/>
        <v>-11.803875863193213</v>
      </c>
      <c r="J233" s="56">
        <f t="shared" si="16"/>
        <v>100601.67821507606</v>
      </c>
      <c r="K233" s="56">
        <f t="shared" si="17"/>
        <v>587799.59653888841</v>
      </c>
      <c r="T233" s="83"/>
    </row>
    <row r="234" spans="2:20" x14ac:dyDescent="0.2">
      <c r="B234" s="83"/>
      <c r="C234" s="56">
        <v>195</v>
      </c>
      <c r="D234" s="56">
        <v>13004.500660947111</v>
      </c>
      <c r="E234" s="56">
        <v>3.0710290716910253</v>
      </c>
      <c r="F234" s="56">
        <v>12977.296575795926</v>
      </c>
      <c r="G234" s="56">
        <v>14.053972981671238</v>
      </c>
      <c r="H234" s="56">
        <f t="shared" si="14"/>
        <v>27.204085151184699</v>
      </c>
      <c r="I234" s="56">
        <f t="shared" si="15"/>
        <v>-10.982943909980213</v>
      </c>
      <c r="J234" s="56">
        <f t="shared" si="16"/>
        <v>114209.80760478192</v>
      </c>
      <c r="K234" s="56">
        <f t="shared" si="17"/>
        <v>569194.48021695344</v>
      </c>
      <c r="T234" s="83"/>
    </row>
    <row r="235" spans="2:20" x14ac:dyDescent="0.2">
      <c r="B235" s="83"/>
      <c r="C235" s="56">
        <v>196</v>
      </c>
      <c r="D235" s="56">
        <v>12842.677243582113</v>
      </c>
      <c r="E235" s="56">
        <v>2.4666149184785247</v>
      </c>
      <c r="F235" s="56">
        <v>15131.036684546414</v>
      </c>
      <c r="G235" s="56">
        <v>16.147405815618026</v>
      </c>
      <c r="H235" s="56">
        <f t="shared" si="14"/>
        <v>-2288.359440964301</v>
      </c>
      <c r="I235" s="56">
        <f t="shared" si="15"/>
        <v>-13.6807908971395</v>
      </c>
      <c r="J235" s="56">
        <f t="shared" si="16"/>
        <v>89334.379139472294</v>
      </c>
      <c r="K235" s="56">
        <f t="shared" si="17"/>
        <v>653759.10182161466</v>
      </c>
      <c r="T235" s="83"/>
    </row>
    <row r="236" spans="2:20" x14ac:dyDescent="0.2">
      <c r="B236" s="83"/>
      <c r="C236" s="56">
        <v>197</v>
      </c>
      <c r="D236" s="56">
        <v>16777.703719295521</v>
      </c>
      <c r="E236" s="56">
        <v>4.1352562081462247</v>
      </c>
      <c r="F236" s="56">
        <v>13687.15493303163</v>
      </c>
      <c r="G236" s="56">
        <v>12.24994799320814</v>
      </c>
      <c r="H236" s="56">
        <f t="shared" si="14"/>
        <v>3090.5487862638911</v>
      </c>
      <c r="I236" s="56">
        <f t="shared" si="15"/>
        <v>-8.1146917850619147</v>
      </c>
      <c r="J236" s="56">
        <f t="shared" si="16"/>
        <v>154521.14944695367</v>
      </c>
      <c r="K236" s="56">
        <f t="shared" si="17"/>
        <v>493754.69073762238</v>
      </c>
      <c r="T236" s="83"/>
    </row>
    <row r="237" spans="2:20" x14ac:dyDescent="0.2">
      <c r="B237" s="83"/>
      <c r="C237" s="56">
        <v>198</v>
      </c>
      <c r="D237" s="56">
        <v>14677.242477089101</v>
      </c>
      <c r="E237" s="56">
        <v>3.345951653656019</v>
      </c>
      <c r="F237" s="56">
        <v>13307.729607826503</v>
      </c>
      <c r="G237" s="56">
        <v>13.064062227575333</v>
      </c>
      <c r="H237" s="56">
        <f t="shared" si="14"/>
        <v>1369.5128692625985</v>
      </c>
      <c r="I237" s="56">
        <f t="shared" si="15"/>
        <v>-9.7181105739193132</v>
      </c>
      <c r="J237" s="56">
        <f t="shared" si="16"/>
        <v>123925.45882395783</v>
      </c>
      <c r="K237" s="56">
        <f t="shared" si="17"/>
        <v>527857.98410725419</v>
      </c>
      <c r="T237" s="83"/>
    </row>
    <row r="238" spans="2:20" x14ac:dyDescent="0.2">
      <c r="B238" s="83"/>
      <c r="C238" s="56">
        <v>199</v>
      </c>
      <c r="D238" s="56">
        <v>17116.529092411511</v>
      </c>
      <c r="E238" s="56">
        <v>3.4050287873251452</v>
      </c>
      <c r="F238" s="56">
        <v>21379.999692495592</v>
      </c>
      <c r="G238" s="56">
        <v>22.753987200651203</v>
      </c>
      <c r="H238" s="56">
        <f t="shared" si="14"/>
        <v>-4263.4706000840815</v>
      </c>
      <c r="I238" s="56">
        <f t="shared" si="15"/>
        <v>-19.348958413326059</v>
      </c>
      <c r="J238" s="56">
        <f t="shared" si="16"/>
        <v>123933.38339374532</v>
      </c>
      <c r="K238" s="56">
        <f t="shared" si="17"/>
        <v>921181.16610727983</v>
      </c>
      <c r="T238" s="83"/>
    </row>
    <row r="239" spans="2:20" x14ac:dyDescent="0.2">
      <c r="B239" s="83"/>
      <c r="C239" s="56">
        <v>200</v>
      </c>
      <c r="D239" s="56">
        <v>15108.557700412093</v>
      </c>
      <c r="E239" s="56">
        <v>4.2401723960417321</v>
      </c>
      <c r="F239" s="56">
        <v>12948.102875271834</v>
      </c>
      <c r="G239" s="56">
        <v>15.834329969745648</v>
      </c>
      <c r="H239" s="56">
        <f t="shared" si="14"/>
        <v>2160.4548251402593</v>
      </c>
      <c r="I239" s="56">
        <f t="shared" si="15"/>
        <v>-11.594157573703916</v>
      </c>
      <c r="J239" s="56">
        <f t="shared" si="16"/>
        <v>160536.34363322062</v>
      </c>
      <c r="K239" s="56">
        <f t="shared" si="17"/>
        <v>642973.1817914719</v>
      </c>
      <c r="T239" s="83"/>
    </row>
    <row r="240" spans="2:20" x14ac:dyDescent="0.2">
      <c r="B240" s="83"/>
      <c r="C240" s="56">
        <v>201</v>
      </c>
      <c r="D240" s="56">
        <v>13410.800895697024</v>
      </c>
      <c r="E240" s="56">
        <v>3.0028134954110737</v>
      </c>
      <c r="F240" s="56">
        <v>17986.566813443045</v>
      </c>
      <c r="G240" s="56">
        <v>20.510074910803549</v>
      </c>
      <c r="H240" s="56">
        <f t="shared" si="14"/>
        <v>-4575.7659177460209</v>
      </c>
      <c r="I240" s="56">
        <f t="shared" si="15"/>
        <v>-17.507261415392477</v>
      </c>
      <c r="J240" s="56">
        <f t="shared" si="16"/>
        <v>110977.74533821129</v>
      </c>
      <c r="K240" s="56">
        <f t="shared" si="17"/>
        <v>831622.77629168308</v>
      </c>
      <c r="T240" s="83"/>
    </row>
    <row r="241" spans="2:20" x14ac:dyDescent="0.2">
      <c r="B241" s="83"/>
      <c r="C241" s="56">
        <v>202</v>
      </c>
      <c r="D241" s="56">
        <v>13521.620874617372</v>
      </c>
      <c r="E241" s="56">
        <v>3.4173651993213667</v>
      </c>
      <c r="F241" s="56">
        <v>15669.657374789607</v>
      </c>
      <c r="G241" s="56">
        <v>18.401359627971118</v>
      </c>
      <c r="H241" s="56">
        <f t="shared" si="14"/>
        <v>-2148.0365001722348</v>
      </c>
      <c r="I241" s="56">
        <f t="shared" si="15"/>
        <v>-14.983994428649751</v>
      </c>
      <c r="J241" s="56">
        <f t="shared" si="16"/>
        <v>128039.31514207093</v>
      </c>
      <c r="K241" s="56">
        <f t="shared" si="17"/>
        <v>746588.26385428605</v>
      </c>
      <c r="T241" s="83"/>
    </row>
    <row r="242" spans="2:20" x14ac:dyDescent="0.2">
      <c r="B242" s="83"/>
      <c r="C242" s="56">
        <v>203</v>
      </c>
      <c r="D242" s="56">
        <v>16843.379143027141</v>
      </c>
      <c r="E242" s="56">
        <v>3.897730689184983</v>
      </c>
      <c r="F242" s="56">
        <v>10033.396730728991</v>
      </c>
      <c r="G242" s="56">
        <v>9.6992362439630355</v>
      </c>
      <c r="H242" s="56">
        <f t="shared" si="14"/>
        <v>6809.9824122981499</v>
      </c>
      <c r="I242" s="56">
        <f t="shared" si="15"/>
        <v>-5.8015055547780525</v>
      </c>
      <c r="J242" s="56">
        <f t="shared" si="16"/>
        <v>144616.21692577159</v>
      </c>
      <c r="K242" s="56">
        <f t="shared" si="17"/>
        <v>391747.76543919579</v>
      </c>
      <c r="T242" s="83"/>
    </row>
    <row r="243" spans="2:20" x14ac:dyDescent="0.2">
      <c r="B243" s="83"/>
      <c r="C243" s="56">
        <v>204</v>
      </c>
      <c r="D243" s="56">
        <v>28030.920269292157</v>
      </c>
      <c r="E243" s="56">
        <v>4.8156688734492636</v>
      </c>
      <c r="F243" s="56">
        <v>21006.157162561165</v>
      </c>
      <c r="G243" s="56">
        <v>18.876805165734915</v>
      </c>
      <c r="H243" s="56">
        <f t="shared" si="14"/>
        <v>7024.7631067309921</v>
      </c>
      <c r="I243" s="56">
        <f t="shared" si="15"/>
        <v>-14.061136292285651</v>
      </c>
      <c r="J243" s="56">
        <f t="shared" si="16"/>
        <v>171453.34714447014</v>
      </c>
      <c r="K243" s="56">
        <f t="shared" si="17"/>
        <v>760946.62002284196</v>
      </c>
      <c r="T243" s="83"/>
    </row>
    <row r="244" spans="2:20" x14ac:dyDescent="0.2">
      <c r="B244" s="83"/>
      <c r="C244" s="56">
        <v>205</v>
      </c>
      <c r="D244" s="56">
        <v>14133.01223519355</v>
      </c>
      <c r="E244" s="56">
        <v>2.4509365914236612</v>
      </c>
      <c r="F244" s="56">
        <v>11505.226957476076</v>
      </c>
      <c r="G244" s="56">
        <v>10.91110079103958</v>
      </c>
      <c r="H244" s="56">
        <f t="shared" si="14"/>
        <v>2627.7852777174739</v>
      </c>
      <c r="I244" s="56">
        <f t="shared" si="15"/>
        <v>-8.4601641996159191</v>
      </c>
      <c r="J244" s="56">
        <f t="shared" si="16"/>
        <v>87394.585127940198</v>
      </c>
      <c r="K244" s="56">
        <f t="shared" si="17"/>
        <v>440476.21221054747</v>
      </c>
      <c r="T244" s="83"/>
    </row>
    <row r="245" spans="2:20" x14ac:dyDescent="0.2">
      <c r="B245" s="83"/>
      <c r="C245" s="56">
        <v>206</v>
      </c>
      <c r="D245" s="56">
        <v>8477.0749742215539</v>
      </c>
      <c r="E245" s="56">
        <v>1.7168259670839752</v>
      </c>
      <c r="F245" s="56">
        <v>16620.13336493924</v>
      </c>
      <c r="G245" s="56">
        <v>15.615199475681763</v>
      </c>
      <c r="H245" s="56">
        <f t="shared" si="14"/>
        <v>-8143.0583907176861</v>
      </c>
      <c r="I245" s="56">
        <f t="shared" si="15"/>
        <v>-13.898373508597787</v>
      </c>
      <c r="J245" s="56">
        <f t="shared" si="16"/>
        <v>62640.723886265027</v>
      </c>
      <c r="K245" s="56">
        <f t="shared" si="17"/>
        <v>630223.88971570216</v>
      </c>
      <c r="T245" s="83"/>
    </row>
    <row r="246" spans="2:20" x14ac:dyDescent="0.2">
      <c r="B246" s="83"/>
      <c r="C246" s="56">
        <v>207</v>
      </c>
      <c r="D246" s="56">
        <v>19694.841870358632</v>
      </c>
      <c r="E246" s="56">
        <v>3.5898061214717574</v>
      </c>
      <c r="F246" s="56">
        <v>19376.092342649405</v>
      </c>
      <c r="G246" s="56">
        <v>20.067024471561133</v>
      </c>
      <c r="H246" s="56">
        <f t="shared" si="14"/>
        <v>318.74952770922755</v>
      </c>
      <c r="I246" s="56">
        <f t="shared" si="15"/>
        <v>-16.477218350089377</v>
      </c>
      <c r="J246" s="56">
        <f t="shared" si="16"/>
        <v>129009.28690548743</v>
      </c>
      <c r="K246" s="56">
        <f t="shared" si="17"/>
        <v>811880.32936729898</v>
      </c>
      <c r="T246" s="83"/>
    </row>
    <row r="247" spans="2:20" x14ac:dyDescent="0.2">
      <c r="B247" s="83"/>
      <c r="C247" s="56">
        <v>208</v>
      </c>
      <c r="D247" s="56">
        <v>20407.443412035343</v>
      </c>
      <c r="E247" s="56">
        <v>3.8785638137521801</v>
      </c>
      <c r="F247" s="56">
        <v>16922.270627950798</v>
      </c>
      <c r="G247" s="56">
        <v>14.290371661692697</v>
      </c>
      <c r="H247" s="56">
        <f t="shared" si="14"/>
        <v>3485.1727840845451</v>
      </c>
      <c r="I247" s="56">
        <f t="shared" si="15"/>
        <v>-10.411807847940517</v>
      </c>
      <c r="J247" s="56">
        <f t="shared" si="16"/>
        <v>140258.18400883494</v>
      </c>
      <c r="K247" s="56">
        <f t="shared" si="17"/>
        <v>575042.08508600749</v>
      </c>
      <c r="T247" s="83"/>
    </row>
    <row r="248" spans="2:20" x14ac:dyDescent="0.2">
      <c r="B248" s="83"/>
      <c r="C248" s="56">
        <v>209</v>
      </c>
      <c r="D248" s="56">
        <v>15424.671175240361</v>
      </c>
      <c r="E248" s="56">
        <v>2.7550780669390056</v>
      </c>
      <c r="F248" s="56">
        <v>26204.119063072823</v>
      </c>
      <c r="G248" s="56">
        <v>21.143075939742797</v>
      </c>
      <c r="H248" s="56">
        <f t="shared" si="14"/>
        <v>-10779.447887832463</v>
      </c>
      <c r="I248" s="56">
        <f t="shared" si="15"/>
        <v>-18.387997872803791</v>
      </c>
      <c r="J248" s="56">
        <f t="shared" si="16"/>
        <v>98701.682669640999</v>
      </c>
      <c r="K248" s="56">
        <f t="shared" si="17"/>
        <v>849626.65866483282</v>
      </c>
      <c r="T248" s="83"/>
    </row>
    <row r="249" spans="2:20" x14ac:dyDescent="0.2">
      <c r="B249" s="83"/>
      <c r="C249" s="56">
        <v>210</v>
      </c>
      <c r="D249" s="56">
        <v>15776.862799827708</v>
      </c>
      <c r="E249" s="56">
        <v>3.74517827440524</v>
      </c>
      <c r="F249" s="56">
        <v>15628.6646170897</v>
      </c>
      <c r="G249" s="56">
        <v>18.445739957329458</v>
      </c>
      <c r="H249" s="56">
        <f t="shared" si="14"/>
        <v>148.19818273800774</v>
      </c>
      <c r="I249" s="56">
        <f t="shared" si="15"/>
        <v>-14.700561682924217</v>
      </c>
      <c r="J249" s="56">
        <f t="shared" si="16"/>
        <v>139363.40203913496</v>
      </c>
      <c r="K249" s="56">
        <f t="shared" si="17"/>
        <v>748467.66737532581</v>
      </c>
      <c r="T249" s="83"/>
    </row>
    <row r="250" spans="2:20" x14ac:dyDescent="0.2">
      <c r="B250" s="83"/>
      <c r="C250" s="56">
        <v>211</v>
      </c>
      <c r="D250" s="56">
        <v>15998.807321740553</v>
      </c>
      <c r="E250" s="56">
        <v>2.8895876129229725</v>
      </c>
      <c r="F250" s="56">
        <v>12718.677637655044</v>
      </c>
      <c r="G250" s="56">
        <v>11.97482267298922</v>
      </c>
      <c r="H250" s="56">
        <f t="shared" si="14"/>
        <v>3280.1296840855084</v>
      </c>
      <c r="I250" s="56">
        <f t="shared" si="15"/>
        <v>-9.0852350600662461</v>
      </c>
      <c r="J250" s="56">
        <f t="shared" si="16"/>
        <v>103699.46995598066</v>
      </c>
      <c r="K250" s="56">
        <f t="shared" si="17"/>
        <v>483326.37676825037</v>
      </c>
      <c r="T250" s="83"/>
    </row>
    <row r="251" spans="2:20" x14ac:dyDescent="0.2">
      <c r="B251" s="83"/>
      <c r="C251" s="56">
        <v>212</v>
      </c>
      <c r="D251" s="56">
        <v>16527.03359207512</v>
      </c>
      <c r="E251" s="56">
        <v>2.8181666865778894</v>
      </c>
      <c r="F251" s="56">
        <v>12828.737917129351</v>
      </c>
      <c r="G251" s="56">
        <v>9.8403128837968818</v>
      </c>
      <c r="H251" s="56">
        <f t="shared" si="14"/>
        <v>3698.2956749457699</v>
      </c>
      <c r="I251" s="56">
        <f t="shared" si="15"/>
        <v>-7.0221461972189925</v>
      </c>
      <c r="J251" s="56">
        <f t="shared" si="16"/>
        <v>100212.70323272736</v>
      </c>
      <c r="K251" s="56">
        <f t="shared" si="17"/>
        <v>394796.38298127265</v>
      </c>
      <c r="T251" s="83"/>
    </row>
    <row r="252" spans="2:20" x14ac:dyDescent="0.2">
      <c r="B252" s="83"/>
      <c r="C252" s="56">
        <v>213</v>
      </c>
      <c r="D252" s="56">
        <v>23563.951527546709</v>
      </c>
      <c r="E252" s="56">
        <v>4.8659153325972131</v>
      </c>
      <c r="F252" s="56">
        <v>12926.76158951744</v>
      </c>
      <c r="G252" s="56">
        <v>11.11085046704194</v>
      </c>
      <c r="H252" s="56">
        <f t="shared" si="14"/>
        <v>10637.189938029269</v>
      </c>
      <c r="I252" s="56">
        <f t="shared" si="15"/>
        <v>-6.2449351344447273</v>
      </c>
      <c r="J252" s="56">
        <f t="shared" si="16"/>
        <v>178001.72520996025</v>
      </c>
      <c r="K252" s="56">
        <f t="shared" si="17"/>
        <v>447329.10815722786</v>
      </c>
      <c r="T252" s="83"/>
    </row>
    <row r="253" spans="2:20" x14ac:dyDescent="0.2">
      <c r="B253" s="83"/>
      <c r="C253" s="56">
        <v>214</v>
      </c>
      <c r="D253" s="56">
        <v>18110.586708242627</v>
      </c>
      <c r="E253" s="56">
        <v>4.4882495627372485</v>
      </c>
      <c r="F253" s="56">
        <v>12548.288766951286</v>
      </c>
      <c r="G253" s="56">
        <v>11.783870944380663</v>
      </c>
      <c r="H253" s="56">
        <f t="shared" si="14"/>
        <v>5562.297941291341</v>
      </c>
      <c r="I253" s="56">
        <f t="shared" si="15"/>
        <v>-7.2956213816434143</v>
      </c>
      <c r="J253" s="56">
        <f t="shared" si="16"/>
        <v>167810.66317858515</v>
      </c>
      <c r="K253" s="56">
        <f t="shared" si="17"/>
        <v>475586.78123307327</v>
      </c>
      <c r="T253" s="83"/>
    </row>
    <row r="254" spans="2:20" x14ac:dyDescent="0.2">
      <c r="B254" s="83"/>
      <c r="C254" s="56">
        <v>215</v>
      </c>
      <c r="D254" s="56">
        <v>14352.974836316878</v>
      </c>
      <c r="E254" s="56">
        <v>2.9229869679477929</v>
      </c>
      <c r="F254" s="56">
        <v>17158.557908773564</v>
      </c>
      <c r="G254" s="56">
        <v>16.747052261578563</v>
      </c>
      <c r="H254" s="56">
        <f t="shared" si="14"/>
        <v>-2805.5830724566858</v>
      </c>
      <c r="I254" s="56">
        <f t="shared" si="15"/>
        <v>-13.82406529363077</v>
      </c>
      <c r="J254" s="56">
        <f t="shared" si="16"/>
        <v>106728.8373239525</v>
      </c>
      <c r="K254" s="56">
        <f t="shared" si="17"/>
        <v>676571.33497485681</v>
      </c>
      <c r="T254" s="83"/>
    </row>
    <row r="255" spans="2:20" x14ac:dyDescent="0.2">
      <c r="B255" s="83"/>
      <c r="C255" s="56">
        <v>216</v>
      </c>
      <c r="D255" s="56">
        <v>15652.974134292248</v>
      </c>
      <c r="E255" s="56">
        <v>3.0870603456982284</v>
      </c>
      <c r="F255" s="56">
        <v>23124.639061424172</v>
      </c>
      <c r="G255" s="56">
        <v>26.327789696924526</v>
      </c>
      <c r="H255" s="56">
        <f t="shared" si="14"/>
        <v>-7471.6649271319238</v>
      </c>
      <c r="I255" s="56">
        <f t="shared" si="15"/>
        <v>-23.2407293512263</v>
      </c>
      <c r="J255" s="56">
        <f t="shared" si="16"/>
        <v>112225.41362591117</v>
      </c>
      <c r="K255" s="56">
        <f t="shared" si="17"/>
        <v>1067477.7213439774</v>
      </c>
      <c r="T255" s="83"/>
    </row>
    <row r="256" spans="2:20" x14ac:dyDescent="0.2">
      <c r="B256" s="83"/>
      <c r="C256" s="56">
        <v>217</v>
      </c>
      <c r="D256" s="56">
        <v>17370.483218932874</v>
      </c>
      <c r="E256" s="56">
        <v>4.2269765180979988</v>
      </c>
      <c r="F256" s="56">
        <v>12192.895481283696</v>
      </c>
      <c r="G256" s="56">
        <v>10.6104951819352</v>
      </c>
      <c r="H256" s="56">
        <f t="shared" si="14"/>
        <v>5177.5877376491771</v>
      </c>
      <c r="I256" s="56">
        <f t="shared" si="15"/>
        <v>-6.3835186638372008</v>
      </c>
      <c r="J256" s="56">
        <f t="shared" si="16"/>
        <v>157727.79206675861</v>
      </c>
      <c r="K256" s="56">
        <f t="shared" si="17"/>
        <v>427336.25693520001</v>
      </c>
      <c r="T256" s="83"/>
    </row>
    <row r="257" spans="2:20" x14ac:dyDescent="0.2">
      <c r="B257" s="83"/>
      <c r="C257" s="56">
        <v>218</v>
      </c>
      <c r="D257" s="56">
        <v>12476.613199382735</v>
      </c>
      <c r="E257" s="56">
        <v>2.3308624816104349</v>
      </c>
      <c r="F257" s="56">
        <v>18231.085345345327</v>
      </c>
      <c r="G257" s="56">
        <v>16.951466558983572</v>
      </c>
      <c r="H257" s="56">
        <f t="shared" si="14"/>
        <v>-5754.4721459625925</v>
      </c>
      <c r="I257" s="56">
        <f t="shared" si="15"/>
        <v>-14.620604077373137</v>
      </c>
      <c r="J257" s="56">
        <f t="shared" si="16"/>
        <v>84077.034238847918</v>
      </c>
      <c r="K257" s="56">
        <f t="shared" si="17"/>
        <v>683966.46539399016</v>
      </c>
      <c r="T257" s="83"/>
    </row>
    <row r="258" spans="2:20" x14ac:dyDescent="0.2">
      <c r="B258" s="83"/>
      <c r="C258" s="56">
        <v>219</v>
      </c>
      <c r="D258" s="56">
        <v>19107.440625131727</v>
      </c>
      <c r="E258" s="56">
        <v>3.9618225403169864</v>
      </c>
      <c r="F258" s="56">
        <v>16728.004363972566</v>
      </c>
      <c r="G258" s="56">
        <v>18.298108306798301</v>
      </c>
      <c r="H258" s="56">
        <f t="shared" si="14"/>
        <v>2379.4362611591605</v>
      </c>
      <c r="I258" s="56">
        <f t="shared" si="15"/>
        <v>-14.336285766481314</v>
      </c>
      <c r="J258" s="56">
        <f t="shared" si="16"/>
        <v>145007.09628495912</v>
      </c>
      <c r="K258" s="56">
        <f t="shared" si="17"/>
        <v>741252.83413684031</v>
      </c>
      <c r="T258" s="83"/>
    </row>
    <row r="259" spans="2:20" x14ac:dyDescent="0.2">
      <c r="B259" s="83"/>
      <c r="C259" s="56">
        <v>220</v>
      </c>
      <c r="D259" s="56">
        <v>16985.981276844654</v>
      </c>
      <c r="E259" s="56">
        <v>3.8190387275436821</v>
      </c>
      <c r="F259" s="56">
        <v>14425.720123343444</v>
      </c>
      <c r="G259" s="56">
        <v>14.224540972365885</v>
      </c>
      <c r="H259" s="56">
        <f t="shared" si="14"/>
        <v>2560.2611535012093</v>
      </c>
      <c r="I259" s="56">
        <f t="shared" si="15"/>
        <v>-10.405502244822202</v>
      </c>
      <c r="J259" s="56">
        <f t="shared" si="16"/>
        <v>141213.87897292484</v>
      </c>
      <c r="K259" s="56">
        <f t="shared" si="17"/>
        <v>574811.66511594097</v>
      </c>
      <c r="T259" s="83"/>
    </row>
    <row r="260" spans="2:20" x14ac:dyDescent="0.2">
      <c r="B260" s="83"/>
      <c r="C260" s="56">
        <v>221</v>
      </c>
      <c r="D260" s="56">
        <v>24975.4395889072</v>
      </c>
      <c r="E260" s="56">
        <v>4.4897290698941799</v>
      </c>
      <c r="F260" s="56">
        <v>20845.669786952356</v>
      </c>
      <c r="G260" s="56">
        <v>19.047159582135382</v>
      </c>
      <c r="H260" s="56">
        <f t="shared" si="14"/>
        <v>4129.7698019548443</v>
      </c>
      <c r="I260" s="56">
        <f t="shared" si="15"/>
        <v>-14.557430512241202</v>
      </c>
      <c r="J260" s="56">
        <f t="shared" si="16"/>
        <v>161007.09740238931</v>
      </c>
      <c r="K260" s="56">
        <f t="shared" si="17"/>
        <v>768163.86874342372</v>
      </c>
      <c r="T260" s="83"/>
    </row>
    <row r="261" spans="2:20" x14ac:dyDescent="0.2">
      <c r="B261" s="83"/>
      <c r="C261" s="56">
        <v>222</v>
      </c>
      <c r="D261" s="56">
        <v>17111.552451926309</v>
      </c>
      <c r="E261" s="56">
        <v>3.4100215737516013</v>
      </c>
      <c r="F261" s="56">
        <v>18058.297553264591</v>
      </c>
      <c r="G261" s="56">
        <v>18.037570754390213</v>
      </c>
      <c r="H261" s="56">
        <f t="shared" si="14"/>
        <v>-946.74510133828153</v>
      </c>
      <c r="I261" s="56">
        <f t="shared" si="15"/>
        <v>-14.627549180638612</v>
      </c>
      <c r="J261" s="56">
        <f t="shared" si="16"/>
        <v>124145.18121916003</v>
      </c>
      <c r="K261" s="56">
        <f t="shared" si="17"/>
        <v>729130.0333765957</v>
      </c>
      <c r="T261" s="83"/>
    </row>
    <row r="262" spans="2:20" x14ac:dyDescent="0.2">
      <c r="B262" s="83"/>
      <c r="C262" s="56">
        <v>223</v>
      </c>
      <c r="D262" s="56">
        <v>12388.601752427547</v>
      </c>
      <c r="E262" s="56">
        <v>2.7334362278252415</v>
      </c>
      <c r="F262" s="56">
        <v>13374.824481375281</v>
      </c>
      <c r="G262" s="56">
        <v>12.214009723136288</v>
      </c>
      <c r="H262" s="56">
        <f t="shared" si="14"/>
        <v>-986.22272894773414</v>
      </c>
      <c r="I262" s="56">
        <f t="shared" si="15"/>
        <v>-9.4805734953110452</v>
      </c>
      <c r="J262" s="56">
        <f t="shared" si="16"/>
        <v>100841.26054900525</v>
      </c>
      <c r="K262" s="56">
        <f t="shared" si="17"/>
        <v>492578.3142898223</v>
      </c>
      <c r="T262" s="83"/>
    </row>
    <row r="263" spans="2:20" x14ac:dyDescent="0.2">
      <c r="B263" s="83"/>
      <c r="C263" s="56">
        <v>224</v>
      </c>
      <c r="D263" s="56">
        <v>13755.627319960855</v>
      </c>
      <c r="E263" s="56">
        <v>3.1734234352197093</v>
      </c>
      <c r="F263" s="56">
        <v>14494.217899968862</v>
      </c>
      <c r="G263" s="56">
        <v>13.718574072048305</v>
      </c>
      <c r="H263" s="56">
        <f t="shared" si="14"/>
        <v>-738.59058000800724</v>
      </c>
      <c r="I263" s="56">
        <f t="shared" si="15"/>
        <v>-10.545150636828597</v>
      </c>
      <c r="J263" s="56">
        <f t="shared" si="16"/>
        <v>117700.26506058039</v>
      </c>
      <c r="K263" s="56">
        <f t="shared" si="17"/>
        <v>553783.99446056015</v>
      </c>
      <c r="T263" s="83"/>
    </row>
    <row r="264" spans="2:20" x14ac:dyDescent="0.2">
      <c r="B264" s="83"/>
      <c r="C264" s="56">
        <v>225</v>
      </c>
      <c r="D264" s="56">
        <v>16452.902916277417</v>
      </c>
      <c r="E264" s="56">
        <v>3.8282296209122757</v>
      </c>
      <c r="F264" s="56">
        <v>15800.026300464409</v>
      </c>
      <c r="G264" s="56">
        <v>15.057616946175015</v>
      </c>
      <c r="H264" s="56">
        <f t="shared" si="14"/>
        <v>652.87661581300745</v>
      </c>
      <c r="I264" s="56">
        <f t="shared" si="15"/>
        <v>-11.229387325262739</v>
      </c>
      <c r="J264" s="56">
        <f t="shared" si="16"/>
        <v>142127.6809003927</v>
      </c>
      <c r="K264" s="56">
        <f t="shared" si="17"/>
        <v>607946.69807788939</v>
      </c>
      <c r="T264" s="83"/>
    </row>
    <row r="265" spans="2:20" x14ac:dyDescent="0.2">
      <c r="B265" s="83"/>
      <c r="C265" s="56">
        <v>226</v>
      </c>
      <c r="D265" s="56">
        <v>21063.223146497716</v>
      </c>
      <c r="E265" s="56">
        <v>3.7965747465728672</v>
      </c>
      <c r="F265" s="56">
        <v>16321.252703538155</v>
      </c>
      <c r="G265" s="56">
        <v>15.29988304085613</v>
      </c>
      <c r="H265" s="56">
        <f t="shared" si="14"/>
        <v>4741.9704429595604</v>
      </c>
      <c r="I265" s="56">
        <f t="shared" si="15"/>
        <v>-11.503308294283263</v>
      </c>
      <c r="J265" s="56">
        <f t="shared" si="16"/>
        <v>136206.08915553676</v>
      </c>
      <c r="K265" s="56">
        <f t="shared" si="17"/>
        <v>617461.10238088621</v>
      </c>
      <c r="T265" s="83"/>
    </row>
    <row r="266" spans="2:20" x14ac:dyDescent="0.2">
      <c r="B266" s="83"/>
      <c r="C266" s="56">
        <v>227</v>
      </c>
      <c r="D266" s="56">
        <v>16984.769108991499</v>
      </c>
      <c r="E266" s="56">
        <v>2.5078997940093024</v>
      </c>
      <c r="F266" s="56">
        <v>15682.617845814239</v>
      </c>
      <c r="G266" s="56">
        <v>11.845861466072162</v>
      </c>
      <c r="H266" s="56">
        <f t="shared" si="14"/>
        <v>1302.1512631772603</v>
      </c>
      <c r="I266" s="56">
        <f t="shared" si="15"/>
        <v>-9.3379616720628587</v>
      </c>
      <c r="J266" s="56">
        <f t="shared" si="16"/>
        <v>86902.471958049835</v>
      </c>
      <c r="K266" s="56">
        <f t="shared" si="17"/>
        <v>475020.34752475901</v>
      </c>
      <c r="T266" s="83"/>
    </row>
    <row r="267" spans="2:20" x14ac:dyDescent="0.2">
      <c r="B267" s="83"/>
      <c r="C267" s="56">
        <v>228</v>
      </c>
      <c r="D267" s="56">
        <v>9257.6455629536813</v>
      </c>
      <c r="E267" s="56">
        <v>2.019143204176217</v>
      </c>
      <c r="F267" s="56">
        <v>17166.723800905977</v>
      </c>
      <c r="G267" s="56">
        <v>20.333105713304452</v>
      </c>
      <c r="H267" s="56">
        <f t="shared" si="14"/>
        <v>-7909.0782379522952</v>
      </c>
      <c r="I267" s="56">
        <f t="shared" si="15"/>
        <v>-18.313962509128235</v>
      </c>
      <c r="J267" s="56">
        <f t="shared" si="16"/>
        <v>74383.342526841938</v>
      </c>
      <c r="K267" s="56">
        <f t="shared" si="17"/>
        <v>825111.84726701758</v>
      </c>
      <c r="T267" s="83"/>
    </row>
    <row r="268" spans="2:20" x14ac:dyDescent="0.2">
      <c r="B268" s="83"/>
      <c r="C268" s="56">
        <v>229</v>
      </c>
      <c r="D268" s="56">
        <v>12326.919591339836</v>
      </c>
      <c r="E268" s="56">
        <v>2.356900688303099</v>
      </c>
      <c r="F268" s="56">
        <v>16931.099181195445</v>
      </c>
      <c r="G268" s="56">
        <v>17.264858676768409</v>
      </c>
      <c r="H268" s="56">
        <f t="shared" si="14"/>
        <v>-4604.1795898556084</v>
      </c>
      <c r="I268" s="56">
        <f t="shared" si="15"/>
        <v>-14.907957988465309</v>
      </c>
      <c r="J268" s="56">
        <f t="shared" si="16"/>
        <v>85305.334520927747</v>
      </c>
      <c r="K268" s="56">
        <f t="shared" si="17"/>
        <v>698248.40664525912</v>
      </c>
      <c r="T268" s="83"/>
    </row>
    <row r="269" spans="2:20" x14ac:dyDescent="0.2">
      <c r="B269" s="83"/>
      <c r="C269" s="56">
        <v>230</v>
      </c>
      <c r="D269" s="56">
        <v>16941.860021417564</v>
      </c>
      <c r="E269" s="56">
        <v>3.342814298943007</v>
      </c>
      <c r="F269" s="56">
        <v>23523.338052960793</v>
      </c>
      <c r="G269" s="56">
        <v>21.047819328253709</v>
      </c>
      <c r="H269" s="56">
        <f t="shared" si="14"/>
        <v>-6581.478031543229</v>
      </c>
      <c r="I269" s="56">
        <f t="shared" si="15"/>
        <v>-17.705005029310701</v>
      </c>
      <c r="J269" s="56">
        <f t="shared" si="16"/>
        <v>121530.87949799756</v>
      </c>
      <c r="K269" s="56">
        <f t="shared" si="17"/>
        <v>848361.52980062086</v>
      </c>
      <c r="T269" s="83"/>
    </row>
    <row r="270" spans="2:20" x14ac:dyDescent="0.2">
      <c r="B270" s="83"/>
      <c r="C270" s="56">
        <v>231</v>
      </c>
      <c r="D270" s="56">
        <v>18282.622676455121</v>
      </c>
      <c r="E270" s="56">
        <v>4.0025292287449767</v>
      </c>
      <c r="F270" s="56">
        <v>9917.8410554534548</v>
      </c>
      <c r="G270" s="56">
        <v>9.3963087346114786</v>
      </c>
      <c r="H270" s="56">
        <f t="shared" si="14"/>
        <v>8364.7816210016663</v>
      </c>
      <c r="I270" s="56">
        <f t="shared" si="15"/>
        <v>-5.3937795058665019</v>
      </c>
      <c r="J270" s="56">
        <f t="shared" si="16"/>
        <v>147518.14809507679</v>
      </c>
      <c r="K270" s="56">
        <f t="shared" si="17"/>
        <v>379314.85196709243</v>
      </c>
      <c r="T270" s="83"/>
    </row>
    <row r="271" spans="2:20" x14ac:dyDescent="0.2">
      <c r="B271" s="83"/>
      <c r="C271" s="56">
        <v>232</v>
      </c>
      <c r="D271" s="56">
        <v>15439.757019088067</v>
      </c>
      <c r="E271" s="56">
        <v>2.9655931250262144</v>
      </c>
      <c r="F271" s="56">
        <v>13543.17559213094</v>
      </c>
      <c r="G271" s="56">
        <v>12.297182850137995</v>
      </c>
      <c r="H271" s="56">
        <f t="shared" si="14"/>
        <v>1896.5814269571274</v>
      </c>
      <c r="I271" s="56">
        <f t="shared" si="15"/>
        <v>-9.3315897251117796</v>
      </c>
      <c r="J271" s="56">
        <f t="shared" si="16"/>
        <v>107406.97259199784</v>
      </c>
      <c r="K271" s="56">
        <f t="shared" si="17"/>
        <v>495855.32679198537</v>
      </c>
      <c r="T271" s="83"/>
    </row>
    <row r="272" spans="2:20" x14ac:dyDescent="0.2">
      <c r="B272" s="83"/>
      <c r="C272" s="56">
        <v>233</v>
      </c>
      <c r="D272" s="56">
        <v>20279.698361348419</v>
      </c>
      <c r="E272" s="56">
        <v>4.3981940855599646</v>
      </c>
      <c r="F272" s="56">
        <v>25538.250707202689</v>
      </c>
      <c r="G272" s="56">
        <v>25.229427064464133</v>
      </c>
      <c r="H272" s="56">
        <f t="shared" si="14"/>
        <v>-5258.5523458542702</v>
      </c>
      <c r="I272" s="56">
        <f t="shared" si="15"/>
        <v>-20.831232978904168</v>
      </c>
      <c r="J272" s="56">
        <f t="shared" si="16"/>
        <v>161911.09343888756</v>
      </c>
      <c r="K272" s="56">
        <f t="shared" si="17"/>
        <v>1019565.5360111595</v>
      </c>
      <c r="T272" s="83"/>
    </row>
    <row r="273" spans="2:20" x14ac:dyDescent="0.2">
      <c r="B273" s="83"/>
      <c r="C273" s="56">
        <v>234</v>
      </c>
      <c r="D273" s="56">
        <v>15625.206691770441</v>
      </c>
      <c r="E273" s="56">
        <v>2.8407102671091184</v>
      </c>
      <c r="F273" s="56">
        <v>11044.851252518711</v>
      </c>
      <c r="G273" s="56">
        <v>9.0191702197732049</v>
      </c>
      <c r="H273" s="56">
        <f t="shared" si="14"/>
        <v>4580.3554392517308</v>
      </c>
      <c r="I273" s="56">
        <f t="shared" si="15"/>
        <v>-6.1784599526640864</v>
      </c>
      <c r="J273" s="56">
        <f t="shared" si="16"/>
        <v>102048.37541295768</v>
      </c>
      <c r="K273" s="56">
        <f t="shared" si="17"/>
        <v>362565.25593136653</v>
      </c>
      <c r="T273" s="83"/>
    </row>
    <row r="274" spans="2:20" x14ac:dyDescent="0.2">
      <c r="B274" s="83"/>
      <c r="C274" s="56">
        <v>235</v>
      </c>
      <c r="D274" s="56">
        <v>22604.372251742177</v>
      </c>
      <c r="E274" s="56">
        <v>4.7245377160774309</v>
      </c>
      <c r="F274" s="56">
        <v>14804.764604007512</v>
      </c>
      <c r="G274" s="56">
        <v>13.830373007572806</v>
      </c>
      <c r="H274" s="56">
        <f t="shared" si="14"/>
        <v>7799.6076477346651</v>
      </c>
      <c r="I274" s="56">
        <f t="shared" si="15"/>
        <v>-9.1058352914953744</v>
      </c>
      <c r="J274" s="56">
        <f t="shared" si="16"/>
        <v>173104.87809904933</v>
      </c>
      <c r="K274" s="56">
        <f t="shared" si="17"/>
        <v>558104.60686168843</v>
      </c>
      <c r="T274" s="83"/>
    </row>
    <row r="275" spans="2:20" x14ac:dyDescent="0.2">
      <c r="B275" s="83"/>
      <c r="C275" s="56">
        <v>236</v>
      </c>
      <c r="D275" s="56">
        <v>11250.488243748187</v>
      </c>
      <c r="E275" s="56">
        <v>2.0074312214683441</v>
      </c>
      <c r="F275" s="56">
        <v>13917.37170319745</v>
      </c>
      <c r="G275" s="56">
        <v>12.911323854171098</v>
      </c>
      <c r="H275" s="56">
        <f t="shared" si="14"/>
        <v>-2666.8834594492637</v>
      </c>
      <c r="I275" s="56">
        <f t="shared" si="15"/>
        <v>-10.903892632702753</v>
      </c>
      <c r="J275" s="56">
        <f t="shared" si="16"/>
        <v>71905.342674356492</v>
      </c>
      <c r="K275" s="56">
        <f t="shared" si="17"/>
        <v>520921.30763198616</v>
      </c>
      <c r="T275" s="83"/>
    </row>
    <row r="276" spans="2:20" x14ac:dyDescent="0.2">
      <c r="B276" s="83"/>
      <c r="C276" s="56">
        <v>237</v>
      </c>
      <c r="D276" s="56">
        <v>24393.268172436099</v>
      </c>
      <c r="E276" s="56">
        <v>5.3034838947868455</v>
      </c>
      <c r="F276" s="56">
        <v>6344.0752889513133</v>
      </c>
      <c r="G276" s="56">
        <v>6.2568562835243418</v>
      </c>
      <c r="H276" s="56">
        <f t="shared" si="14"/>
        <v>18049.192883484786</v>
      </c>
      <c r="I276" s="56">
        <f t="shared" si="15"/>
        <v>-0.9533723887374963</v>
      </c>
      <c r="J276" s="56">
        <f t="shared" si="16"/>
        <v>195298.24868521417</v>
      </c>
      <c r="K276" s="56">
        <f t="shared" si="17"/>
        <v>252839.93939976103</v>
      </c>
      <c r="T276" s="83"/>
    </row>
    <row r="277" spans="2:20" x14ac:dyDescent="0.2">
      <c r="B277" s="83"/>
      <c r="C277" s="56">
        <v>238</v>
      </c>
      <c r="D277" s="56">
        <v>20278.827422059338</v>
      </c>
      <c r="E277" s="56">
        <v>3.9038827435010646</v>
      </c>
      <c r="F277" s="56">
        <v>17253.819022869022</v>
      </c>
      <c r="G277" s="56">
        <v>17.505928145564926</v>
      </c>
      <c r="H277" s="56">
        <f t="shared" si="14"/>
        <v>3025.0083991903157</v>
      </c>
      <c r="I277" s="56">
        <f t="shared" si="15"/>
        <v>-13.602045402063862</v>
      </c>
      <c r="J277" s="56">
        <f t="shared" si="16"/>
        <v>141435.61134472876</v>
      </c>
      <c r="K277" s="56">
        <f t="shared" si="17"/>
        <v>707911.74847901252</v>
      </c>
      <c r="T277" s="83"/>
    </row>
    <row r="278" spans="2:20" x14ac:dyDescent="0.2">
      <c r="B278" s="83"/>
      <c r="C278" s="56">
        <v>239</v>
      </c>
      <c r="D278" s="56">
        <v>19793.455207592207</v>
      </c>
      <c r="E278" s="56">
        <v>4.6088194745264701</v>
      </c>
      <c r="F278" s="56">
        <v>18250.975273015141</v>
      </c>
      <c r="G278" s="56">
        <v>18.126937403461053</v>
      </c>
      <c r="H278" s="56">
        <f t="shared" si="14"/>
        <v>1542.4799345770662</v>
      </c>
      <c r="I278" s="56">
        <f t="shared" si="15"/>
        <v>-13.518117928934583</v>
      </c>
      <c r="J278" s="56">
        <f t="shared" si="16"/>
        <v>171122.28270519231</v>
      </c>
      <c r="K278" s="56">
        <f t="shared" si="17"/>
        <v>732639.27972795558</v>
      </c>
      <c r="T278" s="83"/>
    </row>
    <row r="279" spans="2:20" x14ac:dyDescent="0.2">
      <c r="B279" s="83"/>
      <c r="C279" s="56">
        <v>240</v>
      </c>
      <c r="D279" s="56">
        <v>11765.480373044344</v>
      </c>
      <c r="E279" s="56">
        <v>2.6878952823505786</v>
      </c>
      <c r="F279" s="56">
        <v>11692.328559842035</v>
      </c>
      <c r="G279" s="56">
        <v>11.147121815115586</v>
      </c>
      <c r="H279" s="56">
        <f t="shared" si="14"/>
        <v>73.151813202308404</v>
      </c>
      <c r="I279" s="56">
        <f t="shared" si="15"/>
        <v>-8.4592265327650082</v>
      </c>
      <c r="J279" s="56">
        <f t="shared" si="16"/>
        <v>99577.893803046027</v>
      </c>
      <c r="K279" s="56">
        <f t="shared" si="17"/>
        <v>450066.04550950602</v>
      </c>
      <c r="T279" s="83"/>
    </row>
    <row r="280" spans="2:20" x14ac:dyDescent="0.2">
      <c r="B280" s="83"/>
      <c r="C280" s="56">
        <v>241</v>
      </c>
      <c r="D280" s="56">
        <v>13230.222912480865</v>
      </c>
      <c r="E280" s="56">
        <v>2.5274599690839219</v>
      </c>
      <c r="F280" s="56">
        <v>22772.78771514766</v>
      </c>
      <c r="G280" s="56">
        <v>23.191681210339507</v>
      </c>
      <c r="H280" s="56">
        <f t="shared" si="14"/>
        <v>-9542.564802666795</v>
      </c>
      <c r="I280" s="56">
        <f t="shared" si="15"/>
        <v>-20.664221241255586</v>
      </c>
      <c r="J280" s="56">
        <f t="shared" si="16"/>
        <v>91467.278846851521</v>
      </c>
      <c r="K280" s="56">
        <f t="shared" si="17"/>
        <v>937919.41474195605</v>
      </c>
      <c r="T280" s="83"/>
    </row>
    <row r="281" spans="2:20" x14ac:dyDescent="0.2">
      <c r="B281" s="83"/>
      <c r="C281" s="56">
        <v>242</v>
      </c>
      <c r="D281" s="56">
        <v>21085.160214678555</v>
      </c>
      <c r="E281" s="56">
        <v>5.0341217438889059</v>
      </c>
      <c r="F281" s="56">
        <v>15164.678791365628</v>
      </c>
      <c r="G281" s="56">
        <v>15.396756939473331</v>
      </c>
      <c r="H281" s="56">
        <f t="shared" si="14"/>
        <v>5920.4814233129273</v>
      </c>
      <c r="I281" s="56">
        <f t="shared" si="15"/>
        <v>-10.362635195584424</v>
      </c>
      <c r="J281" s="56">
        <f t="shared" si="16"/>
        <v>187448.29890417549</v>
      </c>
      <c r="K281" s="56">
        <f t="shared" si="17"/>
        <v>622630.5806693777</v>
      </c>
      <c r="T281" s="83"/>
    </row>
    <row r="282" spans="2:20" x14ac:dyDescent="0.2">
      <c r="B282" s="83"/>
      <c r="C282" s="56">
        <v>243</v>
      </c>
      <c r="D282" s="56">
        <v>22130.458944039263</v>
      </c>
      <c r="E282" s="56">
        <v>6.1041104142447402</v>
      </c>
      <c r="F282" s="56">
        <v>16717.697835324718</v>
      </c>
      <c r="G282" s="56">
        <v>16.108009318212613</v>
      </c>
      <c r="H282" s="56">
        <f t="shared" si="14"/>
        <v>5412.7611087145451</v>
      </c>
      <c r="I282" s="56">
        <f t="shared" si="15"/>
        <v>-10.003898903967873</v>
      </c>
      <c r="J282" s="56">
        <f t="shared" si="16"/>
        <v>230726.21085563485</v>
      </c>
      <c r="K282" s="56">
        <f t="shared" si="17"/>
        <v>650540.4801623146</v>
      </c>
      <c r="T282" s="83"/>
    </row>
    <row r="283" spans="2:20" x14ac:dyDescent="0.2">
      <c r="B283" s="83"/>
      <c r="C283" s="56">
        <v>244</v>
      </c>
      <c r="D283" s="56">
        <v>14160.793899310789</v>
      </c>
      <c r="E283" s="56">
        <v>2.9463931829298757</v>
      </c>
      <c r="F283" s="56">
        <v>17244.288381752718</v>
      </c>
      <c r="G283" s="56">
        <v>18.540735332563155</v>
      </c>
      <c r="H283" s="56">
        <f t="shared" si="14"/>
        <v>-3083.494482441929</v>
      </c>
      <c r="I283" s="56">
        <f t="shared" si="15"/>
        <v>-15.594342149633279</v>
      </c>
      <c r="J283" s="56">
        <f t="shared" si="16"/>
        <v>107890.59731037638</v>
      </c>
      <c r="K283" s="56">
        <f t="shared" si="17"/>
        <v>750787.13203434343</v>
      </c>
      <c r="T283" s="83"/>
    </row>
    <row r="284" spans="2:20" x14ac:dyDescent="0.2">
      <c r="B284" s="83"/>
      <c r="C284" s="56">
        <v>245</v>
      </c>
      <c r="D284" s="56">
        <v>23516.529160206774</v>
      </c>
      <c r="E284" s="56">
        <v>4.5935459183506726</v>
      </c>
      <c r="F284" s="56">
        <v>12966.058695846963</v>
      </c>
      <c r="G284" s="56">
        <v>10.84591427057822</v>
      </c>
      <c r="H284" s="56">
        <f t="shared" si="14"/>
        <v>10550.470464359811</v>
      </c>
      <c r="I284" s="56">
        <f t="shared" si="15"/>
        <v>-6.2523683522275473</v>
      </c>
      <c r="J284" s="56">
        <f t="shared" si="16"/>
        <v>166766.5169615515</v>
      </c>
      <c r="K284" s="56">
        <f t="shared" si="17"/>
        <v>436315.09404858522</v>
      </c>
      <c r="T284" s="83"/>
    </row>
    <row r="285" spans="2:20" x14ac:dyDescent="0.2">
      <c r="B285" s="83"/>
      <c r="C285" s="56">
        <v>246</v>
      </c>
      <c r="D285" s="56">
        <v>15191.125676659998</v>
      </c>
      <c r="E285" s="56">
        <v>3.1404407492058208</v>
      </c>
      <c r="F285" s="56">
        <v>26270.415371065192</v>
      </c>
      <c r="G285" s="56">
        <v>26.492387507372506</v>
      </c>
      <c r="H285" s="56">
        <f t="shared" si="14"/>
        <v>-11079.289694405194</v>
      </c>
      <c r="I285" s="56">
        <f t="shared" si="15"/>
        <v>-23.351946758166683</v>
      </c>
      <c r="J285" s="56">
        <f t="shared" si="16"/>
        <v>114898.49191844193</v>
      </c>
      <c r="K285" s="56">
        <f t="shared" si="17"/>
        <v>1071150.2447343334</v>
      </c>
      <c r="T285" s="83"/>
    </row>
    <row r="286" spans="2:20" x14ac:dyDescent="0.2">
      <c r="B286" s="83"/>
      <c r="C286" s="56">
        <v>247</v>
      </c>
      <c r="D286" s="56">
        <v>12086.169462659858</v>
      </c>
      <c r="E286" s="56">
        <v>1.8167287859750678</v>
      </c>
      <c r="F286" s="56">
        <v>26254.869187032684</v>
      </c>
      <c r="G286" s="56">
        <v>21.634863497660579</v>
      </c>
      <c r="H286" s="56">
        <f t="shared" si="14"/>
        <v>-14168.699724372826</v>
      </c>
      <c r="I286" s="56">
        <f t="shared" si="15"/>
        <v>-19.818134711685509</v>
      </c>
      <c r="J286" s="56">
        <f t="shared" si="16"/>
        <v>63170.003767571354</v>
      </c>
      <c r="K286" s="56">
        <f t="shared" si="17"/>
        <v>869947.71634005918</v>
      </c>
      <c r="T286" s="83"/>
    </row>
    <row r="287" spans="2:20" x14ac:dyDescent="0.2">
      <c r="B287" s="83"/>
      <c r="C287" s="56">
        <v>248</v>
      </c>
      <c r="D287" s="56">
        <v>13298.974374793699</v>
      </c>
      <c r="E287" s="56">
        <v>3.3356109034629173</v>
      </c>
      <c r="F287" s="56">
        <v>16385.111434988798</v>
      </c>
      <c r="G287" s="56">
        <v>20.725763831512268</v>
      </c>
      <c r="H287" s="56">
        <f t="shared" si="14"/>
        <v>-3086.1370601950985</v>
      </c>
      <c r="I287" s="56">
        <f t="shared" si="15"/>
        <v>-17.39015292804935</v>
      </c>
      <c r="J287" s="56">
        <f t="shared" si="16"/>
        <v>124875.37169025419</v>
      </c>
      <c r="K287" s="56">
        <f t="shared" si="17"/>
        <v>842158.92952157534</v>
      </c>
      <c r="T287" s="83"/>
    </row>
    <row r="288" spans="2:20" x14ac:dyDescent="0.2">
      <c r="B288" s="83"/>
      <c r="C288" s="56">
        <v>249</v>
      </c>
      <c r="D288" s="56">
        <v>13008.277211430934</v>
      </c>
      <c r="E288" s="56">
        <v>3.2221825311727486</v>
      </c>
      <c r="F288" s="56">
        <v>19517.334021847098</v>
      </c>
      <c r="G288" s="56">
        <v>22.695037656229722</v>
      </c>
      <c r="H288" s="56">
        <f t="shared" si="14"/>
        <v>-6509.0568104161648</v>
      </c>
      <c r="I288" s="56">
        <f t="shared" si="15"/>
        <v>-19.472855125056974</v>
      </c>
      <c r="J288" s="56">
        <f t="shared" si="16"/>
        <v>120467.41195986902</v>
      </c>
      <c r="K288" s="56">
        <f t="shared" si="17"/>
        <v>920601.9058498129</v>
      </c>
      <c r="T288" s="83"/>
    </row>
    <row r="289" spans="2:20" x14ac:dyDescent="0.2">
      <c r="B289" s="83"/>
      <c r="C289" s="56">
        <v>250</v>
      </c>
      <c r="D289" s="56">
        <v>12261.148316799579</v>
      </c>
      <c r="E289" s="56">
        <v>2.020273555177023</v>
      </c>
      <c r="F289" s="56">
        <v>21767.96541035772</v>
      </c>
      <c r="G289" s="56">
        <v>19.989050434687861</v>
      </c>
      <c r="H289" s="56">
        <f t="shared" si="14"/>
        <v>-9506.8170935581402</v>
      </c>
      <c r="I289" s="56">
        <f t="shared" si="15"/>
        <v>-17.968776879510838</v>
      </c>
      <c r="J289" s="56">
        <f t="shared" si="16"/>
        <v>71426.663432853427</v>
      </c>
      <c r="K289" s="56">
        <f t="shared" si="17"/>
        <v>806258.45979615231</v>
      </c>
      <c r="T289" s="83"/>
    </row>
    <row r="290" spans="2:20" x14ac:dyDescent="0.2">
      <c r="B290" s="83"/>
      <c r="C290" s="56">
        <v>251</v>
      </c>
      <c r="D290" s="56">
        <v>8735.9011482754668</v>
      </c>
      <c r="E290" s="56">
        <v>2.0979585386449853</v>
      </c>
      <c r="F290" s="56">
        <v>10691.424298685519</v>
      </c>
      <c r="G290" s="56">
        <v>10.783329806947496</v>
      </c>
      <c r="H290" s="56">
        <f t="shared" si="14"/>
        <v>-1955.523150410052</v>
      </c>
      <c r="I290" s="56">
        <f t="shared" si="15"/>
        <v>-8.6853712683025108</v>
      </c>
      <c r="J290" s="56">
        <f t="shared" si="16"/>
        <v>78169.933356554393</v>
      </c>
      <c r="K290" s="56">
        <f t="shared" si="17"/>
        <v>435997.22962430754</v>
      </c>
      <c r="T290" s="83"/>
    </row>
    <row r="291" spans="2:20" x14ac:dyDescent="0.2">
      <c r="B291" s="83"/>
      <c r="C291" s="56">
        <v>252</v>
      </c>
      <c r="D291" s="56">
        <v>12816.436892159894</v>
      </c>
      <c r="E291" s="56">
        <v>3.3744390699649625</v>
      </c>
      <c r="F291" s="56">
        <v>14443.558582703101</v>
      </c>
      <c r="G291" s="56">
        <v>17.581365737229316</v>
      </c>
      <c r="H291" s="56">
        <f t="shared" si="14"/>
        <v>-1627.1216905432066</v>
      </c>
      <c r="I291" s="56">
        <f t="shared" si="15"/>
        <v>-14.206926667264353</v>
      </c>
      <c r="J291" s="56">
        <f t="shared" si="16"/>
        <v>126966.32714206871</v>
      </c>
      <c r="K291" s="56">
        <f t="shared" si="17"/>
        <v>713846.93571628409</v>
      </c>
      <c r="T291" s="83"/>
    </row>
    <row r="292" spans="2:20" x14ac:dyDescent="0.2">
      <c r="B292" s="83"/>
      <c r="C292" s="56">
        <v>253</v>
      </c>
      <c r="D292" s="56">
        <v>13417.770302122872</v>
      </c>
      <c r="E292" s="56">
        <v>2.8773369995440188</v>
      </c>
      <c r="F292" s="56">
        <v>10877.695900788442</v>
      </c>
      <c r="G292" s="56">
        <v>10.470899637640349</v>
      </c>
      <c r="H292" s="56">
        <f t="shared" si="14"/>
        <v>2540.0744013344301</v>
      </c>
      <c r="I292" s="56">
        <f t="shared" si="15"/>
        <v>-7.5935626380963299</v>
      </c>
      <c r="J292" s="56">
        <f t="shared" si="16"/>
        <v>105773.03756698857</v>
      </c>
      <c r="K292" s="56">
        <f t="shared" si="17"/>
        <v>422868.85068882536</v>
      </c>
      <c r="T292" s="83"/>
    </row>
    <row r="293" spans="2:20" x14ac:dyDescent="0.2">
      <c r="B293" s="83"/>
      <c r="C293" s="56">
        <v>254</v>
      </c>
      <c r="D293" s="56">
        <v>17247.193670052835</v>
      </c>
      <c r="E293" s="56">
        <v>3.3865489082877853</v>
      </c>
      <c r="F293" s="56">
        <v>18516.984532596416</v>
      </c>
      <c r="G293" s="56">
        <v>18.881282505501233</v>
      </c>
      <c r="H293" s="56">
        <f t="shared" si="14"/>
        <v>-1269.7908625435812</v>
      </c>
      <c r="I293" s="56">
        <f t="shared" si="15"/>
        <v>-15.494733597213447</v>
      </c>
      <c r="J293" s="56">
        <f t="shared" si="16"/>
        <v>123037.20830686038</v>
      </c>
      <c r="K293" s="56">
        <f t="shared" si="17"/>
        <v>763621.26197528664</v>
      </c>
      <c r="T293" s="83"/>
    </row>
    <row r="294" spans="2:20" x14ac:dyDescent="0.2">
      <c r="B294" s="83"/>
      <c r="C294" s="56">
        <v>255</v>
      </c>
      <c r="D294" s="56">
        <v>16775.330342851041</v>
      </c>
      <c r="E294" s="56">
        <v>3.87361576581538</v>
      </c>
      <c r="F294" s="56">
        <v>20361.100910867688</v>
      </c>
      <c r="G294" s="56">
        <v>22.952251736739736</v>
      </c>
      <c r="H294" s="56">
        <f t="shared" si="14"/>
        <v>-3585.7705680166473</v>
      </c>
      <c r="I294" s="56">
        <f t="shared" si="15"/>
        <v>-19.078635970924356</v>
      </c>
      <c r="J294" s="56">
        <f t="shared" si="16"/>
        <v>143685.32914028526</v>
      </c>
      <c r="K294" s="56">
        <f t="shared" si="17"/>
        <v>930412.9750318391</v>
      </c>
      <c r="T294" s="83"/>
    </row>
    <row r="295" spans="2:20" x14ac:dyDescent="0.2">
      <c r="B295" s="83"/>
      <c r="C295" s="56">
        <v>256</v>
      </c>
      <c r="D295" s="56">
        <v>22446.883395104258</v>
      </c>
      <c r="E295" s="56">
        <v>4.1938273571293125</v>
      </c>
      <c r="F295" s="56">
        <v>16137.349860716788</v>
      </c>
      <c r="G295" s="56">
        <v>16.615984207143192</v>
      </c>
      <c r="H295" s="56">
        <f t="shared" si="14"/>
        <v>6309.5335343874704</v>
      </c>
      <c r="I295" s="56">
        <f t="shared" si="15"/>
        <v>-12.422156850013881</v>
      </c>
      <c r="J295" s="56">
        <f t="shared" si="16"/>
        <v>151278.22104662037</v>
      </c>
      <c r="K295" s="56">
        <f t="shared" si="17"/>
        <v>672163.1799359828</v>
      </c>
      <c r="T295" s="83"/>
    </row>
    <row r="296" spans="2:20" x14ac:dyDescent="0.2">
      <c r="B296" s="83"/>
      <c r="C296" s="56">
        <v>257</v>
      </c>
      <c r="D296" s="56">
        <v>24729.162475370787</v>
      </c>
      <c r="E296" s="56">
        <v>4.2682267468835464</v>
      </c>
      <c r="F296" s="56">
        <v>15823.785882605334</v>
      </c>
      <c r="G296" s="56">
        <v>14.238079305364026</v>
      </c>
      <c r="H296" s="56">
        <f t="shared" ref="H296:H359" si="18">IF($C296&lt;=No_of_iterations_PSA,D296-$F296,"")</f>
        <v>8905.3765927654531</v>
      </c>
      <c r="I296" s="56">
        <f t="shared" ref="I296:I359" si="19">IF($C296&lt;=No_of_iterations_PSA,E296-$G296,"")</f>
        <v>-9.9698525584804791</v>
      </c>
      <c r="J296" s="56">
        <f t="shared" ref="J296:J359" si="20">IF($C296&lt;=No_of_iterations_PSA,E296*WTP-D296,"")</f>
        <v>152077.86228753324</v>
      </c>
      <c r="K296" s="56">
        <f t="shared" ref="K296:K359" si="21">IF($C296&lt;=No_of_iterations_PSA,G296*WTP-F296,"")</f>
        <v>573974.41126279405</v>
      </c>
      <c r="T296" s="83"/>
    </row>
    <row r="297" spans="2:20" x14ac:dyDescent="0.2">
      <c r="B297" s="83"/>
      <c r="C297" s="56">
        <v>258</v>
      </c>
      <c r="D297" s="56">
        <v>12257.855228763765</v>
      </c>
      <c r="E297" s="56">
        <v>2.7789311313286325</v>
      </c>
      <c r="F297" s="56">
        <v>10408.321656994473</v>
      </c>
      <c r="G297" s="56">
        <v>10.687569677979988</v>
      </c>
      <c r="H297" s="56">
        <f t="shared" si="18"/>
        <v>1849.5335717692924</v>
      </c>
      <c r="I297" s="56">
        <f t="shared" si="19"/>
        <v>-7.908638546651356</v>
      </c>
      <c r="J297" s="56">
        <f t="shared" si="20"/>
        <v>102856.58795539351</v>
      </c>
      <c r="K297" s="56">
        <f t="shared" si="21"/>
        <v>432313.56468364858</v>
      </c>
      <c r="T297" s="83"/>
    </row>
    <row r="298" spans="2:20" x14ac:dyDescent="0.2">
      <c r="B298" s="83"/>
      <c r="C298" s="56">
        <v>259</v>
      </c>
      <c r="D298" s="56">
        <v>22283.078383624397</v>
      </c>
      <c r="E298" s="56">
        <v>4.4919545787058421</v>
      </c>
      <c r="F298" s="56">
        <v>17949.614421408423</v>
      </c>
      <c r="G298" s="56">
        <v>17.097120562623633</v>
      </c>
      <c r="H298" s="56">
        <f t="shared" si="18"/>
        <v>4333.4639622159739</v>
      </c>
      <c r="I298" s="56">
        <f t="shared" si="19"/>
        <v>-12.605165983917791</v>
      </c>
      <c r="J298" s="56">
        <f t="shared" si="20"/>
        <v>163791.6480846864</v>
      </c>
      <c r="K298" s="56">
        <f t="shared" si="21"/>
        <v>690281.50776471302</v>
      </c>
      <c r="T298" s="83"/>
    </row>
    <row r="299" spans="2:20" x14ac:dyDescent="0.2">
      <c r="B299" s="83"/>
      <c r="C299" s="56">
        <v>260</v>
      </c>
      <c r="D299" s="56">
        <v>14166.233867364139</v>
      </c>
      <c r="E299" s="56">
        <v>2.2507244206662809</v>
      </c>
      <c r="F299" s="56">
        <v>14225.852645628001</v>
      </c>
      <c r="G299" s="56">
        <v>11.51886636771393</v>
      </c>
      <c r="H299" s="56">
        <f t="shared" si="18"/>
        <v>-59.618778263862623</v>
      </c>
      <c r="I299" s="56">
        <f t="shared" si="19"/>
        <v>-9.2681419470476492</v>
      </c>
      <c r="J299" s="56">
        <f t="shared" si="20"/>
        <v>79067.774534315889</v>
      </c>
      <c r="K299" s="56">
        <f t="shared" si="21"/>
        <v>462931.66777055385</v>
      </c>
      <c r="T299" s="83"/>
    </row>
    <row r="300" spans="2:20" x14ac:dyDescent="0.2">
      <c r="B300" s="83"/>
      <c r="C300" s="56">
        <v>261</v>
      </c>
      <c r="D300" s="56">
        <v>12521.212713098628</v>
      </c>
      <c r="E300" s="56">
        <v>3.486283073288174</v>
      </c>
      <c r="F300" s="56">
        <v>11751.583918776345</v>
      </c>
      <c r="G300" s="56">
        <v>11.788075711963248</v>
      </c>
      <c r="H300" s="56">
        <f t="shared" si="18"/>
        <v>769.62879432228328</v>
      </c>
      <c r="I300" s="56">
        <f t="shared" si="19"/>
        <v>-8.3017926386750744</v>
      </c>
      <c r="J300" s="56">
        <f t="shared" si="20"/>
        <v>131894.57731479069</v>
      </c>
      <c r="K300" s="56">
        <f t="shared" si="21"/>
        <v>476557.66437358921</v>
      </c>
      <c r="T300" s="83"/>
    </row>
    <row r="301" spans="2:20" x14ac:dyDescent="0.2">
      <c r="B301" s="83"/>
      <c r="C301" s="56">
        <v>262</v>
      </c>
      <c r="D301" s="56">
        <v>20244.470771758981</v>
      </c>
      <c r="E301" s="56">
        <v>2.9591052317429494</v>
      </c>
      <c r="F301" s="56">
        <v>30953.131666701123</v>
      </c>
      <c r="G301" s="56">
        <v>24.23044086536277</v>
      </c>
      <c r="H301" s="56">
        <f t="shared" si="18"/>
        <v>-10708.660894942142</v>
      </c>
      <c r="I301" s="56">
        <f t="shared" si="19"/>
        <v>-21.27133563361982</v>
      </c>
      <c r="J301" s="56">
        <f t="shared" si="20"/>
        <v>102333.50434796096</v>
      </c>
      <c r="K301" s="56">
        <f t="shared" si="21"/>
        <v>972768.65074008622</v>
      </c>
      <c r="T301" s="83"/>
    </row>
    <row r="302" spans="2:20" x14ac:dyDescent="0.2">
      <c r="B302" s="83"/>
      <c r="C302" s="56">
        <v>263</v>
      </c>
      <c r="D302" s="56">
        <v>10389.441024710697</v>
      </c>
      <c r="E302" s="56">
        <v>2.1109564325494854</v>
      </c>
      <c r="F302" s="56">
        <v>11617.493989116518</v>
      </c>
      <c r="G302" s="56">
        <v>11.397386152047829</v>
      </c>
      <c r="H302" s="56">
        <f t="shared" si="18"/>
        <v>-1228.0529644058206</v>
      </c>
      <c r="I302" s="56">
        <f t="shared" si="19"/>
        <v>-9.2864297194983436</v>
      </c>
      <c r="J302" s="56">
        <f t="shared" si="20"/>
        <v>77054.81823721918</v>
      </c>
      <c r="K302" s="56">
        <f t="shared" si="21"/>
        <v>460507.82997331279</v>
      </c>
      <c r="T302" s="83"/>
    </row>
    <row r="303" spans="2:20" x14ac:dyDescent="0.2">
      <c r="B303" s="83"/>
      <c r="C303" s="56">
        <v>264</v>
      </c>
      <c r="D303" s="56">
        <v>18406.500918206621</v>
      </c>
      <c r="E303" s="56">
        <v>3.8234809582601166</v>
      </c>
      <c r="F303" s="56">
        <v>12771.054546905632</v>
      </c>
      <c r="G303" s="56">
        <v>11.246127117850692</v>
      </c>
      <c r="H303" s="56">
        <f t="shared" si="18"/>
        <v>5635.4463713009882</v>
      </c>
      <c r="I303" s="56">
        <f t="shared" si="19"/>
        <v>-7.4226461595905757</v>
      </c>
      <c r="J303" s="56">
        <f t="shared" si="20"/>
        <v>139977.37429676045</v>
      </c>
      <c r="K303" s="56">
        <f t="shared" si="21"/>
        <v>453088.51518294145</v>
      </c>
      <c r="T303" s="83"/>
    </row>
    <row r="304" spans="2:20" x14ac:dyDescent="0.2">
      <c r="B304" s="83"/>
      <c r="C304" s="56">
        <v>265</v>
      </c>
      <c r="D304" s="56">
        <v>16329.228225500554</v>
      </c>
      <c r="E304" s="56">
        <v>3.4327033571377896</v>
      </c>
      <c r="F304" s="56">
        <v>12957.239461690617</v>
      </c>
      <c r="G304" s="56">
        <v>11.106116567697466</v>
      </c>
      <c r="H304" s="56">
        <f t="shared" si="18"/>
        <v>3371.9887638099372</v>
      </c>
      <c r="I304" s="56">
        <f t="shared" si="19"/>
        <v>-7.6734132105596764</v>
      </c>
      <c r="J304" s="56">
        <f t="shared" si="20"/>
        <v>125867.07564057523</v>
      </c>
      <c r="K304" s="56">
        <f t="shared" si="21"/>
        <v>447102.53323860926</v>
      </c>
      <c r="T304" s="83"/>
    </row>
    <row r="305" spans="2:20" x14ac:dyDescent="0.2">
      <c r="B305" s="83"/>
      <c r="C305" s="56">
        <v>266</v>
      </c>
      <c r="D305" s="56">
        <v>38103.42059357409</v>
      </c>
      <c r="E305" s="56">
        <v>6.315650227790643</v>
      </c>
      <c r="F305" s="56">
        <v>16780.761788627038</v>
      </c>
      <c r="G305" s="56">
        <v>12.790969540023514</v>
      </c>
      <c r="H305" s="56">
        <f t="shared" si="18"/>
        <v>21322.658804947052</v>
      </c>
      <c r="I305" s="56">
        <f t="shared" si="19"/>
        <v>-6.4753193122328714</v>
      </c>
      <c r="J305" s="56">
        <f t="shared" si="20"/>
        <v>223516.07444242551</v>
      </c>
      <c r="K305" s="56">
        <f t="shared" si="21"/>
        <v>513072.36043730704</v>
      </c>
      <c r="T305" s="83"/>
    </row>
    <row r="306" spans="2:20" x14ac:dyDescent="0.2">
      <c r="B306" s="83"/>
      <c r="C306" s="56">
        <v>267</v>
      </c>
      <c r="D306" s="56">
        <v>14706.517932831588</v>
      </c>
      <c r="E306" s="56">
        <v>3.218966193646204</v>
      </c>
      <c r="F306" s="56">
        <v>13263.587025954057</v>
      </c>
      <c r="G306" s="56">
        <v>9.4290538033379221</v>
      </c>
      <c r="H306" s="56">
        <f t="shared" si="18"/>
        <v>1442.930906877531</v>
      </c>
      <c r="I306" s="56">
        <f t="shared" si="19"/>
        <v>-6.2100876096917181</v>
      </c>
      <c r="J306" s="56">
        <f t="shared" si="20"/>
        <v>118635.93767276876</v>
      </c>
      <c r="K306" s="56">
        <f t="shared" si="21"/>
        <v>377325.53772351606</v>
      </c>
      <c r="T306" s="83"/>
    </row>
    <row r="307" spans="2:20" x14ac:dyDescent="0.2">
      <c r="B307" s="83"/>
      <c r="C307" s="56">
        <v>268</v>
      </c>
      <c r="D307" s="56">
        <v>9311.396580582199</v>
      </c>
      <c r="E307" s="56">
        <v>3.0316074652284941</v>
      </c>
      <c r="F307" s="56">
        <v>12459.866892717922</v>
      </c>
      <c r="G307" s="56">
        <v>16.889651432816404</v>
      </c>
      <c r="H307" s="56">
        <f t="shared" si="18"/>
        <v>-3148.4703121357234</v>
      </c>
      <c r="I307" s="56">
        <f t="shared" si="19"/>
        <v>-13.858043967587911</v>
      </c>
      <c r="J307" s="56">
        <f t="shared" si="20"/>
        <v>116269.91105904295</v>
      </c>
      <c r="K307" s="56">
        <f t="shared" si="21"/>
        <v>687177.0540602688</v>
      </c>
      <c r="T307" s="83"/>
    </row>
    <row r="308" spans="2:20" x14ac:dyDescent="0.2">
      <c r="B308" s="83"/>
      <c r="C308" s="56">
        <v>269</v>
      </c>
      <c r="D308" s="56">
        <v>16921.923825031179</v>
      </c>
      <c r="E308" s="56">
        <v>3.3277539269074188</v>
      </c>
      <c r="F308" s="56">
        <v>18996.120763014271</v>
      </c>
      <c r="G308" s="56">
        <v>17.403837199486304</v>
      </c>
      <c r="H308" s="56">
        <f t="shared" si="18"/>
        <v>-2074.1969379830916</v>
      </c>
      <c r="I308" s="56">
        <f t="shared" si="19"/>
        <v>-14.076083272578884</v>
      </c>
      <c r="J308" s="56">
        <f t="shared" si="20"/>
        <v>120926.95484318174</v>
      </c>
      <c r="K308" s="56">
        <f t="shared" si="21"/>
        <v>701940.43138850632</v>
      </c>
      <c r="T308" s="83"/>
    </row>
    <row r="309" spans="2:20" x14ac:dyDescent="0.2">
      <c r="B309" s="83"/>
      <c r="C309" s="56">
        <v>270</v>
      </c>
      <c r="D309" s="56">
        <v>15386.361072606289</v>
      </c>
      <c r="E309" s="56">
        <v>3.9846047266415585</v>
      </c>
      <c r="F309" s="56">
        <v>8958.2179521515991</v>
      </c>
      <c r="G309" s="56">
        <v>8.4635744077132351</v>
      </c>
      <c r="H309" s="56">
        <f t="shared" si="18"/>
        <v>6428.1431204546898</v>
      </c>
      <c r="I309" s="56">
        <f t="shared" si="19"/>
        <v>-4.4789696810716766</v>
      </c>
      <c r="J309" s="56">
        <f t="shared" si="20"/>
        <v>149671.90512379364</v>
      </c>
      <c r="K309" s="56">
        <f t="shared" si="21"/>
        <v>341636.88831296144</v>
      </c>
      <c r="T309" s="83"/>
    </row>
    <row r="310" spans="2:20" x14ac:dyDescent="0.2">
      <c r="B310" s="83"/>
      <c r="C310" s="56">
        <v>271</v>
      </c>
      <c r="D310" s="56">
        <v>16232.178171171969</v>
      </c>
      <c r="E310" s="56">
        <v>3.8697994167496281</v>
      </c>
      <c r="F310" s="56">
        <v>15311.605355299509</v>
      </c>
      <c r="G310" s="56">
        <v>12.078949997852574</v>
      </c>
      <c r="H310" s="56">
        <f t="shared" si="18"/>
        <v>920.57281587245961</v>
      </c>
      <c r="I310" s="56">
        <f t="shared" si="19"/>
        <v>-8.2091505811029464</v>
      </c>
      <c r="J310" s="56">
        <f t="shared" si="20"/>
        <v>144070.39286826461</v>
      </c>
      <c r="K310" s="56">
        <f t="shared" si="21"/>
        <v>485046.81935574551</v>
      </c>
      <c r="T310" s="83"/>
    </row>
    <row r="311" spans="2:20" x14ac:dyDescent="0.2">
      <c r="B311" s="83"/>
      <c r="C311" s="56">
        <v>272</v>
      </c>
      <c r="D311" s="56">
        <v>13356.344526817717</v>
      </c>
      <c r="E311" s="56">
        <v>3.00898193672437</v>
      </c>
      <c r="F311" s="56">
        <v>13283.699198504884</v>
      </c>
      <c r="G311" s="56">
        <v>12.328605352953073</v>
      </c>
      <c r="H311" s="56">
        <f t="shared" si="18"/>
        <v>72.645328312832135</v>
      </c>
      <c r="I311" s="56">
        <f t="shared" si="19"/>
        <v>-9.3196234162287031</v>
      </c>
      <c r="J311" s="56">
        <f t="shared" si="20"/>
        <v>111287.72322005259</v>
      </c>
      <c r="K311" s="56">
        <f t="shared" si="21"/>
        <v>497416.44894222316</v>
      </c>
      <c r="T311" s="83"/>
    </row>
    <row r="312" spans="2:20" x14ac:dyDescent="0.2">
      <c r="B312" s="83"/>
      <c r="C312" s="56">
        <v>273</v>
      </c>
      <c r="D312" s="56">
        <v>10693.273420807367</v>
      </c>
      <c r="E312" s="56">
        <v>2.8768109488045526</v>
      </c>
      <c r="F312" s="56">
        <v>16861.812738146393</v>
      </c>
      <c r="G312" s="56">
        <v>20.883294039033746</v>
      </c>
      <c r="H312" s="56">
        <f t="shared" si="18"/>
        <v>-6168.5393173390257</v>
      </c>
      <c r="I312" s="56">
        <f t="shared" si="19"/>
        <v>-18.006483090229192</v>
      </c>
      <c r="J312" s="56">
        <f t="shared" si="20"/>
        <v>108475.74332247242</v>
      </c>
      <c r="K312" s="56">
        <f t="shared" si="21"/>
        <v>848207.7595347875</v>
      </c>
      <c r="T312" s="83"/>
    </row>
    <row r="313" spans="2:20" x14ac:dyDescent="0.2">
      <c r="B313" s="83"/>
      <c r="C313" s="56">
        <v>274</v>
      </c>
      <c r="D313" s="56">
        <v>18541.14664398738</v>
      </c>
      <c r="E313" s="56">
        <v>4.2300573034143589</v>
      </c>
      <c r="F313" s="56">
        <v>10723.943054457213</v>
      </c>
      <c r="G313" s="56">
        <v>8.8112276967491301</v>
      </c>
      <c r="H313" s="56">
        <f t="shared" si="18"/>
        <v>7817.2035895301669</v>
      </c>
      <c r="I313" s="56">
        <f t="shared" si="19"/>
        <v>-4.5811703933347712</v>
      </c>
      <c r="J313" s="56">
        <f t="shared" si="20"/>
        <v>156684.74709264902</v>
      </c>
      <c r="K313" s="56">
        <f t="shared" si="21"/>
        <v>354272.35305567877</v>
      </c>
      <c r="T313" s="83"/>
    </row>
    <row r="314" spans="2:20" x14ac:dyDescent="0.2">
      <c r="B314" s="83"/>
      <c r="C314" s="56">
        <v>275</v>
      </c>
      <c r="D314" s="56">
        <v>16702.427732260065</v>
      </c>
      <c r="E314" s="56">
        <v>3.6334716975240386</v>
      </c>
      <c r="F314" s="56">
        <v>14482.57009616275</v>
      </c>
      <c r="G314" s="56">
        <v>13.553451100163501</v>
      </c>
      <c r="H314" s="56">
        <f t="shared" si="18"/>
        <v>2219.8576360973148</v>
      </c>
      <c r="I314" s="56">
        <f t="shared" si="19"/>
        <v>-9.9199794026394628</v>
      </c>
      <c r="J314" s="56">
        <f t="shared" si="20"/>
        <v>133810.50386597571</v>
      </c>
      <c r="K314" s="56">
        <f t="shared" si="21"/>
        <v>546955.58827701013</v>
      </c>
      <c r="T314" s="83"/>
    </row>
    <row r="315" spans="2:20" x14ac:dyDescent="0.2">
      <c r="B315" s="83"/>
      <c r="C315" s="56">
        <v>276</v>
      </c>
      <c r="D315" s="56">
        <v>13907.867932216248</v>
      </c>
      <c r="E315" s="56">
        <v>3.183167955261502</v>
      </c>
      <c r="F315" s="56">
        <v>20006.054044874785</v>
      </c>
      <c r="G315" s="56">
        <v>18.398907218912733</v>
      </c>
      <c r="H315" s="56">
        <f t="shared" si="18"/>
        <v>-6098.1861126585372</v>
      </c>
      <c r="I315" s="56">
        <f t="shared" si="19"/>
        <v>-15.21573926365123</v>
      </c>
      <c r="J315" s="56">
        <f t="shared" si="20"/>
        <v>117951.6814465362</v>
      </c>
      <c r="K315" s="56">
        <f t="shared" si="21"/>
        <v>742150.27859136625</v>
      </c>
      <c r="T315" s="83"/>
    </row>
    <row r="316" spans="2:20" x14ac:dyDescent="0.2">
      <c r="B316" s="83"/>
      <c r="C316" s="56">
        <v>277</v>
      </c>
      <c r="D316" s="56">
        <v>18374.032026853733</v>
      </c>
      <c r="E316" s="56">
        <v>4.2307116642790383</v>
      </c>
      <c r="F316" s="56">
        <v>6421.3048206441426</v>
      </c>
      <c r="G316" s="56">
        <v>6.3537496846275339</v>
      </c>
      <c r="H316" s="56">
        <f t="shared" si="18"/>
        <v>11952.727206209591</v>
      </c>
      <c r="I316" s="56">
        <f t="shared" si="19"/>
        <v>-2.1230380203484955</v>
      </c>
      <c r="J316" s="56">
        <f t="shared" si="20"/>
        <v>156878.96795424115</v>
      </c>
      <c r="K316" s="56">
        <f t="shared" si="21"/>
        <v>256776.42211536679</v>
      </c>
      <c r="T316" s="83"/>
    </row>
    <row r="317" spans="2:20" x14ac:dyDescent="0.2">
      <c r="B317" s="83"/>
      <c r="C317" s="56">
        <v>278</v>
      </c>
      <c r="D317" s="56">
        <v>11603.673545978714</v>
      </c>
      <c r="E317" s="56">
        <v>2.1516219697356656</v>
      </c>
      <c r="F317" s="56">
        <v>17169.069623903779</v>
      </c>
      <c r="G317" s="56">
        <v>17.43549505862946</v>
      </c>
      <c r="H317" s="56">
        <f t="shared" si="18"/>
        <v>-5565.3960779250647</v>
      </c>
      <c r="I317" s="56">
        <f t="shared" si="19"/>
        <v>-15.283873088893795</v>
      </c>
      <c r="J317" s="56">
        <f t="shared" si="20"/>
        <v>77525.114928351497</v>
      </c>
      <c r="K317" s="56">
        <f t="shared" si="21"/>
        <v>705078.87768476293</v>
      </c>
      <c r="T317" s="83"/>
    </row>
    <row r="318" spans="2:20" x14ac:dyDescent="0.2">
      <c r="B318" s="83"/>
      <c r="C318" s="56">
        <v>279</v>
      </c>
      <c r="D318" s="56">
        <v>20689.010557244401</v>
      </c>
      <c r="E318" s="56">
        <v>3.4927627378817774</v>
      </c>
      <c r="F318" s="56">
        <v>14219.644454775524</v>
      </c>
      <c r="G318" s="56">
        <v>11.205684025303496</v>
      </c>
      <c r="H318" s="56">
        <f t="shared" si="18"/>
        <v>6469.3661024688772</v>
      </c>
      <c r="I318" s="56">
        <f t="shared" si="19"/>
        <v>-7.7129212874217181</v>
      </c>
      <c r="J318" s="56">
        <f t="shared" si="20"/>
        <v>123995.19309677034</v>
      </c>
      <c r="K318" s="56">
        <f t="shared" si="21"/>
        <v>449964.61060939648</v>
      </c>
      <c r="T318" s="83"/>
    </row>
    <row r="319" spans="2:20" x14ac:dyDescent="0.2">
      <c r="B319" s="83"/>
      <c r="C319" s="56">
        <v>280</v>
      </c>
      <c r="D319" s="56">
        <v>17243.82324038984</v>
      </c>
      <c r="E319" s="56">
        <v>3.5328607020282221</v>
      </c>
      <c r="F319" s="56">
        <v>22416.3924092624</v>
      </c>
      <c r="G319" s="56">
        <v>23.613142785419889</v>
      </c>
      <c r="H319" s="56">
        <f t="shared" si="18"/>
        <v>-5172.5691688725601</v>
      </c>
      <c r="I319" s="56">
        <f t="shared" si="19"/>
        <v>-20.080282083391666</v>
      </c>
      <c r="J319" s="56">
        <f t="shared" si="20"/>
        <v>129101.39848042722</v>
      </c>
      <c r="K319" s="56">
        <f t="shared" si="21"/>
        <v>955734.43433397112</v>
      </c>
      <c r="T319" s="83"/>
    </row>
    <row r="320" spans="2:20" x14ac:dyDescent="0.2">
      <c r="B320" s="83"/>
      <c r="C320" s="56">
        <v>281</v>
      </c>
      <c r="D320" s="56">
        <v>15639.67387270407</v>
      </c>
      <c r="E320" s="56">
        <v>2.9022494835621675</v>
      </c>
      <c r="F320" s="56">
        <v>17642.254963292165</v>
      </c>
      <c r="G320" s="56">
        <v>15.782154056151752</v>
      </c>
      <c r="H320" s="56">
        <f t="shared" si="18"/>
        <v>-2002.5810905880953</v>
      </c>
      <c r="I320" s="56">
        <f t="shared" si="19"/>
        <v>-12.879904572589584</v>
      </c>
      <c r="J320" s="56">
        <f t="shared" si="20"/>
        <v>104583.10873437516</v>
      </c>
      <c r="K320" s="56">
        <f t="shared" si="21"/>
        <v>636117.69465873798</v>
      </c>
      <c r="T320" s="83"/>
    </row>
    <row r="321" spans="2:20" x14ac:dyDescent="0.2">
      <c r="B321" s="83"/>
      <c r="C321" s="56">
        <v>282</v>
      </c>
      <c r="D321" s="56">
        <v>12508.294945708616</v>
      </c>
      <c r="E321" s="56">
        <v>2.5429269876555396</v>
      </c>
      <c r="F321" s="56">
        <v>8565.5102123030156</v>
      </c>
      <c r="G321" s="56">
        <v>9.0901657750560929</v>
      </c>
      <c r="H321" s="56">
        <f t="shared" si="18"/>
        <v>3942.7847334056005</v>
      </c>
      <c r="I321" s="56">
        <f t="shared" si="19"/>
        <v>-6.5472387874005538</v>
      </c>
      <c r="J321" s="56">
        <f t="shared" si="20"/>
        <v>92829.912590934444</v>
      </c>
      <c r="K321" s="56">
        <f t="shared" si="21"/>
        <v>367985.51685362059</v>
      </c>
      <c r="T321" s="83"/>
    </row>
    <row r="322" spans="2:20" x14ac:dyDescent="0.2">
      <c r="B322" s="83"/>
      <c r="C322" s="56">
        <v>283</v>
      </c>
      <c r="D322" s="56">
        <v>22436.821903468546</v>
      </c>
      <c r="E322" s="56">
        <v>4.3123640401349315</v>
      </c>
      <c r="F322" s="56">
        <v>16512.412286005056</v>
      </c>
      <c r="G322" s="56">
        <v>17.624106413910901</v>
      </c>
      <c r="H322" s="56">
        <f t="shared" si="18"/>
        <v>5924.4096174634906</v>
      </c>
      <c r="I322" s="56">
        <f t="shared" si="19"/>
        <v>-13.311742373775971</v>
      </c>
      <c r="J322" s="56">
        <f t="shared" si="20"/>
        <v>156198.54609508085</v>
      </c>
      <c r="K322" s="56">
        <f t="shared" si="21"/>
        <v>713548.57180384011</v>
      </c>
      <c r="T322" s="83"/>
    </row>
    <row r="323" spans="2:20" x14ac:dyDescent="0.2">
      <c r="B323" s="83"/>
      <c r="C323" s="56">
        <v>284</v>
      </c>
      <c r="D323" s="56">
        <v>20572.699245514548</v>
      </c>
      <c r="E323" s="56">
        <v>4.9068896686910293</v>
      </c>
      <c r="F323" s="56">
        <v>23375.246592821492</v>
      </c>
      <c r="G323" s="56">
        <v>24.858263516612741</v>
      </c>
      <c r="H323" s="56">
        <f t="shared" si="18"/>
        <v>-2802.5473473069433</v>
      </c>
      <c r="I323" s="56">
        <f t="shared" si="19"/>
        <v>-19.951373847921712</v>
      </c>
      <c r="J323" s="56">
        <f t="shared" si="20"/>
        <v>182690.29839034265</v>
      </c>
      <c r="K323" s="56">
        <f t="shared" si="21"/>
        <v>1006353.4613193447</v>
      </c>
      <c r="T323" s="83"/>
    </row>
    <row r="324" spans="2:20" x14ac:dyDescent="0.2">
      <c r="B324" s="83"/>
      <c r="C324" s="56">
        <v>285</v>
      </c>
      <c r="D324" s="56">
        <v>27132.659594960332</v>
      </c>
      <c r="E324" s="56">
        <v>4.8438022839398247</v>
      </c>
      <c r="F324" s="56">
        <v>19145.756846205142</v>
      </c>
      <c r="G324" s="56">
        <v>14.293834642058565</v>
      </c>
      <c r="H324" s="56">
        <f t="shared" si="18"/>
        <v>7986.9027487551903</v>
      </c>
      <c r="I324" s="56">
        <f t="shared" si="19"/>
        <v>-9.4500323581187402</v>
      </c>
      <c r="J324" s="56">
        <f t="shared" si="20"/>
        <v>173517.00621496295</v>
      </c>
      <c r="K324" s="56">
        <f t="shared" si="21"/>
        <v>572962.04936642887</v>
      </c>
      <c r="T324" s="83"/>
    </row>
    <row r="325" spans="2:20" x14ac:dyDescent="0.2">
      <c r="B325" s="83"/>
      <c r="C325" s="56">
        <v>286</v>
      </c>
      <c r="D325" s="56">
        <v>16042.26901169321</v>
      </c>
      <c r="E325" s="56">
        <v>3.702660148177189</v>
      </c>
      <c r="F325" s="56">
        <v>19049.552637181187</v>
      </c>
      <c r="G325" s="56">
        <v>19.166698122384282</v>
      </c>
      <c r="H325" s="56">
        <f t="shared" si="18"/>
        <v>-3007.2836254879767</v>
      </c>
      <c r="I325" s="56">
        <f t="shared" si="19"/>
        <v>-15.464037974207093</v>
      </c>
      <c r="J325" s="56">
        <f t="shared" si="20"/>
        <v>137336.72496639864</v>
      </c>
      <c r="K325" s="56">
        <f t="shared" si="21"/>
        <v>774911.75038446533</v>
      </c>
      <c r="T325" s="83"/>
    </row>
    <row r="326" spans="2:20" x14ac:dyDescent="0.2">
      <c r="B326" s="83"/>
      <c r="C326" s="56">
        <v>287</v>
      </c>
      <c r="D326" s="56">
        <v>15165.308987675338</v>
      </c>
      <c r="E326" s="56">
        <v>2.2266746683648861</v>
      </c>
      <c r="F326" s="56">
        <v>17947.412340251336</v>
      </c>
      <c r="G326" s="56">
        <v>18.74638018758921</v>
      </c>
      <c r="H326" s="56">
        <f t="shared" si="18"/>
        <v>-2782.1033525759976</v>
      </c>
      <c r="I326" s="56">
        <f t="shared" si="19"/>
        <v>-16.519705519224324</v>
      </c>
      <c r="J326" s="56">
        <f t="shared" si="20"/>
        <v>77072.462474671702</v>
      </c>
      <c r="K326" s="56">
        <f t="shared" si="21"/>
        <v>758602.64055044402</v>
      </c>
      <c r="T326" s="83"/>
    </row>
    <row r="327" spans="2:20" x14ac:dyDescent="0.2">
      <c r="B327" s="83"/>
      <c r="C327" s="56">
        <v>288</v>
      </c>
      <c r="D327" s="56">
        <v>15825.062538767133</v>
      </c>
      <c r="E327" s="56">
        <v>3.2435411423702547</v>
      </c>
      <c r="F327" s="56">
        <v>13887.677602226082</v>
      </c>
      <c r="G327" s="56">
        <v>11.528933411357642</v>
      </c>
      <c r="H327" s="56">
        <f t="shared" si="18"/>
        <v>1937.3849365410515</v>
      </c>
      <c r="I327" s="56">
        <f t="shared" si="19"/>
        <v>-8.2853922689873869</v>
      </c>
      <c r="J327" s="56">
        <f t="shared" si="20"/>
        <v>118535.38574277829</v>
      </c>
      <c r="K327" s="56">
        <f t="shared" si="21"/>
        <v>463686.86002985283</v>
      </c>
      <c r="T327" s="83"/>
    </row>
    <row r="328" spans="2:20" x14ac:dyDescent="0.2">
      <c r="B328" s="83"/>
      <c r="C328" s="56">
        <v>289</v>
      </c>
      <c r="D328" s="56">
        <v>6609.069466172894</v>
      </c>
      <c r="E328" s="56">
        <v>1.2666486890737909</v>
      </c>
      <c r="F328" s="56">
        <v>14136.179299002279</v>
      </c>
      <c r="G328" s="56">
        <v>14.169832998624379</v>
      </c>
      <c r="H328" s="56">
        <f t="shared" si="18"/>
        <v>-7527.1098328293847</v>
      </c>
      <c r="I328" s="56">
        <f t="shared" si="19"/>
        <v>-12.903184309550589</v>
      </c>
      <c r="J328" s="56">
        <f t="shared" si="20"/>
        <v>45860.585830019823</v>
      </c>
      <c r="K328" s="56">
        <f t="shared" si="21"/>
        <v>572834.98283601401</v>
      </c>
      <c r="T328" s="83"/>
    </row>
    <row r="329" spans="2:20" x14ac:dyDescent="0.2">
      <c r="B329" s="83"/>
      <c r="C329" s="56">
        <v>290</v>
      </c>
      <c r="D329" s="56">
        <v>15218.132494437226</v>
      </c>
      <c r="E329" s="56">
        <v>4.2973796654045113</v>
      </c>
      <c r="F329" s="56">
        <v>16878.701584690694</v>
      </c>
      <c r="G329" s="56">
        <v>19.638837783800344</v>
      </c>
      <c r="H329" s="56">
        <f t="shared" si="18"/>
        <v>-1660.5690902534679</v>
      </c>
      <c r="I329" s="56">
        <f t="shared" si="19"/>
        <v>-15.341458118395833</v>
      </c>
      <c r="J329" s="56">
        <f t="shared" si="20"/>
        <v>162796.52276527925</v>
      </c>
      <c r="K329" s="56">
        <f t="shared" si="21"/>
        <v>796640.51477145473</v>
      </c>
      <c r="T329" s="83"/>
    </row>
    <row r="330" spans="2:20" x14ac:dyDescent="0.2">
      <c r="B330" s="83"/>
      <c r="C330" s="56">
        <v>291</v>
      </c>
      <c r="D330" s="56">
        <v>13000.239173407694</v>
      </c>
      <c r="E330" s="56">
        <v>3.2442742208139626</v>
      </c>
      <c r="F330" s="56">
        <v>10705.002129530252</v>
      </c>
      <c r="G330" s="56">
        <v>9.2191709069568457</v>
      </c>
      <c r="H330" s="56">
        <f t="shared" si="18"/>
        <v>2295.2370438774415</v>
      </c>
      <c r="I330" s="56">
        <f t="shared" si="19"/>
        <v>-5.9748966861428832</v>
      </c>
      <c r="J330" s="56">
        <f t="shared" si="20"/>
        <v>121390.57614958988</v>
      </c>
      <c r="K330" s="56">
        <f t="shared" si="21"/>
        <v>371189.93352025014</v>
      </c>
      <c r="T330" s="83"/>
    </row>
    <row r="331" spans="2:20" x14ac:dyDescent="0.2">
      <c r="B331" s="83"/>
      <c r="C331" s="56">
        <v>292</v>
      </c>
      <c r="D331" s="56">
        <v>17967.079572701055</v>
      </c>
      <c r="E331" s="56">
        <v>3.5830609079794287</v>
      </c>
      <c r="F331" s="56">
        <v>16267.089098101855</v>
      </c>
      <c r="G331" s="56">
        <v>17.803694615383186</v>
      </c>
      <c r="H331" s="56">
        <f t="shared" si="18"/>
        <v>1699.9904745992008</v>
      </c>
      <c r="I331" s="56">
        <f t="shared" si="19"/>
        <v>-14.220633707403758</v>
      </c>
      <c r="J331" s="56">
        <f t="shared" si="20"/>
        <v>130457.6354794388</v>
      </c>
      <c r="K331" s="56">
        <f t="shared" si="21"/>
        <v>721233.15664953133</v>
      </c>
      <c r="T331" s="83"/>
    </row>
    <row r="332" spans="2:20" x14ac:dyDescent="0.2">
      <c r="B332" s="83"/>
      <c r="C332" s="56">
        <v>293</v>
      </c>
      <c r="D332" s="56">
        <v>19771.027622398502</v>
      </c>
      <c r="E332" s="56">
        <v>4.5244348149753044</v>
      </c>
      <c r="F332" s="56">
        <v>11857.374987048435</v>
      </c>
      <c r="G332" s="56">
        <v>9.8239230525750258</v>
      </c>
      <c r="H332" s="56">
        <f t="shared" si="18"/>
        <v>7913.6526353500667</v>
      </c>
      <c r="I332" s="56">
        <f t="shared" si="19"/>
        <v>-5.2994882375997214</v>
      </c>
      <c r="J332" s="56">
        <f t="shared" si="20"/>
        <v>167649.16015313851</v>
      </c>
      <c r="K332" s="56">
        <f t="shared" si="21"/>
        <v>395088.81354281941</v>
      </c>
      <c r="T332" s="83"/>
    </row>
    <row r="333" spans="2:20" x14ac:dyDescent="0.2">
      <c r="B333" s="83"/>
      <c r="C333" s="56">
        <v>294</v>
      </c>
      <c r="D333" s="56">
        <v>14847.090386274385</v>
      </c>
      <c r="E333" s="56">
        <v>3.2940845322147423</v>
      </c>
      <c r="F333" s="56">
        <v>17071.855636864548</v>
      </c>
      <c r="G333" s="56">
        <v>16.852684825113666</v>
      </c>
      <c r="H333" s="56">
        <f t="shared" si="18"/>
        <v>-2224.7652505901624</v>
      </c>
      <c r="I333" s="56">
        <f t="shared" si="19"/>
        <v>-13.558600292898923</v>
      </c>
      <c r="J333" s="56">
        <f t="shared" si="20"/>
        <v>121607.0672761891</v>
      </c>
      <c r="K333" s="56">
        <f t="shared" si="21"/>
        <v>681033.76055864396</v>
      </c>
      <c r="T333" s="83"/>
    </row>
    <row r="334" spans="2:20" x14ac:dyDescent="0.2">
      <c r="B334" s="83"/>
      <c r="C334" s="56">
        <v>295</v>
      </c>
      <c r="D334" s="56">
        <v>10057.741675686349</v>
      </c>
      <c r="E334" s="56">
        <v>2.2124342666230636</v>
      </c>
      <c r="F334" s="56">
        <v>15042.934335632437</v>
      </c>
      <c r="G334" s="56">
        <v>16.557596506383106</v>
      </c>
      <c r="H334" s="56">
        <f t="shared" si="18"/>
        <v>-4985.1926599460876</v>
      </c>
      <c r="I334" s="56">
        <f t="shared" si="19"/>
        <v>-14.345162239760043</v>
      </c>
      <c r="J334" s="56">
        <f t="shared" si="20"/>
        <v>81590.135384907437</v>
      </c>
      <c r="K334" s="56">
        <f t="shared" si="21"/>
        <v>670838.94334478129</v>
      </c>
      <c r="T334" s="83"/>
    </row>
    <row r="335" spans="2:20" x14ac:dyDescent="0.2">
      <c r="B335" s="83"/>
      <c r="C335" s="56">
        <v>296</v>
      </c>
      <c r="D335" s="56">
        <v>14508.167782025781</v>
      </c>
      <c r="E335" s="56">
        <v>3.0532985448010539</v>
      </c>
      <c r="F335" s="56">
        <v>12739.59082233823</v>
      </c>
      <c r="G335" s="56">
        <v>11.189045153323001</v>
      </c>
      <c r="H335" s="56">
        <f t="shared" si="18"/>
        <v>1768.5769596875507</v>
      </c>
      <c r="I335" s="56">
        <f t="shared" si="19"/>
        <v>-8.1357466085219468</v>
      </c>
      <c r="J335" s="56">
        <f t="shared" si="20"/>
        <v>111971.67113781309</v>
      </c>
      <c r="K335" s="56">
        <f t="shared" si="21"/>
        <v>450755.41560891375</v>
      </c>
      <c r="T335" s="83"/>
    </row>
    <row r="336" spans="2:20" x14ac:dyDescent="0.2">
      <c r="B336" s="83"/>
      <c r="C336" s="56">
        <v>297</v>
      </c>
      <c r="D336" s="56">
        <v>14642.75238905679</v>
      </c>
      <c r="E336" s="56">
        <v>3.7122472968023503</v>
      </c>
      <c r="F336" s="56">
        <v>13614.917143029808</v>
      </c>
      <c r="G336" s="56">
        <v>14.886040756826707</v>
      </c>
      <c r="H336" s="56">
        <f t="shared" si="18"/>
        <v>1027.8352460269816</v>
      </c>
      <c r="I336" s="56">
        <f t="shared" si="19"/>
        <v>-11.173793460024356</v>
      </c>
      <c r="J336" s="56">
        <f t="shared" si="20"/>
        <v>139133.37963368377</v>
      </c>
      <c r="K336" s="56">
        <f t="shared" si="21"/>
        <v>603024.43516775966</v>
      </c>
      <c r="T336" s="83"/>
    </row>
    <row r="337" spans="2:20" x14ac:dyDescent="0.2">
      <c r="B337" s="83"/>
      <c r="C337" s="56">
        <v>298</v>
      </c>
      <c r="D337" s="56">
        <v>19151.488526797304</v>
      </c>
      <c r="E337" s="56">
        <v>4.5743971992245251</v>
      </c>
      <c r="F337" s="56">
        <v>13154.709800019846</v>
      </c>
      <c r="G337" s="56">
        <v>14.517112140048543</v>
      </c>
      <c r="H337" s="56">
        <f t="shared" si="18"/>
        <v>5996.7787267774584</v>
      </c>
      <c r="I337" s="56">
        <f t="shared" si="19"/>
        <v>-9.9427149408240183</v>
      </c>
      <c r="J337" s="56">
        <f t="shared" si="20"/>
        <v>170338.34105387944</v>
      </c>
      <c r="K337" s="56">
        <f t="shared" si="21"/>
        <v>588202.14348935091</v>
      </c>
      <c r="T337" s="83"/>
    </row>
    <row r="338" spans="2:20" x14ac:dyDescent="0.2">
      <c r="B338" s="83"/>
      <c r="C338" s="56">
        <v>299</v>
      </c>
      <c r="D338" s="56">
        <v>14001.87117612833</v>
      </c>
      <c r="E338" s="56">
        <v>3.6735264053318653</v>
      </c>
      <c r="F338" s="56">
        <v>15569.683820877715</v>
      </c>
      <c r="G338" s="56">
        <v>18.065814504394414</v>
      </c>
      <c r="H338" s="56">
        <f t="shared" si="18"/>
        <v>-1567.8126447493851</v>
      </c>
      <c r="I338" s="56">
        <f t="shared" si="19"/>
        <v>-14.392288099062549</v>
      </c>
      <c r="J338" s="56">
        <f t="shared" si="20"/>
        <v>138170.28663833885</v>
      </c>
      <c r="K338" s="56">
        <f t="shared" si="21"/>
        <v>732788.61620915646</v>
      </c>
      <c r="T338" s="83"/>
    </row>
    <row r="339" spans="2:20" x14ac:dyDescent="0.2">
      <c r="B339" s="83"/>
      <c r="C339" s="56">
        <v>300</v>
      </c>
      <c r="D339" s="56">
        <v>24488.340149599604</v>
      </c>
      <c r="E339" s="56">
        <v>4.6828963958507988</v>
      </c>
      <c r="F339" s="56">
        <v>20416.624312805357</v>
      </c>
      <c r="G339" s="56">
        <v>20.388603826267882</v>
      </c>
      <c r="H339" s="56">
        <f t="shared" si="18"/>
        <v>4071.7158367942466</v>
      </c>
      <c r="I339" s="56">
        <f t="shared" si="19"/>
        <v>-15.705707430417084</v>
      </c>
      <c r="J339" s="56">
        <f t="shared" si="20"/>
        <v>169495.96015212388</v>
      </c>
      <c r="K339" s="56">
        <f t="shared" si="21"/>
        <v>824160.90058651543</v>
      </c>
      <c r="T339" s="83"/>
    </row>
    <row r="340" spans="2:20" x14ac:dyDescent="0.2">
      <c r="B340" s="83"/>
      <c r="C340" s="56">
        <v>301</v>
      </c>
      <c r="D340" s="56">
        <v>12752.544391367477</v>
      </c>
      <c r="E340" s="56">
        <v>3.6472558283403655</v>
      </c>
      <c r="F340" s="56">
        <v>8972.8996150017301</v>
      </c>
      <c r="G340" s="56">
        <v>9.2015316495678494</v>
      </c>
      <c r="H340" s="56">
        <f t="shared" si="18"/>
        <v>3779.644776365747</v>
      </c>
      <c r="I340" s="56">
        <f t="shared" si="19"/>
        <v>-5.5542758212274839</v>
      </c>
      <c r="J340" s="56">
        <f t="shared" si="20"/>
        <v>138331.38104180383</v>
      </c>
      <c r="K340" s="56">
        <f t="shared" si="21"/>
        <v>372191.34743669687</v>
      </c>
      <c r="T340" s="83"/>
    </row>
    <row r="341" spans="2:20" x14ac:dyDescent="0.2">
      <c r="B341" s="83"/>
      <c r="C341" s="56">
        <v>302</v>
      </c>
      <c r="D341" s="56">
        <v>22719.870566136538</v>
      </c>
      <c r="E341" s="56">
        <v>3.7318121586736486</v>
      </c>
      <c r="F341" s="56">
        <v>25789.114546748489</v>
      </c>
      <c r="G341" s="56">
        <v>22.671326888087222</v>
      </c>
      <c r="H341" s="56">
        <f t="shared" si="18"/>
        <v>-3069.243980611951</v>
      </c>
      <c r="I341" s="56">
        <f t="shared" si="19"/>
        <v>-18.939514729413574</v>
      </c>
      <c r="J341" s="56">
        <f t="shared" si="20"/>
        <v>131866.7162947607</v>
      </c>
      <c r="K341" s="56">
        <f t="shared" si="21"/>
        <v>913347.93046537659</v>
      </c>
      <c r="T341" s="83"/>
    </row>
    <row r="342" spans="2:20" x14ac:dyDescent="0.2">
      <c r="B342" s="83"/>
      <c r="C342" s="56">
        <v>303</v>
      </c>
      <c r="D342" s="56">
        <v>8983.3187768151856</v>
      </c>
      <c r="E342" s="56">
        <v>1.6727227197737387</v>
      </c>
      <c r="F342" s="56">
        <v>19563.030571167674</v>
      </c>
      <c r="G342" s="56">
        <v>21.630627766476429</v>
      </c>
      <c r="H342" s="56">
        <f t="shared" si="18"/>
        <v>-10579.711794352488</v>
      </c>
      <c r="I342" s="56">
        <f t="shared" si="19"/>
        <v>-19.957905046702692</v>
      </c>
      <c r="J342" s="56">
        <f t="shared" si="20"/>
        <v>60307.547167092169</v>
      </c>
      <c r="K342" s="56">
        <f t="shared" si="21"/>
        <v>876464.09402735194</v>
      </c>
      <c r="T342" s="83"/>
    </row>
    <row r="343" spans="2:20" x14ac:dyDescent="0.2">
      <c r="B343" s="83"/>
      <c r="C343" s="56">
        <v>304</v>
      </c>
      <c r="D343" s="56">
        <v>13394.80067667707</v>
      </c>
      <c r="E343" s="56">
        <v>3.1389827090830353</v>
      </c>
      <c r="F343" s="56">
        <v>17458.560199880103</v>
      </c>
      <c r="G343" s="56">
        <v>21.854992091744315</v>
      </c>
      <c r="H343" s="56">
        <f t="shared" si="18"/>
        <v>-4063.7595232030326</v>
      </c>
      <c r="I343" s="56">
        <f t="shared" si="19"/>
        <v>-18.71600938266128</v>
      </c>
      <c r="J343" s="56">
        <f t="shared" si="20"/>
        <v>116634.41906437858</v>
      </c>
      <c r="K343" s="56">
        <f t="shared" si="21"/>
        <v>887862.63220853638</v>
      </c>
      <c r="T343" s="83"/>
    </row>
    <row r="344" spans="2:20" x14ac:dyDescent="0.2">
      <c r="B344" s="83"/>
      <c r="C344" s="56">
        <v>305</v>
      </c>
      <c r="D344" s="56">
        <v>13180.63592918748</v>
      </c>
      <c r="E344" s="56">
        <v>2.8484552376994192</v>
      </c>
      <c r="F344" s="56">
        <v>18576.315400493422</v>
      </c>
      <c r="G344" s="56">
        <v>19.735691436986464</v>
      </c>
      <c r="H344" s="56">
        <f t="shared" si="18"/>
        <v>-5395.6794713059426</v>
      </c>
      <c r="I344" s="56">
        <f t="shared" si="19"/>
        <v>-16.887236199287045</v>
      </c>
      <c r="J344" s="56">
        <f t="shared" si="20"/>
        <v>104813.77383727326</v>
      </c>
      <c r="K344" s="56">
        <f t="shared" si="21"/>
        <v>798954.96668523387</v>
      </c>
      <c r="T344" s="83"/>
    </row>
    <row r="345" spans="2:20" x14ac:dyDescent="0.2">
      <c r="B345" s="83"/>
      <c r="C345" s="56">
        <v>306</v>
      </c>
      <c r="D345" s="56">
        <v>20523.980120138844</v>
      </c>
      <c r="E345" s="56">
        <v>4.7368498119324078</v>
      </c>
      <c r="F345" s="56">
        <v>12026.777065174443</v>
      </c>
      <c r="G345" s="56">
        <v>13.37013069595247</v>
      </c>
      <c r="H345" s="56">
        <f t="shared" si="18"/>
        <v>8497.2030549644005</v>
      </c>
      <c r="I345" s="56">
        <f t="shared" si="19"/>
        <v>-8.6332808840200634</v>
      </c>
      <c r="J345" s="56">
        <f t="shared" si="20"/>
        <v>175695.28648934921</v>
      </c>
      <c r="K345" s="56">
        <f t="shared" si="21"/>
        <v>541817.51688396069</v>
      </c>
      <c r="T345" s="83"/>
    </row>
    <row r="346" spans="2:20" x14ac:dyDescent="0.2">
      <c r="B346" s="83"/>
      <c r="C346" s="56">
        <v>307</v>
      </c>
      <c r="D346" s="56">
        <v>15624.739702939964</v>
      </c>
      <c r="E346" s="56">
        <v>2.8501224722613445</v>
      </c>
      <c r="F346" s="56">
        <v>10229.339133464418</v>
      </c>
      <c r="G346" s="56">
        <v>8.9732044139317804</v>
      </c>
      <c r="H346" s="56">
        <f t="shared" si="18"/>
        <v>5395.4005694755451</v>
      </c>
      <c r="I346" s="56">
        <f t="shared" si="19"/>
        <v>-6.1230819416704358</v>
      </c>
      <c r="J346" s="56">
        <f t="shared" si="20"/>
        <v>102438.73358801397</v>
      </c>
      <c r="K346" s="56">
        <f t="shared" si="21"/>
        <v>361476.68050924561</v>
      </c>
      <c r="T346" s="83"/>
    </row>
    <row r="347" spans="2:20" x14ac:dyDescent="0.2">
      <c r="B347" s="83"/>
      <c r="C347" s="56">
        <v>308</v>
      </c>
      <c r="D347" s="56">
        <v>8427.0307373947035</v>
      </c>
      <c r="E347" s="56">
        <v>1.461315456093208</v>
      </c>
      <c r="F347" s="56">
        <v>13032.553494591291</v>
      </c>
      <c r="G347" s="56">
        <v>12.306485177569639</v>
      </c>
      <c r="H347" s="56">
        <f t="shared" si="18"/>
        <v>-4605.5227571965879</v>
      </c>
      <c r="I347" s="56">
        <f t="shared" si="19"/>
        <v>-10.845169721476431</v>
      </c>
      <c r="J347" s="56">
        <f t="shared" si="20"/>
        <v>52106.50071581034</v>
      </c>
      <c r="K347" s="56">
        <f t="shared" si="21"/>
        <v>496751.28850105347</v>
      </c>
      <c r="T347" s="83"/>
    </row>
    <row r="348" spans="2:20" x14ac:dyDescent="0.2">
      <c r="B348" s="83"/>
      <c r="C348" s="56">
        <v>309</v>
      </c>
      <c r="D348" s="56">
        <v>16554.652962640372</v>
      </c>
      <c r="E348" s="56">
        <v>3.3771423277588699</v>
      </c>
      <c r="F348" s="56">
        <v>14810.699372761392</v>
      </c>
      <c r="G348" s="56">
        <v>14.711054379199595</v>
      </c>
      <c r="H348" s="56">
        <f t="shared" si="18"/>
        <v>1743.95358987898</v>
      </c>
      <c r="I348" s="56">
        <f t="shared" si="19"/>
        <v>-11.333912051440725</v>
      </c>
      <c r="J348" s="56">
        <f t="shared" si="20"/>
        <v>123340.09082244308</v>
      </c>
      <c r="K348" s="56">
        <f t="shared" si="21"/>
        <v>594580.01723120257</v>
      </c>
      <c r="T348" s="83"/>
    </row>
    <row r="349" spans="2:20" x14ac:dyDescent="0.2">
      <c r="B349" s="83"/>
      <c r="C349" s="56">
        <v>310</v>
      </c>
      <c r="D349" s="56">
        <v>13106.453523861046</v>
      </c>
      <c r="E349" s="56">
        <v>2.5958014520196966</v>
      </c>
      <c r="F349" s="56">
        <v>10320.175134942241</v>
      </c>
      <c r="G349" s="56">
        <v>9.6318052927563347</v>
      </c>
      <c r="H349" s="56">
        <f t="shared" si="18"/>
        <v>2786.2783889188049</v>
      </c>
      <c r="I349" s="56">
        <f t="shared" si="19"/>
        <v>-7.0360038407366385</v>
      </c>
      <c r="J349" s="56">
        <f t="shared" si="20"/>
        <v>94422.025824602868</v>
      </c>
      <c r="K349" s="56">
        <f t="shared" si="21"/>
        <v>388667.72731219616</v>
      </c>
      <c r="T349" s="83"/>
    </row>
    <row r="350" spans="2:20" x14ac:dyDescent="0.2">
      <c r="B350" s="83"/>
      <c r="C350" s="56">
        <v>311</v>
      </c>
      <c r="D350" s="56">
        <v>19869.164814160627</v>
      </c>
      <c r="E350" s="56">
        <v>4.2755653407773488</v>
      </c>
      <c r="F350" s="56">
        <v>14919.559511873529</v>
      </c>
      <c r="G350" s="56">
        <v>16.042036892166845</v>
      </c>
      <c r="H350" s="56">
        <f t="shared" si="18"/>
        <v>4949.6053022870983</v>
      </c>
      <c r="I350" s="56">
        <f t="shared" si="19"/>
        <v>-11.766471551389497</v>
      </c>
      <c r="J350" s="56">
        <f t="shared" si="20"/>
        <v>157241.85386220028</v>
      </c>
      <c r="K350" s="56">
        <f t="shared" si="21"/>
        <v>649605.77670924587</v>
      </c>
      <c r="T350" s="83"/>
    </row>
    <row r="351" spans="2:20" x14ac:dyDescent="0.2">
      <c r="B351" s="83"/>
      <c r="C351" s="56">
        <v>312</v>
      </c>
      <c r="D351" s="56">
        <v>10662.247288718996</v>
      </c>
      <c r="E351" s="56">
        <v>2.0368267546167953</v>
      </c>
      <c r="F351" s="56">
        <v>14521.467748291521</v>
      </c>
      <c r="G351" s="56">
        <v>12.46245933343957</v>
      </c>
      <c r="H351" s="56">
        <f t="shared" si="18"/>
        <v>-3859.2204595725252</v>
      </c>
      <c r="I351" s="56">
        <f t="shared" si="19"/>
        <v>-10.425632578822775</v>
      </c>
      <c r="J351" s="56">
        <f t="shared" si="20"/>
        <v>73711.264194527132</v>
      </c>
      <c r="K351" s="56">
        <f t="shared" si="21"/>
        <v>501723.44768010924</v>
      </c>
      <c r="T351" s="83"/>
    </row>
    <row r="352" spans="2:20" x14ac:dyDescent="0.2">
      <c r="B352" s="83"/>
      <c r="C352" s="56">
        <v>313</v>
      </c>
      <c r="D352" s="56">
        <v>14922.452209718971</v>
      </c>
      <c r="E352" s="56">
        <v>2.5691525738011993</v>
      </c>
      <c r="F352" s="56">
        <v>22922.142558543601</v>
      </c>
      <c r="G352" s="56">
        <v>24.398424670526325</v>
      </c>
      <c r="H352" s="56">
        <f t="shared" si="18"/>
        <v>-7999.6903488246298</v>
      </c>
      <c r="I352" s="56">
        <f t="shared" si="19"/>
        <v>-21.829272096725127</v>
      </c>
      <c r="J352" s="56">
        <f t="shared" si="20"/>
        <v>91502.124007421909</v>
      </c>
      <c r="K352" s="56">
        <f t="shared" si="21"/>
        <v>987758.20099333883</v>
      </c>
      <c r="T352" s="83"/>
    </row>
    <row r="353" spans="2:20" x14ac:dyDescent="0.2">
      <c r="B353" s="83"/>
      <c r="C353" s="56">
        <v>314</v>
      </c>
      <c r="D353" s="56">
        <v>17168.424780885554</v>
      </c>
      <c r="E353" s="56">
        <v>3.6965492311952026</v>
      </c>
      <c r="F353" s="56">
        <v>13016.355153675368</v>
      </c>
      <c r="G353" s="56">
        <v>12.015134348673605</v>
      </c>
      <c r="H353" s="56">
        <f t="shared" si="18"/>
        <v>4152.0696272101868</v>
      </c>
      <c r="I353" s="56">
        <f t="shared" si="19"/>
        <v>-8.3185851174784027</v>
      </c>
      <c r="J353" s="56">
        <f t="shared" si="20"/>
        <v>135957.43057214454</v>
      </c>
      <c r="K353" s="56">
        <f t="shared" si="21"/>
        <v>484698.57010578003</v>
      </c>
      <c r="T353" s="83"/>
    </row>
    <row r="354" spans="2:20" x14ac:dyDescent="0.2">
      <c r="B354" s="83"/>
      <c r="C354" s="56">
        <v>315</v>
      </c>
      <c r="D354" s="56">
        <v>20256.352212740079</v>
      </c>
      <c r="E354" s="56">
        <v>3.8768167724890019</v>
      </c>
      <c r="F354" s="56">
        <v>12489.048504884677</v>
      </c>
      <c r="G354" s="56">
        <v>10.65207916408691</v>
      </c>
      <c r="H354" s="56">
        <f t="shared" si="18"/>
        <v>7767.3037078554025</v>
      </c>
      <c r="I354" s="56">
        <f t="shared" si="19"/>
        <v>-6.7752623915979076</v>
      </c>
      <c r="J354" s="56">
        <f t="shared" si="20"/>
        <v>140336.90577084434</v>
      </c>
      <c r="K354" s="56">
        <f t="shared" si="21"/>
        <v>428762.67878825148</v>
      </c>
      <c r="T354" s="83"/>
    </row>
    <row r="355" spans="2:20" x14ac:dyDescent="0.2">
      <c r="B355" s="83"/>
      <c r="C355" s="56">
        <v>316</v>
      </c>
      <c r="D355" s="56">
        <v>20607.730708094437</v>
      </c>
      <c r="E355" s="56">
        <v>4.5133754410260893</v>
      </c>
      <c r="F355" s="56">
        <v>14039.750732047727</v>
      </c>
      <c r="G355" s="56">
        <v>15.301215493831878</v>
      </c>
      <c r="H355" s="56">
        <f t="shared" si="18"/>
        <v>6567.9799760467104</v>
      </c>
      <c r="I355" s="56">
        <f t="shared" si="19"/>
        <v>-10.787840052805787</v>
      </c>
      <c r="J355" s="56">
        <f t="shared" si="20"/>
        <v>166354.33356097029</v>
      </c>
      <c r="K355" s="56">
        <f t="shared" si="21"/>
        <v>619797.79988444399</v>
      </c>
      <c r="T355" s="83"/>
    </row>
    <row r="356" spans="2:20" x14ac:dyDescent="0.2">
      <c r="B356" s="83"/>
      <c r="C356" s="56">
        <v>317</v>
      </c>
      <c r="D356" s="56">
        <v>20239.792900268385</v>
      </c>
      <c r="E356" s="56">
        <v>3.8372163330573859</v>
      </c>
      <c r="F356" s="56">
        <v>17122.90686085603</v>
      </c>
      <c r="G356" s="56">
        <v>15.778042982246044</v>
      </c>
      <c r="H356" s="56">
        <f t="shared" si="18"/>
        <v>3116.8860394123549</v>
      </c>
      <c r="I356" s="56">
        <f t="shared" si="19"/>
        <v>-11.940826649188658</v>
      </c>
      <c r="J356" s="56">
        <f t="shared" si="20"/>
        <v>138713.05648030076</v>
      </c>
      <c r="K356" s="56">
        <f t="shared" si="21"/>
        <v>636466.74563570414</v>
      </c>
      <c r="T356" s="83"/>
    </row>
    <row r="357" spans="2:20" x14ac:dyDescent="0.2">
      <c r="B357" s="83"/>
      <c r="C357" s="56">
        <v>318</v>
      </c>
      <c r="D357" s="56">
        <v>21995.766496876477</v>
      </c>
      <c r="E357" s="56">
        <v>3.8947035169488036</v>
      </c>
      <c r="F357" s="56">
        <v>16080.872692824334</v>
      </c>
      <c r="G357" s="56">
        <v>14.567770489842017</v>
      </c>
      <c r="H357" s="56">
        <f t="shared" si="18"/>
        <v>5914.8938040521425</v>
      </c>
      <c r="I357" s="56">
        <f t="shared" si="19"/>
        <v>-10.673066972893213</v>
      </c>
      <c r="J357" s="56">
        <f t="shared" si="20"/>
        <v>139338.43198921075</v>
      </c>
      <c r="K357" s="56">
        <f t="shared" si="21"/>
        <v>587374.45207839133</v>
      </c>
      <c r="T357" s="83"/>
    </row>
    <row r="358" spans="2:20" x14ac:dyDescent="0.2">
      <c r="B358" s="83"/>
      <c r="C358" s="56">
        <v>319</v>
      </c>
      <c r="D358" s="56">
        <v>15578.209533783893</v>
      </c>
      <c r="E358" s="56">
        <v>3.7553065559787262</v>
      </c>
      <c r="F358" s="56">
        <v>15360.766565194383</v>
      </c>
      <c r="G358" s="56">
        <v>15.238754418915295</v>
      </c>
      <c r="H358" s="56">
        <f t="shared" si="18"/>
        <v>217.4429685895102</v>
      </c>
      <c r="I358" s="56">
        <f t="shared" si="19"/>
        <v>-11.483447862936568</v>
      </c>
      <c r="J358" s="56">
        <f t="shared" si="20"/>
        <v>139981.60924107887</v>
      </c>
      <c r="K358" s="56">
        <f t="shared" si="21"/>
        <v>615889.39648395288</v>
      </c>
      <c r="T358" s="83"/>
    </row>
    <row r="359" spans="2:20" x14ac:dyDescent="0.2">
      <c r="B359" s="83"/>
      <c r="C359" s="56">
        <v>320</v>
      </c>
      <c r="D359" s="56">
        <v>16483.318698021685</v>
      </c>
      <c r="E359" s="56">
        <v>3.7239599167802511</v>
      </c>
      <c r="F359" s="56">
        <v>9887.9991333848193</v>
      </c>
      <c r="G359" s="56">
        <v>11.117992089447217</v>
      </c>
      <c r="H359" s="56">
        <f t="shared" si="18"/>
        <v>6595.3195646368658</v>
      </c>
      <c r="I359" s="56">
        <f t="shared" si="19"/>
        <v>-7.3940321726669662</v>
      </c>
      <c r="J359" s="56">
        <f t="shared" si="20"/>
        <v>137777.99689468346</v>
      </c>
      <c r="K359" s="56">
        <f t="shared" si="21"/>
        <v>450663.70517987665</v>
      </c>
      <c r="T359" s="83"/>
    </row>
    <row r="360" spans="2:20" x14ac:dyDescent="0.2">
      <c r="B360" s="83"/>
      <c r="C360" s="56">
        <v>321</v>
      </c>
      <c r="D360" s="56">
        <v>12251.178574753851</v>
      </c>
      <c r="E360" s="56">
        <v>2.7611204488679641</v>
      </c>
      <c r="F360" s="56">
        <v>11292.454835080809</v>
      </c>
      <c r="G360" s="56">
        <v>11.648812270638892</v>
      </c>
      <c r="H360" s="56">
        <f t="shared" ref="H360:H423" si="22">IF($C360&lt;=No_of_iterations_PSA,D360-$F360,"")</f>
        <v>958.72373967304156</v>
      </c>
      <c r="I360" s="56">
        <f t="shared" ref="I360:I423" si="23">IF($C360&lt;=No_of_iterations_PSA,E360-$G360,"")</f>
        <v>-8.8876918217709289</v>
      </c>
      <c r="J360" s="56">
        <f t="shared" ref="J360:J423" si="24">IF($C360&lt;=No_of_iterations_PSA,E360*WTP-D360,"")</f>
        <v>102125.4748991527</v>
      </c>
      <c r="K360" s="56">
        <f t="shared" ref="K360:K423" si="25">IF($C360&lt;=No_of_iterations_PSA,G360*WTP-F360,"")</f>
        <v>471247.94466386462</v>
      </c>
      <c r="T360" s="83"/>
    </row>
    <row r="361" spans="2:20" x14ac:dyDescent="0.2">
      <c r="B361" s="83"/>
      <c r="C361" s="56">
        <v>322</v>
      </c>
      <c r="D361" s="56">
        <v>19220.658825889106</v>
      </c>
      <c r="E361" s="56">
        <v>3.5294787720832952</v>
      </c>
      <c r="F361" s="56">
        <v>15674.505864370156</v>
      </c>
      <c r="G361" s="56">
        <v>11.584531029534272</v>
      </c>
      <c r="H361" s="56">
        <f t="shared" si="22"/>
        <v>3546.1529615189502</v>
      </c>
      <c r="I361" s="56">
        <f t="shared" si="23"/>
        <v>-8.0550522574509777</v>
      </c>
      <c r="J361" s="56">
        <f t="shared" si="24"/>
        <v>126984.4698288893</v>
      </c>
      <c r="K361" s="56">
        <f t="shared" si="25"/>
        <v>464203.10750305752</v>
      </c>
      <c r="T361" s="83"/>
    </row>
    <row r="362" spans="2:20" x14ac:dyDescent="0.2">
      <c r="B362" s="83"/>
      <c r="C362" s="56">
        <v>323</v>
      </c>
      <c r="D362" s="56">
        <v>18631.217475426412</v>
      </c>
      <c r="E362" s="56">
        <v>3.5135564000608235</v>
      </c>
      <c r="F362" s="56">
        <v>17960.852938274002</v>
      </c>
      <c r="G362" s="56">
        <v>14.598350473559416</v>
      </c>
      <c r="H362" s="56">
        <f t="shared" si="22"/>
        <v>670.36453715241078</v>
      </c>
      <c r="I362" s="56">
        <f t="shared" si="23"/>
        <v>-11.084794073498593</v>
      </c>
      <c r="J362" s="56">
        <f t="shared" si="24"/>
        <v>126914.34284069313</v>
      </c>
      <c r="K362" s="56">
        <f t="shared" si="25"/>
        <v>586761.21707845118</v>
      </c>
      <c r="T362" s="83"/>
    </row>
    <row r="363" spans="2:20" x14ac:dyDescent="0.2">
      <c r="B363" s="83"/>
      <c r="C363" s="56">
        <v>324</v>
      </c>
      <c r="D363" s="56">
        <v>14954.426239700158</v>
      </c>
      <c r="E363" s="56">
        <v>3.5539477899977059</v>
      </c>
      <c r="F363" s="56">
        <v>18380.982755580128</v>
      </c>
      <c r="G363" s="56">
        <v>19.12714006263149</v>
      </c>
      <c r="H363" s="56">
        <f t="shared" si="22"/>
        <v>-3426.5565158799691</v>
      </c>
      <c r="I363" s="56">
        <f t="shared" si="23"/>
        <v>-15.573192272633785</v>
      </c>
      <c r="J363" s="56">
        <f t="shared" si="24"/>
        <v>132264.3070131648</v>
      </c>
      <c r="K363" s="56">
        <f t="shared" si="25"/>
        <v>773941.66719886672</v>
      </c>
      <c r="T363" s="83"/>
    </row>
    <row r="364" spans="2:20" x14ac:dyDescent="0.2">
      <c r="B364" s="83"/>
      <c r="C364" s="56">
        <v>325</v>
      </c>
      <c r="D364" s="56">
        <v>18508.134641038803</v>
      </c>
      <c r="E364" s="56">
        <v>3.7829959723703239</v>
      </c>
      <c r="F364" s="56">
        <v>15799.194152017832</v>
      </c>
      <c r="G364" s="56">
        <v>15.936752077386794</v>
      </c>
      <c r="H364" s="56">
        <f t="shared" si="22"/>
        <v>2708.9404890209717</v>
      </c>
      <c r="I364" s="56">
        <f t="shared" si="23"/>
        <v>-12.15375610501647</v>
      </c>
      <c r="J364" s="56">
        <f t="shared" si="24"/>
        <v>138198.6905184295</v>
      </c>
      <c r="K364" s="56">
        <f t="shared" si="25"/>
        <v>644364.82390165271</v>
      </c>
      <c r="T364" s="83"/>
    </row>
    <row r="365" spans="2:20" x14ac:dyDescent="0.2">
      <c r="B365" s="83"/>
      <c r="C365" s="56">
        <v>326</v>
      </c>
      <c r="D365" s="56">
        <v>11666.757996263133</v>
      </c>
      <c r="E365" s="56">
        <v>3.0347951669363984</v>
      </c>
      <c r="F365" s="56">
        <v>15302.27011011785</v>
      </c>
      <c r="G365" s="56">
        <v>20.276753278117603</v>
      </c>
      <c r="H365" s="56">
        <f t="shared" si="22"/>
        <v>-3635.5121138547165</v>
      </c>
      <c r="I365" s="56">
        <f t="shared" si="23"/>
        <v>-17.241958111181205</v>
      </c>
      <c r="J365" s="56">
        <f t="shared" si="24"/>
        <v>114046.59699891025</v>
      </c>
      <c r="K365" s="56">
        <f t="shared" si="25"/>
        <v>824641.95768262574</v>
      </c>
      <c r="T365" s="83"/>
    </row>
    <row r="366" spans="2:20" x14ac:dyDescent="0.2">
      <c r="B366" s="83"/>
      <c r="C366" s="56">
        <v>327</v>
      </c>
      <c r="D366" s="56">
        <v>16708.916699050729</v>
      </c>
      <c r="E366" s="56">
        <v>4.1249806272723006</v>
      </c>
      <c r="F366" s="56">
        <v>12734.606784326432</v>
      </c>
      <c r="G366" s="56">
        <v>10.440899733926843</v>
      </c>
      <c r="H366" s="56">
        <f t="shared" si="22"/>
        <v>3974.3099147242974</v>
      </c>
      <c r="I366" s="56">
        <f t="shared" si="23"/>
        <v>-6.3159191066545421</v>
      </c>
      <c r="J366" s="56">
        <f t="shared" si="24"/>
        <v>154164.28080507705</v>
      </c>
      <c r="K366" s="56">
        <f t="shared" si="25"/>
        <v>419769.22379385913</v>
      </c>
      <c r="T366" s="83"/>
    </row>
    <row r="367" spans="2:20" x14ac:dyDescent="0.2">
      <c r="B367" s="83"/>
      <c r="C367" s="56">
        <v>328</v>
      </c>
      <c r="D367" s="56">
        <v>13434.566854700359</v>
      </c>
      <c r="E367" s="56">
        <v>2.8749202037450385</v>
      </c>
      <c r="F367" s="56">
        <v>10585.761385165421</v>
      </c>
      <c r="G367" s="56">
        <v>9.1453135825904486</v>
      </c>
      <c r="H367" s="56">
        <f t="shared" si="22"/>
        <v>2848.8054695349383</v>
      </c>
      <c r="I367" s="56">
        <f t="shared" si="23"/>
        <v>-6.2703933788454105</v>
      </c>
      <c r="J367" s="56">
        <f t="shared" si="24"/>
        <v>105656.12766523412</v>
      </c>
      <c r="K367" s="56">
        <f t="shared" si="25"/>
        <v>368249.70846006129</v>
      </c>
      <c r="T367" s="83"/>
    </row>
    <row r="368" spans="2:20" x14ac:dyDescent="0.2">
      <c r="B368" s="83"/>
      <c r="C368" s="56">
        <v>329</v>
      </c>
      <c r="D368" s="56">
        <v>18356.960382990477</v>
      </c>
      <c r="E368" s="56">
        <v>3.7864461960982818</v>
      </c>
      <c r="F368" s="56">
        <v>15078.995520997865</v>
      </c>
      <c r="G368" s="56">
        <v>12.887282145867745</v>
      </c>
      <c r="H368" s="56">
        <f t="shared" si="22"/>
        <v>3277.964861992612</v>
      </c>
      <c r="I368" s="56">
        <f t="shared" si="23"/>
        <v>-9.1008359497694631</v>
      </c>
      <c r="J368" s="56">
        <f t="shared" si="24"/>
        <v>138492.78684418474</v>
      </c>
      <c r="K368" s="56">
        <f t="shared" si="25"/>
        <v>518763.78008942766</v>
      </c>
      <c r="T368" s="83"/>
    </row>
    <row r="369" spans="2:20" x14ac:dyDescent="0.2">
      <c r="B369" s="83"/>
      <c r="C369" s="56">
        <v>330</v>
      </c>
      <c r="D369" s="56">
        <v>13233.570620275133</v>
      </c>
      <c r="E369" s="56">
        <v>3.0646229974707428</v>
      </c>
      <c r="F369" s="56">
        <v>6889.125694405202</v>
      </c>
      <c r="G369" s="56">
        <v>7.1586135486485567</v>
      </c>
      <c r="H369" s="56">
        <f t="shared" si="22"/>
        <v>6344.4449258699315</v>
      </c>
      <c r="I369" s="56">
        <f t="shared" si="23"/>
        <v>-4.0939905511778143</v>
      </c>
      <c r="J369" s="56">
        <f t="shared" si="24"/>
        <v>113715.37242695292</v>
      </c>
      <c r="K369" s="56">
        <f t="shared" si="25"/>
        <v>289649.28194481257</v>
      </c>
      <c r="T369" s="83"/>
    </row>
    <row r="370" spans="2:20" x14ac:dyDescent="0.2">
      <c r="B370" s="83"/>
      <c r="C370" s="56">
        <v>331</v>
      </c>
      <c r="D370" s="56">
        <v>13587.336438165303</v>
      </c>
      <c r="E370" s="56">
        <v>3.184128423479188</v>
      </c>
      <c r="F370" s="56">
        <v>16829.433693428658</v>
      </c>
      <c r="G370" s="56">
        <v>22.669393225369749</v>
      </c>
      <c r="H370" s="56">
        <f t="shared" si="22"/>
        <v>-3242.0972552633557</v>
      </c>
      <c r="I370" s="56">
        <f t="shared" si="23"/>
        <v>-19.485264801890562</v>
      </c>
      <c r="J370" s="56">
        <f t="shared" si="24"/>
        <v>118311.99937603658</v>
      </c>
      <c r="K370" s="56">
        <f t="shared" si="25"/>
        <v>922227.51127428783</v>
      </c>
      <c r="T370" s="83"/>
    </row>
    <row r="371" spans="2:20" x14ac:dyDescent="0.2">
      <c r="B371" s="83"/>
      <c r="C371" s="56">
        <v>332</v>
      </c>
      <c r="D371" s="56">
        <v>16077.030046610629</v>
      </c>
      <c r="E371" s="56">
        <v>3.7593549869007936</v>
      </c>
      <c r="F371" s="56">
        <v>10555.666566758669</v>
      </c>
      <c r="G371" s="56">
        <v>9.2631806402169889</v>
      </c>
      <c r="H371" s="56">
        <f t="shared" si="22"/>
        <v>5521.3634798519597</v>
      </c>
      <c r="I371" s="56">
        <f t="shared" si="23"/>
        <v>-5.5038256533161949</v>
      </c>
      <c r="J371" s="56">
        <f t="shared" si="24"/>
        <v>139650.49093076785</v>
      </c>
      <c r="K371" s="56">
        <f t="shared" si="25"/>
        <v>373162.3282735899</v>
      </c>
      <c r="T371" s="83"/>
    </row>
    <row r="372" spans="2:20" x14ac:dyDescent="0.2">
      <c r="B372" s="83"/>
      <c r="C372" s="56">
        <v>333</v>
      </c>
      <c r="D372" s="56">
        <v>26091.166958990358</v>
      </c>
      <c r="E372" s="56">
        <v>5.2479096397606781</v>
      </c>
      <c r="F372" s="56">
        <v>15316.712349321171</v>
      </c>
      <c r="G372" s="56">
        <v>12.992011011507193</v>
      </c>
      <c r="H372" s="56">
        <f t="shared" si="22"/>
        <v>10774.454609669187</v>
      </c>
      <c r="I372" s="56">
        <f t="shared" si="23"/>
        <v>-7.744101371746515</v>
      </c>
      <c r="J372" s="56">
        <f t="shared" si="24"/>
        <v>191298.24195845597</v>
      </c>
      <c r="K372" s="56">
        <f t="shared" si="25"/>
        <v>522864.35179135279</v>
      </c>
      <c r="T372" s="83"/>
    </row>
    <row r="373" spans="2:20" x14ac:dyDescent="0.2">
      <c r="B373" s="83"/>
      <c r="C373" s="56">
        <v>334</v>
      </c>
      <c r="D373" s="56">
        <v>11875.30221771878</v>
      </c>
      <c r="E373" s="56">
        <v>2.922833206195667</v>
      </c>
      <c r="F373" s="56">
        <v>13852.62681283169</v>
      </c>
      <c r="G373" s="56">
        <v>13.075134787769317</v>
      </c>
      <c r="H373" s="56">
        <f t="shared" si="22"/>
        <v>-1977.3245951129102</v>
      </c>
      <c r="I373" s="56">
        <f t="shared" si="23"/>
        <v>-10.152301581573649</v>
      </c>
      <c r="J373" s="56">
        <f t="shared" si="24"/>
        <v>109200.14051573053</v>
      </c>
      <c r="K373" s="56">
        <f t="shared" si="25"/>
        <v>527771.75663572445</v>
      </c>
      <c r="T373" s="83"/>
    </row>
    <row r="374" spans="2:20" x14ac:dyDescent="0.2">
      <c r="B374" s="83"/>
      <c r="C374" s="56">
        <v>335</v>
      </c>
      <c r="D374" s="56">
        <v>14694.942375991015</v>
      </c>
      <c r="E374" s="56">
        <v>2.8277936765225871</v>
      </c>
      <c r="F374" s="56">
        <v>13885.123881617144</v>
      </c>
      <c r="G374" s="56">
        <v>14.127487442314715</v>
      </c>
      <c r="H374" s="56">
        <f t="shared" si="22"/>
        <v>809.81849437387064</v>
      </c>
      <c r="I374" s="56">
        <f t="shared" si="23"/>
        <v>-11.299693765792128</v>
      </c>
      <c r="J374" s="56">
        <f t="shared" si="24"/>
        <v>102443.58288028064</v>
      </c>
      <c r="K374" s="56">
        <f t="shared" si="25"/>
        <v>571331.91592882772</v>
      </c>
      <c r="T374" s="83"/>
    </row>
    <row r="375" spans="2:20" x14ac:dyDescent="0.2">
      <c r="B375" s="83"/>
      <c r="C375" s="56">
        <v>336</v>
      </c>
      <c r="D375" s="56">
        <v>17827.686580928566</v>
      </c>
      <c r="E375" s="56">
        <v>3.7352363258971693</v>
      </c>
      <c r="F375" s="56">
        <v>15164.093322492539</v>
      </c>
      <c r="G375" s="56">
        <v>12.29243468146456</v>
      </c>
      <c r="H375" s="56">
        <f t="shared" si="22"/>
        <v>2663.5932584360271</v>
      </c>
      <c r="I375" s="56">
        <f t="shared" si="23"/>
        <v>-8.5571983555673903</v>
      </c>
      <c r="J375" s="56">
        <f t="shared" si="24"/>
        <v>136900.74298303577</v>
      </c>
      <c r="K375" s="56">
        <f t="shared" si="25"/>
        <v>494037.72092249535</v>
      </c>
      <c r="T375" s="83"/>
    </row>
    <row r="376" spans="2:20" x14ac:dyDescent="0.2">
      <c r="B376" s="83"/>
      <c r="C376" s="56">
        <v>337</v>
      </c>
      <c r="D376" s="56">
        <v>19215.224916359275</v>
      </c>
      <c r="E376" s="56">
        <v>4.2346130433718976</v>
      </c>
      <c r="F376" s="56">
        <v>17179.906935910574</v>
      </c>
      <c r="G376" s="56">
        <v>17.149575019670408</v>
      </c>
      <c r="H376" s="56">
        <f t="shared" si="22"/>
        <v>2035.3179804487008</v>
      </c>
      <c r="I376" s="56">
        <f t="shared" si="23"/>
        <v>-12.91496197629851</v>
      </c>
      <c r="J376" s="56">
        <f t="shared" si="24"/>
        <v>156199.38579227822</v>
      </c>
      <c r="K376" s="56">
        <f t="shared" si="25"/>
        <v>693224.08867891645</v>
      </c>
      <c r="T376" s="83"/>
    </row>
    <row r="377" spans="2:20" x14ac:dyDescent="0.2">
      <c r="B377" s="83"/>
      <c r="C377" s="56">
        <v>338</v>
      </c>
      <c r="D377" s="56">
        <v>10218.397768166971</v>
      </c>
      <c r="E377" s="56">
        <v>2.7621128772011718</v>
      </c>
      <c r="F377" s="56">
        <v>20595.419613215246</v>
      </c>
      <c r="G377" s="56">
        <v>27.213388907953085</v>
      </c>
      <c r="H377" s="56">
        <f t="shared" si="22"/>
        <v>-10377.021845048275</v>
      </c>
      <c r="I377" s="56">
        <f t="shared" si="23"/>
        <v>-24.451276030751913</v>
      </c>
      <c r="J377" s="56">
        <f t="shared" si="24"/>
        <v>104199.36605701438</v>
      </c>
      <c r="K377" s="56">
        <f t="shared" si="25"/>
        <v>1106692.0025098335</v>
      </c>
      <c r="T377" s="83"/>
    </row>
    <row r="378" spans="2:20" x14ac:dyDescent="0.2">
      <c r="B378" s="83"/>
      <c r="C378" s="56">
        <v>339</v>
      </c>
      <c r="D378" s="56">
        <v>22642.718885232243</v>
      </c>
      <c r="E378" s="56">
        <v>4.2259567308697052</v>
      </c>
      <c r="F378" s="56">
        <v>26340.058780139752</v>
      </c>
      <c r="G378" s="56">
        <v>25.014947188392352</v>
      </c>
      <c r="H378" s="56">
        <f t="shared" si="22"/>
        <v>-3697.339894907509</v>
      </c>
      <c r="I378" s="56">
        <f t="shared" si="23"/>
        <v>-20.788990457522647</v>
      </c>
      <c r="J378" s="56">
        <f t="shared" si="24"/>
        <v>152413.31273431442</v>
      </c>
      <c r="K378" s="56">
        <f t="shared" si="25"/>
        <v>1009879.1135518251</v>
      </c>
      <c r="T378" s="83"/>
    </row>
    <row r="379" spans="2:20" x14ac:dyDescent="0.2">
      <c r="B379" s="83"/>
      <c r="C379" s="56">
        <v>340</v>
      </c>
      <c r="D379" s="56">
        <v>16800.897255498341</v>
      </c>
      <c r="E379" s="56">
        <v>3.5146606651335293</v>
      </c>
      <c r="F379" s="56">
        <v>10235.808507321626</v>
      </c>
      <c r="G379" s="56">
        <v>10.105277062670979</v>
      </c>
      <c r="H379" s="56">
        <f t="shared" si="22"/>
        <v>6565.0887481767149</v>
      </c>
      <c r="I379" s="56">
        <f t="shared" si="23"/>
        <v>-6.590616397537449</v>
      </c>
      <c r="J379" s="56">
        <f t="shared" si="24"/>
        <v>128790.40613699297</v>
      </c>
      <c r="K379" s="56">
        <f t="shared" si="25"/>
        <v>408365.18853676098</v>
      </c>
      <c r="T379" s="83"/>
    </row>
    <row r="380" spans="2:20" x14ac:dyDescent="0.2">
      <c r="B380" s="83"/>
      <c r="C380" s="56">
        <v>341</v>
      </c>
      <c r="D380" s="56">
        <v>13453.461858376229</v>
      </c>
      <c r="E380" s="56">
        <v>2.2463179213108955</v>
      </c>
      <c r="F380" s="56">
        <v>19359.495390557178</v>
      </c>
      <c r="G380" s="56">
        <v>19.606876345063888</v>
      </c>
      <c r="H380" s="56">
        <f t="shared" si="22"/>
        <v>-5906.0335321809489</v>
      </c>
      <c r="I380" s="56">
        <f t="shared" si="23"/>
        <v>-17.360558423752991</v>
      </c>
      <c r="J380" s="56">
        <f t="shared" si="24"/>
        <v>79598.011714006294</v>
      </c>
      <c r="K380" s="56">
        <f t="shared" si="25"/>
        <v>792835.75032736931</v>
      </c>
      <c r="T380" s="83"/>
    </row>
    <row r="381" spans="2:20" x14ac:dyDescent="0.2">
      <c r="B381" s="83"/>
      <c r="C381" s="56">
        <v>342</v>
      </c>
      <c r="D381" s="56">
        <v>20102.77451945272</v>
      </c>
      <c r="E381" s="56">
        <v>4.4206997314634267</v>
      </c>
      <c r="F381" s="56">
        <v>12149.06754068832</v>
      </c>
      <c r="G381" s="56">
        <v>12.615865986412883</v>
      </c>
      <c r="H381" s="56">
        <f t="shared" si="22"/>
        <v>7953.7069787643995</v>
      </c>
      <c r="I381" s="56">
        <f t="shared" si="23"/>
        <v>-8.1951662549494557</v>
      </c>
      <c r="J381" s="56">
        <f t="shared" si="24"/>
        <v>163020.29115668827</v>
      </c>
      <c r="K381" s="56">
        <f t="shared" si="25"/>
        <v>510450.56508047896</v>
      </c>
      <c r="T381" s="83"/>
    </row>
    <row r="382" spans="2:20" x14ac:dyDescent="0.2">
      <c r="B382" s="83"/>
      <c r="C382" s="56">
        <v>343</v>
      </c>
      <c r="D382" s="56">
        <v>17320.598860740814</v>
      </c>
      <c r="E382" s="56">
        <v>3.3957898499487755</v>
      </c>
      <c r="F382" s="56">
        <v>16873.967194100132</v>
      </c>
      <c r="G382" s="56">
        <v>16.368842438001369</v>
      </c>
      <c r="H382" s="56">
        <f t="shared" si="22"/>
        <v>446.63166664068194</v>
      </c>
      <c r="I382" s="56">
        <f t="shared" si="23"/>
        <v>-12.973052588052594</v>
      </c>
      <c r="J382" s="56">
        <f t="shared" si="24"/>
        <v>123346.59988353727</v>
      </c>
      <c r="K382" s="56">
        <f t="shared" si="25"/>
        <v>661188.96195766854</v>
      </c>
      <c r="T382" s="83"/>
    </row>
    <row r="383" spans="2:20" x14ac:dyDescent="0.2">
      <c r="B383" s="83"/>
      <c r="C383" s="56">
        <v>344</v>
      </c>
      <c r="D383" s="56">
        <v>22121.412726142546</v>
      </c>
      <c r="E383" s="56">
        <v>4.4687447166446441</v>
      </c>
      <c r="F383" s="56">
        <v>15527.98018171367</v>
      </c>
      <c r="G383" s="56">
        <v>15.484938341265339</v>
      </c>
      <c r="H383" s="56">
        <f t="shared" si="22"/>
        <v>6593.4325444288752</v>
      </c>
      <c r="I383" s="56">
        <f t="shared" si="23"/>
        <v>-11.016193624620694</v>
      </c>
      <c r="J383" s="56">
        <f t="shared" si="24"/>
        <v>162991.86841614521</v>
      </c>
      <c r="K383" s="56">
        <f t="shared" si="25"/>
        <v>625920.10566686175</v>
      </c>
      <c r="T383" s="83"/>
    </row>
    <row r="384" spans="2:20" x14ac:dyDescent="0.2">
      <c r="B384" s="83"/>
      <c r="C384" s="56">
        <v>345</v>
      </c>
      <c r="D384" s="56">
        <v>14398.712721724514</v>
      </c>
      <c r="E384" s="56">
        <v>2.9903795479500785</v>
      </c>
      <c r="F384" s="56">
        <v>17286.454874731397</v>
      </c>
      <c r="G384" s="56">
        <v>19.012659121440191</v>
      </c>
      <c r="H384" s="56">
        <f t="shared" si="22"/>
        <v>-2887.7421530068823</v>
      </c>
      <c r="I384" s="56">
        <f t="shared" si="23"/>
        <v>-16.022279573490113</v>
      </c>
      <c r="J384" s="56">
        <f t="shared" si="24"/>
        <v>109474.76967255955</v>
      </c>
      <c r="K384" s="56">
        <f t="shared" si="25"/>
        <v>770293.93657180713</v>
      </c>
      <c r="T384" s="83"/>
    </row>
    <row r="385" spans="2:20" x14ac:dyDescent="0.2">
      <c r="B385" s="83"/>
      <c r="C385" s="56">
        <v>346</v>
      </c>
      <c r="D385" s="56">
        <v>9281.6661305217749</v>
      </c>
      <c r="E385" s="56">
        <v>1.8665677294423939</v>
      </c>
      <c r="F385" s="56">
        <v>16209.092467848162</v>
      </c>
      <c r="G385" s="56">
        <v>18.986773181845276</v>
      </c>
      <c r="H385" s="56">
        <f t="shared" si="22"/>
        <v>-6927.4263373263875</v>
      </c>
      <c r="I385" s="56">
        <f t="shared" si="23"/>
        <v>-17.120205452402882</v>
      </c>
      <c r="J385" s="56">
        <f t="shared" si="24"/>
        <v>68039.035493899952</v>
      </c>
      <c r="K385" s="56">
        <f t="shared" si="25"/>
        <v>770298.99981691048</v>
      </c>
      <c r="T385" s="83"/>
    </row>
    <row r="386" spans="2:20" x14ac:dyDescent="0.2">
      <c r="B386" s="83"/>
      <c r="C386" s="56">
        <v>347</v>
      </c>
      <c r="D386" s="56">
        <v>12829.383142964671</v>
      </c>
      <c r="E386" s="56">
        <v>2.2823730610029473</v>
      </c>
      <c r="F386" s="56">
        <v>15161.910115176461</v>
      </c>
      <c r="G386" s="56">
        <v>13.414665573412057</v>
      </c>
      <c r="H386" s="56">
        <f t="shared" si="22"/>
        <v>-2332.5269722117901</v>
      </c>
      <c r="I386" s="56">
        <f t="shared" si="23"/>
        <v>-11.132292512409109</v>
      </c>
      <c r="J386" s="56">
        <f t="shared" si="24"/>
        <v>81715.638536021419</v>
      </c>
      <c r="K386" s="56">
        <f t="shared" si="25"/>
        <v>540527.1965978446</v>
      </c>
      <c r="T386" s="83"/>
    </row>
    <row r="387" spans="2:20" x14ac:dyDescent="0.2">
      <c r="B387" s="83"/>
      <c r="C387" s="56">
        <v>348</v>
      </c>
      <c r="D387" s="56">
        <v>4520.9861960847802</v>
      </c>
      <c r="E387" s="56">
        <v>0.88003112248711779</v>
      </c>
      <c r="F387" s="56">
        <v>19526.76444036865</v>
      </c>
      <c r="G387" s="56">
        <v>17.438563002205349</v>
      </c>
      <c r="H387" s="56">
        <f t="shared" si="22"/>
        <v>-15005.778244283869</v>
      </c>
      <c r="I387" s="56">
        <f t="shared" si="23"/>
        <v>-16.558531879718231</v>
      </c>
      <c r="J387" s="56">
        <f t="shared" si="24"/>
        <v>31933.423021821585</v>
      </c>
      <c r="K387" s="56">
        <f t="shared" si="25"/>
        <v>702848.26936298574</v>
      </c>
      <c r="T387" s="83"/>
    </row>
    <row r="388" spans="2:20" x14ac:dyDescent="0.2">
      <c r="B388" s="83"/>
      <c r="C388" s="56">
        <v>349</v>
      </c>
      <c r="D388" s="56">
        <v>13387.586746360319</v>
      </c>
      <c r="E388" s="56">
        <v>2.7439241315595062</v>
      </c>
      <c r="F388" s="56">
        <v>19266.313916135397</v>
      </c>
      <c r="G388" s="56">
        <v>16.979893646381665</v>
      </c>
      <c r="H388" s="56">
        <f t="shared" si="22"/>
        <v>-5878.7271697750784</v>
      </c>
      <c r="I388" s="56">
        <f t="shared" si="23"/>
        <v>-14.235969514822159</v>
      </c>
      <c r="J388" s="56">
        <f t="shared" si="24"/>
        <v>100276.72647936066</v>
      </c>
      <c r="K388" s="56">
        <f t="shared" si="25"/>
        <v>684108.80049157876</v>
      </c>
      <c r="T388" s="83"/>
    </row>
    <row r="389" spans="2:20" x14ac:dyDescent="0.2">
      <c r="B389" s="83"/>
      <c r="C389" s="56">
        <v>350</v>
      </c>
      <c r="D389" s="56">
        <v>13895.89751477501</v>
      </c>
      <c r="E389" s="56">
        <v>2.7113416916641881</v>
      </c>
      <c r="F389" s="56">
        <v>12209.975064784237</v>
      </c>
      <c r="G389" s="56">
        <v>10.525373422936831</v>
      </c>
      <c r="H389" s="56">
        <f t="shared" si="22"/>
        <v>1685.9224499907723</v>
      </c>
      <c r="I389" s="56">
        <f t="shared" si="23"/>
        <v>-7.8140317312726424</v>
      </c>
      <c r="J389" s="56">
        <f t="shared" si="24"/>
        <v>98418.720720722311</v>
      </c>
      <c r="K389" s="56">
        <f t="shared" si="25"/>
        <v>423793.09360695106</v>
      </c>
      <c r="T389" s="83"/>
    </row>
    <row r="390" spans="2:20" x14ac:dyDescent="0.2">
      <c r="B390" s="83"/>
      <c r="C390" s="56">
        <v>351</v>
      </c>
      <c r="D390" s="56">
        <v>10937.127793104071</v>
      </c>
      <c r="E390" s="56">
        <v>3.1139270274859356</v>
      </c>
      <c r="F390" s="56">
        <v>20110.769411344972</v>
      </c>
      <c r="G390" s="56">
        <v>23.288574981264915</v>
      </c>
      <c r="H390" s="56">
        <f t="shared" si="22"/>
        <v>-9173.6416182409012</v>
      </c>
      <c r="I390" s="56">
        <f t="shared" si="23"/>
        <v>-20.17464795377898</v>
      </c>
      <c r="J390" s="56">
        <f t="shared" si="24"/>
        <v>118054.18539347334</v>
      </c>
      <c r="K390" s="56">
        <f t="shared" si="25"/>
        <v>944595.1606125728</v>
      </c>
      <c r="T390" s="83"/>
    </row>
    <row r="391" spans="2:20" x14ac:dyDescent="0.2">
      <c r="B391" s="83"/>
      <c r="C391" s="56">
        <v>352</v>
      </c>
      <c r="D391" s="56">
        <v>13164.260348764681</v>
      </c>
      <c r="E391" s="56">
        <v>2.2899285873758064</v>
      </c>
      <c r="F391" s="56">
        <v>10719.045417980597</v>
      </c>
      <c r="G391" s="56">
        <v>8.3868437045688324</v>
      </c>
      <c r="H391" s="56">
        <f t="shared" si="22"/>
        <v>2445.2149307840846</v>
      </c>
      <c r="I391" s="56">
        <f t="shared" si="23"/>
        <v>-6.096915117193026</v>
      </c>
      <c r="J391" s="56">
        <f t="shared" si="24"/>
        <v>81693.741454690724</v>
      </c>
      <c r="K391" s="56">
        <f t="shared" si="25"/>
        <v>336697.56820007873</v>
      </c>
      <c r="T391" s="83"/>
    </row>
    <row r="392" spans="2:20" x14ac:dyDescent="0.2">
      <c r="B392" s="83"/>
      <c r="C392" s="56">
        <v>353</v>
      </c>
      <c r="D392" s="56">
        <v>13917.722729269279</v>
      </c>
      <c r="E392" s="56">
        <v>3.8394514262419279</v>
      </c>
      <c r="F392" s="56">
        <v>10972.283401807787</v>
      </c>
      <c r="G392" s="56">
        <v>11.857658515262306</v>
      </c>
      <c r="H392" s="56">
        <f t="shared" si="22"/>
        <v>2945.4393274614922</v>
      </c>
      <c r="I392" s="56">
        <f t="shared" si="23"/>
        <v>-8.0182070890203789</v>
      </c>
      <c r="J392" s="56">
        <f t="shared" si="24"/>
        <v>145127.71315137635</v>
      </c>
      <c r="K392" s="56">
        <f t="shared" si="25"/>
        <v>480219.36293441802</v>
      </c>
      <c r="T392" s="83"/>
    </row>
    <row r="393" spans="2:20" x14ac:dyDescent="0.2">
      <c r="B393" s="83"/>
      <c r="C393" s="56">
        <v>354</v>
      </c>
      <c r="D393" s="56">
        <v>21355.561945919406</v>
      </c>
      <c r="E393" s="56">
        <v>4.2750311115648421</v>
      </c>
      <c r="F393" s="56">
        <v>17408.49798047679</v>
      </c>
      <c r="G393" s="56">
        <v>15.735745714461169</v>
      </c>
      <c r="H393" s="56">
        <f t="shared" si="22"/>
        <v>3947.0639654426159</v>
      </c>
      <c r="I393" s="56">
        <f t="shared" si="23"/>
        <v>-11.460714602896328</v>
      </c>
      <c r="J393" s="56">
        <f t="shared" si="24"/>
        <v>155733.32681954259</v>
      </c>
      <c r="K393" s="56">
        <f t="shared" si="25"/>
        <v>634429.03249536268</v>
      </c>
      <c r="T393" s="83"/>
    </row>
    <row r="394" spans="2:20" x14ac:dyDescent="0.2">
      <c r="B394" s="83"/>
      <c r="C394" s="56">
        <v>355</v>
      </c>
      <c r="D394" s="56">
        <v>12561.505440380322</v>
      </c>
      <c r="E394" s="56">
        <v>3.3002182436874135</v>
      </c>
      <c r="F394" s="56">
        <v>15888.489150021896</v>
      </c>
      <c r="G394" s="56">
        <v>21.047341702641404</v>
      </c>
      <c r="H394" s="56">
        <f t="shared" si="22"/>
        <v>-3326.983709641574</v>
      </c>
      <c r="I394" s="56">
        <f t="shared" si="23"/>
        <v>-17.74712345895399</v>
      </c>
      <c r="J394" s="56">
        <f t="shared" si="24"/>
        <v>124146.73508612708</v>
      </c>
      <c r="K394" s="56">
        <f t="shared" si="25"/>
        <v>855976.59354019561</v>
      </c>
      <c r="T394" s="83"/>
    </row>
    <row r="395" spans="2:20" x14ac:dyDescent="0.2">
      <c r="B395" s="83"/>
      <c r="C395" s="56">
        <v>356</v>
      </c>
      <c r="D395" s="56">
        <v>12112.658189447449</v>
      </c>
      <c r="E395" s="56">
        <v>2.4106782587553139</v>
      </c>
      <c r="F395" s="56">
        <v>14593.45225236881</v>
      </c>
      <c r="G395" s="56">
        <v>15.023590446638988</v>
      </c>
      <c r="H395" s="56">
        <f t="shared" si="22"/>
        <v>-2480.7940629213608</v>
      </c>
      <c r="I395" s="56">
        <f t="shared" si="23"/>
        <v>-12.612912187883673</v>
      </c>
      <c r="J395" s="56">
        <f t="shared" si="24"/>
        <v>87747.278001232669</v>
      </c>
      <c r="K395" s="56">
        <f t="shared" si="25"/>
        <v>607743.75840920466</v>
      </c>
      <c r="T395" s="83"/>
    </row>
    <row r="396" spans="2:20" x14ac:dyDescent="0.2">
      <c r="B396" s="83"/>
      <c r="C396" s="56">
        <v>357</v>
      </c>
      <c r="D396" s="56">
        <v>15537.300574418043</v>
      </c>
      <c r="E396" s="56">
        <v>3.23798903023595</v>
      </c>
      <c r="F396" s="56">
        <v>23924.617486496565</v>
      </c>
      <c r="G396" s="56">
        <v>24.210913958477764</v>
      </c>
      <c r="H396" s="56">
        <f t="shared" si="22"/>
        <v>-8387.3169120785224</v>
      </c>
      <c r="I396" s="56">
        <f t="shared" si="23"/>
        <v>-20.972924928241813</v>
      </c>
      <c r="J396" s="56">
        <f t="shared" si="24"/>
        <v>118593.15701407596</v>
      </c>
      <c r="K396" s="56">
        <f t="shared" si="25"/>
        <v>978988.28232948633</v>
      </c>
      <c r="T396" s="83"/>
    </row>
    <row r="397" spans="2:20" x14ac:dyDescent="0.2">
      <c r="B397" s="83"/>
      <c r="C397" s="56">
        <v>358</v>
      </c>
      <c r="D397" s="56">
        <v>20365.891364262294</v>
      </c>
      <c r="E397" s="56">
        <v>3.2722308357960888</v>
      </c>
      <c r="F397" s="56">
        <v>19995.358759944487</v>
      </c>
      <c r="G397" s="56">
        <v>17.361669341934913</v>
      </c>
      <c r="H397" s="56">
        <f t="shared" si="22"/>
        <v>370.53260431780654</v>
      </c>
      <c r="I397" s="56">
        <f t="shared" si="23"/>
        <v>-14.089438506138825</v>
      </c>
      <c r="J397" s="56">
        <f t="shared" si="24"/>
        <v>115182.9987777549</v>
      </c>
      <c r="K397" s="56">
        <f t="shared" si="25"/>
        <v>699194.43206036743</v>
      </c>
      <c r="T397" s="83"/>
    </row>
    <row r="398" spans="2:20" x14ac:dyDescent="0.2">
      <c r="B398" s="83"/>
      <c r="C398" s="56">
        <v>359</v>
      </c>
      <c r="D398" s="56">
        <v>16986.112583689275</v>
      </c>
      <c r="E398" s="56">
        <v>3.3085841507774028</v>
      </c>
      <c r="F398" s="56">
        <v>19046.223705740755</v>
      </c>
      <c r="G398" s="56">
        <v>17.758877580038916</v>
      </c>
      <c r="H398" s="56">
        <f t="shared" si="22"/>
        <v>-2060.1111220514795</v>
      </c>
      <c r="I398" s="56">
        <f t="shared" si="23"/>
        <v>-14.450293429261514</v>
      </c>
      <c r="J398" s="56">
        <f t="shared" si="24"/>
        <v>120068.67727811384</v>
      </c>
      <c r="K398" s="56">
        <f t="shared" si="25"/>
        <v>716597.52116979135</v>
      </c>
      <c r="T398" s="83"/>
    </row>
    <row r="399" spans="2:20" x14ac:dyDescent="0.2">
      <c r="B399" s="83"/>
      <c r="C399" s="56">
        <v>360</v>
      </c>
      <c r="D399" s="56">
        <v>14751.461866008192</v>
      </c>
      <c r="E399" s="56">
        <v>3.0506163726258091</v>
      </c>
      <c r="F399" s="56">
        <v>15186.729556968899</v>
      </c>
      <c r="G399" s="56">
        <v>14.278590775578961</v>
      </c>
      <c r="H399" s="56">
        <f t="shared" si="22"/>
        <v>-435.26769096070711</v>
      </c>
      <c r="I399" s="56">
        <f t="shared" si="23"/>
        <v>-11.227974402953151</v>
      </c>
      <c r="J399" s="56">
        <f t="shared" si="24"/>
        <v>111617.27075364333</v>
      </c>
      <c r="K399" s="56">
        <f t="shared" si="25"/>
        <v>576289.614730614</v>
      </c>
      <c r="T399" s="83"/>
    </row>
    <row r="400" spans="2:20" x14ac:dyDescent="0.2">
      <c r="B400" s="83"/>
      <c r="C400" s="56">
        <v>361</v>
      </c>
      <c r="D400" s="56">
        <v>13191.8392442081</v>
      </c>
      <c r="E400" s="56">
        <v>2.7845998581820028</v>
      </c>
      <c r="F400" s="56">
        <v>19386.256530931219</v>
      </c>
      <c r="G400" s="56">
        <v>21.881416661764398</v>
      </c>
      <c r="H400" s="56">
        <f t="shared" si="22"/>
        <v>-6194.4172867231191</v>
      </c>
      <c r="I400" s="56">
        <f t="shared" si="23"/>
        <v>-19.096816803582396</v>
      </c>
      <c r="J400" s="56">
        <f t="shared" si="24"/>
        <v>102157.42528112319</v>
      </c>
      <c r="K400" s="56">
        <f t="shared" si="25"/>
        <v>887029.54726599716</v>
      </c>
      <c r="T400" s="83"/>
    </row>
    <row r="401" spans="2:20" x14ac:dyDescent="0.2">
      <c r="B401" s="83"/>
      <c r="C401" s="56">
        <v>362</v>
      </c>
      <c r="D401" s="56">
        <v>19641.497139584695</v>
      </c>
      <c r="E401" s="56">
        <v>3.9658725185162922</v>
      </c>
      <c r="F401" s="56">
        <v>22052.459853924305</v>
      </c>
      <c r="G401" s="56">
        <v>20.716081122891438</v>
      </c>
      <c r="H401" s="56">
        <f t="shared" si="22"/>
        <v>-2410.9627143396101</v>
      </c>
      <c r="I401" s="56">
        <f t="shared" si="23"/>
        <v>-16.750208604375146</v>
      </c>
      <c r="J401" s="56">
        <f t="shared" si="24"/>
        <v>144640.8060674342</v>
      </c>
      <c r="K401" s="56">
        <f t="shared" si="25"/>
        <v>836090.48458073055</v>
      </c>
      <c r="T401" s="83"/>
    </row>
    <row r="402" spans="2:20" x14ac:dyDescent="0.2">
      <c r="B402" s="83"/>
      <c r="C402" s="56">
        <v>363</v>
      </c>
      <c r="D402" s="56">
        <v>14424.259861090373</v>
      </c>
      <c r="E402" s="56">
        <v>2.9733406566893805</v>
      </c>
      <c r="F402" s="56">
        <v>17603.608036500496</v>
      </c>
      <c r="G402" s="56">
        <v>16.448145937044824</v>
      </c>
      <c r="H402" s="56">
        <f t="shared" si="22"/>
        <v>-3179.3481754101231</v>
      </c>
      <c r="I402" s="56">
        <f t="shared" si="23"/>
        <v>-13.474805280355444</v>
      </c>
      <c r="J402" s="56">
        <f t="shared" si="24"/>
        <v>108743.40350161053</v>
      </c>
      <c r="K402" s="56">
        <f t="shared" si="25"/>
        <v>663744.38925964432</v>
      </c>
      <c r="T402" s="83"/>
    </row>
    <row r="403" spans="2:20" x14ac:dyDescent="0.2">
      <c r="B403" s="83"/>
      <c r="C403" s="56">
        <v>364</v>
      </c>
      <c r="D403" s="56">
        <v>18853.785310740317</v>
      </c>
      <c r="E403" s="56">
        <v>4.1096982861244911</v>
      </c>
      <c r="F403" s="56">
        <v>9433.8891136300881</v>
      </c>
      <c r="G403" s="56">
        <v>8.383707959985637</v>
      </c>
      <c r="H403" s="56">
        <f t="shared" si="22"/>
        <v>9419.896197110229</v>
      </c>
      <c r="I403" s="56">
        <f t="shared" si="23"/>
        <v>-4.2740096738611459</v>
      </c>
      <c r="J403" s="56">
        <f t="shared" si="24"/>
        <v>151386.35649368059</v>
      </c>
      <c r="K403" s="56">
        <f t="shared" si="25"/>
        <v>337852.82942081493</v>
      </c>
      <c r="T403" s="83"/>
    </row>
    <row r="404" spans="2:20" x14ac:dyDescent="0.2">
      <c r="B404" s="83"/>
      <c r="C404" s="56">
        <v>365</v>
      </c>
      <c r="D404" s="56">
        <v>17679.64450682859</v>
      </c>
      <c r="E404" s="56">
        <v>4.1911101370513801</v>
      </c>
      <c r="F404" s="56">
        <v>18735.551023475691</v>
      </c>
      <c r="G404" s="56">
        <v>22.896186500626907</v>
      </c>
      <c r="H404" s="56">
        <f t="shared" si="22"/>
        <v>-1055.9065166471009</v>
      </c>
      <c r="I404" s="56">
        <f t="shared" si="23"/>
        <v>-18.705076363575529</v>
      </c>
      <c r="J404" s="56">
        <f t="shared" si="24"/>
        <v>155932.90181038776</v>
      </c>
      <c r="K404" s="56">
        <f t="shared" si="25"/>
        <v>929716.07857849333</v>
      </c>
      <c r="T404" s="83"/>
    </row>
    <row r="405" spans="2:20" x14ac:dyDescent="0.2">
      <c r="B405" s="83"/>
      <c r="C405" s="56">
        <v>366</v>
      </c>
      <c r="D405" s="56">
        <v>15341.262871633531</v>
      </c>
      <c r="E405" s="56">
        <v>3.8026513890737847</v>
      </c>
      <c r="F405" s="56">
        <v>14291.876974788731</v>
      </c>
      <c r="G405" s="56">
        <v>15.105724440943691</v>
      </c>
      <c r="H405" s="56">
        <f t="shared" si="22"/>
        <v>1049.3858968448003</v>
      </c>
      <c r="I405" s="56">
        <f t="shared" si="23"/>
        <v>-11.303073051869905</v>
      </c>
      <c r="J405" s="56">
        <f t="shared" si="24"/>
        <v>142179.7682693589</v>
      </c>
      <c r="K405" s="56">
        <f t="shared" si="25"/>
        <v>611447.65226686269</v>
      </c>
      <c r="T405" s="83"/>
    </row>
    <row r="406" spans="2:20" x14ac:dyDescent="0.2">
      <c r="B406" s="83"/>
      <c r="C406" s="56">
        <v>367</v>
      </c>
      <c r="D406" s="56">
        <v>17877.058800826115</v>
      </c>
      <c r="E406" s="56">
        <v>3.6573862107516817</v>
      </c>
      <c r="F406" s="56">
        <v>16173.286200519151</v>
      </c>
      <c r="G406" s="56">
        <v>15.276877162699694</v>
      </c>
      <c r="H406" s="56">
        <f t="shared" si="22"/>
        <v>1703.7726003069638</v>
      </c>
      <c r="I406" s="56">
        <f t="shared" si="23"/>
        <v>-11.619490951948013</v>
      </c>
      <c r="J406" s="56">
        <f t="shared" si="24"/>
        <v>133626.50759335156</v>
      </c>
      <c r="K406" s="56">
        <f t="shared" si="25"/>
        <v>616656.07338715298</v>
      </c>
      <c r="T406" s="83"/>
    </row>
    <row r="407" spans="2:20" x14ac:dyDescent="0.2">
      <c r="B407" s="83"/>
      <c r="C407" s="56">
        <v>368</v>
      </c>
      <c r="D407" s="56">
        <v>14295.692939496199</v>
      </c>
      <c r="E407" s="56">
        <v>2.9592331690873408</v>
      </c>
      <c r="F407" s="56">
        <v>21159.244840763553</v>
      </c>
      <c r="G407" s="56">
        <v>25.253133243632831</v>
      </c>
      <c r="H407" s="56">
        <f t="shared" si="22"/>
        <v>-6863.551901267354</v>
      </c>
      <c r="I407" s="56">
        <f t="shared" si="23"/>
        <v>-22.29390007454549</v>
      </c>
      <c r="J407" s="56">
        <f t="shared" si="24"/>
        <v>108287.5818567778</v>
      </c>
      <c r="K407" s="56">
        <f t="shared" si="25"/>
        <v>1024926.5466434829</v>
      </c>
      <c r="T407" s="83"/>
    </row>
    <row r="408" spans="2:20" x14ac:dyDescent="0.2">
      <c r="B408" s="83"/>
      <c r="C408" s="56">
        <v>369</v>
      </c>
      <c r="D408" s="56">
        <v>13299.350415264471</v>
      </c>
      <c r="E408" s="56">
        <v>3.0190991234308004</v>
      </c>
      <c r="F408" s="56">
        <v>16433.07185615251</v>
      </c>
      <c r="G408" s="56">
        <v>17.632875203017196</v>
      </c>
      <c r="H408" s="56">
        <f t="shared" si="22"/>
        <v>-3133.7214408880391</v>
      </c>
      <c r="I408" s="56">
        <f t="shared" si="23"/>
        <v>-14.613776079586396</v>
      </c>
      <c r="J408" s="56">
        <f t="shared" si="24"/>
        <v>111763.811673733</v>
      </c>
      <c r="K408" s="56">
        <f t="shared" si="25"/>
        <v>713991.15055363183</v>
      </c>
      <c r="T408" s="83"/>
    </row>
    <row r="409" spans="2:20" x14ac:dyDescent="0.2">
      <c r="B409" s="83"/>
      <c r="C409" s="56">
        <v>370</v>
      </c>
      <c r="D409" s="56">
        <v>13156.976574721803</v>
      </c>
      <c r="E409" s="56">
        <v>3.2004853927721162</v>
      </c>
      <c r="F409" s="56">
        <v>19394.971039834527</v>
      </c>
      <c r="G409" s="56">
        <v>23.214837472297056</v>
      </c>
      <c r="H409" s="56">
        <f t="shared" si="22"/>
        <v>-6237.9944651127244</v>
      </c>
      <c r="I409" s="56">
        <f t="shared" si="23"/>
        <v>-20.01435207952494</v>
      </c>
      <c r="J409" s="56">
        <f t="shared" si="24"/>
        <v>119419.93033547033</v>
      </c>
      <c r="K409" s="56">
        <f t="shared" si="25"/>
        <v>942256.45641259872</v>
      </c>
      <c r="T409" s="83"/>
    </row>
    <row r="410" spans="2:20" x14ac:dyDescent="0.2">
      <c r="B410" s="83"/>
      <c r="C410" s="56">
        <v>371</v>
      </c>
      <c r="D410" s="56">
        <v>19196.608799265061</v>
      </c>
      <c r="E410" s="56">
        <v>4.5181339723384051</v>
      </c>
      <c r="F410" s="56">
        <v>10341.028851879269</v>
      </c>
      <c r="G410" s="56">
        <v>9.8738926562596028</v>
      </c>
      <c r="H410" s="56">
        <f t="shared" si="22"/>
        <v>8855.5799473857915</v>
      </c>
      <c r="I410" s="56">
        <f t="shared" si="23"/>
        <v>-5.3557586839211977</v>
      </c>
      <c r="J410" s="56">
        <f t="shared" si="24"/>
        <v>167962.57287088103</v>
      </c>
      <c r="K410" s="56">
        <f t="shared" si="25"/>
        <v>398675.10054101847</v>
      </c>
      <c r="T410" s="83"/>
    </row>
    <row r="411" spans="2:20" x14ac:dyDescent="0.2">
      <c r="B411" s="83"/>
      <c r="C411" s="56">
        <v>372</v>
      </c>
      <c r="D411" s="56">
        <v>18149.824298860764</v>
      </c>
      <c r="E411" s="56">
        <v>3.9306011894115827</v>
      </c>
      <c r="F411" s="56">
        <v>21327.245995133566</v>
      </c>
      <c r="G411" s="56">
        <v>23.381870420336703</v>
      </c>
      <c r="H411" s="56">
        <f t="shared" si="22"/>
        <v>-3177.4216962728024</v>
      </c>
      <c r="I411" s="56">
        <f t="shared" si="23"/>
        <v>-19.451269230925121</v>
      </c>
      <c r="J411" s="56">
        <f t="shared" si="24"/>
        <v>144671.39937132463</v>
      </c>
      <c r="K411" s="56">
        <f t="shared" si="25"/>
        <v>947243.35429689405</v>
      </c>
      <c r="T411" s="83"/>
    </row>
    <row r="412" spans="2:20" x14ac:dyDescent="0.2">
      <c r="B412" s="83"/>
      <c r="C412" s="56">
        <v>373</v>
      </c>
      <c r="D412" s="56">
        <v>10906.782272541564</v>
      </c>
      <c r="E412" s="56">
        <v>2.4018011235260754</v>
      </c>
      <c r="F412" s="56">
        <v>16045.360598138526</v>
      </c>
      <c r="G412" s="56">
        <v>18.730736150031859</v>
      </c>
      <c r="H412" s="56">
        <f t="shared" si="22"/>
        <v>-5138.5783255969618</v>
      </c>
      <c r="I412" s="56">
        <f t="shared" si="23"/>
        <v>-16.328935026505782</v>
      </c>
      <c r="J412" s="56">
        <f t="shared" si="24"/>
        <v>88585.427468402588</v>
      </c>
      <c r="K412" s="56">
        <f t="shared" si="25"/>
        <v>759856.65368078125</v>
      </c>
      <c r="T412" s="83"/>
    </row>
    <row r="413" spans="2:20" x14ac:dyDescent="0.2">
      <c r="B413" s="83"/>
      <c r="C413" s="56">
        <v>374</v>
      </c>
      <c r="D413" s="56">
        <v>21141.894202237145</v>
      </c>
      <c r="E413" s="56">
        <v>3.510930786146945</v>
      </c>
      <c r="F413" s="56">
        <v>11658.04802514127</v>
      </c>
      <c r="G413" s="56">
        <v>7.9169312065540103</v>
      </c>
      <c r="H413" s="56">
        <f t="shared" si="22"/>
        <v>9483.8461770958747</v>
      </c>
      <c r="I413" s="56">
        <f t="shared" si="23"/>
        <v>-4.4060004204070653</v>
      </c>
      <c r="J413" s="56">
        <f t="shared" si="24"/>
        <v>124294.90268311389</v>
      </c>
      <c r="K413" s="56">
        <f t="shared" si="25"/>
        <v>316292.91027515201</v>
      </c>
      <c r="T413" s="83"/>
    </row>
    <row r="414" spans="2:20" x14ac:dyDescent="0.2">
      <c r="B414" s="83"/>
      <c r="C414" s="56">
        <v>375</v>
      </c>
      <c r="D414" s="56">
        <v>8890.450852975835</v>
      </c>
      <c r="E414" s="56">
        <v>1.4438249707304103</v>
      </c>
      <c r="F414" s="56">
        <v>20199.945953197705</v>
      </c>
      <c r="G414" s="56">
        <v>21.664002846298239</v>
      </c>
      <c r="H414" s="56">
        <f t="shared" si="22"/>
        <v>-11309.49510022187</v>
      </c>
      <c r="I414" s="56">
        <f t="shared" si="23"/>
        <v>-20.220177875567828</v>
      </c>
      <c r="J414" s="56">
        <f t="shared" si="24"/>
        <v>50918.554734560676</v>
      </c>
      <c r="K414" s="56">
        <f t="shared" si="25"/>
        <v>877209.70795186062</v>
      </c>
      <c r="T414" s="83"/>
    </row>
    <row r="415" spans="2:20" x14ac:dyDescent="0.2">
      <c r="B415" s="83"/>
      <c r="C415" s="56">
        <v>376</v>
      </c>
      <c r="D415" s="56">
        <v>11825.320496938672</v>
      </c>
      <c r="E415" s="56">
        <v>2.5080137883062963</v>
      </c>
      <c r="F415" s="56">
        <v>15198.711745131704</v>
      </c>
      <c r="G415" s="56">
        <v>15.336564598508883</v>
      </c>
      <c r="H415" s="56">
        <f t="shared" si="22"/>
        <v>-3373.3912481930329</v>
      </c>
      <c r="I415" s="56">
        <f t="shared" si="23"/>
        <v>-12.828550810202586</v>
      </c>
      <c r="J415" s="56">
        <f t="shared" si="24"/>
        <v>92066.64266986135</v>
      </c>
      <c r="K415" s="56">
        <f t="shared" si="25"/>
        <v>620103.14018350025</v>
      </c>
      <c r="T415" s="83"/>
    </row>
    <row r="416" spans="2:20" x14ac:dyDescent="0.2">
      <c r="B416" s="83"/>
      <c r="C416" s="56">
        <v>377</v>
      </c>
      <c r="D416" s="56">
        <v>10497.208357990023</v>
      </c>
      <c r="E416" s="56">
        <v>1.890611238517041</v>
      </c>
      <c r="F416" s="56">
        <v>18046.560783741883</v>
      </c>
      <c r="G416" s="56">
        <v>16.375200390714244</v>
      </c>
      <c r="H416" s="56">
        <f t="shared" si="22"/>
        <v>-7549.3524257518602</v>
      </c>
      <c r="I416" s="56">
        <f t="shared" si="23"/>
        <v>-14.484589152197204</v>
      </c>
      <c r="J416" s="56">
        <f t="shared" si="24"/>
        <v>67819.471586339889</v>
      </c>
      <c r="K416" s="56">
        <f t="shared" si="25"/>
        <v>660279.74020120502</v>
      </c>
      <c r="T416" s="83"/>
    </row>
    <row r="417" spans="2:20" x14ac:dyDescent="0.2">
      <c r="B417" s="83"/>
      <c r="C417" s="56">
        <v>378</v>
      </c>
      <c r="D417" s="56">
        <v>13995.544313513708</v>
      </c>
      <c r="E417" s="56">
        <v>2.9452401109195163</v>
      </c>
      <c r="F417" s="56">
        <v>14397.410553419195</v>
      </c>
      <c r="G417" s="56">
        <v>14.140983282438722</v>
      </c>
      <c r="H417" s="56">
        <f t="shared" si="22"/>
        <v>-401.86623990548651</v>
      </c>
      <c r="I417" s="56">
        <f t="shared" si="23"/>
        <v>-11.195743171519204</v>
      </c>
      <c r="J417" s="56">
        <f t="shared" si="24"/>
        <v>108008.08204121634</v>
      </c>
      <c r="K417" s="56">
        <f t="shared" si="25"/>
        <v>571378.68093832245</v>
      </c>
      <c r="T417" s="83"/>
    </row>
    <row r="418" spans="2:20" x14ac:dyDescent="0.2">
      <c r="B418" s="83"/>
      <c r="C418" s="56">
        <v>379</v>
      </c>
      <c r="D418" s="56">
        <v>10688.107355913573</v>
      </c>
      <c r="E418" s="56">
        <v>2.1307007195460139</v>
      </c>
      <c r="F418" s="56">
        <v>11417.375957818123</v>
      </c>
      <c r="G418" s="56">
        <v>11.203675862028046</v>
      </c>
      <c r="H418" s="56">
        <f t="shared" si="22"/>
        <v>-729.26860190455045</v>
      </c>
      <c r="I418" s="56">
        <f t="shared" si="23"/>
        <v>-9.0729751424820329</v>
      </c>
      <c r="J418" s="56">
        <f t="shared" si="24"/>
        <v>77574.039250560512</v>
      </c>
      <c r="K418" s="56">
        <f t="shared" si="25"/>
        <v>452683.69295083167</v>
      </c>
      <c r="T418" s="83"/>
    </row>
    <row r="419" spans="2:20" x14ac:dyDescent="0.2">
      <c r="B419" s="83"/>
      <c r="C419" s="56">
        <v>380</v>
      </c>
      <c r="D419" s="56">
        <v>18231.934904133075</v>
      </c>
      <c r="E419" s="56">
        <v>3.0417329525937467</v>
      </c>
      <c r="F419" s="56">
        <v>17221.050648922828</v>
      </c>
      <c r="G419" s="56">
        <v>14.078832591489418</v>
      </c>
      <c r="H419" s="56">
        <f t="shared" si="22"/>
        <v>1010.8842552102469</v>
      </c>
      <c r="I419" s="56">
        <f t="shared" si="23"/>
        <v>-11.037099638895672</v>
      </c>
      <c r="J419" s="56">
        <f t="shared" si="24"/>
        <v>107768.81092411029</v>
      </c>
      <c r="K419" s="56">
        <f t="shared" si="25"/>
        <v>565980.51062093489</v>
      </c>
      <c r="T419" s="83"/>
    </row>
    <row r="420" spans="2:20" x14ac:dyDescent="0.2">
      <c r="B420" s="83"/>
      <c r="C420" s="56">
        <v>381</v>
      </c>
      <c r="D420" s="56">
        <v>16633.805711031051</v>
      </c>
      <c r="E420" s="56">
        <v>4.1418659401683371</v>
      </c>
      <c r="F420" s="56">
        <v>17234.803416059218</v>
      </c>
      <c r="G420" s="56">
        <v>17.658907942229149</v>
      </c>
      <c r="H420" s="56">
        <f t="shared" si="22"/>
        <v>-600.99770502816682</v>
      </c>
      <c r="I420" s="56">
        <f t="shared" si="23"/>
        <v>-13.517042002060812</v>
      </c>
      <c r="J420" s="56">
        <f t="shared" si="24"/>
        <v>154938.84899450216</v>
      </c>
      <c r="K420" s="56">
        <f t="shared" si="25"/>
        <v>714267.79918284109</v>
      </c>
      <c r="T420" s="83"/>
    </row>
    <row r="421" spans="2:20" x14ac:dyDescent="0.2">
      <c r="B421" s="83"/>
      <c r="C421" s="56">
        <v>382</v>
      </c>
      <c r="D421" s="56">
        <v>15727.416083538857</v>
      </c>
      <c r="E421" s="56">
        <v>3.6022215786568448</v>
      </c>
      <c r="F421" s="56">
        <v>18304.25867108376</v>
      </c>
      <c r="G421" s="56">
        <v>19.486866328707187</v>
      </c>
      <c r="H421" s="56">
        <f t="shared" si="22"/>
        <v>-2576.8425875449029</v>
      </c>
      <c r="I421" s="56">
        <f t="shared" si="23"/>
        <v>-15.884644750050342</v>
      </c>
      <c r="J421" s="56">
        <f t="shared" si="24"/>
        <v>133491.01059074228</v>
      </c>
      <c r="K421" s="56">
        <f t="shared" si="25"/>
        <v>788919.69212928275</v>
      </c>
      <c r="T421" s="83"/>
    </row>
    <row r="422" spans="2:20" x14ac:dyDescent="0.2">
      <c r="B422" s="83"/>
      <c r="C422" s="56">
        <v>383</v>
      </c>
      <c r="D422" s="56">
        <v>12058.533495858848</v>
      </c>
      <c r="E422" s="56">
        <v>2.7853892158475819</v>
      </c>
      <c r="F422" s="56">
        <v>14301.487798872609</v>
      </c>
      <c r="G422" s="56">
        <v>16.347990435557257</v>
      </c>
      <c r="H422" s="56">
        <f t="shared" si="22"/>
        <v>-2242.9543030137611</v>
      </c>
      <c r="I422" s="56">
        <f t="shared" si="23"/>
        <v>-13.562601219709675</v>
      </c>
      <c r="J422" s="56">
        <f t="shared" si="24"/>
        <v>103323.42938141138</v>
      </c>
      <c r="K422" s="56">
        <f t="shared" si="25"/>
        <v>662897.6680036512</v>
      </c>
      <c r="T422" s="83"/>
    </row>
    <row r="423" spans="2:20" x14ac:dyDescent="0.2">
      <c r="B423" s="83"/>
      <c r="C423" s="56">
        <v>384</v>
      </c>
      <c r="D423" s="56">
        <v>11826.469149925426</v>
      </c>
      <c r="E423" s="56">
        <v>2.9355786858362576</v>
      </c>
      <c r="F423" s="56">
        <v>15240.773204652891</v>
      </c>
      <c r="G423" s="56">
        <v>16.294992979652292</v>
      </c>
      <c r="H423" s="56">
        <f t="shared" si="22"/>
        <v>-3414.304054727465</v>
      </c>
      <c r="I423" s="56">
        <f t="shared" si="23"/>
        <v>-13.359414293816034</v>
      </c>
      <c r="J423" s="56">
        <f t="shared" si="24"/>
        <v>109776.94233215571</v>
      </c>
      <c r="K423" s="56">
        <f t="shared" si="25"/>
        <v>659763.01598446362</v>
      </c>
      <c r="T423" s="83"/>
    </row>
    <row r="424" spans="2:20" x14ac:dyDescent="0.2">
      <c r="B424" s="83"/>
      <c r="C424" s="56">
        <v>385</v>
      </c>
      <c r="D424" s="56">
        <v>10787.835928575316</v>
      </c>
      <c r="E424" s="56">
        <v>2.1488709199139175</v>
      </c>
      <c r="F424" s="56">
        <v>21421.487642383145</v>
      </c>
      <c r="G424" s="56">
        <v>22.463411802976196</v>
      </c>
      <c r="H424" s="56">
        <f t="shared" ref="H424:H487" si="26">IF($C424&lt;=No_of_iterations_PSA,D424-$F424,"")</f>
        <v>-10633.651713807829</v>
      </c>
      <c r="I424" s="56">
        <f t="shared" ref="I424:I487" si="27">IF($C424&lt;=No_of_iterations_PSA,E424-$G424,"")</f>
        <v>-20.314540883062278</v>
      </c>
      <c r="J424" s="56">
        <f t="shared" ref="J424:J487" si="28">IF($C424&lt;=No_of_iterations_PSA,E424*WTP-D424,"")</f>
        <v>78226.993057938816</v>
      </c>
      <c r="K424" s="56">
        <f t="shared" ref="K424:K487" si="29">IF($C424&lt;=No_of_iterations_PSA,G424*WTP-F424,"")</f>
        <v>909102.88288410287</v>
      </c>
      <c r="T424" s="83"/>
    </row>
    <row r="425" spans="2:20" x14ac:dyDescent="0.2">
      <c r="B425" s="83"/>
      <c r="C425" s="56">
        <v>386</v>
      </c>
      <c r="D425" s="56">
        <v>15897.690991164147</v>
      </c>
      <c r="E425" s="56">
        <v>2.8747798466624102</v>
      </c>
      <c r="F425" s="56">
        <v>17666.100315236999</v>
      </c>
      <c r="G425" s="56">
        <v>14.971853371029335</v>
      </c>
      <c r="H425" s="56">
        <f t="shared" si="26"/>
        <v>-1768.4093240728525</v>
      </c>
      <c r="I425" s="56">
        <f t="shared" si="27"/>
        <v>-12.097073524366925</v>
      </c>
      <c r="J425" s="56">
        <f t="shared" si="28"/>
        <v>103187.18937697954</v>
      </c>
      <c r="K425" s="56">
        <f t="shared" si="29"/>
        <v>602527.95372628223</v>
      </c>
      <c r="T425" s="83"/>
    </row>
    <row r="426" spans="2:20" x14ac:dyDescent="0.2">
      <c r="B426" s="83"/>
      <c r="C426" s="56">
        <v>387</v>
      </c>
      <c r="D426" s="56">
        <v>19146.139440512718</v>
      </c>
      <c r="E426" s="56">
        <v>3.7558997923290609</v>
      </c>
      <c r="F426" s="56">
        <v>9841.771123820572</v>
      </c>
      <c r="G426" s="56">
        <v>8.1112272207506351</v>
      </c>
      <c r="H426" s="56">
        <f t="shared" si="26"/>
        <v>9304.3683166921455</v>
      </c>
      <c r="I426" s="56">
        <f t="shared" si="27"/>
        <v>-4.3553274284215746</v>
      </c>
      <c r="J426" s="56">
        <f t="shared" si="28"/>
        <v>136438.2535569263</v>
      </c>
      <c r="K426" s="56">
        <f t="shared" si="29"/>
        <v>326157.70526855375</v>
      </c>
      <c r="T426" s="83"/>
    </row>
    <row r="427" spans="2:20" x14ac:dyDescent="0.2">
      <c r="B427" s="83"/>
      <c r="C427" s="56">
        <v>388</v>
      </c>
      <c r="D427" s="56">
        <v>16878.529897670822</v>
      </c>
      <c r="E427" s="56">
        <v>3.5895213956562064</v>
      </c>
      <c r="F427" s="56">
        <v>12617.219497798797</v>
      </c>
      <c r="G427" s="56">
        <v>12.164269768604965</v>
      </c>
      <c r="H427" s="56">
        <f t="shared" si="26"/>
        <v>4261.3103998720253</v>
      </c>
      <c r="I427" s="56">
        <f t="shared" si="27"/>
        <v>-8.5747483729487595</v>
      </c>
      <c r="J427" s="56">
        <f t="shared" si="28"/>
        <v>131813.80439599187</v>
      </c>
      <c r="K427" s="56">
        <f t="shared" si="29"/>
        <v>491275.49139689328</v>
      </c>
      <c r="T427" s="83"/>
    </row>
    <row r="428" spans="2:20" x14ac:dyDescent="0.2">
      <c r="B428" s="83"/>
      <c r="C428" s="56">
        <v>389</v>
      </c>
      <c r="D428" s="56">
        <v>13367.31554159285</v>
      </c>
      <c r="E428" s="56">
        <v>2.7743287492858681</v>
      </c>
      <c r="F428" s="56">
        <v>12708.571363207919</v>
      </c>
      <c r="G428" s="56">
        <v>11.981428676231371</v>
      </c>
      <c r="H428" s="56">
        <f t="shared" si="26"/>
        <v>658.74417838493173</v>
      </c>
      <c r="I428" s="56">
        <f t="shared" si="27"/>
        <v>-9.2070999269455029</v>
      </c>
      <c r="J428" s="56">
        <f t="shared" si="28"/>
        <v>101556.47856882495</v>
      </c>
      <c r="K428" s="56">
        <f t="shared" si="29"/>
        <v>483610.13012100034</v>
      </c>
      <c r="T428" s="83"/>
    </row>
    <row r="429" spans="2:20" x14ac:dyDescent="0.2">
      <c r="B429" s="83"/>
      <c r="C429" s="56">
        <v>390</v>
      </c>
      <c r="D429" s="56">
        <v>12960.910074992842</v>
      </c>
      <c r="E429" s="56">
        <v>2.0982439157902348</v>
      </c>
      <c r="F429" s="56">
        <v>20668.81322592455</v>
      </c>
      <c r="G429" s="56">
        <v>19.34214592559421</v>
      </c>
      <c r="H429" s="56">
        <f t="shared" si="26"/>
        <v>-7707.9031509317083</v>
      </c>
      <c r="I429" s="56">
        <f t="shared" si="27"/>
        <v>-17.243902009803975</v>
      </c>
      <c r="J429" s="56">
        <f t="shared" si="28"/>
        <v>73956.745892701845</v>
      </c>
      <c r="K429" s="56">
        <f t="shared" si="29"/>
        <v>780560.23959589005</v>
      </c>
      <c r="T429" s="83"/>
    </row>
    <row r="430" spans="2:20" x14ac:dyDescent="0.2">
      <c r="B430" s="83"/>
      <c r="C430" s="56">
        <v>391</v>
      </c>
      <c r="D430" s="56">
        <v>13019.059824296266</v>
      </c>
      <c r="E430" s="56">
        <v>2.9785562050888097</v>
      </c>
      <c r="F430" s="56">
        <v>10677.674188264769</v>
      </c>
      <c r="G430" s="56">
        <v>9.2272107490429356</v>
      </c>
      <c r="H430" s="56">
        <f t="shared" si="26"/>
        <v>2341.3856360314967</v>
      </c>
      <c r="I430" s="56">
        <f t="shared" si="27"/>
        <v>-6.2486545439541263</v>
      </c>
      <c r="J430" s="56">
        <f t="shared" si="28"/>
        <v>110364.65241530258</v>
      </c>
      <c r="K430" s="56">
        <f t="shared" si="29"/>
        <v>371550.30388008978</v>
      </c>
      <c r="T430" s="83"/>
    </row>
    <row r="431" spans="2:20" x14ac:dyDescent="0.2">
      <c r="B431" s="83"/>
      <c r="C431" s="56">
        <v>392</v>
      </c>
      <c r="D431" s="56">
        <v>17706.396316599828</v>
      </c>
      <c r="E431" s="56">
        <v>4.3971728624359052</v>
      </c>
      <c r="F431" s="56">
        <v>15390.534430813943</v>
      </c>
      <c r="G431" s="56">
        <v>16.265271309647275</v>
      </c>
      <c r="H431" s="56">
        <f t="shared" si="26"/>
        <v>2315.8618857858855</v>
      </c>
      <c r="I431" s="56">
        <f t="shared" si="27"/>
        <v>-11.86809844721137</v>
      </c>
      <c r="J431" s="56">
        <f t="shared" si="28"/>
        <v>164442.09233694512</v>
      </c>
      <c r="K431" s="56">
        <f t="shared" si="29"/>
        <v>658382.06430001475</v>
      </c>
      <c r="T431" s="83"/>
    </row>
    <row r="432" spans="2:20" x14ac:dyDescent="0.2">
      <c r="B432" s="83"/>
      <c r="C432" s="56">
        <v>393</v>
      </c>
      <c r="D432" s="56">
        <v>16254.27469317569</v>
      </c>
      <c r="E432" s="56">
        <v>3.0769441904732555</v>
      </c>
      <c r="F432" s="56">
        <v>16663.64904188642</v>
      </c>
      <c r="G432" s="56">
        <v>14.168198587498384</v>
      </c>
      <c r="H432" s="56">
        <f t="shared" si="26"/>
        <v>-409.37434871072946</v>
      </c>
      <c r="I432" s="56">
        <f t="shared" si="27"/>
        <v>-11.091254397025128</v>
      </c>
      <c r="J432" s="56">
        <f t="shared" si="28"/>
        <v>111205.06145298845</v>
      </c>
      <c r="K432" s="56">
        <f t="shared" si="29"/>
        <v>570239.80924664659</v>
      </c>
      <c r="T432" s="83"/>
    </row>
    <row r="433" spans="2:20" x14ac:dyDescent="0.2">
      <c r="B433" s="83"/>
      <c r="C433" s="56">
        <v>394</v>
      </c>
      <c r="D433" s="56">
        <v>13485.696306114098</v>
      </c>
      <c r="E433" s="56">
        <v>2.9407483124780267</v>
      </c>
      <c r="F433" s="56">
        <v>10992.782341845574</v>
      </c>
      <c r="G433" s="56">
        <v>9.9125360207979458</v>
      </c>
      <c r="H433" s="56">
        <f t="shared" si="26"/>
        <v>2492.9139642685241</v>
      </c>
      <c r="I433" s="56">
        <f t="shared" si="27"/>
        <v>-6.9717877083199191</v>
      </c>
      <c r="J433" s="56">
        <f t="shared" si="28"/>
        <v>108331.86178997568</v>
      </c>
      <c r="K433" s="56">
        <f t="shared" si="29"/>
        <v>399624.10978368856</v>
      </c>
      <c r="T433" s="83"/>
    </row>
    <row r="434" spans="2:20" x14ac:dyDescent="0.2">
      <c r="B434" s="83"/>
      <c r="C434" s="56">
        <v>395</v>
      </c>
      <c r="D434" s="56">
        <v>10743.50634418783</v>
      </c>
      <c r="E434" s="56">
        <v>2.392078116262681</v>
      </c>
      <c r="F434" s="56">
        <v>9683.9698122743357</v>
      </c>
      <c r="G434" s="56">
        <v>10.476084209796273</v>
      </c>
      <c r="H434" s="56">
        <f t="shared" si="26"/>
        <v>1059.5365319134944</v>
      </c>
      <c r="I434" s="56">
        <f t="shared" si="27"/>
        <v>-8.084006093533592</v>
      </c>
      <c r="J434" s="56">
        <f t="shared" si="28"/>
        <v>88345.937543877473</v>
      </c>
      <c r="K434" s="56">
        <f t="shared" si="29"/>
        <v>424277.34249432647</v>
      </c>
      <c r="T434" s="83"/>
    </row>
    <row r="435" spans="2:20" x14ac:dyDescent="0.2">
      <c r="B435" s="83"/>
      <c r="C435" s="56">
        <v>396</v>
      </c>
      <c r="D435" s="56">
        <v>19334.102723001844</v>
      </c>
      <c r="E435" s="56">
        <v>4.5997569105234488</v>
      </c>
      <c r="F435" s="56">
        <v>10211.10441552832</v>
      </c>
      <c r="G435" s="56">
        <v>7.6921955372521458</v>
      </c>
      <c r="H435" s="56">
        <f t="shared" si="26"/>
        <v>9122.9983074735246</v>
      </c>
      <c r="I435" s="56">
        <f t="shared" si="27"/>
        <v>-3.092438626728697</v>
      </c>
      <c r="J435" s="56">
        <f t="shared" si="28"/>
        <v>171206.22753852149</v>
      </c>
      <c r="K435" s="56">
        <f t="shared" si="29"/>
        <v>308430.40351960459</v>
      </c>
      <c r="T435" s="83"/>
    </row>
    <row r="436" spans="2:20" x14ac:dyDescent="0.2">
      <c r="B436" s="83"/>
      <c r="C436" s="56">
        <v>397</v>
      </c>
      <c r="D436" s="56">
        <v>13522.354732385687</v>
      </c>
      <c r="E436" s="56">
        <v>2.4886682482976958</v>
      </c>
      <c r="F436" s="56">
        <v>17614.264908803296</v>
      </c>
      <c r="G436" s="56">
        <v>14.496132007756906</v>
      </c>
      <c r="H436" s="56">
        <f t="shared" si="26"/>
        <v>-4091.9101764176085</v>
      </c>
      <c r="I436" s="56">
        <f t="shared" si="27"/>
        <v>-12.00746375945921</v>
      </c>
      <c r="J436" s="56">
        <f t="shared" si="28"/>
        <v>89568.238785098059</v>
      </c>
      <c r="K436" s="56">
        <f t="shared" si="29"/>
        <v>582873.50738051883</v>
      </c>
      <c r="T436" s="83"/>
    </row>
    <row r="437" spans="2:20" x14ac:dyDescent="0.2">
      <c r="B437" s="83"/>
      <c r="C437" s="56">
        <v>398</v>
      </c>
      <c r="D437" s="56">
        <v>13217.488003188246</v>
      </c>
      <c r="E437" s="56">
        <v>2.9674412900819269</v>
      </c>
      <c r="F437" s="56">
        <v>19760.249704614158</v>
      </c>
      <c r="G437" s="56">
        <v>19.830665049702493</v>
      </c>
      <c r="H437" s="56">
        <f t="shared" si="26"/>
        <v>-6542.7617014259122</v>
      </c>
      <c r="I437" s="56">
        <f t="shared" si="27"/>
        <v>-16.863223759620567</v>
      </c>
      <c r="J437" s="56">
        <f t="shared" si="28"/>
        <v>109705.79999716549</v>
      </c>
      <c r="K437" s="56">
        <f t="shared" si="29"/>
        <v>801705.21931426192</v>
      </c>
      <c r="T437" s="83"/>
    </row>
    <row r="438" spans="2:20" x14ac:dyDescent="0.2">
      <c r="B438" s="83"/>
      <c r="C438" s="56">
        <v>399</v>
      </c>
      <c r="D438" s="56">
        <v>14738.363845253823</v>
      </c>
      <c r="E438" s="56">
        <v>3.0080615982899999</v>
      </c>
      <c r="F438" s="56">
        <v>28329.449723403101</v>
      </c>
      <c r="G438" s="56">
        <v>26.210054459726766</v>
      </c>
      <c r="H438" s="56">
        <f t="shared" si="26"/>
        <v>-13591.085878149277</v>
      </c>
      <c r="I438" s="56">
        <f t="shared" si="27"/>
        <v>-23.201992861436768</v>
      </c>
      <c r="J438" s="56">
        <f t="shared" si="28"/>
        <v>109867.57980231113</v>
      </c>
      <c r="K438" s="56">
        <f t="shared" si="29"/>
        <v>1057395.8462163184</v>
      </c>
      <c r="T438" s="83"/>
    </row>
    <row r="439" spans="2:20" x14ac:dyDescent="0.2">
      <c r="B439" s="83"/>
      <c r="C439" s="56">
        <v>400</v>
      </c>
      <c r="D439" s="56">
        <v>10266.931597045041</v>
      </c>
      <c r="E439" s="56">
        <v>1.5488175866565963</v>
      </c>
      <c r="F439" s="56">
        <v>17892.925725273537</v>
      </c>
      <c r="G439" s="56">
        <v>18.51065394132938</v>
      </c>
      <c r="H439" s="56">
        <f t="shared" si="26"/>
        <v>-7625.9941282284963</v>
      </c>
      <c r="I439" s="56">
        <f t="shared" si="27"/>
        <v>-16.961836354672784</v>
      </c>
      <c r="J439" s="56">
        <f t="shared" si="28"/>
        <v>53891.288112617804</v>
      </c>
      <c r="K439" s="56">
        <f t="shared" si="29"/>
        <v>748892.40314035467</v>
      </c>
      <c r="T439" s="83"/>
    </row>
    <row r="440" spans="2:20" x14ac:dyDescent="0.2">
      <c r="B440" s="83"/>
      <c r="C440" s="56">
        <v>401</v>
      </c>
      <c r="D440" s="56">
        <v>18218.302762741216</v>
      </c>
      <c r="E440" s="56">
        <v>2.4156491380237797</v>
      </c>
      <c r="F440" s="56">
        <v>24863.303873520417</v>
      </c>
      <c r="G440" s="56">
        <v>21.879712584203986</v>
      </c>
      <c r="H440" s="56">
        <f t="shared" si="26"/>
        <v>-6645.0011107792016</v>
      </c>
      <c r="I440" s="56">
        <f t="shared" si="27"/>
        <v>-19.464063446180205</v>
      </c>
      <c r="J440" s="56">
        <f t="shared" si="28"/>
        <v>81847.547130755847</v>
      </c>
      <c r="K440" s="56">
        <f t="shared" si="29"/>
        <v>881481.91021454544</v>
      </c>
      <c r="T440" s="83"/>
    </row>
    <row r="441" spans="2:20" x14ac:dyDescent="0.2">
      <c r="B441" s="83"/>
      <c r="C441" s="56">
        <v>402</v>
      </c>
      <c r="D441" s="56">
        <v>14417.119417392296</v>
      </c>
      <c r="E441" s="56">
        <v>2.8995880865864883</v>
      </c>
      <c r="F441" s="56">
        <v>20338.580228979808</v>
      </c>
      <c r="G441" s="56">
        <v>21.437965804714917</v>
      </c>
      <c r="H441" s="56">
        <f t="shared" si="26"/>
        <v>-5921.4608115875126</v>
      </c>
      <c r="I441" s="56">
        <f t="shared" si="27"/>
        <v>-18.53837771812843</v>
      </c>
      <c r="J441" s="56">
        <f t="shared" si="28"/>
        <v>105695.41748136638</v>
      </c>
      <c r="K441" s="56">
        <f t="shared" si="29"/>
        <v>867707.71526553086</v>
      </c>
      <c r="T441" s="83"/>
    </row>
    <row r="442" spans="2:20" x14ac:dyDescent="0.2">
      <c r="B442" s="83"/>
      <c r="C442" s="56">
        <v>403</v>
      </c>
      <c r="D442" s="56">
        <v>16644.263455223474</v>
      </c>
      <c r="E442" s="56">
        <v>2.9669882788618702</v>
      </c>
      <c r="F442" s="56">
        <v>20517.263632213144</v>
      </c>
      <c r="G442" s="56">
        <v>15.681025571579939</v>
      </c>
      <c r="H442" s="56">
        <f t="shared" si="26"/>
        <v>-3873.0001769896699</v>
      </c>
      <c r="I442" s="56">
        <f t="shared" si="27"/>
        <v>-12.714037292718068</v>
      </c>
      <c r="J442" s="56">
        <f t="shared" si="28"/>
        <v>106260.25900835064</v>
      </c>
      <c r="K442" s="56">
        <f t="shared" si="29"/>
        <v>629053.53964491433</v>
      </c>
      <c r="T442" s="83"/>
    </row>
    <row r="443" spans="2:20" x14ac:dyDescent="0.2">
      <c r="B443" s="83"/>
      <c r="C443" s="56">
        <v>404</v>
      </c>
      <c r="D443" s="56">
        <v>15967.347029464923</v>
      </c>
      <c r="E443" s="56">
        <v>3.5499300333114703</v>
      </c>
      <c r="F443" s="56">
        <v>12781.598859533526</v>
      </c>
      <c r="G443" s="56">
        <v>12.450203111002015</v>
      </c>
      <c r="H443" s="56">
        <f t="shared" si="26"/>
        <v>3185.7481699313976</v>
      </c>
      <c r="I443" s="56">
        <f t="shared" si="27"/>
        <v>-8.9002730776905441</v>
      </c>
      <c r="J443" s="56">
        <f t="shared" si="28"/>
        <v>131084.9546704294</v>
      </c>
      <c r="K443" s="56">
        <f t="shared" si="29"/>
        <v>502955.61481061392</v>
      </c>
      <c r="T443" s="83"/>
    </row>
    <row r="444" spans="2:20" x14ac:dyDescent="0.2">
      <c r="B444" s="83"/>
      <c r="C444" s="56">
        <v>405</v>
      </c>
      <c r="D444" s="56">
        <v>16721.706400215822</v>
      </c>
      <c r="E444" s="56">
        <v>3.6852548230955429</v>
      </c>
      <c r="F444" s="56">
        <v>12927.866773627109</v>
      </c>
      <c r="G444" s="56">
        <v>11.796460080814372</v>
      </c>
      <c r="H444" s="56">
        <f t="shared" si="26"/>
        <v>3793.8396265887131</v>
      </c>
      <c r="I444" s="56">
        <f t="shared" si="27"/>
        <v>-8.1112052577188294</v>
      </c>
      <c r="J444" s="56">
        <f t="shared" si="28"/>
        <v>135936.28939169395</v>
      </c>
      <c r="K444" s="56">
        <f t="shared" si="29"/>
        <v>475728.69561402744</v>
      </c>
      <c r="T444" s="83"/>
    </row>
    <row r="445" spans="2:20" x14ac:dyDescent="0.2">
      <c r="B445" s="83"/>
      <c r="C445" s="56">
        <v>406</v>
      </c>
      <c r="D445" s="56">
        <v>13671.221851260076</v>
      </c>
      <c r="E445" s="56">
        <v>2.9793591602239964</v>
      </c>
      <c r="F445" s="56">
        <v>12383.977034533582</v>
      </c>
      <c r="G445" s="56">
        <v>10.953740099261537</v>
      </c>
      <c r="H445" s="56">
        <f t="shared" si="26"/>
        <v>1287.2448167264938</v>
      </c>
      <c r="I445" s="56">
        <f t="shared" si="27"/>
        <v>-7.9743809390375411</v>
      </c>
      <c r="J445" s="56">
        <f t="shared" si="28"/>
        <v>109745.75200185874</v>
      </c>
      <c r="K445" s="56">
        <f t="shared" si="29"/>
        <v>441363.75283727638</v>
      </c>
      <c r="T445" s="83"/>
    </row>
    <row r="446" spans="2:20" x14ac:dyDescent="0.2">
      <c r="B446" s="83"/>
      <c r="C446" s="56">
        <v>407</v>
      </c>
      <c r="D446" s="56">
        <v>21765.234663924351</v>
      </c>
      <c r="E446" s="56">
        <v>4.6489510608272901</v>
      </c>
      <c r="F446" s="56">
        <v>13266.444076926698</v>
      </c>
      <c r="G446" s="56">
        <v>12.537918179525844</v>
      </c>
      <c r="H446" s="56">
        <f t="shared" si="26"/>
        <v>8498.790586997653</v>
      </c>
      <c r="I446" s="56">
        <f t="shared" si="27"/>
        <v>-7.8889671186985542</v>
      </c>
      <c r="J446" s="56">
        <f t="shared" si="28"/>
        <v>170812.91407978532</v>
      </c>
      <c r="K446" s="56">
        <f t="shared" si="29"/>
        <v>506104.27859175188</v>
      </c>
      <c r="T446" s="83"/>
    </row>
    <row r="447" spans="2:20" x14ac:dyDescent="0.2">
      <c r="B447" s="83"/>
      <c r="C447" s="56">
        <v>408</v>
      </c>
      <c r="D447" s="56">
        <v>13215.284183619748</v>
      </c>
      <c r="E447" s="56">
        <v>2.8709097100751544</v>
      </c>
      <c r="F447" s="56">
        <v>16982.011738056117</v>
      </c>
      <c r="G447" s="56">
        <v>18.450695076039608</v>
      </c>
      <c r="H447" s="56">
        <f t="shared" si="26"/>
        <v>-3766.7275544363692</v>
      </c>
      <c r="I447" s="56">
        <f t="shared" si="27"/>
        <v>-15.579785365964455</v>
      </c>
      <c r="J447" s="56">
        <f t="shared" si="28"/>
        <v>105709.27964653345</v>
      </c>
      <c r="K447" s="56">
        <f t="shared" si="29"/>
        <v>747319.58109180862</v>
      </c>
      <c r="T447" s="83"/>
    </row>
    <row r="448" spans="2:20" x14ac:dyDescent="0.2">
      <c r="B448" s="83"/>
      <c r="C448" s="56">
        <v>409</v>
      </c>
      <c r="D448" s="56">
        <v>11126.371710037456</v>
      </c>
      <c r="E448" s="56">
        <v>2.8509455711669718</v>
      </c>
      <c r="F448" s="56">
        <v>12249.210227402164</v>
      </c>
      <c r="G448" s="56">
        <v>12.369270669910977</v>
      </c>
      <c r="H448" s="56">
        <f t="shared" si="26"/>
        <v>-1122.8385173647075</v>
      </c>
      <c r="I448" s="56">
        <f t="shared" si="27"/>
        <v>-9.518325098744004</v>
      </c>
      <c r="J448" s="56">
        <f t="shared" si="28"/>
        <v>106971.19762998319</v>
      </c>
      <c r="K448" s="56">
        <f t="shared" si="29"/>
        <v>500135.45800299011</v>
      </c>
      <c r="T448" s="83"/>
    </row>
    <row r="449" spans="2:20" x14ac:dyDescent="0.2">
      <c r="B449" s="83"/>
      <c r="C449" s="56">
        <v>410</v>
      </c>
      <c r="D449" s="56">
        <v>17839.382950353571</v>
      </c>
      <c r="E449" s="56">
        <v>3.5566368497602419</v>
      </c>
      <c r="F449" s="56">
        <v>14433.880860157371</v>
      </c>
      <c r="G449" s="56">
        <v>13.372748004727425</v>
      </c>
      <c r="H449" s="56">
        <f t="shared" si="26"/>
        <v>3405.5020901961998</v>
      </c>
      <c r="I449" s="56">
        <f t="shared" si="27"/>
        <v>-9.8161111549671833</v>
      </c>
      <c r="J449" s="56">
        <f t="shared" si="28"/>
        <v>129490.7419141147</v>
      </c>
      <c r="K449" s="56">
        <f t="shared" si="29"/>
        <v>539518.8324876714</v>
      </c>
      <c r="T449" s="83"/>
    </row>
    <row r="450" spans="2:20" x14ac:dyDescent="0.2">
      <c r="B450" s="83"/>
      <c r="C450" s="56">
        <v>411</v>
      </c>
      <c r="D450" s="56">
        <v>16219.665379707354</v>
      </c>
      <c r="E450" s="56">
        <v>3.5924488897501363</v>
      </c>
      <c r="F450" s="56">
        <v>14089.597466434689</v>
      </c>
      <c r="G450" s="56">
        <v>16.204332244395211</v>
      </c>
      <c r="H450" s="56">
        <f t="shared" si="26"/>
        <v>2130.0679132726655</v>
      </c>
      <c r="I450" s="56">
        <f t="shared" si="27"/>
        <v>-12.611883354645075</v>
      </c>
      <c r="J450" s="56">
        <f t="shared" si="28"/>
        <v>132593.93742930228</v>
      </c>
      <c r="K450" s="56">
        <f t="shared" si="29"/>
        <v>657158.66142539249</v>
      </c>
      <c r="T450" s="83"/>
    </row>
    <row r="451" spans="2:20" x14ac:dyDescent="0.2">
      <c r="B451" s="83"/>
      <c r="C451" s="56">
        <v>412</v>
      </c>
      <c r="D451" s="56">
        <v>17806.32361050076</v>
      </c>
      <c r="E451" s="56">
        <v>2.818394666427515</v>
      </c>
      <c r="F451" s="56">
        <v>20462.396011075329</v>
      </c>
      <c r="G451" s="56">
        <v>20.021466298839545</v>
      </c>
      <c r="H451" s="56">
        <f t="shared" si="26"/>
        <v>-2656.0724005745687</v>
      </c>
      <c r="I451" s="56">
        <f t="shared" si="27"/>
        <v>-17.20307163241203</v>
      </c>
      <c r="J451" s="56">
        <f t="shared" si="28"/>
        <v>98942.857051592611</v>
      </c>
      <c r="K451" s="56">
        <f t="shared" si="29"/>
        <v>808906.82395205402</v>
      </c>
      <c r="T451" s="83"/>
    </row>
    <row r="452" spans="2:20" x14ac:dyDescent="0.2">
      <c r="B452" s="83"/>
      <c r="C452" s="56">
        <v>413</v>
      </c>
      <c r="D452" s="56">
        <v>22236.278329191769</v>
      </c>
      <c r="E452" s="56">
        <v>4.8178115540881343</v>
      </c>
      <c r="F452" s="56">
        <v>10765.537158825422</v>
      </c>
      <c r="G452" s="56">
        <v>11.211526015652414</v>
      </c>
      <c r="H452" s="56">
        <f t="shared" si="26"/>
        <v>11470.741170366347</v>
      </c>
      <c r="I452" s="56">
        <f t="shared" si="27"/>
        <v>-6.3937144615642794</v>
      </c>
      <c r="J452" s="56">
        <f t="shared" si="28"/>
        <v>177336.74748735511</v>
      </c>
      <c r="K452" s="56">
        <f t="shared" si="29"/>
        <v>453660.71651356015</v>
      </c>
      <c r="T452" s="83"/>
    </row>
    <row r="453" spans="2:20" x14ac:dyDescent="0.2">
      <c r="B453" s="83"/>
      <c r="C453" s="56">
        <v>414</v>
      </c>
      <c r="D453" s="56">
        <v>18423.776554799442</v>
      </c>
      <c r="E453" s="56">
        <v>4.898537460567491</v>
      </c>
      <c r="F453" s="56">
        <v>14987.743273869393</v>
      </c>
      <c r="G453" s="56">
        <v>17.897197820062662</v>
      </c>
      <c r="H453" s="56">
        <f t="shared" si="26"/>
        <v>3436.0332809300489</v>
      </c>
      <c r="I453" s="56">
        <f t="shared" si="27"/>
        <v>-12.998660359495171</v>
      </c>
      <c r="J453" s="56">
        <f t="shared" si="28"/>
        <v>184493.2392117483</v>
      </c>
      <c r="K453" s="56">
        <f t="shared" si="29"/>
        <v>726385.77922440635</v>
      </c>
      <c r="T453" s="83"/>
    </row>
    <row r="454" spans="2:20" x14ac:dyDescent="0.2">
      <c r="B454" s="83"/>
      <c r="C454" s="56">
        <v>415</v>
      </c>
      <c r="D454" s="56">
        <v>11902.733948366154</v>
      </c>
      <c r="E454" s="56">
        <v>2.196510232130648</v>
      </c>
      <c r="F454" s="56">
        <v>12271.494915218473</v>
      </c>
      <c r="G454" s="56">
        <v>10.472809581640792</v>
      </c>
      <c r="H454" s="56">
        <f t="shared" si="26"/>
        <v>-368.76096685231823</v>
      </c>
      <c r="I454" s="56">
        <f t="shared" si="27"/>
        <v>-8.2762993495101433</v>
      </c>
      <c r="J454" s="56">
        <f t="shared" si="28"/>
        <v>79085.505907413812</v>
      </c>
      <c r="K454" s="56">
        <f t="shared" si="29"/>
        <v>421554.1691946697</v>
      </c>
      <c r="T454" s="83"/>
    </row>
    <row r="455" spans="2:20" x14ac:dyDescent="0.2">
      <c r="B455" s="83"/>
      <c r="C455" s="56">
        <v>416</v>
      </c>
      <c r="D455" s="56">
        <v>11191.288554417679</v>
      </c>
      <c r="E455" s="56">
        <v>3.5382655255164916</v>
      </c>
      <c r="F455" s="56">
        <v>9467.0590199169837</v>
      </c>
      <c r="G455" s="56">
        <v>10.833503382641615</v>
      </c>
      <c r="H455" s="56">
        <f t="shared" si="26"/>
        <v>1724.2295345006951</v>
      </c>
      <c r="I455" s="56">
        <f t="shared" si="27"/>
        <v>-7.2952378571251231</v>
      </c>
      <c r="J455" s="56">
        <f t="shared" si="28"/>
        <v>135377.82257457747</v>
      </c>
      <c r="K455" s="56">
        <f t="shared" si="29"/>
        <v>439299.98510262929</v>
      </c>
      <c r="T455" s="83"/>
    </row>
    <row r="456" spans="2:20" x14ac:dyDescent="0.2">
      <c r="B456" s="83"/>
      <c r="C456" s="56">
        <v>417</v>
      </c>
      <c r="D456" s="56">
        <v>13843.487849977186</v>
      </c>
      <c r="E456" s="56">
        <v>2.5677809381038115</v>
      </c>
      <c r="F456" s="56">
        <v>10380.926632056337</v>
      </c>
      <c r="G456" s="56">
        <v>10.469159351968623</v>
      </c>
      <c r="H456" s="56">
        <f t="shared" si="26"/>
        <v>3462.5612179208492</v>
      </c>
      <c r="I456" s="56">
        <f t="shared" si="27"/>
        <v>-7.9013784138648111</v>
      </c>
      <c r="J456" s="56">
        <f t="shared" si="28"/>
        <v>92524.269730035099</v>
      </c>
      <c r="K456" s="56">
        <f t="shared" si="29"/>
        <v>423293.53036389186</v>
      </c>
      <c r="T456" s="83"/>
    </row>
    <row r="457" spans="2:20" x14ac:dyDescent="0.2">
      <c r="B457" s="83"/>
      <c r="C457" s="56">
        <v>418</v>
      </c>
      <c r="D457" s="56">
        <v>16721.024320570934</v>
      </c>
      <c r="E457" s="56">
        <v>3.8554937492413637</v>
      </c>
      <c r="F457" s="56">
        <v>12502.729459005905</v>
      </c>
      <c r="G457" s="56">
        <v>12.953044349581601</v>
      </c>
      <c r="H457" s="56">
        <f t="shared" si="26"/>
        <v>4218.2948615650294</v>
      </c>
      <c r="I457" s="56">
        <f t="shared" si="27"/>
        <v>-9.097550600340238</v>
      </c>
      <c r="J457" s="56">
        <f t="shared" si="28"/>
        <v>142988.94874800331</v>
      </c>
      <c r="K457" s="56">
        <f t="shared" si="29"/>
        <v>524064.17967806227</v>
      </c>
      <c r="T457" s="83"/>
    </row>
    <row r="458" spans="2:20" x14ac:dyDescent="0.2">
      <c r="B458" s="83"/>
      <c r="C458" s="56">
        <v>419</v>
      </c>
      <c r="D458" s="56">
        <v>21195.007073286459</v>
      </c>
      <c r="E458" s="56">
        <v>4.3742726382462145</v>
      </c>
      <c r="F458" s="56">
        <v>19867.72385590569</v>
      </c>
      <c r="G458" s="56">
        <v>18.967259038926411</v>
      </c>
      <c r="H458" s="56">
        <f t="shared" si="26"/>
        <v>1327.2832173807692</v>
      </c>
      <c r="I458" s="56">
        <f t="shared" si="27"/>
        <v>-14.592986400680196</v>
      </c>
      <c r="J458" s="56">
        <f t="shared" si="28"/>
        <v>160004.86269342474</v>
      </c>
      <c r="K458" s="56">
        <f t="shared" si="29"/>
        <v>765832.01457258197</v>
      </c>
      <c r="T458" s="83"/>
    </row>
    <row r="459" spans="2:20" x14ac:dyDescent="0.2">
      <c r="B459" s="83"/>
      <c r="C459" s="56">
        <v>420</v>
      </c>
      <c r="D459" s="56">
        <v>14180.551366354257</v>
      </c>
      <c r="E459" s="56">
        <v>3.4898044828092254</v>
      </c>
      <c r="F459" s="56">
        <v>10989.352909913096</v>
      </c>
      <c r="G459" s="56">
        <v>10.637886640211619</v>
      </c>
      <c r="H459" s="56">
        <f t="shared" si="26"/>
        <v>3191.1984564411614</v>
      </c>
      <c r="I459" s="56">
        <f t="shared" si="27"/>
        <v>-7.1480821574023938</v>
      </c>
      <c r="J459" s="56">
        <f t="shared" si="28"/>
        <v>130381.10952953511</v>
      </c>
      <c r="K459" s="56">
        <f t="shared" si="29"/>
        <v>429674.46327421296</v>
      </c>
      <c r="T459" s="83"/>
    </row>
    <row r="460" spans="2:20" x14ac:dyDescent="0.2">
      <c r="B460" s="83"/>
      <c r="C460" s="56">
        <v>421</v>
      </c>
      <c r="D460" s="56">
        <v>11555.051379709836</v>
      </c>
      <c r="E460" s="56">
        <v>3.2761869353458568</v>
      </c>
      <c r="F460" s="56">
        <v>12942.44441213055</v>
      </c>
      <c r="G460" s="56">
        <v>15.276899828797212</v>
      </c>
      <c r="H460" s="56">
        <f t="shared" si="26"/>
        <v>-1387.393032420714</v>
      </c>
      <c r="I460" s="56">
        <f t="shared" si="27"/>
        <v>-12.000712893451356</v>
      </c>
      <c r="J460" s="56">
        <f t="shared" si="28"/>
        <v>124157.71623005693</v>
      </c>
      <c r="K460" s="56">
        <f t="shared" si="29"/>
        <v>619887.85409596516</v>
      </c>
      <c r="T460" s="83"/>
    </row>
    <row r="461" spans="2:20" x14ac:dyDescent="0.2">
      <c r="B461" s="83"/>
      <c r="C461" s="56">
        <v>422</v>
      </c>
      <c r="D461" s="56">
        <v>19286.665317280924</v>
      </c>
      <c r="E461" s="56">
        <v>4.1391799201793447</v>
      </c>
      <c r="F461" s="56">
        <v>12165.663393956216</v>
      </c>
      <c r="G461" s="56">
        <v>14.179518084902211</v>
      </c>
      <c r="H461" s="56">
        <f t="shared" si="26"/>
        <v>7121.0019233247076</v>
      </c>
      <c r="I461" s="56">
        <f t="shared" si="27"/>
        <v>-10.040338164722867</v>
      </c>
      <c r="J461" s="56">
        <f t="shared" si="28"/>
        <v>152174.72369622826</v>
      </c>
      <c r="K461" s="56">
        <f t="shared" si="29"/>
        <v>575206.69375503296</v>
      </c>
      <c r="T461" s="83"/>
    </row>
    <row r="462" spans="2:20" x14ac:dyDescent="0.2">
      <c r="B462" s="83"/>
      <c r="C462" s="56">
        <v>423</v>
      </c>
      <c r="D462" s="56">
        <v>15610.188942856383</v>
      </c>
      <c r="E462" s="56">
        <v>3.2805280950050486</v>
      </c>
      <c r="F462" s="56">
        <v>20240.633291198934</v>
      </c>
      <c r="G462" s="56">
        <v>18.575917177532151</v>
      </c>
      <c r="H462" s="56">
        <f t="shared" si="26"/>
        <v>-4630.4443483425512</v>
      </c>
      <c r="I462" s="56">
        <f t="shared" si="27"/>
        <v>-15.295389082527102</v>
      </c>
      <c r="J462" s="56">
        <f t="shared" si="28"/>
        <v>120282.40686463274</v>
      </c>
      <c r="K462" s="56">
        <f t="shared" si="29"/>
        <v>749248.15987089288</v>
      </c>
      <c r="T462" s="83"/>
    </row>
    <row r="463" spans="2:20" x14ac:dyDescent="0.2">
      <c r="B463" s="83"/>
      <c r="C463" s="56">
        <v>424</v>
      </c>
      <c r="D463" s="56">
        <v>12313.41342774594</v>
      </c>
      <c r="E463" s="56">
        <v>2.7693793993633364</v>
      </c>
      <c r="F463" s="56">
        <v>17742.993478500804</v>
      </c>
      <c r="G463" s="56">
        <v>17.857549714539708</v>
      </c>
      <c r="H463" s="56">
        <f t="shared" si="26"/>
        <v>-5429.5800507548647</v>
      </c>
      <c r="I463" s="56">
        <f t="shared" si="27"/>
        <v>-15.088170315176372</v>
      </c>
      <c r="J463" s="56">
        <f t="shared" si="28"/>
        <v>102405.35881148091</v>
      </c>
      <c r="K463" s="56">
        <f t="shared" si="29"/>
        <v>721988.14589659206</v>
      </c>
      <c r="T463" s="83"/>
    </row>
    <row r="464" spans="2:20" x14ac:dyDescent="0.2">
      <c r="B464" s="83"/>
      <c r="C464" s="56">
        <v>425</v>
      </c>
      <c r="D464" s="56">
        <v>15043.729860926202</v>
      </c>
      <c r="E464" s="56">
        <v>3.2653078400471465</v>
      </c>
      <c r="F464" s="56">
        <v>20351.889634317653</v>
      </c>
      <c r="G464" s="56">
        <v>21.946839979783018</v>
      </c>
      <c r="H464" s="56">
        <f t="shared" si="26"/>
        <v>-5308.1597733914514</v>
      </c>
      <c r="I464" s="56">
        <f t="shared" si="27"/>
        <v>-18.681532139735872</v>
      </c>
      <c r="J464" s="56">
        <f t="shared" si="28"/>
        <v>120218.3821051868</v>
      </c>
      <c r="K464" s="56">
        <f t="shared" si="29"/>
        <v>888774.00968821417</v>
      </c>
      <c r="T464" s="83"/>
    </row>
    <row r="465" spans="2:20" x14ac:dyDescent="0.2">
      <c r="B465" s="83"/>
      <c r="C465" s="56">
        <v>426</v>
      </c>
      <c r="D465" s="56">
        <v>16235.80195336378</v>
      </c>
      <c r="E465" s="56">
        <v>3.0608405054232097</v>
      </c>
      <c r="F465" s="56">
        <v>13080.259774379943</v>
      </c>
      <c r="G465" s="56">
        <v>10.892676212732047</v>
      </c>
      <c r="H465" s="56">
        <f t="shared" si="26"/>
        <v>3155.5421789838365</v>
      </c>
      <c r="I465" s="56">
        <f t="shared" si="27"/>
        <v>-7.8318357073088372</v>
      </c>
      <c r="J465" s="56">
        <f t="shared" si="28"/>
        <v>110556.45514328725</v>
      </c>
      <c r="K465" s="56">
        <f t="shared" si="29"/>
        <v>438137.95966183237</v>
      </c>
      <c r="T465" s="83"/>
    </row>
    <row r="466" spans="2:20" x14ac:dyDescent="0.2">
      <c r="B466" s="83"/>
      <c r="C466" s="56">
        <v>427</v>
      </c>
      <c r="D466" s="56">
        <v>26564.631443348597</v>
      </c>
      <c r="E466" s="56">
        <v>4.8381889714458008</v>
      </c>
      <c r="F466" s="56">
        <v>18810.693341980023</v>
      </c>
      <c r="G466" s="56">
        <v>16.430482384485536</v>
      </c>
      <c r="H466" s="56">
        <f t="shared" si="26"/>
        <v>7753.9381013685743</v>
      </c>
      <c r="I466" s="56">
        <f t="shared" si="27"/>
        <v>-11.592293413039735</v>
      </c>
      <c r="J466" s="56">
        <f t="shared" si="28"/>
        <v>173852.50850982225</v>
      </c>
      <c r="K466" s="56">
        <f t="shared" si="29"/>
        <v>661805.60895294882</v>
      </c>
      <c r="T466" s="83"/>
    </row>
    <row r="467" spans="2:20" x14ac:dyDescent="0.2">
      <c r="B467" s="83"/>
      <c r="C467" s="56">
        <v>428</v>
      </c>
      <c r="D467" s="56">
        <v>20915.992900938076</v>
      </c>
      <c r="E467" s="56">
        <v>4.6160917235684389</v>
      </c>
      <c r="F467" s="56">
        <v>17504.560910589786</v>
      </c>
      <c r="G467" s="56">
        <v>16.456356616181498</v>
      </c>
      <c r="H467" s="56">
        <f t="shared" si="26"/>
        <v>3411.4319903482901</v>
      </c>
      <c r="I467" s="56">
        <f t="shared" si="27"/>
        <v>-11.84026489261306</v>
      </c>
      <c r="J467" s="56">
        <f t="shared" si="28"/>
        <v>170300.99065616092</v>
      </c>
      <c r="K467" s="56">
        <f t="shared" si="29"/>
        <v>664183.55555811257</v>
      </c>
      <c r="T467" s="83"/>
    </row>
    <row r="468" spans="2:20" x14ac:dyDescent="0.2">
      <c r="B468" s="83"/>
      <c r="C468" s="56">
        <v>429</v>
      </c>
      <c r="D468" s="56">
        <v>11879.11551641161</v>
      </c>
      <c r="E468" s="56">
        <v>2.8896088779376687</v>
      </c>
      <c r="F468" s="56">
        <v>14052.732581405256</v>
      </c>
      <c r="G468" s="56">
        <v>13.720578813525309</v>
      </c>
      <c r="H468" s="56">
        <f t="shared" si="26"/>
        <v>-2173.6170649936466</v>
      </c>
      <c r="I468" s="56">
        <f t="shared" si="27"/>
        <v>-10.830969935587641</v>
      </c>
      <c r="J468" s="56">
        <f t="shared" si="28"/>
        <v>107820.04264327839</v>
      </c>
      <c r="K468" s="56">
        <f t="shared" si="29"/>
        <v>554308.5241900672</v>
      </c>
      <c r="T468" s="83"/>
    </row>
    <row r="469" spans="2:20" x14ac:dyDescent="0.2">
      <c r="B469" s="83"/>
      <c r="C469" s="56">
        <v>430</v>
      </c>
      <c r="D469" s="56">
        <v>19301.875827483269</v>
      </c>
      <c r="E469" s="56">
        <v>3.7470885427515164</v>
      </c>
      <c r="F469" s="56">
        <v>9242.3886223410045</v>
      </c>
      <c r="G469" s="56">
        <v>8.7821841377581276</v>
      </c>
      <c r="H469" s="56">
        <f t="shared" si="26"/>
        <v>10059.487205142264</v>
      </c>
      <c r="I469" s="56">
        <f t="shared" si="27"/>
        <v>-5.0350955950066112</v>
      </c>
      <c r="J469" s="56">
        <f t="shared" si="28"/>
        <v>135917.51996745553</v>
      </c>
      <c r="K469" s="56">
        <f t="shared" si="29"/>
        <v>354550.80710015172</v>
      </c>
      <c r="T469" s="83"/>
    </row>
    <row r="470" spans="2:20" x14ac:dyDescent="0.2">
      <c r="B470" s="83"/>
      <c r="C470" s="56">
        <v>431</v>
      </c>
      <c r="D470" s="56">
        <v>23625.226595633467</v>
      </c>
      <c r="E470" s="56">
        <v>4.0112101034989216</v>
      </c>
      <c r="F470" s="56">
        <v>21744.330993471482</v>
      </c>
      <c r="G470" s="56">
        <v>20.184688086804133</v>
      </c>
      <c r="H470" s="56">
        <f t="shared" si="26"/>
        <v>1880.8956021619852</v>
      </c>
      <c r="I470" s="56">
        <f t="shared" si="27"/>
        <v>-16.173477983305212</v>
      </c>
      <c r="J470" s="56">
        <f t="shared" si="28"/>
        <v>142535.14073170588</v>
      </c>
      <c r="K470" s="56">
        <f t="shared" si="29"/>
        <v>814386.18831430294</v>
      </c>
      <c r="T470" s="83"/>
    </row>
    <row r="471" spans="2:20" x14ac:dyDescent="0.2">
      <c r="B471" s="83"/>
      <c r="C471" s="56">
        <v>432</v>
      </c>
      <c r="D471" s="56">
        <v>20620.227542370769</v>
      </c>
      <c r="E471" s="56">
        <v>4.1086441168329175</v>
      </c>
      <c r="F471" s="56">
        <v>21256.465064756827</v>
      </c>
      <c r="G471" s="56">
        <v>18.766705936963113</v>
      </c>
      <c r="H471" s="56">
        <f t="shared" si="26"/>
        <v>-636.23752238605812</v>
      </c>
      <c r="I471" s="56">
        <f t="shared" si="27"/>
        <v>-14.658061820130197</v>
      </c>
      <c r="J471" s="56">
        <f t="shared" si="28"/>
        <v>149576.246353316</v>
      </c>
      <c r="K471" s="56">
        <f t="shared" si="29"/>
        <v>756135.56166800321</v>
      </c>
      <c r="T471" s="83"/>
    </row>
    <row r="472" spans="2:20" x14ac:dyDescent="0.2">
      <c r="B472" s="83"/>
      <c r="C472" s="56">
        <v>433</v>
      </c>
      <c r="D472" s="56">
        <v>17711.068492349259</v>
      </c>
      <c r="E472" s="56">
        <v>3.7745749373510553</v>
      </c>
      <c r="F472" s="56">
        <v>9847.5870004212538</v>
      </c>
      <c r="G472" s="56">
        <v>8.0841489761968184</v>
      </c>
      <c r="H472" s="56">
        <f t="shared" si="26"/>
        <v>7863.4814919280052</v>
      </c>
      <c r="I472" s="56">
        <f t="shared" si="27"/>
        <v>-4.3095740388457635</v>
      </c>
      <c r="J472" s="56">
        <f t="shared" si="28"/>
        <v>138646.92371248084</v>
      </c>
      <c r="K472" s="56">
        <f t="shared" si="29"/>
        <v>325030.20018955576</v>
      </c>
      <c r="T472" s="83"/>
    </row>
    <row r="473" spans="2:20" x14ac:dyDescent="0.2">
      <c r="B473" s="83"/>
      <c r="C473" s="56">
        <v>434</v>
      </c>
      <c r="D473" s="56">
        <v>16963.641850245909</v>
      </c>
      <c r="E473" s="56">
        <v>3.729251080741057</v>
      </c>
      <c r="F473" s="56">
        <v>7295.8359012564742</v>
      </c>
      <c r="G473" s="56">
        <v>7.584243476379636</v>
      </c>
      <c r="H473" s="56">
        <f t="shared" si="26"/>
        <v>9667.8059489894349</v>
      </c>
      <c r="I473" s="56">
        <f t="shared" si="27"/>
        <v>-3.854992395638579</v>
      </c>
      <c r="J473" s="56">
        <f t="shared" si="28"/>
        <v>137516.85491837162</v>
      </c>
      <c r="K473" s="56">
        <f t="shared" si="29"/>
        <v>306873.86586429359</v>
      </c>
      <c r="T473" s="83"/>
    </row>
    <row r="474" spans="2:20" x14ac:dyDescent="0.2">
      <c r="B474" s="83"/>
      <c r="C474" s="56">
        <v>435</v>
      </c>
      <c r="D474" s="56">
        <v>18977.080341257821</v>
      </c>
      <c r="E474" s="56">
        <v>3.6372484308288229</v>
      </c>
      <c r="F474" s="56">
        <v>18212.687202470941</v>
      </c>
      <c r="G474" s="56">
        <v>17.237493961860139</v>
      </c>
      <c r="H474" s="56">
        <f t="shared" si="26"/>
        <v>764.39313878687972</v>
      </c>
      <c r="I474" s="56">
        <f t="shared" si="27"/>
        <v>-13.600245531031316</v>
      </c>
      <c r="J474" s="56">
        <f t="shared" si="28"/>
        <v>131692.29865739532</v>
      </c>
      <c r="K474" s="56">
        <f t="shared" si="29"/>
        <v>695833.26267362339</v>
      </c>
      <c r="T474" s="83"/>
    </row>
    <row r="475" spans="2:20" x14ac:dyDescent="0.2">
      <c r="B475" s="83"/>
      <c r="C475" s="56">
        <v>436</v>
      </c>
      <c r="D475" s="56">
        <v>13638.869740652526</v>
      </c>
      <c r="E475" s="56">
        <v>2.9957530460491801</v>
      </c>
      <c r="F475" s="56">
        <v>12421.49583971599</v>
      </c>
      <c r="G475" s="56">
        <v>11.292962345268494</v>
      </c>
      <c r="H475" s="56">
        <f t="shared" si="26"/>
        <v>1217.3739009365363</v>
      </c>
      <c r="I475" s="56">
        <f t="shared" si="27"/>
        <v>-8.2972092992193147</v>
      </c>
      <c r="J475" s="56">
        <f t="shared" si="28"/>
        <v>110457.2044388887</v>
      </c>
      <c r="K475" s="56">
        <f t="shared" si="29"/>
        <v>455378.17635068612</v>
      </c>
      <c r="T475" s="83"/>
    </row>
    <row r="476" spans="2:20" x14ac:dyDescent="0.2">
      <c r="B476" s="83"/>
      <c r="C476" s="56">
        <v>437</v>
      </c>
      <c r="D476" s="56">
        <v>12235.985905876956</v>
      </c>
      <c r="E476" s="56">
        <v>1.9781621072389926</v>
      </c>
      <c r="F476" s="56">
        <v>19485.040161721299</v>
      </c>
      <c r="G476" s="56">
        <v>17.32410972426743</v>
      </c>
      <c r="H476" s="56">
        <f t="shared" si="26"/>
        <v>-7249.0542558443431</v>
      </c>
      <c r="I476" s="56">
        <f t="shared" si="27"/>
        <v>-15.345947617028438</v>
      </c>
      <c r="J476" s="56">
        <f t="shared" si="28"/>
        <v>69707.401224391084</v>
      </c>
      <c r="K476" s="56">
        <f t="shared" si="29"/>
        <v>698148.88105633273</v>
      </c>
      <c r="T476" s="83"/>
    </row>
    <row r="477" spans="2:20" x14ac:dyDescent="0.2">
      <c r="B477" s="83"/>
      <c r="C477" s="56">
        <v>438</v>
      </c>
      <c r="D477" s="56">
        <v>16593.823700237819</v>
      </c>
      <c r="E477" s="56">
        <v>3.7360946362233491</v>
      </c>
      <c r="F477" s="56">
        <v>17042.920872814349</v>
      </c>
      <c r="G477" s="56">
        <v>18.505638469810375</v>
      </c>
      <c r="H477" s="56">
        <f t="shared" si="26"/>
        <v>-449.09717257653028</v>
      </c>
      <c r="I477" s="56">
        <f t="shared" si="27"/>
        <v>-14.769543833587026</v>
      </c>
      <c r="J477" s="56">
        <f t="shared" si="28"/>
        <v>138170.16051067819</v>
      </c>
      <c r="K477" s="56">
        <f t="shared" si="29"/>
        <v>749534.64710061054</v>
      </c>
      <c r="T477" s="83"/>
    </row>
    <row r="478" spans="2:20" x14ac:dyDescent="0.2">
      <c r="B478" s="83"/>
      <c r="C478" s="56">
        <v>439</v>
      </c>
      <c r="D478" s="56">
        <v>15356.696794034406</v>
      </c>
      <c r="E478" s="56">
        <v>3.8203968278285148</v>
      </c>
      <c r="F478" s="56">
        <v>9113.7132462311074</v>
      </c>
      <c r="G478" s="56">
        <v>8.5918345070406001</v>
      </c>
      <c r="H478" s="56">
        <f t="shared" si="26"/>
        <v>6242.9835478032983</v>
      </c>
      <c r="I478" s="56">
        <f t="shared" si="27"/>
        <v>-4.7714376792120854</v>
      </c>
      <c r="J478" s="56">
        <f t="shared" si="28"/>
        <v>142899.42140193397</v>
      </c>
      <c r="K478" s="56">
        <f t="shared" si="29"/>
        <v>346794.43937341875</v>
      </c>
      <c r="T478" s="83"/>
    </row>
    <row r="479" spans="2:20" x14ac:dyDescent="0.2">
      <c r="B479" s="83"/>
      <c r="C479" s="56">
        <v>440</v>
      </c>
      <c r="D479" s="56">
        <v>10297.009575861011</v>
      </c>
      <c r="E479" s="56">
        <v>2.7203540818210286</v>
      </c>
      <c r="F479" s="56">
        <v>14773.769691754185</v>
      </c>
      <c r="G479" s="56">
        <v>17.619011936267999</v>
      </c>
      <c r="H479" s="56">
        <f t="shared" si="26"/>
        <v>-4476.7601158931739</v>
      </c>
      <c r="I479" s="56">
        <f t="shared" si="27"/>
        <v>-14.89865785444697</v>
      </c>
      <c r="J479" s="56">
        <f t="shared" si="28"/>
        <v>102390.93790949328</v>
      </c>
      <c r="K479" s="56">
        <f t="shared" si="29"/>
        <v>715076.1807562114</v>
      </c>
      <c r="T479" s="83"/>
    </row>
    <row r="480" spans="2:20" x14ac:dyDescent="0.2">
      <c r="B480" s="83"/>
      <c r="C480" s="56">
        <v>441</v>
      </c>
      <c r="D480" s="56">
        <v>15502.124468973916</v>
      </c>
      <c r="E480" s="56">
        <v>3.2646516414621694</v>
      </c>
      <c r="F480" s="56">
        <v>10712.441056073279</v>
      </c>
      <c r="G480" s="56">
        <v>10.041100644872884</v>
      </c>
      <c r="H480" s="56">
        <f t="shared" si="26"/>
        <v>4789.6834129006365</v>
      </c>
      <c r="I480" s="56">
        <f t="shared" si="27"/>
        <v>-6.7764490034107148</v>
      </c>
      <c r="J480" s="56">
        <f t="shared" si="28"/>
        <v>119732.80512695499</v>
      </c>
      <c r="K480" s="56">
        <f t="shared" si="29"/>
        <v>405230.11205714109</v>
      </c>
      <c r="T480" s="83"/>
    </row>
    <row r="481" spans="2:20" x14ac:dyDescent="0.2">
      <c r="B481" s="83"/>
      <c r="C481" s="56">
        <v>442</v>
      </c>
      <c r="D481" s="56">
        <v>12327.529245216707</v>
      </c>
      <c r="E481" s="56">
        <v>2.9275531018019536</v>
      </c>
      <c r="F481" s="56">
        <v>12794.367433498915</v>
      </c>
      <c r="G481" s="56">
        <v>12.148650045068612</v>
      </c>
      <c r="H481" s="56">
        <f t="shared" si="26"/>
        <v>-466.83818828220865</v>
      </c>
      <c r="I481" s="56">
        <f t="shared" si="27"/>
        <v>-9.2210969432666587</v>
      </c>
      <c r="J481" s="56">
        <f t="shared" si="28"/>
        <v>108943.43044382743</v>
      </c>
      <c r="K481" s="56">
        <f t="shared" si="29"/>
        <v>490451.31203342328</v>
      </c>
      <c r="T481" s="83"/>
    </row>
    <row r="482" spans="2:20" x14ac:dyDescent="0.2">
      <c r="B482" s="83"/>
      <c r="C482" s="56">
        <v>443</v>
      </c>
      <c r="D482" s="56">
        <v>13770.655080374856</v>
      </c>
      <c r="E482" s="56">
        <v>3.262269514144331</v>
      </c>
      <c r="F482" s="56">
        <v>15771.592720034563</v>
      </c>
      <c r="G482" s="56">
        <v>15.879197041482589</v>
      </c>
      <c r="H482" s="56">
        <f t="shared" si="26"/>
        <v>-2000.9376396597072</v>
      </c>
      <c r="I482" s="56">
        <f t="shared" si="27"/>
        <v>-12.616927527338259</v>
      </c>
      <c r="J482" s="56">
        <f t="shared" si="28"/>
        <v>121365.59727353993</v>
      </c>
      <c r="K482" s="56">
        <f t="shared" si="29"/>
        <v>642008.26552634023</v>
      </c>
      <c r="T482" s="83"/>
    </row>
    <row r="483" spans="2:20" x14ac:dyDescent="0.2">
      <c r="B483" s="83"/>
      <c r="C483" s="56">
        <v>444</v>
      </c>
      <c r="D483" s="56">
        <v>20505.420899845634</v>
      </c>
      <c r="E483" s="56">
        <v>3.7178773349526413</v>
      </c>
      <c r="F483" s="56">
        <v>15953.419443951847</v>
      </c>
      <c r="G483" s="56">
        <v>17.33281418588756</v>
      </c>
      <c r="H483" s="56">
        <f t="shared" si="26"/>
        <v>4552.0014558937874</v>
      </c>
      <c r="I483" s="56">
        <f t="shared" si="27"/>
        <v>-13.614936850934919</v>
      </c>
      <c r="J483" s="56">
        <f t="shared" si="28"/>
        <v>133503.92982323258</v>
      </c>
      <c r="K483" s="56">
        <f t="shared" si="29"/>
        <v>702041.07539225451</v>
      </c>
      <c r="T483" s="83"/>
    </row>
    <row r="484" spans="2:20" x14ac:dyDescent="0.2">
      <c r="B484" s="83"/>
      <c r="C484" s="56">
        <v>445</v>
      </c>
      <c r="D484" s="56">
        <v>15339.651892151011</v>
      </c>
      <c r="E484" s="56">
        <v>3.2709521437203137</v>
      </c>
      <c r="F484" s="56">
        <v>17725.907117256407</v>
      </c>
      <c r="G484" s="56">
        <v>16.924732679665752</v>
      </c>
      <c r="H484" s="56">
        <f t="shared" si="26"/>
        <v>-2386.2552251053967</v>
      </c>
      <c r="I484" s="56">
        <f t="shared" si="27"/>
        <v>-13.653780535945439</v>
      </c>
      <c r="J484" s="56">
        <f t="shared" si="28"/>
        <v>120156.26970931925</v>
      </c>
      <c r="K484" s="56">
        <f t="shared" si="29"/>
        <v>683364.21940521768</v>
      </c>
      <c r="T484" s="83"/>
    </row>
    <row r="485" spans="2:20" x14ac:dyDescent="0.2">
      <c r="B485" s="83"/>
      <c r="C485" s="56">
        <v>446</v>
      </c>
      <c r="D485" s="56">
        <v>8896.5218527850775</v>
      </c>
      <c r="E485" s="56">
        <v>1.393213417055748</v>
      </c>
      <c r="F485" s="56">
        <v>10649.246873920843</v>
      </c>
      <c r="G485" s="56">
        <v>8.9610621377512079</v>
      </c>
      <c r="H485" s="56">
        <f t="shared" si="26"/>
        <v>-1752.7250211357659</v>
      </c>
      <c r="I485" s="56">
        <f t="shared" si="27"/>
        <v>-7.5678487206954603</v>
      </c>
      <c r="J485" s="56">
        <f t="shared" si="28"/>
        <v>48815.950735332226</v>
      </c>
      <c r="K485" s="56">
        <f t="shared" si="29"/>
        <v>360553.79112028517</v>
      </c>
      <c r="T485" s="83"/>
    </row>
    <row r="486" spans="2:20" x14ac:dyDescent="0.2">
      <c r="B486" s="83"/>
      <c r="C486" s="56">
        <v>447</v>
      </c>
      <c r="D486" s="56">
        <v>13094.68107953795</v>
      </c>
      <c r="E486" s="56">
        <v>2.4310585169644363</v>
      </c>
      <c r="F486" s="56">
        <v>10274.496625127445</v>
      </c>
      <c r="G486" s="56">
        <v>10.126209676444269</v>
      </c>
      <c r="H486" s="56">
        <f t="shared" si="26"/>
        <v>2820.1844544105043</v>
      </c>
      <c r="I486" s="56">
        <f t="shared" si="27"/>
        <v>-7.695151159479833</v>
      </c>
      <c r="J486" s="56">
        <f t="shared" si="28"/>
        <v>87609.486927196849</v>
      </c>
      <c r="K486" s="56">
        <f t="shared" si="29"/>
        <v>409193.61301189993</v>
      </c>
      <c r="T486" s="83"/>
    </row>
    <row r="487" spans="2:20" x14ac:dyDescent="0.2">
      <c r="B487" s="83"/>
      <c r="C487" s="56">
        <v>448</v>
      </c>
      <c r="D487" s="56">
        <v>20309.795023497885</v>
      </c>
      <c r="E487" s="56">
        <v>4.429419436360492</v>
      </c>
      <c r="F487" s="56">
        <v>20267.988531994517</v>
      </c>
      <c r="G487" s="56">
        <v>19.927915539695341</v>
      </c>
      <c r="H487" s="56">
        <f t="shared" si="26"/>
        <v>41.806491503368306</v>
      </c>
      <c r="I487" s="56">
        <f t="shared" si="27"/>
        <v>-15.498496103334849</v>
      </c>
      <c r="J487" s="56">
        <f t="shared" si="28"/>
        <v>163174.47570829911</v>
      </c>
      <c r="K487" s="56">
        <f t="shared" si="29"/>
        <v>805225.98478434526</v>
      </c>
      <c r="T487" s="83"/>
    </row>
    <row r="488" spans="2:20" x14ac:dyDescent="0.2">
      <c r="B488" s="83"/>
      <c r="C488" s="56">
        <v>449</v>
      </c>
      <c r="D488" s="56">
        <v>16858.390352731192</v>
      </c>
      <c r="E488" s="56">
        <v>2.531411499836401</v>
      </c>
      <c r="F488" s="56">
        <v>17987.212053426781</v>
      </c>
      <c r="G488" s="56">
        <v>16.39204283834987</v>
      </c>
      <c r="H488" s="56">
        <f t="shared" ref="H488:H551" si="30">IF($C488&lt;=No_of_iterations_PSA,D488-$F488,"")</f>
        <v>-1128.8217006955892</v>
      </c>
      <c r="I488" s="56">
        <f t="shared" ref="I488:I551" si="31">IF($C488&lt;=No_of_iterations_PSA,E488-$G488,"")</f>
        <v>-13.860631338513468</v>
      </c>
      <c r="J488" s="56">
        <f t="shared" ref="J488:J551" si="32">IF($C488&lt;=No_of_iterations_PSA,E488*WTP-D488,"")</f>
        <v>88002.799616491888</v>
      </c>
      <c r="K488" s="56">
        <f t="shared" ref="K488:K551" si="33">IF($C488&lt;=No_of_iterations_PSA,G488*WTP-F488,"")</f>
        <v>661036.7704823782</v>
      </c>
      <c r="T488" s="83"/>
    </row>
    <row r="489" spans="2:20" x14ac:dyDescent="0.2">
      <c r="B489" s="83"/>
      <c r="C489" s="56">
        <v>450</v>
      </c>
      <c r="D489" s="56">
        <v>15602.407004455883</v>
      </c>
      <c r="E489" s="56">
        <v>2.988313654300653</v>
      </c>
      <c r="F489" s="56">
        <v>15334.620057889544</v>
      </c>
      <c r="G489" s="56">
        <v>12.474629292728462</v>
      </c>
      <c r="H489" s="56">
        <f t="shared" si="30"/>
        <v>267.78694656633888</v>
      </c>
      <c r="I489" s="56">
        <f t="shared" si="31"/>
        <v>-9.4863156384278096</v>
      </c>
      <c r="J489" s="56">
        <f t="shared" si="32"/>
        <v>108185.49781129436</v>
      </c>
      <c r="K489" s="56">
        <f t="shared" si="33"/>
        <v>501414.42376409424</v>
      </c>
      <c r="T489" s="83"/>
    </row>
    <row r="490" spans="2:20" x14ac:dyDescent="0.2">
      <c r="B490" s="83"/>
      <c r="C490" s="56">
        <v>451</v>
      </c>
      <c r="D490" s="56">
        <v>18253.21634128247</v>
      </c>
      <c r="E490" s="56">
        <v>4.0887175437053109</v>
      </c>
      <c r="F490" s="56">
        <v>12434.437497628896</v>
      </c>
      <c r="G490" s="56">
        <v>12.99998563799674</v>
      </c>
      <c r="H490" s="56">
        <f t="shared" si="30"/>
        <v>5818.7788436535739</v>
      </c>
      <c r="I490" s="56">
        <f t="shared" si="31"/>
        <v>-8.9112680942914295</v>
      </c>
      <c r="J490" s="56">
        <f t="shared" si="32"/>
        <v>151117.81918916633</v>
      </c>
      <c r="K490" s="56">
        <f t="shared" si="33"/>
        <v>526076.96757074818</v>
      </c>
      <c r="T490" s="83"/>
    </row>
    <row r="491" spans="2:20" x14ac:dyDescent="0.2">
      <c r="B491" s="83"/>
      <c r="C491" s="56">
        <v>452</v>
      </c>
      <c r="D491" s="56">
        <v>15391.800803204722</v>
      </c>
      <c r="E491" s="56">
        <v>2.7170517614588938</v>
      </c>
      <c r="F491" s="56">
        <v>8714.4205675157191</v>
      </c>
      <c r="G491" s="56">
        <v>8.2709739369188622</v>
      </c>
      <c r="H491" s="56">
        <f t="shared" si="30"/>
        <v>6677.3802356890028</v>
      </c>
      <c r="I491" s="56">
        <f t="shared" si="31"/>
        <v>-5.5539221754599684</v>
      </c>
      <c r="J491" s="56">
        <f t="shared" si="32"/>
        <v>97159.351363468493</v>
      </c>
      <c r="K491" s="56">
        <f t="shared" si="33"/>
        <v>333902.40379541123</v>
      </c>
      <c r="T491" s="83"/>
    </row>
    <row r="492" spans="2:20" x14ac:dyDescent="0.2">
      <c r="B492" s="83"/>
      <c r="C492" s="56">
        <v>453</v>
      </c>
      <c r="D492" s="56">
        <v>9282.91743871158</v>
      </c>
      <c r="E492" s="56">
        <v>2.4023645335663972</v>
      </c>
      <c r="F492" s="56">
        <v>11424.468471365582</v>
      </c>
      <c r="G492" s="56">
        <v>11.148395783516248</v>
      </c>
      <c r="H492" s="56">
        <f t="shared" si="30"/>
        <v>-2141.5510326540025</v>
      </c>
      <c r="I492" s="56">
        <f t="shared" si="31"/>
        <v>-8.7460312499498514</v>
      </c>
      <c r="J492" s="56">
        <f t="shared" si="32"/>
        <v>90232.630999742862</v>
      </c>
      <c r="K492" s="56">
        <f t="shared" si="33"/>
        <v>450386.67846501147</v>
      </c>
      <c r="T492" s="83"/>
    </row>
    <row r="493" spans="2:20" x14ac:dyDescent="0.2">
      <c r="B493" s="83"/>
      <c r="C493" s="56">
        <v>454</v>
      </c>
      <c r="D493" s="56">
        <v>11135.339798806986</v>
      </c>
      <c r="E493" s="56">
        <v>2.2222189302013255</v>
      </c>
      <c r="F493" s="56">
        <v>10616.043954416153</v>
      </c>
      <c r="G493" s="56">
        <v>10.558833948554176</v>
      </c>
      <c r="H493" s="56">
        <f t="shared" si="30"/>
        <v>519.29584439083374</v>
      </c>
      <c r="I493" s="56">
        <f t="shared" si="31"/>
        <v>-8.33661501835285</v>
      </c>
      <c r="J493" s="56">
        <f t="shared" si="32"/>
        <v>80917.857165852722</v>
      </c>
      <c r="K493" s="56">
        <f t="shared" si="33"/>
        <v>426773.09353049198</v>
      </c>
      <c r="T493" s="83"/>
    </row>
    <row r="494" spans="2:20" x14ac:dyDescent="0.2">
      <c r="B494" s="83"/>
      <c r="C494" s="56">
        <v>455</v>
      </c>
      <c r="D494" s="56">
        <v>9548.0514704343877</v>
      </c>
      <c r="E494" s="56">
        <v>1.6912638610885486</v>
      </c>
      <c r="F494" s="56">
        <v>15639.037820716336</v>
      </c>
      <c r="G494" s="56">
        <v>14.300396676511287</v>
      </c>
      <c r="H494" s="56">
        <f t="shared" si="30"/>
        <v>-6090.986350281948</v>
      </c>
      <c r="I494" s="56">
        <f t="shared" si="31"/>
        <v>-12.609132815422738</v>
      </c>
      <c r="J494" s="56">
        <f t="shared" si="32"/>
        <v>60510.862711297646</v>
      </c>
      <c r="K494" s="56">
        <f t="shared" si="33"/>
        <v>576740.59410708712</v>
      </c>
      <c r="T494" s="83"/>
    </row>
    <row r="495" spans="2:20" x14ac:dyDescent="0.2">
      <c r="B495" s="83"/>
      <c r="C495" s="56">
        <v>456</v>
      </c>
      <c r="D495" s="56">
        <v>5202.3840608162027</v>
      </c>
      <c r="E495" s="56">
        <v>1.0526596686377347</v>
      </c>
      <c r="F495" s="56">
        <v>10434.896386065257</v>
      </c>
      <c r="G495" s="56">
        <v>8.6939439335488196</v>
      </c>
      <c r="H495" s="56">
        <f t="shared" si="30"/>
        <v>-5232.5123252490539</v>
      </c>
      <c r="I495" s="56">
        <f t="shared" si="31"/>
        <v>-7.6412842649110848</v>
      </c>
      <c r="J495" s="56">
        <f t="shared" si="32"/>
        <v>38402.990052833324</v>
      </c>
      <c r="K495" s="56">
        <f t="shared" si="33"/>
        <v>349703.03711726109</v>
      </c>
      <c r="T495" s="83"/>
    </row>
    <row r="496" spans="2:20" x14ac:dyDescent="0.2">
      <c r="B496" s="83"/>
      <c r="C496" s="56">
        <v>457</v>
      </c>
      <c r="D496" s="56">
        <v>19776.437752106052</v>
      </c>
      <c r="E496" s="56">
        <v>4.6115142739486918</v>
      </c>
      <c r="F496" s="56">
        <v>11950.146849562881</v>
      </c>
      <c r="G496" s="56">
        <v>10.948419165698642</v>
      </c>
      <c r="H496" s="56">
        <f t="shared" si="30"/>
        <v>7826.2909025431709</v>
      </c>
      <c r="I496" s="56">
        <f t="shared" si="31"/>
        <v>-6.33690489174995</v>
      </c>
      <c r="J496" s="56">
        <f t="shared" si="32"/>
        <v>171250.92953194457</v>
      </c>
      <c r="K496" s="56">
        <f t="shared" si="33"/>
        <v>441577.16867033765</v>
      </c>
      <c r="T496" s="83"/>
    </row>
    <row r="497" spans="2:20" x14ac:dyDescent="0.2">
      <c r="B497" s="83"/>
      <c r="C497" s="56">
        <v>458</v>
      </c>
      <c r="D497" s="56">
        <v>19073.475691969623</v>
      </c>
      <c r="E497" s="56">
        <v>4.1671512757407223</v>
      </c>
      <c r="F497" s="56">
        <v>11402.621460860481</v>
      </c>
      <c r="G497" s="56">
        <v>9.7614184764434526</v>
      </c>
      <c r="H497" s="56">
        <f t="shared" si="30"/>
        <v>7670.8542311091423</v>
      </c>
      <c r="I497" s="56">
        <f t="shared" si="31"/>
        <v>-5.5942672007027303</v>
      </c>
      <c r="J497" s="56">
        <f t="shared" si="32"/>
        <v>153546.59875431407</v>
      </c>
      <c r="K497" s="56">
        <f t="shared" si="33"/>
        <v>392954.37750733312</v>
      </c>
      <c r="T497" s="83"/>
    </row>
    <row r="498" spans="2:20" x14ac:dyDescent="0.2">
      <c r="B498" s="83"/>
      <c r="C498" s="56">
        <v>459</v>
      </c>
      <c r="D498" s="56">
        <v>20880.657930453384</v>
      </c>
      <c r="E498" s="56">
        <v>3.8754749875340715</v>
      </c>
      <c r="F498" s="56">
        <v>16220.583778936732</v>
      </c>
      <c r="G498" s="56">
        <v>15.296115127308942</v>
      </c>
      <c r="H498" s="56">
        <f t="shared" si="30"/>
        <v>4660.0741515166519</v>
      </c>
      <c r="I498" s="56">
        <f t="shared" si="31"/>
        <v>-11.420640139774871</v>
      </c>
      <c r="J498" s="56">
        <f t="shared" si="32"/>
        <v>139657.01795315798</v>
      </c>
      <c r="K498" s="56">
        <f t="shared" si="33"/>
        <v>617405.68925470882</v>
      </c>
      <c r="T498" s="83"/>
    </row>
    <row r="499" spans="2:20" x14ac:dyDescent="0.2">
      <c r="B499" s="83"/>
      <c r="C499" s="56">
        <v>460</v>
      </c>
      <c r="D499" s="56">
        <v>10982.666583542496</v>
      </c>
      <c r="E499" s="56">
        <v>1.9496983305252775</v>
      </c>
      <c r="F499" s="56">
        <v>12487.96631432383</v>
      </c>
      <c r="G499" s="56">
        <v>11.016352428566757</v>
      </c>
      <c r="H499" s="56">
        <f t="shared" si="30"/>
        <v>-1505.2997307813348</v>
      </c>
      <c r="I499" s="56">
        <f t="shared" si="31"/>
        <v>-9.0666540980414787</v>
      </c>
      <c r="J499" s="56">
        <f t="shared" si="32"/>
        <v>69781.637060136607</v>
      </c>
      <c r="K499" s="56">
        <f t="shared" si="33"/>
        <v>443853.41668662551</v>
      </c>
      <c r="T499" s="83"/>
    </row>
    <row r="500" spans="2:20" x14ac:dyDescent="0.2">
      <c r="B500" s="83"/>
      <c r="C500" s="56">
        <v>461</v>
      </c>
      <c r="D500" s="56">
        <v>19150.066638328659</v>
      </c>
      <c r="E500" s="56">
        <v>3.7930282342978168</v>
      </c>
      <c r="F500" s="56">
        <v>17216.228656235817</v>
      </c>
      <c r="G500" s="56">
        <v>17.123587157149824</v>
      </c>
      <c r="H500" s="56">
        <f t="shared" si="30"/>
        <v>1933.8379820928421</v>
      </c>
      <c r="I500" s="56">
        <f t="shared" si="31"/>
        <v>-13.330558922852008</v>
      </c>
      <c r="J500" s="56">
        <f t="shared" si="32"/>
        <v>137972.33493922409</v>
      </c>
      <c r="K500" s="56">
        <f t="shared" si="33"/>
        <v>692111.24574153847</v>
      </c>
      <c r="T500" s="83"/>
    </row>
    <row r="501" spans="2:20" x14ac:dyDescent="0.2">
      <c r="B501" s="83"/>
      <c r="C501" s="56">
        <v>462</v>
      </c>
      <c r="D501" s="56">
        <v>16754.312468089982</v>
      </c>
      <c r="E501" s="56">
        <v>3.4470006902867767</v>
      </c>
      <c r="F501" s="56">
        <v>15247.981913662303</v>
      </c>
      <c r="G501" s="56">
        <v>13.293361533608307</v>
      </c>
      <c r="H501" s="56">
        <f t="shared" si="30"/>
        <v>1506.3305544276791</v>
      </c>
      <c r="I501" s="56">
        <f t="shared" si="31"/>
        <v>-9.8463608433215306</v>
      </c>
      <c r="J501" s="56">
        <f t="shared" si="32"/>
        <v>126034.24412634945</v>
      </c>
      <c r="K501" s="56">
        <f t="shared" si="33"/>
        <v>535416.22625452827</v>
      </c>
      <c r="T501" s="83"/>
    </row>
    <row r="502" spans="2:20" x14ac:dyDescent="0.2">
      <c r="B502" s="83"/>
      <c r="C502" s="56">
        <v>463</v>
      </c>
      <c r="D502" s="56">
        <v>14191.14823603406</v>
      </c>
      <c r="E502" s="56">
        <v>3.5070628959602628</v>
      </c>
      <c r="F502" s="56">
        <v>7353.6857336109397</v>
      </c>
      <c r="G502" s="56">
        <v>7.9807008322319621</v>
      </c>
      <c r="H502" s="56">
        <f t="shared" si="30"/>
        <v>6837.46250242312</v>
      </c>
      <c r="I502" s="56">
        <f t="shared" si="31"/>
        <v>-4.4736379362716994</v>
      </c>
      <c r="J502" s="56">
        <f t="shared" si="32"/>
        <v>131085.42516622387</v>
      </c>
      <c r="K502" s="56">
        <f t="shared" si="33"/>
        <v>323238.86554076587</v>
      </c>
      <c r="T502" s="83"/>
    </row>
    <row r="503" spans="2:20" x14ac:dyDescent="0.2">
      <c r="B503" s="83"/>
      <c r="C503" s="56">
        <v>464</v>
      </c>
      <c r="D503" s="56">
        <v>13281.653382464365</v>
      </c>
      <c r="E503" s="56">
        <v>2.6895539761182801</v>
      </c>
      <c r="F503" s="56">
        <v>17939.038995562278</v>
      </c>
      <c r="G503" s="56">
        <v>18.306881087189012</v>
      </c>
      <c r="H503" s="56">
        <f t="shared" si="30"/>
        <v>-4657.3856130979129</v>
      </c>
      <c r="I503" s="56">
        <f t="shared" si="31"/>
        <v>-15.617327111070733</v>
      </c>
      <c r="J503" s="56">
        <f t="shared" si="32"/>
        <v>98130.430524259267</v>
      </c>
      <c r="K503" s="56">
        <f t="shared" si="33"/>
        <v>740405.20316015545</v>
      </c>
      <c r="T503" s="83"/>
    </row>
    <row r="504" spans="2:20" x14ac:dyDescent="0.2">
      <c r="B504" s="83"/>
      <c r="C504" s="56">
        <v>465</v>
      </c>
      <c r="D504" s="56">
        <v>21791.103757079058</v>
      </c>
      <c r="E504" s="56">
        <v>3.8951547868175265</v>
      </c>
      <c r="F504" s="56">
        <v>14740.899500901283</v>
      </c>
      <c r="G504" s="56">
        <v>13.497924088198117</v>
      </c>
      <c r="H504" s="56">
        <f t="shared" si="30"/>
        <v>7050.2042561777744</v>
      </c>
      <c r="I504" s="56">
        <f t="shared" si="31"/>
        <v>-9.6027693013805902</v>
      </c>
      <c r="J504" s="56">
        <f t="shared" si="32"/>
        <v>139561.78813205016</v>
      </c>
      <c r="K504" s="56">
        <f t="shared" si="33"/>
        <v>544397.10792861751</v>
      </c>
      <c r="T504" s="83"/>
    </row>
    <row r="505" spans="2:20" x14ac:dyDescent="0.2">
      <c r="B505" s="83"/>
      <c r="C505" s="56">
        <v>466</v>
      </c>
      <c r="D505" s="56">
        <v>4308.348461882907</v>
      </c>
      <c r="E505" s="56">
        <v>0.97299217949913841</v>
      </c>
      <c r="F505" s="56">
        <v>9652.0019188490114</v>
      </c>
      <c r="G505" s="56">
        <v>9.7707325656154183</v>
      </c>
      <c r="H505" s="56">
        <f t="shared" si="30"/>
        <v>-5343.6534569661044</v>
      </c>
      <c r="I505" s="56">
        <f t="shared" si="31"/>
        <v>-8.7977403861162795</v>
      </c>
      <c r="J505" s="56">
        <f t="shared" si="32"/>
        <v>35996.879581689398</v>
      </c>
      <c r="K505" s="56">
        <f t="shared" si="33"/>
        <v>395090.82387920405</v>
      </c>
      <c r="T505" s="83"/>
    </row>
    <row r="506" spans="2:20" x14ac:dyDescent="0.2">
      <c r="B506" s="83"/>
      <c r="C506" s="56">
        <v>467</v>
      </c>
      <c r="D506" s="56">
        <v>16114.413158261706</v>
      </c>
      <c r="E506" s="56">
        <v>3.098847720585804</v>
      </c>
      <c r="F506" s="56">
        <v>21484.210969816337</v>
      </c>
      <c r="G506" s="56">
        <v>19.703555903659627</v>
      </c>
      <c r="H506" s="56">
        <f t="shared" si="30"/>
        <v>-5369.7978115546302</v>
      </c>
      <c r="I506" s="56">
        <f t="shared" si="31"/>
        <v>-16.604708183073821</v>
      </c>
      <c r="J506" s="56">
        <f t="shared" si="32"/>
        <v>112252.25481928463</v>
      </c>
      <c r="K506" s="56">
        <f t="shared" si="33"/>
        <v>794715.88878338004</v>
      </c>
      <c r="T506" s="83"/>
    </row>
    <row r="507" spans="2:20" x14ac:dyDescent="0.2">
      <c r="B507" s="83"/>
      <c r="C507" s="56">
        <v>468</v>
      </c>
      <c r="D507" s="56">
        <v>10626.513859463437</v>
      </c>
      <c r="E507" s="56">
        <v>2.1197205425945311</v>
      </c>
      <c r="F507" s="56">
        <v>20783.635312112568</v>
      </c>
      <c r="G507" s="56">
        <v>23.35044911684934</v>
      </c>
      <c r="H507" s="56">
        <f t="shared" si="30"/>
        <v>-10157.121452649131</v>
      </c>
      <c r="I507" s="56">
        <f t="shared" si="31"/>
        <v>-21.230728574254808</v>
      </c>
      <c r="J507" s="56">
        <f t="shared" si="32"/>
        <v>77180.789896972419</v>
      </c>
      <c r="K507" s="56">
        <f t="shared" si="33"/>
        <v>946485.36890425452</v>
      </c>
      <c r="T507" s="83"/>
    </row>
    <row r="508" spans="2:20" x14ac:dyDescent="0.2">
      <c r="B508" s="83"/>
      <c r="C508" s="56">
        <v>469</v>
      </c>
      <c r="D508" s="56">
        <v>15661.334358441847</v>
      </c>
      <c r="E508" s="56">
        <v>3.2332202795345282</v>
      </c>
      <c r="F508" s="56">
        <v>17323.685227275946</v>
      </c>
      <c r="G508" s="56">
        <v>15.103468935660542</v>
      </c>
      <c r="H508" s="56">
        <f t="shared" si="30"/>
        <v>-1662.3508688340989</v>
      </c>
      <c r="I508" s="56">
        <f t="shared" si="31"/>
        <v>-11.870248656126014</v>
      </c>
      <c r="J508" s="56">
        <f t="shared" si="32"/>
        <v>118271.58250099645</v>
      </c>
      <c r="K508" s="56">
        <f t="shared" si="33"/>
        <v>608322.41196352639</v>
      </c>
      <c r="T508" s="83"/>
    </row>
    <row r="509" spans="2:20" x14ac:dyDescent="0.2">
      <c r="B509" s="83"/>
      <c r="C509" s="56">
        <v>470</v>
      </c>
      <c r="D509" s="56">
        <v>14375.434051579574</v>
      </c>
      <c r="E509" s="56">
        <v>2.7155947060771566</v>
      </c>
      <c r="F509" s="56">
        <v>12277.264574132379</v>
      </c>
      <c r="G509" s="56">
        <v>10.939449908283638</v>
      </c>
      <c r="H509" s="56">
        <f t="shared" si="30"/>
        <v>2098.1694774471944</v>
      </c>
      <c r="I509" s="56">
        <f t="shared" si="31"/>
        <v>-8.2238552022064813</v>
      </c>
      <c r="J509" s="56">
        <f t="shared" si="32"/>
        <v>98115.36105296055</v>
      </c>
      <c r="K509" s="56">
        <f t="shared" si="33"/>
        <v>440878.50842660904</v>
      </c>
      <c r="T509" s="83"/>
    </row>
    <row r="510" spans="2:20" x14ac:dyDescent="0.2">
      <c r="B510" s="83"/>
      <c r="C510" s="56">
        <v>471</v>
      </c>
      <c r="D510" s="56">
        <v>12349.842660790955</v>
      </c>
      <c r="E510" s="56">
        <v>2.5336804940274602</v>
      </c>
      <c r="F510" s="56">
        <v>19730.465800579503</v>
      </c>
      <c r="G510" s="56">
        <v>18.378472463397511</v>
      </c>
      <c r="H510" s="56">
        <f t="shared" si="30"/>
        <v>-7380.6231397885476</v>
      </c>
      <c r="I510" s="56">
        <f t="shared" si="31"/>
        <v>-15.84479196937005</v>
      </c>
      <c r="J510" s="56">
        <f t="shared" si="32"/>
        <v>92605.338123802561</v>
      </c>
      <c r="K510" s="56">
        <f t="shared" si="33"/>
        <v>741579.37752319896</v>
      </c>
      <c r="T510" s="83"/>
    </row>
    <row r="511" spans="2:20" x14ac:dyDescent="0.2">
      <c r="B511" s="83"/>
      <c r="C511" s="56">
        <v>472</v>
      </c>
      <c r="D511" s="56">
        <v>9232.138367391497</v>
      </c>
      <c r="E511" s="56">
        <v>1.9602211907545475</v>
      </c>
      <c r="F511" s="56">
        <v>7516.952266153482</v>
      </c>
      <c r="G511" s="56">
        <v>8.0885051562368044</v>
      </c>
      <c r="H511" s="56">
        <f t="shared" si="30"/>
        <v>1715.186101238015</v>
      </c>
      <c r="I511" s="56">
        <f t="shared" si="31"/>
        <v>-6.1282839654822574</v>
      </c>
      <c r="J511" s="56">
        <f t="shared" si="32"/>
        <v>71968.064238424879</v>
      </c>
      <c r="K511" s="56">
        <f t="shared" si="33"/>
        <v>327541.28532579989</v>
      </c>
      <c r="T511" s="83"/>
    </row>
    <row r="512" spans="2:20" x14ac:dyDescent="0.2">
      <c r="B512" s="83"/>
      <c r="C512" s="56">
        <v>473</v>
      </c>
      <c r="D512" s="56">
        <v>16266.334073960687</v>
      </c>
      <c r="E512" s="56">
        <v>4.3072116163167635</v>
      </c>
      <c r="F512" s="56">
        <v>17601.016223651128</v>
      </c>
      <c r="G512" s="56">
        <v>18.602701336353501</v>
      </c>
      <c r="H512" s="56">
        <f t="shared" si="30"/>
        <v>-1334.6821496904413</v>
      </c>
      <c r="I512" s="56">
        <f t="shared" si="31"/>
        <v>-14.295489720036738</v>
      </c>
      <c r="J512" s="56">
        <f t="shared" si="32"/>
        <v>162155.59992034492</v>
      </c>
      <c r="K512" s="56">
        <f t="shared" si="33"/>
        <v>752997.28393345629</v>
      </c>
      <c r="T512" s="83"/>
    </row>
    <row r="513" spans="2:20" x14ac:dyDescent="0.2">
      <c r="B513" s="83"/>
      <c r="C513" s="56">
        <v>474</v>
      </c>
      <c r="D513" s="56">
        <v>13908.606013905937</v>
      </c>
      <c r="E513" s="56">
        <v>3.0705714154693804</v>
      </c>
      <c r="F513" s="56">
        <v>12294.454080359974</v>
      </c>
      <c r="G513" s="56">
        <v>12.316191887448122</v>
      </c>
      <c r="H513" s="56">
        <f t="shared" si="30"/>
        <v>1614.1519335459634</v>
      </c>
      <c r="I513" s="56">
        <f t="shared" si="31"/>
        <v>-9.2456204719787412</v>
      </c>
      <c r="J513" s="56">
        <f t="shared" si="32"/>
        <v>113286.74430049767</v>
      </c>
      <c r="K513" s="56">
        <f t="shared" si="33"/>
        <v>497891.47866529104</v>
      </c>
      <c r="T513" s="83"/>
    </row>
    <row r="514" spans="2:20" x14ac:dyDescent="0.2">
      <c r="B514" s="83"/>
      <c r="C514" s="56">
        <v>475</v>
      </c>
      <c r="D514" s="56">
        <v>18478.529035315223</v>
      </c>
      <c r="E514" s="56">
        <v>3.3527519898643861</v>
      </c>
      <c r="F514" s="56">
        <v>15423.841141963107</v>
      </c>
      <c r="G514" s="56">
        <v>13.705797174447218</v>
      </c>
      <c r="H514" s="56">
        <f t="shared" si="30"/>
        <v>3054.6878933521166</v>
      </c>
      <c r="I514" s="56">
        <f t="shared" si="31"/>
        <v>-10.353045184582832</v>
      </c>
      <c r="J514" s="56">
        <f t="shared" si="32"/>
        <v>120405.86939282711</v>
      </c>
      <c r="K514" s="56">
        <f t="shared" si="33"/>
        <v>552325.10101233842</v>
      </c>
      <c r="T514" s="83"/>
    </row>
    <row r="515" spans="2:20" x14ac:dyDescent="0.2">
      <c r="B515" s="83"/>
      <c r="C515" s="56">
        <v>476</v>
      </c>
      <c r="D515" s="56">
        <v>19548.418055870614</v>
      </c>
      <c r="E515" s="56">
        <v>3.9628091344182836</v>
      </c>
      <c r="F515" s="56">
        <v>12753.651919513453</v>
      </c>
      <c r="G515" s="56">
        <v>11.408557480103457</v>
      </c>
      <c r="H515" s="56">
        <f t="shared" si="30"/>
        <v>6794.7661363571606</v>
      </c>
      <c r="I515" s="56">
        <f t="shared" si="31"/>
        <v>-7.4457483456851739</v>
      </c>
      <c r="J515" s="56">
        <f t="shared" si="32"/>
        <v>144606.98752827238</v>
      </c>
      <c r="K515" s="56">
        <f t="shared" si="33"/>
        <v>459834.43313629215</v>
      </c>
      <c r="T515" s="83"/>
    </row>
    <row r="516" spans="2:20" x14ac:dyDescent="0.2">
      <c r="B516" s="83"/>
      <c r="C516" s="56">
        <v>477</v>
      </c>
      <c r="D516" s="56">
        <v>17898.336555512578</v>
      </c>
      <c r="E516" s="56">
        <v>4.8770985372470346</v>
      </c>
      <c r="F516" s="56">
        <v>6606.4061130200189</v>
      </c>
      <c r="G516" s="56">
        <v>8.5731570838625863</v>
      </c>
      <c r="H516" s="56">
        <f t="shared" si="30"/>
        <v>11291.930442492559</v>
      </c>
      <c r="I516" s="56">
        <f t="shared" si="31"/>
        <v>-3.6960585466155518</v>
      </c>
      <c r="J516" s="56">
        <f t="shared" si="32"/>
        <v>184130.5932514086</v>
      </c>
      <c r="K516" s="56">
        <f t="shared" si="33"/>
        <v>348528.05292890372</v>
      </c>
      <c r="T516" s="83"/>
    </row>
    <row r="517" spans="2:20" x14ac:dyDescent="0.2">
      <c r="B517" s="83"/>
      <c r="C517" s="56">
        <v>478</v>
      </c>
      <c r="D517" s="56">
        <v>7091.5186133166826</v>
      </c>
      <c r="E517" s="56">
        <v>1.3496751719872284</v>
      </c>
      <c r="F517" s="56">
        <v>17284.93217561414</v>
      </c>
      <c r="G517" s="56">
        <v>15.683581361419826</v>
      </c>
      <c r="H517" s="56">
        <f t="shared" si="30"/>
        <v>-10193.413562297457</v>
      </c>
      <c r="I517" s="56">
        <f t="shared" si="31"/>
        <v>-14.333906189432597</v>
      </c>
      <c r="J517" s="56">
        <f t="shared" si="32"/>
        <v>48817.425711082265</v>
      </c>
      <c r="K517" s="56">
        <f t="shared" si="33"/>
        <v>632391.74213984073</v>
      </c>
      <c r="T517" s="83"/>
    </row>
    <row r="518" spans="2:20" x14ac:dyDescent="0.2">
      <c r="B518" s="83"/>
      <c r="C518" s="56">
        <v>479</v>
      </c>
      <c r="D518" s="56">
        <v>17157.310474447695</v>
      </c>
      <c r="E518" s="56">
        <v>4.0062186607346932</v>
      </c>
      <c r="F518" s="56">
        <v>13005.986571628122</v>
      </c>
      <c r="G518" s="56">
        <v>11.414658491264866</v>
      </c>
      <c r="H518" s="56">
        <f t="shared" si="30"/>
        <v>4151.323902819573</v>
      </c>
      <c r="I518" s="56">
        <f t="shared" si="31"/>
        <v>-7.4084398305301731</v>
      </c>
      <c r="J518" s="56">
        <f t="shared" si="32"/>
        <v>148796.29132782624</v>
      </c>
      <c r="K518" s="56">
        <f t="shared" si="33"/>
        <v>459834.8267705277</v>
      </c>
      <c r="T518" s="83"/>
    </row>
    <row r="519" spans="2:20" x14ac:dyDescent="0.2">
      <c r="B519" s="83"/>
      <c r="C519" s="56">
        <v>480</v>
      </c>
      <c r="D519" s="56">
        <v>12667.734706526182</v>
      </c>
      <c r="E519" s="56">
        <v>2.3610453536308924</v>
      </c>
      <c r="F519" s="56">
        <v>15951.708244366269</v>
      </c>
      <c r="G519" s="56">
        <v>16.98940551092938</v>
      </c>
      <c r="H519" s="56">
        <f t="shared" si="30"/>
        <v>-3283.9735378400874</v>
      </c>
      <c r="I519" s="56">
        <f t="shared" si="31"/>
        <v>-14.628360157298488</v>
      </c>
      <c r="J519" s="56">
        <f t="shared" si="32"/>
        <v>85136.208022279898</v>
      </c>
      <c r="K519" s="56">
        <f t="shared" si="33"/>
        <v>687817.42564037244</v>
      </c>
      <c r="T519" s="83"/>
    </row>
    <row r="520" spans="2:20" x14ac:dyDescent="0.2">
      <c r="B520" s="83"/>
      <c r="C520" s="56">
        <v>481</v>
      </c>
      <c r="D520" s="56">
        <v>15512.229742602409</v>
      </c>
      <c r="E520" s="56">
        <v>3.1275831152431994</v>
      </c>
      <c r="F520" s="56">
        <v>13032.768844242381</v>
      </c>
      <c r="G520" s="56">
        <v>10.413446531435801</v>
      </c>
      <c r="H520" s="56">
        <f t="shared" si="30"/>
        <v>2479.4608983600283</v>
      </c>
      <c r="I520" s="56">
        <f t="shared" si="31"/>
        <v>-7.2858634161926012</v>
      </c>
      <c r="J520" s="56">
        <f t="shared" si="32"/>
        <v>114044.7732232319</v>
      </c>
      <c r="K520" s="56">
        <f t="shared" si="33"/>
        <v>418333.84027395421</v>
      </c>
      <c r="T520" s="83"/>
    </row>
    <row r="521" spans="2:20" x14ac:dyDescent="0.2">
      <c r="B521" s="83"/>
      <c r="C521" s="56">
        <v>482</v>
      </c>
      <c r="D521" s="56">
        <v>12974.365038064891</v>
      </c>
      <c r="E521" s="56">
        <v>3.6955084350618588</v>
      </c>
      <c r="F521" s="56">
        <v>15524.108033883806</v>
      </c>
      <c r="G521" s="56">
        <v>19.09562331326314</v>
      </c>
      <c r="H521" s="56">
        <f t="shared" si="30"/>
        <v>-2549.742995818915</v>
      </c>
      <c r="I521" s="56">
        <f t="shared" si="31"/>
        <v>-15.400114878201281</v>
      </c>
      <c r="J521" s="56">
        <f t="shared" si="32"/>
        <v>140108.37637593754</v>
      </c>
      <c r="K521" s="56">
        <f t="shared" si="33"/>
        <v>775492.9920947284</v>
      </c>
      <c r="T521" s="83"/>
    </row>
    <row r="522" spans="2:20" x14ac:dyDescent="0.2">
      <c r="B522" s="83"/>
      <c r="C522" s="56">
        <v>483</v>
      </c>
      <c r="D522" s="56">
        <v>14631.163490128787</v>
      </c>
      <c r="E522" s="56">
        <v>2.9454665202123271</v>
      </c>
      <c r="F522" s="56">
        <v>15935.827270557949</v>
      </c>
      <c r="G522" s="56">
        <v>16.352976361476156</v>
      </c>
      <c r="H522" s="56">
        <f t="shared" si="30"/>
        <v>-1304.6637804291622</v>
      </c>
      <c r="I522" s="56">
        <f t="shared" si="31"/>
        <v>-13.407509841263828</v>
      </c>
      <c r="J522" s="56">
        <f t="shared" si="32"/>
        <v>107381.84164314665</v>
      </c>
      <c r="K522" s="56">
        <f t="shared" si="33"/>
        <v>661469.86552723031</v>
      </c>
      <c r="T522" s="83"/>
    </row>
    <row r="523" spans="2:20" x14ac:dyDescent="0.2">
      <c r="B523" s="83"/>
      <c r="C523" s="56">
        <v>484</v>
      </c>
      <c r="D523" s="56">
        <v>10896.553489015667</v>
      </c>
      <c r="E523" s="56">
        <v>2.6875800712379623</v>
      </c>
      <c r="F523" s="56">
        <v>10215.838863207284</v>
      </c>
      <c r="G523" s="56">
        <v>10.677327358707045</v>
      </c>
      <c r="H523" s="56">
        <f t="shared" si="30"/>
        <v>680.71462580838306</v>
      </c>
      <c r="I523" s="56">
        <f t="shared" si="31"/>
        <v>-7.9897472874690827</v>
      </c>
      <c r="J523" s="56">
        <f t="shared" si="32"/>
        <v>100433.76338194568</v>
      </c>
      <c r="K523" s="56">
        <f t="shared" si="33"/>
        <v>432081.76964387333</v>
      </c>
      <c r="T523" s="83"/>
    </row>
    <row r="524" spans="2:20" x14ac:dyDescent="0.2">
      <c r="B524" s="83"/>
      <c r="C524" s="56">
        <v>485</v>
      </c>
      <c r="D524" s="56">
        <v>12398.20240885143</v>
      </c>
      <c r="E524" s="56">
        <v>2.203417039905692</v>
      </c>
      <c r="F524" s="56">
        <v>25165.315082126905</v>
      </c>
      <c r="G524" s="56">
        <v>21.612624742263893</v>
      </c>
      <c r="H524" s="56">
        <f t="shared" si="30"/>
        <v>-12767.112673275475</v>
      </c>
      <c r="I524" s="56">
        <f t="shared" si="31"/>
        <v>-19.409207702358202</v>
      </c>
      <c r="J524" s="56">
        <f t="shared" si="32"/>
        <v>78876.145052201959</v>
      </c>
      <c r="K524" s="56">
        <f t="shared" si="33"/>
        <v>870116.05224141269</v>
      </c>
      <c r="T524" s="83"/>
    </row>
    <row r="525" spans="2:20" x14ac:dyDescent="0.2">
      <c r="B525" s="83"/>
      <c r="C525" s="56">
        <v>486</v>
      </c>
      <c r="D525" s="56">
        <v>15893.805448532474</v>
      </c>
      <c r="E525" s="56">
        <v>4.2821573936049901</v>
      </c>
      <c r="F525" s="56">
        <v>12803.404971300894</v>
      </c>
      <c r="G525" s="56">
        <v>15.670065821878861</v>
      </c>
      <c r="H525" s="56">
        <f t="shared" si="30"/>
        <v>3090.4004772315802</v>
      </c>
      <c r="I525" s="56">
        <f t="shared" si="31"/>
        <v>-11.387908428273871</v>
      </c>
      <c r="J525" s="56">
        <f t="shared" si="32"/>
        <v>161490.28242416063</v>
      </c>
      <c r="K525" s="56">
        <f t="shared" si="33"/>
        <v>636313.40163420909</v>
      </c>
      <c r="T525" s="83"/>
    </row>
    <row r="526" spans="2:20" x14ac:dyDescent="0.2">
      <c r="B526" s="83"/>
      <c r="C526" s="56">
        <v>487</v>
      </c>
      <c r="D526" s="56">
        <v>17847.173523158981</v>
      </c>
      <c r="E526" s="56">
        <v>3.6965316611828225</v>
      </c>
      <c r="F526" s="56">
        <v>12888.004477929526</v>
      </c>
      <c r="G526" s="56">
        <v>12.341630267346524</v>
      </c>
      <c r="H526" s="56">
        <f t="shared" si="30"/>
        <v>4959.1690452294552</v>
      </c>
      <c r="I526" s="56">
        <f t="shared" si="31"/>
        <v>-8.6450986061637014</v>
      </c>
      <c r="J526" s="56">
        <f t="shared" si="32"/>
        <v>135277.95400967827</v>
      </c>
      <c r="K526" s="56">
        <f t="shared" si="33"/>
        <v>498351.68771663291</v>
      </c>
      <c r="T526" s="83"/>
    </row>
    <row r="527" spans="2:20" x14ac:dyDescent="0.2">
      <c r="B527" s="83"/>
      <c r="C527" s="56">
        <v>488</v>
      </c>
      <c r="D527" s="56">
        <v>11395.97086589141</v>
      </c>
      <c r="E527" s="56">
        <v>1.8797354948879001</v>
      </c>
      <c r="F527" s="56">
        <v>11495.852995276344</v>
      </c>
      <c r="G527" s="56">
        <v>10.907204431689017</v>
      </c>
      <c r="H527" s="56">
        <f t="shared" si="30"/>
        <v>-99.88212938493416</v>
      </c>
      <c r="I527" s="56">
        <f t="shared" si="31"/>
        <v>-9.0274689368011174</v>
      </c>
      <c r="J527" s="56">
        <f t="shared" si="32"/>
        <v>66470.192274344969</v>
      </c>
      <c r="K527" s="56">
        <f t="shared" si="33"/>
        <v>440324.18338300951</v>
      </c>
      <c r="T527" s="83"/>
    </row>
    <row r="528" spans="2:20" x14ac:dyDescent="0.2">
      <c r="B528" s="83"/>
      <c r="C528" s="56">
        <v>489</v>
      </c>
      <c r="D528" s="56">
        <v>13279.061785551812</v>
      </c>
      <c r="E528" s="56">
        <v>3.0555160293818053</v>
      </c>
      <c r="F528" s="56">
        <v>9621.2701495304409</v>
      </c>
      <c r="G528" s="56">
        <v>10.500783451763905</v>
      </c>
      <c r="H528" s="56">
        <f t="shared" si="30"/>
        <v>3657.7916360213712</v>
      </c>
      <c r="I528" s="56">
        <f t="shared" si="31"/>
        <v>-7.4452674223820994</v>
      </c>
      <c r="J528" s="56">
        <f t="shared" si="32"/>
        <v>113292.6342155601</v>
      </c>
      <c r="K528" s="56">
        <f t="shared" si="33"/>
        <v>425363.18355633755</v>
      </c>
      <c r="T528" s="83"/>
    </row>
    <row r="529" spans="2:20" x14ac:dyDescent="0.2">
      <c r="B529" s="83"/>
      <c r="C529" s="56">
        <v>490</v>
      </c>
      <c r="D529" s="56">
        <v>16915.794337220603</v>
      </c>
      <c r="E529" s="56">
        <v>3.2483890539404889</v>
      </c>
      <c r="F529" s="56">
        <v>15275.85606262048</v>
      </c>
      <c r="G529" s="56">
        <v>13.941187540499415</v>
      </c>
      <c r="H529" s="56">
        <f t="shared" si="30"/>
        <v>1639.9382746001229</v>
      </c>
      <c r="I529" s="56">
        <f t="shared" si="31"/>
        <v>-10.692798486558926</v>
      </c>
      <c r="J529" s="56">
        <f t="shared" si="32"/>
        <v>117645.47383321021</v>
      </c>
      <c r="K529" s="56">
        <f t="shared" si="33"/>
        <v>562223.89661502722</v>
      </c>
      <c r="T529" s="83"/>
    </row>
    <row r="530" spans="2:20" x14ac:dyDescent="0.2">
      <c r="B530" s="83"/>
      <c r="C530" s="56">
        <v>491</v>
      </c>
      <c r="D530" s="56">
        <v>17428.887000222749</v>
      </c>
      <c r="E530" s="56">
        <v>4.1092790772504326</v>
      </c>
      <c r="F530" s="56">
        <v>12934.557193828479</v>
      </c>
      <c r="G530" s="56">
        <v>13.264972385259238</v>
      </c>
      <c r="H530" s="56">
        <f t="shared" si="30"/>
        <v>4494.3298063942693</v>
      </c>
      <c r="I530" s="56">
        <f t="shared" si="31"/>
        <v>-9.1556933080088054</v>
      </c>
      <c r="J530" s="56">
        <f t="shared" si="32"/>
        <v>152793.88949579917</v>
      </c>
      <c r="K530" s="56">
        <f t="shared" si="33"/>
        <v>536553.65889315016</v>
      </c>
      <c r="T530" s="83"/>
    </row>
    <row r="531" spans="2:20" x14ac:dyDescent="0.2">
      <c r="B531" s="83"/>
      <c r="C531" s="56">
        <v>492</v>
      </c>
      <c r="D531" s="56">
        <v>10968.691204196621</v>
      </c>
      <c r="E531" s="56">
        <v>2.7091281428711733</v>
      </c>
      <c r="F531" s="56">
        <v>9343.3291554801126</v>
      </c>
      <c r="G531" s="56">
        <v>9.372001006095811</v>
      </c>
      <c r="H531" s="56">
        <f t="shared" si="30"/>
        <v>1625.3620487165081</v>
      </c>
      <c r="I531" s="56">
        <f t="shared" si="31"/>
        <v>-6.6628728632246377</v>
      </c>
      <c r="J531" s="56">
        <f t="shared" si="32"/>
        <v>101254.23298609885</v>
      </c>
      <c r="K531" s="56">
        <f t="shared" si="33"/>
        <v>378882.44052103272</v>
      </c>
      <c r="T531" s="83"/>
    </row>
    <row r="532" spans="2:20" x14ac:dyDescent="0.2">
      <c r="B532" s="83"/>
      <c r="C532" s="56">
        <v>493</v>
      </c>
      <c r="D532" s="56">
        <v>18211.959400876094</v>
      </c>
      <c r="E532" s="56">
        <v>3.3409382676704422</v>
      </c>
      <c r="F532" s="56">
        <v>13389.735718589109</v>
      </c>
      <c r="G532" s="56">
        <v>12.826406760087439</v>
      </c>
      <c r="H532" s="56">
        <f t="shared" si="30"/>
        <v>4822.2236822869854</v>
      </c>
      <c r="I532" s="56">
        <f t="shared" si="31"/>
        <v>-9.485468492416997</v>
      </c>
      <c r="J532" s="56">
        <f t="shared" si="32"/>
        <v>120183.06739910431</v>
      </c>
      <c r="K532" s="56">
        <f t="shared" si="33"/>
        <v>517931.33791127295</v>
      </c>
      <c r="T532" s="83"/>
    </row>
    <row r="533" spans="2:20" x14ac:dyDescent="0.2">
      <c r="B533" s="83"/>
      <c r="C533" s="56">
        <v>494</v>
      </c>
      <c r="D533" s="56">
        <v>14916.41205657028</v>
      </c>
      <c r="E533" s="56">
        <v>2.054523652812684</v>
      </c>
      <c r="F533" s="56">
        <v>8953.2903933891666</v>
      </c>
      <c r="G533" s="56">
        <v>6.1210726000026572</v>
      </c>
      <c r="H533" s="56">
        <f t="shared" si="30"/>
        <v>5963.121663181113</v>
      </c>
      <c r="I533" s="56">
        <f t="shared" si="31"/>
        <v>-4.0665489471899736</v>
      </c>
      <c r="J533" s="56">
        <f t="shared" si="32"/>
        <v>70190.175737542348</v>
      </c>
      <c r="K533" s="56">
        <f t="shared" si="33"/>
        <v>244606.02098912088</v>
      </c>
      <c r="T533" s="83"/>
    </row>
    <row r="534" spans="2:20" x14ac:dyDescent="0.2">
      <c r="B534" s="83"/>
      <c r="C534" s="56">
        <v>495</v>
      </c>
      <c r="D534" s="56">
        <v>16782.112266749988</v>
      </c>
      <c r="E534" s="56">
        <v>3.449231934385721</v>
      </c>
      <c r="F534" s="56">
        <v>20099.654674245372</v>
      </c>
      <c r="G534" s="56">
        <v>20.909674909346279</v>
      </c>
      <c r="H534" s="56">
        <f t="shared" si="30"/>
        <v>-3317.5424074953844</v>
      </c>
      <c r="I534" s="56">
        <f t="shared" si="31"/>
        <v>-17.460442974960557</v>
      </c>
      <c r="J534" s="56">
        <f t="shared" si="32"/>
        <v>126098.87138324411</v>
      </c>
      <c r="K534" s="56">
        <f t="shared" si="33"/>
        <v>846062.71877051482</v>
      </c>
      <c r="T534" s="83"/>
    </row>
    <row r="535" spans="2:20" x14ac:dyDescent="0.2">
      <c r="B535" s="83"/>
      <c r="C535" s="56">
        <v>496</v>
      </c>
      <c r="D535" s="56">
        <v>19049.684924538426</v>
      </c>
      <c r="E535" s="56">
        <v>3.8503321647483615</v>
      </c>
      <c r="F535" s="56">
        <v>16890.825105566713</v>
      </c>
      <c r="G535" s="56">
        <v>13.993398117674088</v>
      </c>
      <c r="H535" s="56">
        <f t="shared" si="30"/>
        <v>2158.8598189717122</v>
      </c>
      <c r="I535" s="56">
        <f t="shared" si="31"/>
        <v>-10.143065952925728</v>
      </c>
      <c r="J535" s="56">
        <f t="shared" si="32"/>
        <v>140446.47466799771</v>
      </c>
      <c r="K535" s="56">
        <f t="shared" si="33"/>
        <v>562771.69852096471</v>
      </c>
      <c r="T535" s="83"/>
    </row>
    <row r="536" spans="2:20" x14ac:dyDescent="0.2">
      <c r="B536" s="83"/>
      <c r="C536" s="56">
        <v>497</v>
      </c>
      <c r="D536" s="56">
        <v>20751.544916110448</v>
      </c>
      <c r="E536" s="56">
        <v>4.0811902828379889</v>
      </c>
      <c r="F536" s="56">
        <v>2611.731864481746</v>
      </c>
      <c r="G536" s="56">
        <v>2.6064106968308427</v>
      </c>
      <c r="H536" s="56">
        <f t="shared" si="30"/>
        <v>18139.813051628702</v>
      </c>
      <c r="I536" s="56">
        <f t="shared" si="31"/>
        <v>1.4747795860071462</v>
      </c>
      <c r="J536" s="56">
        <f t="shared" si="32"/>
        <v>148307.68136017042</v>
      </c>
      <c r="K536" s="56">
        <f t="shared" si="33"/>
        <v>105356.22484103909</v>
      </c>
      <c r="T536" s="83"/>
    </row>
    <row r="537" spans="2:20" x14ac:dyDescent="0.2">
      <c r="B537" s="83"/>
      <c r="C537" s="56">
        <v>498</v>
      </c>
      <c r="D537" s="56">
        <v>23857.563590244594</v>
      </c>
      <c r="E537" s="56">
        <v>4.5880914010147729</v>
      </c>
      <c r="F537" s="56">
        <v>20935.689508949552</v>
      </c>
      <c r="G537" s="56">
        <v>21.511568126424155</v>
      </c>
      <c r="H537" s="56">
        <f t="shared" si="30"/>
        <v>2921.8740812950418</v>
      </c>
      <c r="I537" s="56">
        <f t="shared" si="31"/>
        <v>-16.923476725409383</v>
      </c>
      <c r="J537" s="56">
        <f t="shared" si="32"/>
        <v>166199.53460539135</v>
      </c>
      <c r="K537" s="56">
        <f t="shared" si="33"/>
        <v>870159.50856004469</v>
      </c>
      <c r="T537" s="83"/>
    </row>
    <row r="538" spans="2:20" x14ac:dyDescent="0.2">
      <c r="B538" s="83"/>
      <c r="C538" s="56">
        <v>499</v>
      </c>
      <c r="D538" s="56">
        <v>14044.299995254403</v>
      </c>
      <c r="E538" s="56">
        <v>2.6442864723843962</v>
      </c>
      <c r="F538" s="56">
        <v>16103.874964528894</v>
      </c>
      <c r="G538" s="56">
        <v>15.003213173537628</v>
      </c>
      <c r="H538" s="56">
        <f t="shared" si="30"/>
        <v>-2059.5749692744903</v>
      </c>
      <c r="I538" s="56">
        <f t="shared" si="31"/>
        <v>-12.358926701153232</v>
      </c>
      <c r="J538" s="56">
        <f t="shared" si="32"/>
        <v>95492.622836796829</v>
      </c>
      <c r="K538" s="56">
        <f t="shared" si="33"/>
        <v>605389.22753609368</v>
      </c>
      <c r="T538" s="83"/>
    </row>
    <row r="539" spans="2:20" x14ac:dyDescent="0.2">
      <c r="B539" s="83"/>
      <c r="C539" s="56">
        <v>500</v>
      </c>
      <c r="D539" s="56">
        <v>11303.186455041248</v>
      </c>
      <c r="E539" s="56">
        <v>2.4029018369214934</v>
      </c>
      <c r="F539" s="56">
        <v>17236.475972024349</v>
      </c>
      <c r="G539" s="56">
        <v>16.783355351480569</v>
      </c>
      <c r="H539" s="56">
        <f t="shared" si="30"/>
        <v>-5933.2895169831008</v>
      </c>
      <c r="I539" s="56">
        <f t="shared" si="31"/>
        <v>-14.380453514559076</v>
      </c>
      <c r="J539" s="56">
        <f t="shared" si="32"/>
        <v>88234.619237594699</v>
      </c>
      <c r="K539" s="56">
        <f t="shared" si="33"/>
        <v>677997.23610770667</v>
      </c>
      <c r="T539" s="83"/>
    </row>
    <row r="540" spans="2:20" x14ac:dyDescent="0.2">
      <c r="B540" s="83"/>
      <c r="C540" s="56">
        <v>501</v>
      </c>
      <c r="D540" s="56">
        <v>16108.014747813622</v>
      </c>
      <c r="E540" s="56">
        <v>4.1117614036534729</v>
      </c>
      <c r="F540" s="56">
        <v>19774.329911395947</v>
      </c>
      <c r="G540" s="56">
        <v>22.344850177932681</v>
      </c>
      <c r="H540" s="56">
        <f t="shared" si="30"/>
        <v>-3666.3151635823251</v>
      </c>
      <c r="I540" s="56">
        <f t="shared" si="31"/>
        <v>-18.23308877427921</v>
      </c>
      <c r="J540" s="56">
        <f t="shared" si="32"/>
        <v>154217.58963712782</v>
      </c>
      <c r="K540" s="56">
        <f t="shared" si="33"/>
        <v>905838.74385928747</v>
      </c>
      <c r="T540" s="83"/>
    </row>
    <row r="541" spans="2:20" x14ac:dyDescent="0.2">
      <c r="B541" s="83"/>
      <c r="C541" s="56">
        <v>502</v>
      </c>
      <c r="D541" s="56">
        <v>8250.2027270099916</v>
      </c>
      <c r="E541" s="56">
        <v>1.9933848815458843</v>
      </c>
      <c r="F541" s="56">
        <v>10080.639615351947</v>
      </c>
      <c r="G541" s="56">
        <v>9.6516326460640158</v>
      </c>
      <c r="H541" s="56">
        <f t="shared" si="30"/>
        <v>-1830.4368883419556</v>
      </c>
      <c r="I541" s="56">
        <f t="shared" si="31"/>
        <v>-7.6582477645181317</v>
      </c>
      <c r="J541" s="56">
        <f t="shared" si="32"/>
        <v>74323.772606146726</v>
      </c>
      <c r="K541" s="56">
        <f t="shared" si="33"/>
        <v>389728.5911152038</v>
      </c>
      <c r="T541" s="83"/>
    </row>
    <row r="542" spans="2:20" x14ac:dyDescent="0.2">
      <c r="B542" s="83"/>
      <c r="C542" s="56">
        <v>503</v>
      </c>
      <c r="D542" s="56">
        <v>13164.626683883471</v>
      </c>
      <c r="E542" s="56">
        <v>3.1906984449256166</v>
      </c>
      <c r="F542" s="56">
        <v>11337.444256509996</v>
      </c>
      <c r="G542" s="56">
        <v>12.096994108822804</v>
      </c>
      <c r="H542" s="56">
        <f t="shared" si="30"/>
        <v>1827.1824273734746</v>
      </c>
      <c r="I542" s="56">
        <f t="shared" si="31"/>
        <v>-8.9062956638971862</v>
      </c>
      <c r="J542" s="56">
        <f t="shared" si="32"/>
        <v>119006.86569871528</v>
      </c>
      <c r="K542" s="56">
        <f t="shared" si="33"/>
        <v>489768.43970736582</v>
      </c>
      <c r="T542" s="83"/>
    </row>
    <row r="543" spans="2:20" x14ac:dyDescent="0.2">
      <c r="B543" s="83"/>
      <c r="C543" s="56">
        <v>504</v>
      </c>
      <c r="D543" s="56">
        <v>14657.324887149201</v>
      </c>
      <c r="E543" s="56">
        <v>3.8713332292669893</v>
      </c>
      <c r="F543" s="56">
        <v>16820.701547011162</v>
      </c>
      <c r="G543" s="56">
        <v>20.694534702657361</v>
      </c>
      <c r="H543" s="56">
        <f t="shared" si="30"/>
        <v>-2163.3766598619604</v>
      </c>
      <c r="I543" s="56">
        <f t="shared" si="31"/>
        <v>-16.82320147339037</v>
      </c>
      <c r="J543" s="56">
        <f t="shared" si="32"/>
        <v>145708.78280200655</v>
      </c>
      <c r="K543" s="56">
        <f t="shared" si="33"/>
        <v>840429.70397586736</v>
      </c>
      <c r="T543" s="83"/>
    </row>
    <row r="544" spans="2:20" x14ac:dyDescent="0.2">
      <c r="B544" s="83"/>
      <c r="C544" s="56">
        <v>505</v>
      </c>
      <c r="D544" s="56">
        <v>24082.947294609021</v>
      </c>
      <c r="E544" s="56">
        <v>3.9407277234394247</v>
      </c>
      <c r="F544" s="56">
        <v>12683.053624538417</v>
      </c>
      <c r="G544" s="56">
        <v>9.9258987680773192</v>
      </c>
      <c r="H544" s="56">
        <f t="shared" si="30"/>
        <v>11399.893670070604</v>
      </c>
      <c r="I544" s="56">
        <f t="shared" si="31"/>
        <v>-5.9851710446378945</v>
      </c>
      <c r="J544" s="56">
        <f t="shared" si="32"/>
        <v>139157.75792114571</v>
      </c>
      <c r="K544" s="56">
        <f t="shared" si="33"/>
        <v>398487.37694429647</v>
      </c>
      <c r="T544" s="83"/>
    </row>
    <row r="545" spans="2:20" x14ac:dyDescent="0.2">
      <c r="B545" s="83"/>
      <c r="C545" s="56">
        <v>506</v>
      </c>
      <c r="D545" s="56">
        <v>7380.7512069005588</v>
      </c>
      <c r="E545" s="56">
        <v>1.7023361471644423</v>
      </c>
      <c r="F545" s="56">
        <v>12902.81479635707</v>
      </c>
      <c r="G545" s="56">
        <v>16.367746832429258</v>
      </c>
      <c r="H545" s="56">
        <f t="shared" si="30"/>
        <v>-5522.0635894565112</v>
      </c>
      <c r="I545" s="56">
        <f t="shared" si="31"/>
        <v>-14.665410685264817</v>
      </c>
      <c r="J545" s="56">
        <f t="shared" si="32"/>
        <v>63136.821353239298</v>
      </c>
      <c r="K545" s="56">
        <f t="shared" si="33"/>
        <v>665114.72999019257</v>
      </c>
      <c r="T545" s="83"/>
    </row>
    <row r="546" spans="2:20" x14ac:dyDescent="0.2">
      <c r="B546" s="83"/>
      <c r="C546" s="56">
        <v>507</v>
      </c>
      <c r="D546" s="56">
        <v>14106.916584105236</v>
      </c>
      <c r="E546" s="56">
        <v>2.5904015137712584</v>
      </c>
      <c r="F546" s="56">
        <v>16489.075410544334</v>
      </c>
      <c r="G546" s="56">
        <v>16.938962611935516</v>
      </c>
      <c r="H546" s="56">
        <f t="shared" si="30"/>
        <v>-2382.1588264390975</v>
      </c>
      <c r="I546" s="56">
        <f t="shared" si="31"/>
        <v>-14.348561098164257</v>
      </c>
      <c r="J546" s="56">
        <f t="shared" si="32"/>
        <v>93197.875722355369</v>
      </c>
      <c r="K546" s="56">
        <f t="shared" si="33"/>
        <v>685190.51182627247</v>
      </c>
      <c r="T546" s="83"/>
    </row>
    <row r="547" spans="2:20" x14ac:dyDescent="0.2">
      <c r="B547" s="83"/>
      <c r="C547" s="56">
        <v>508</v>
      </c>
      <c r="D547" s="56">
        <v>12633.979511510663</v>
      </c>
      <c r="E547" s="56">
        <v>3.6265918693082853</v>
      </c>
      <c r="F547" s="56">
        <v>13668.152137072933</v>
      </c>
      <c r="G547" s="56">
        <v>17.552209690152434</v>
      </c>
      <c r="H547" s="56">
        <f t="shared" si="30"/>
        <v>-1034.1726255622707</v>
      </c>
      <c r="I547" s="56">
        <f t="shared" si="31"/>
        <v>-13.925617820844149</v>
      </c>
      <c r="J547" s="56">
        <f t="shared" si="32"/>
        <v>137593.96208271573</v>
      </c>
      <c r="K547" s="56">
        <f t="shared" si="33"/>
        <v>713414.5820678015</v>
      </c>
      <c r="T547" s="83"/>
    </row>
    <row r="548" spans="2:20" x14ac:dyDescent="0.2">
      <c r="B548" s="83"/>
      <c r="C548" s="56">
        <v>509</v>
      </c>
      <c r="D548" s="56">
        <v>14046.976398786588</v>
      </c>
      <c r="E548" s="56">
        <v>2.8830165031142494</v>
      </c>
      <c r="F548" s="56">
        <v>14621.131487248667</v>
      </c>
      <c r="G548" s="56">
        <v>16.141013181309738</v>
      </c>
      <c r="H548" s="56">
        <f t="shared" si="30"/>
        <v>-574.15508846207922</v>
      </c>
      <c r="I548" s="56">
        <f t="shared" si="31"/>
        <v>-13.257996678195489</v>
      </c>
      <c r="J548" s="56">
        <f t="shared" si="32"/>
        <v>105379.09922621808</v>
      </c>
      <c r="K548" s="56">
        <f t="shared" si="33"/>
        <v>654004.19853532594</v>
      </c>
      <c r="T548" s="83"/>
    </row>
    <row r="549" spans="2:20" x14ac:dyDescent="0.2">
      <c r="B549" s="83"/>
      <c r="C549" s="56">
        <v>510</v>
      </c>
      <c r="D549" s="56">
        <v>13271.413593856714</v>
      </c>
      <c r="E549" s="56">
        <v>3.8181857354704882</v>
      </c>
      <c r="F549" s="56">
        <v>15661.91800848729</v>
      </c>
      <c r="G549" s="56">
        <v>19.022059886248812</v>
      </c>
      <c r="H549" s="56">
        <f t="shared" si="30"/>
        <v>-2390.5044146305754</v>
      </c>
      <c r="I549" s="56">
        <f t="shared" si="31"/>
        <v>-15.203874150778324</v>
      </c>
      <c r="J549" s="56">
        <f t="shared" si="32"/>
        <v>144893.1123122728</v>
      </c>
      <c r="K549" s="56">
        <f t="shared" si="33"/>
        <v>772307.89071948349</v>
      </c>
      <c r="T549" s="83"/>
    </row>
    <row r="550" spans="2:20" x14ac:dyDescent="0.2">
      <c r="B550" s="83"/>
      <c r="C550" s="56">
        <v>511</v>
      </c>
      <c r="D550" s="56">
        <v>26889.761446368411</v>
      </c>
      <c r="E550" s="56">
        <v>4.528333085706409</v>
      </c>
      <c r="F550" s="56">
        <v>15855.471274947178</v>
      </c>
      <c r="G550" s="56">
        <v>13.180110454265474</v>
      </c>
      <c r="H550" s="56">
        <f t="shared" si="30"/>
        <v>11034.290171421233</v>
      </c>
      <c r="I550" s="56">
        <f t="shared" si="31"/>
        <v>-8.6517773685590651</v>
      </c>
      <c r="J550" s="56">
        <f t="shared" si="32"/>
        <v>160691.90829593388</v>
      </c>
      <c r="K550" s="56">
        <f t="shared" si="33"/>
        <v>530117.42418254586</v>
      </c>
      <c r="T550" s="83"/>
    </row>
    <row r="551" spans="2:20" x14ac:dyDescent="0.2">
      <c r="B551" s="83"/>
      <c r="C551" s="56">
        <v>512</v>
      </c>
      <c r="D551" s="56">
        <v>13553.103240316461</v>
      </c>
      <c r="E551" s="56">
        <v>2.6933186592720317</v>
      </c>
      <c r="F551" s="56">
        <v>16952.901374317964</v>
      </c>
      <c r="G551" s="56">
        <v>18.687543566623155</v>
      </c>
      <c r="H551" s="56">
        <f t="shared" si="30"/>
        <v>-3399.7981340015031</v>
      </c>
      <c r="I551" s="56">
        <f t="shared" si="31"/>
        <v>-15.994224907351123</v>
      </c>
      <c r="J551" s="56">
        <f t="shared" si="32"/>
        <v>98014.928901368185</v>
      </c>
      <c r="K551" s="56">
        <f t="shared" si="33"/>
        <v>757159.90332947962</v>
      </c>
      <c r="T551" s="83"/>
    </row>
    <row r="552" spans="2:20" x14ac:dyDescent="0.2">
      <c r="B552" s="83"/>
      <c r="C552" s="56">
        <v>513</v>
      </c>
      <c r="D552" s="56">
        <v>9736.0278240639818</v>
      </c>
      <c r="E552" s="56">
        <v>2.3339893828785989</v>
      </c>
      <c r="F552" s="56">
        <v>17917.35894480826</v>
      </c>
      <c r="G552" s="56">
        <v>19.649071129412981</v>
      </c>
      <c r="H552" s="56">
        <f t="shared" ref="H552:H615" si="34">IF($C552&lt;=No_of_iterations_PSA,D552-$F552,"")</f>
        <v>-8181.3311207442785</v>
      </c>
      <c r="I552" s="56">
        <f t="shared" ref="I552:I615" si="35">IF($C552&lt;=No_of_iterations_PSA,E552-$G552,"")</f>
        <v>-17.315081746534382</v>
      </c>
      <c r="J552" s="56">
        <f t="shared" ref="J552:J615" si="36">IF($C552&lt;=No_of_iterations_PSA,E552*WTP-D552,"")</f>
        <v>86947.148372299096</v>
      </c>
      <c r="K552" s="56">
        <f t="shared" ref="K552:K615" si="37">IF($C552&lt;=No_of_iterations_PSA,G552*WTP-F552,"")</f>
        <v>796025.76351999503</v>
      </c>
      <c r="T552" s="83"/>
    </row>
    <row r="553" spans="2:20" x14ac:dyDescent="0.2">
      <c r="B553" s="83"/>
      <c r="C553" s="56">
        <v>514</v>
      </c>
      <c r="D553" s="56">
        <v>23967.476958914351</v>
      </c>
      <c r="E553" s="56">
        <v>5.2275154881030224</v>
      </c>
      <c r="F553" s="56">
        <v>11994.825733950587</v>
      </c>
      <c r="G553" s="56">
        <v>11.918782608523175</v>
      </c>
      <c r="H553" s="56">
        <f t="shared" si="34"/>
        <v>11972.651224963764</v>
      </c>
      <c r="I553" s="56">
        <f t="shared" si="35"/>
        <v>-6.6912671204201528</v>
      </c>
      <c r="J553" s="56">
        <f t="shared" si="36"/>
        <v>192577.12462026527</v>
      </c>
      <c r="K553" s="56">
        <f t="shared" si="37"/>
        <v>481728.82504151342</v>
      </c>
      <c r="T553" s="83"/>
    </row>
    <row r="554" spans="2:20" x14ac:dyDescent="0.2">
      <c r="B554" s="83"/>
      <c r="C554" s="56">
        <v>515</v>
      </c>
      <c r="D554" s="56">
        <v>11922.80928325577</v>
      </c>
      <c r="E554" s="56">
        <v>2.2445968725164258</v>
      </c>
      <c r="F554" s="56">
        <v>15963.310111095447</v>
      </c>
      <c r="G554" s="56">
        <v>20.238833406733431</v>
      </c>
      <c r="H554" s="56">
        <f t="shared" si="34"/>
        <v>-4040.5008278396763</v>
      </c>
      <c r="I554" s="56">
        <f t="shared" si="35"/>
        <v>-17.994236534217006</v>
      </c>
      <c r="J554" s="56">
        <f t="shared" si="36"/>
        <v>81057.371563864654</v>
      </c>
      <c r="K554" s="56">
        <f t="shared" si="37"/>
        <v>822410.1249294302</v>
      </c>
      <c r="T554" s="83"/>
    </row>
    <row r="555" spans="2:20" x14ac:dyDescent="0.2">
      <c r="B555" s="83"/>
      <c r="C555" s="56">
        <v>516</v>
      </c>
      <c r="D555" s="56">
        <v>9996.3248514568586</v>
      </c>
      <c r="E555" s="56">
        <v>2.3746872654085451</v>
      </c>
      <c r="F555" s="56">
        <v>16431.033522856367</v>
      </c>
      <c r="G555" s="56">
        <v>19.422207231845601</v>
      </c>
      <c r="H555" s="56">
        <f t="shared" si="34"/>
        <v>-6434.7086713995086</v>
      </c>
      <c r="I555" s="56">
        <f t="shared" si="35"/>
        <v>-17.047519966437054</v>
      </c>
      <c r="J555" s="56">
        <f t="shared" si="36"/>
        <v>88372.720430826725</v>
      </c>
      <c r="K555" s="56">
        <f t="shared" si="37"/>
        <v>788114.47884911578</v>
      </c>
      <c r="T555" s="83"/>
    </row>
    <row r="556" spans="2:20" x14ac:dyDescent="0.2">
      <c r="B556" s="83"/>
      <c r="C556" s="56">
        <v>517</v>
      </c>
      <c r="D556" s="56">
        <v>16756.148200226533</v>
      </c>
      <c r="E556" s="56">
        <v>2.9390801990371465</v>
      </c>
      <c r="F556" s="56">
        <v>18030.941950146298</v>
      </c>
      <c r="G556" s="56">
        <v>16.142904798984951</v>
      </c>
      <c r="H556" s="56">
        <f t="shared" si="34"/>
        <v>-1274.7937499197651</v>
      </c>
      <c r="I556" s="56">
        <f t="shared" si="35"/>
        <v>-13.203824599947804</v>
      </c>
      <c r="J556" s="56">
        <f t="shared" si="36"/>
        <v>104992.30996468823</v>
      </c>
      <c r="K556" s="56">
        <f t="shared" si="37"/>
        <v>650672.74644300621</v>
      </c>
      <c r="T556" s="83"/>
    </row>
    <row r="557" spans="2:20" x14ac:dyDescent="0.2">
      <c r="B557" s="83"/>
      <c r="C557" s="56">
        <v>518</v>
      </c>
      <c r="D557" s="56">
        <v>17167.648240721199</v>
      </c>
      <c r="E557" s="56">
        <v>3.5534240071708609</v>
      </c>
      <c r="F557" s="56">
        <v>15343.283977474732</v>
      </c>
      <c r="G557" s="56">
        <v>12.143182720686355</v>
      </c>
      <c r="H557" s="56">
        <f t="shared" si="34"/>
        <v>1824.3642632464671</v>
      </c>
      <c r="I557" s="56">
        <f t="shared" si="35"/>
        <v>-8.5897587135154936</v>
      </c>
      <c r="J557" s="56">
        <f t="shared" si="36"/>
        <v>130029.38783232454</v>
      </c>
      <c r="K557" s="56">
        <f t="shared" si="37"/>
        <v>487675.91704423685</v>
      </c>
      <c r="T557" s="83"/>
    </row>
    <row r="558" spans="2:20" x14ac:dyDescent="0.2">
      <c r="B558" s="83"/>
      <c r="C558" s="56">
        <v>519</v>
      </c>
      <c r="D558" s="56">
        <v>12912.328711874508</v>
      </c>
      <c r="E558" s="56">
        <v>2.4355317772553486</v>
      </c>
      <c r="F558" s="56">
        <v>16913.787056827652</v>
      </c>
      <c r="G558" s="56">
        <v>17.942004729597766</v>
      </c>
      <c r="H558" s="56">
        <f t="shared" si="34"/>
        <v>-4001.4583449531438</v>
      </c>
      <c r="I558" s="56">
        <f t="shared" si="35"/>
        <v>-15.506472952342417</v>
      </c>
      <c r="J558" s="56">
        <f t="shared" si="36"/>
        <v>87977.139629151061</v>
      </c>
      <c r="K558" s="56">
        <f t="shared" si="37"/>
        <v>726315.81686203019</v>
      </c>
      <c r="T558" s="83"/>
    </row>
    <row r="559" spans="2:20" x14ac:dyDescent="0.2">
      <c r="B559" s="83"/>
      <c r="C559" s="56">
        <v>520</v>
      </c>
      <c r="D559" s="56">
        <v>13380.13395451306</v>
      </c>
      <c r="E559" s="56">
        <v>2.3719638679038</v>
      </c>
      <c r="F559" s="56">
        <v>16518.316693062927</v>
      </c>
      <c r="G559" s="56">
        <v>13.425874977201232</v>
      </c>
      <c r="H559" s="56">
        <f t="shared" si="34"/>
        <v>-3138.1827385498673</v>
      </c>
      <c r="I559" s="56">
        <f t="shared" si="35"/>
        <v>-11.053911109297433</v>
      </c>
      <c r="J559" s="56">
        <f t="shared" si="36"/>
        <v>84876.097309533943</v>
      </c>
      <c r="K559" s="56">
        <f t="shared" si="37"/>
        <v>539635.12836252095</v>
      </c>
      <c r="T559" s="83"/>
    </row>
    <row r="560" spans="2:20" x14ac:dyDescent="0.2">
      <c r="B560" s="83"/>
      <c r="C560" s="56">
        <v>521</v>
      </c>
      <c r="D560" s="56">
        <v>14490.106665526055</v>
      </c>
      <c r="E560" s="56">
        <v>2.6650369063913155</v>
      </c>
      <c r="F560" s="56">
        <v>15311.762518375146</v>
      </c>
      <c r="G560" s="56">
        <v>14.600225136641887</v>
      </c>
      <c r="H560" s="56">
        <f t="shared" si="34"/>
        <v>-821.65585284909139</v>
      </c>
      <c r="I560" s="56">
        <f t="shared" si="35"/>
        <v>-11.935188230250571</v>
      </c>
      <c r="J560" s="56">
        <f t="shared" si="36"/>
        <v>95906.382144827803</v>
      </c>
      <c r="K560" s="56">
        <f t="shared" si="37"/>
        <v>589487.96354187839</v>
      </c>
      <c r="T560" s="83"/>
    </row>
    <row r="561" spans="2:20" x14ac:dyDescent="0.2">
      <c r="B561" s="83"/>
      <c r="C561" s="56">
        <v>522</v>
      </c>
      <c r="D561" s="56">
        <v>14211.736023689709</v>
      </c>
      <c r="E561" s="56">
        <v>3.5145017014874962</v>
      </c>
      <c r="F561" s="56">
        <v>15367.67555391448</v>
      </c>
      <c r="G561" s="56">
        <v>16.113806813658758</v>
      </c>
      <c r="H561" s="56">
        <f t="shared" si="34"/>
        <v>-1155.9395302247704</v>
      </c>
      <c r="I561" s="56">
        <f t="shared" si="35"/>
        <v>-12.599305112171262</v>
      </c>
      <c r="J561" s="56">
        <f t="shared" si="36"/>
        <v>131372.98245872834</v>
      </c>
      <c r="K561" s="56">
        <f t="shared" si="37"/>
        <v>652130.65789508587</v>
      </c>
      <c r="T561" s="83"/>
    </row>
    <row r="562" spans="2:20" x14ac:dyDescent="0.2">
      <c r="B562" s="83"/>
      <c r="C562" s="56">
        <v>523</v>
      </c>
      <c r="D562" s="56">
        <v>10418.369864287059</v>
      </c>
      <c r="E562" s="56">
        <v>2.738144867829595</v>
      </c>
      <c r="F562" s="56">
        <v>16793.630909608557</v>
      </c>
      <c r="G562" s="56">
        <v>18.452550749301178</v>
      </c>
      <c r="H562" s="56">
        <f t="shared" si="34"/>
        <v>-6375.2610453214984</v>
      </c>
      <c r="I562" s="56">
        <f t="shared" si="35"/>
        <v>-15.714405881471583</v>
      </c>
      <c r="J562" s="56">
        <f t="shared" si="36"/>
        <v>103006.54314068609</v>
      </c>
      <c r="K562" s="56">
        <f t="shared" si="37"/>
        <v>747584.83132944349</v>
      </c>
      <c r="T562" s="83"/>
    </row>
    <row r="563" spans="2:20" x14ac:dyDescent="0.2">
      <c r="B563" s="83"/>
      <c r="C563" s="56">
        <v>524</v>
      </c>
      <c r="D563" s="56">
        <v>14467.222874781126</v>
      </c>
      <c r="E563" s="56">
        <v>3.1552519919189081</v>
      </c>
      <c r="F563" s="56">
        <v>11432.093436018626</v>
      </c>
      <c r="G563" s="56">
        <v>11.359336896936128</v>
      </c>
      <c r="H563" s="56">
        <f t="shared" si="34"/>
        <v>3035.1294387625003</v>
      </c>
      <c r="I563" s="56">
        <f t="shared" si="35"/>
        <v>-8.2040849050172202</v>
      </c>
      <c r="J563" s="56">
        <f t="shared" si="36"/>
        <v>116235.93563846772</v>
      </c>
      <c r="K563" s="56">
        <f t="shared" si="37"/>
        <v>459117.07818266354</v>
      </c>
      <c r="T563" s="83"/>
    </row>
    <row r="564" spans="2:20" x14ac:dyDescent="0.2">
      <c r="B564" s="83"/>
      <c r="C564" s="56">
        <v>525</v>
      </c>
      <c r="D564" s="56">
        <v>13491.854867820954</v>
      </c>
      <c r="E564" s="56">
        <v>3.1249628043004747</v>
      </c>
      <c r="F564" s="56">
        <v>15758.026962520717</v>
      </c>
      <c r="G564" s="56">
        <v>17.111303825640611</v>
      </c>
      <c r="H564" s="56">
        <f t="shared" si="34"/>
        <v>-2266.172094699763</v>
      </c>
      <c r="I564" s="56">
        <f t="shared" si="35"/>
        <v>-13.986341021340136</v>
      </c>
      <c r="J564" s="56">
        <f t="shared" si="36"/>
        <v>115956.60433752192</v>
      </c>
      <c r="K564" s="56">
        <f t="shared" si="37"/>
        <v>693060.62271081598</v>
      </c>
      <c r="T564" s="83"/>
    </row>
    <row r="565" spans="2:20" x14ac:dyDescent="0.2">
      <c r="B565" s="83"/>
      <c r="C565" s="56">
        <v>526</v>
      </c>
      <c r="D565" s="56">
        <v>19446.904155646578</v>
      </c>
      <c r="E565" s="56">
        <v>4.0810376834419912</v>
      </c>
      <c r="F565" s="56">
        <v>15336.06501107861</v>
      </c>
      <c r="G565" s="56">
        <v>14.52788283927592</v>
      </c>
      <c r="H565" s="56">
        <f t="shared" si="34"/>
        <v>4110.8391445679681</v>
      </c>
      <c r="I565" s="56">
        <f t="shared" si="35"/>
        <v>-10.446845155833929</v>
      </c>
      <c r="J565" s="56">
        <f t="shared" si="36"/>
        <v>149606.00084325447</v>
      </c>
      <c r="K565" s="56">
        <f t="shared" si="37"/>
        <v>586466.95372308709</v>
      </c>
      <c r="T565" s="83"/>
    </row>
    <row r="566" spans="2:20" x14ac:dyDescent="0.2">
      <c r="B566" s="83"/>
      <c r="C566" s="56">
        <v>527</v>
      </c>
      <c r="D566" s="56">
        <v>18747.053500510367</v>
      </c>
      <c r="E566" s="56">
        <v>3.4110767307697123</v>
      </c>
      <c r="F566" s="56">
        <v>12553.258525771698</v>
      </c>
      <c r="G566" s="56">
        <v>9.7507194080514736</v>
      </c>
      <c r="H566" s="56">
        <f t="shared" si="34"/>
        <v>6193.7949747386683</v>
      </c>
      <c r="I566" s="56">
        <f t="shared" si="35"/>
        <v>-6.3396426772817609</v>
      </c>
      <c r="J566" s="56">
        <f t="shared" si="36"/>
        <v>122553.38899489419</v>
      </c>
      <c r="K566" s="56">
        <f t="shared" si="37"/>
        <v>391360.54223335255</v>
      </c>
      <c r="T566" s="83"/>
    </row>
    <row r="567" spans="2:20" x14ac:dyDescent="0.2">
      <c r="B567" s="83"/>
      <c r="C567" s="56">
        <v>528</v>
      </c>
      <c r="D567" s="56">
        <v>17109.886695339232</v>
      </c>
      <c r="E567" s="56">
        <v>3.2975925617479001</v>
      </c>
      <c r="F567" s="56">
        <v>14456.878058705403</v>
      </c>
      <c r="G567" s="56">
        <v>11.578151045309728</v>
      </c>
      <c r="H567" s="56">
        <f t="shared" si="34"/>
        <v>2653.0086366338292</v>
      </c>
      <c r="I567" s="56">
        <f t="shared" si="35"/>
        <v>-8.280558483561828</v>
      </c>
      <c r="J567" s="56">
        <f t="shared" si="36"/>
        <v>119489.58758250577</v>
      </c>
      <c r="K567" s="56">
        <f t="shared" si="37"/>
        <v>465156.45084220474</v>
      </c>
      <c r="T567" s="83"/>
    </row>
    <row r="568" spans="2:20" x14ac:dyDescent="0.2">
      <c r="B568" s="83"/>
      <c r="C568" s="56">
        <v>529</v>
      </c>
      <c r="D568" s="56">
        <v>7872.0005290773988</v>
      </c>
      <c r="E568" s="56">
        <v>2.0247141581654438</v>
      </c>
      <c r="F568" s="56">
        <v>15475.311257100471</v>
      </c>
      <c r="G568" s="56">
        <v>17.625799639361887</v>
      </c>
      <c r="H568" s="56">
        <f t="shared" si="34"/>
        <v>-7603.3107280230724</v>
      </c>
      <c r="I568" s="56">
        <f t="shared" si="35"/>
        <v>-15.601085481196442</v>
      </c>
      <c r="J568" s="56">
        <f t="shared" si="36"/>
        <v>75999.758758767945</v>
      </c>
      <c r="K568" s="56">
        <f t="shared" si="37"/>
        <v>714655.81300382642</v>
      </c>
      <c r="T568" s="83"/>
    </row>
    <row r="569" spans="2:20" x14ac:dyDescent="0.2">
      <c r="B569" s="83"/>
      <c r="C569" s="56">
        <v>530</v>
      </c>
      <c r="D569" s="56">
        <v>11419.366444196357</v>
      </c>
      <c r="E569" s="56">
        <v>2.4916708796247478</v>
      </c>
      <c r="F569" s="56">
        <v>14650.981985825023</v>
      </c>
      <c r="G569" s="56">
        <v>14.712454497497422</v>
      </c>
      <c r="H569" s="56">
        <f t="shared" si="34"/>
        <v>-3231.6155416286656</v>
      </c>
      <c r="I569" s="56">
        <f t="shared" si="35"/>
        <v>-12.220783617872675</v>
      </c>
      <c r="J569" s="56">
        <f t="shared" si="36"/>
        <v>91795.60807337919</v>
      </c>
      <c r="K569" s="56">
        <f t="shared" si="37"/>
        <v>594797.73311850824</v>
      </c>
      <c r="T569" s="83"/>
    </row>
    <row r="570" spans="2:20" x14ac:dyDescent="0.2">
      <c r="B570" s="83"/>
      <c r="C570" s="56">
        <v>531</v>
      </c>
      <c r="D570" s="56">
        <v>16356.844870222898</v>
      </c>
      <c r="E570" s="56">
        <v>3.0694552272387927</v>
      </c>
      <c r="F570" s="56">
        <v>18746.559904723224</v>
      </c>
      <c r="G570" s="56">
        <v>17.753917242553282</v>
      </c>
      <c r="H570" s="56">
        <f t="shared" si="34"/>
        <v>-2389.7150345003265</v>
      </c>
      <c r="I570" s="56">
        <f t="shared" si="35"/>
        <v>-14.684462015314489</v>
      </c>
      <c r="J570" s="56">
        <f t="shared" si="36"/>
        <v>110792.26846291685</v>
      </c>
      <c r="K570" s="56">
        <f t="shared" si="37"/>
        <v>716691.70795080392</v>
      </c>
      <c r="T570" s="83"/>
    </row>
    <row r="571" spans="2:20" x14ac:dyDescent="0.2">
      <c r="B571" s="83"/>
      <c r="C571" s="56">
        <v>532</v>
      </c>
      <c r="D571" s="56">
        <v>9735.0899080915242</v>
      </c>
      <c r="E571" s="56">
        <v>1.8440108548310881</v>
      </c>
      <c r="F571" s="56">
        <v>10938.460442126141</v>
      </c>
      <c r="G571" s="56">
        <v>11.260068835055547</v>
      </c>
      <c r="H571" s="56">
        <f t="shared" si="34"/>
        <v>-1203.3705340346169</v>
      </c>
      <c r="I571" s="56">
        <f t="shared" si="35"/>
        <v>-9.4160579802244584</v>
      </c>
      <c r="J571" s="56">
        <f t="shared" si="36"/>
        <v>66651.215742431465</v>
      </c>
      <c r="K571" s="56">
        <f t="shared" si="37"/>
        <v>455498.63098121481</v>
      </c>
      <c r="T571" s="83"/>
    </row>
    <row r="572" spans="2:20" x14ac:dyDescent="0.2">
      <c r="B572" s="83"/>
      <c r="C572" s="56">
        <v>533</v>
      </c>
      <c r="D572" s="56">
        <v>11846.330115852055</v>
      </c>
      <c r="E572" s="56">
        <v>2.2864318695917571</v>
      </c>
      <c r="F572" s="56">
        <v>12844.439757084068</v>
      </c>
      <c r="G572" s="56">
        <v>14.901684296865415</v>
      </c>
      <c r="H572" s="56">
        <f t="shared" si="34"/>
        <v>-998.10964123201302</v>
      </c>
      <c r="I572" s="56">
        <f t="shared" si="35"/>
        <v>-12.615252427273658</v>
      </c>
      <c r="J572" s="56">
        <f t="shared" si="36"/>
        <v>82866.823650116887</v>
      </c>
      <c r="K572" s="56">
        <f t="shared" si="37"/>
        <v>604442.93055626878</v>
      </c>
      <c r="T572" s="83"/>
    </row>
    <row r="573" spans="2:20" x14ac:dyDescent="0.2">
      <c r="B573" s="83"/>
      <c r="C573" s="56">
        <v>534</v>
      </c>
      <c r="D573" s="56">
        <v>18796.075674715245</v>
      </c>
      <c r="E573" s="56">
        <v>3.8201355572353126</v>
      </c>
      <c r="F573" s="56">
        <v>12466.731194021235</v>
      </c>
      <c r="G573" s="56">
        <v>11.082860318188722</v>
      </c>
      <c r="H573" s="56">
        <f t="shared" si="34"/>
        <v>6329.3444806940097</v>
      </c>
      <c r="I573" s="56">
        <f t="shared" si="35"/>
        <v>-7.2627247609534091</v>
      </c>
      <c r="J573" s="56">
        <f t="shared" si="36"/>
        <v>139449.21964820035</v>
      </c>
      <c r="K573" s="56">
        <f t="shared" si="37"/>
        <v>446629.67462662834</v>
      </c>
      <c r="T573" s="83"/>
    </row>
    <row r="574" spans="2:20" x14ac:dyDescent="0.2">
      <c r="B574" s="83"/>
      <c r="C574" s="56">
        <v>535</v>
      </c>
      <c r="D574" s="56">
        <v>18720.655421893931</v>
      </c>
      <c r="E574" s="56">
        <v>4.9007663176006551</v>
      </c>
      <c r="F574" s="56">
        <v>16760.978542635683</v>
      </c>
      <c r="G574" s="56">
        <v>17.877055022193208</v>
      </c>
      <c r="H574" s="56">
        <f t="shared" si="34"/>
        <v>1959.6768792582479</v>
      </c>
      <c r="I574" s="56">
        <f t="shared" si="35"/>
        <v>-12.976288704592552</v>
      </c>
      <c r="J574" s="56">
        <f t="shared" si="36"/>
        <v>184288.68851839562</v>
      </c>
      <c r="K574" s="56">
        <f t="shared" si="37"/>
        <v>723778.1486966958</v>
      </c>
      <c r="T574" s="83"/>
    </row>
    <row r="575" spans="2:20" x14ac:dyDescent="0.2">
      <c r="B575" s="83"/>
      <c r="C575" s="56">
        <v>536</v>
      </c>
      <c r="D575" s="56">
        <v>16561.802512053262</v>
      </c>
      <c r="E575" s="56">
        <v>3.6699136699204393</v>
      </c>
      <c r="F575" s="56">
        <v>12896.927569419435</v>
      </c>
      <c r="G575" s="56">
        <v>13.191529226086313</v>
      </c>
      <c r="H575" s="56">
        <f t="shared" si="34"/>
        <v>3664.8749426338272</v>
      </c>
      <c r="I575" s="56">
        <f t="shared" si="35"/>
        <v>-9.5216155561658731</v>
      </c>
      <c r="J575" s="56">
        <f t="shared" si="36"/>
        <v>135460.70135073102</v>
      </c>
      <c r="K575" s="56">
        <f t="shared" si="37"/>
        <v>533548.97909198003</v>
      </c>
      <c r="T575" s="83"/>
    </row>
    <row r="576" spans="2:20" x14ac:dyDescent="0.2">
      <c r="B576" s="83"/>
      <c r="C576" s="56">
        <v>537</v>
      </c>
      <c r="D576" s="56">
        <v>18910.980614612829</v>
      </c>
      <c r="E576" s="56">
        <v>4.2948638601429465</v>
      </c>
      <c r="F576" s="56">
        <v>11892.274775986694</v>
      </c>
      <c r="G576" s="56">
        <v>14.392550434953082</v>
      </c>
      <c r="H576" s="56">
        <f t="shared" si="34"/>
        <v>7018.7058386261342</v>
      </c>
      <c r="I576" s="56">
        <f t="shared" si="35"/>
        <v>-10.097686574810135</v>
      </c>
      <c r="J576" s="56">
        <f t="shared" si="36"/>
        <v>158999.45992794857</v>
      </c>
      <c r="K576" s="56">
        <f t="shared" si="37"/>
        <v>584304.73444150982</v>
      </c>
      <c r="T576" s="83"/>
    </row>
    <row r="577" spans="2:20" x14ac:dyDescent="0.2">
      <c r="B577" s="83"/>
      <c r="C577" s="56">
        <v>538</v>
      </c>
      <c r="D577" s="56">
        <v>11907.824584905638</v>
      </c>
      <c r="E577" s="56">
        <v>1.8907557816248475</v>
      </c>
      <c r="F577" s="56">
        <v>12992.116855262691</v>
      </c>
      <c r="G577" s="56">
        <v>11.49380450039226</v>
      </c>
      <c r="H577" s="56">
        <f t="shared" si="34"/>
        <v>-1084.292270357053</v>
      </c>
      <c r="I577" s="56">
        <f t="shared" si="35"/>
        <v>-9.603048718767413</v>
      </c>
      <c r="J577" s="56">
        <f t="shared" si="36"/>
        <v>66414.842913122047</v>
      </c>
      <c r="K577" s="56">
        <f t="shared" si="37"/>
        <v>463127.24076898629</v>
      </c>
      <c r="T577" s="83"/>
    </row>
    <row r="578" spans="2:20" x14ac:dyDescent="0.2">
      <c r="B578" s="83"/>
      <c r="C578" s="56">
        <v>539</v>
      </c>
      <c r="D578" s="56">
        <v>8298.3125255499617</v>
      </c>
      <c r="E578" s="56">
        <v>1.6948653831648959</v>
      </c>
      <c r="F578" s="56">
        <v>11666.417590920206</v>
      </c>
      <c r="G578" s="56">
        <v>10.303997674723506</v>
      </c>
      <c r="H578" s="56">
        <f t="shared" si="34"/>
        <v>-3368.1050653702441</v>
      </c>
      <c r="I578" s="56">
        <f t="shared" si="35"/>
        <v>-8.6091322915586108</v>
      </c>
      <c r="J578" s="56">
        <f t="shared" si="36"/>
        <v>61909.791106672681</v>
      </c>
      <c r="K578" s="56">
        <f t="shared" si="37"/>
        <v>415166.38208682631</v>
      </c>
      <c r="T578" s="83"/>
    </row>
    <row r="579" spans="2:20" x14ac:dyDescent="0.2">
      <c r="B579" s="83"/>
      <c r="C579" s="56">
        <v>540</v>
      </c>
      <c r="D579" s="56">
        <v>22744.772517037156</v>
      </c>
      <c r="E579" s="56">
        <v>4.0429893358844131</v>
      </c>
      <c r="F579" s="56">
        <v>16519.18500028034</v>
      </c>
      <c r="G579" s="56">
        <v>14.955648612864971</v>
      </c>
      <c r="H579" s="56">
        <f t="shared" si="34"/>
        <v>6225.5875167568156</v>
      </c>
      <c r="I579" s="56">
        <f t="shared" si="35"/>
        <v>-10.912659276980559</v>
      </c>
      <c r="J579" s="56">
        <f t="shared" si="36"/>
        <v>144732.01773263875</v>
      </c>
      <c r="K579" s="56">
        <f t="shared" si="37"/>
        <v>603003.6031390382</v>
      </c>
      <c r="T579" s="83"/>
    </row>
    <row r="580" spans="2:20" x14ac:dyDescent="0.2">
      <c r="B580" s="83"/>
      <c r="C580" s="56">
        <v>541</v>
      </c>
      <c r="D580" s="56">
        <v>14532.739064898</v>
      </c>
      <c r="E580" s="56">
        <v>2.8528894257312305</v>
      </c>
      <c r="F580" s="56">
        <v>15963.403774924776</v>
      </c>
      <c r="G580" s="56">
        <v>17.499498557579049</v>
      </c>
      <c r="H580" s="56">
        <f t="shared" si="34"/>
        <v>-1430.6647100267764</v>
      </c>
      <c r="I580" s="56">
        <f t="shared" si="35"/>
        <v>-14.646609131847818</v>
      </c>
      <c r="J580" s="56">
        <f t="shared" si="36"/>
        <v>103645.35250659249</v>
      </c>
      <c r="K580" s="56">
        <f t="shared" si="37"/>
        <v>708935.82447422971</v>
      </c>
      <c r="T580" s="83"/>
    </row>
    <row r="581" spans="2:20" x14ac:dyDescent="0.2">
      <c r="B581" s="83"/>
      <c r="C581" s="56">
        <v>542</v>
      </c>
      <c r="D581" s="56">
        <v>19529.509141390186</v>
      </c>
      <c r="E581" s="56">
        <v>3.808086018945072</v>
      </c>
      <c r="F581" s="56">
        <v>15849.332784354769</v>
      </c>
      <c r="G581" s="56">
        <v>13.611890270496449</v>
      </c>
      <c r="H581" s="56">
        <f t="shared" si="34"/>
        <v>3680.1763570354178</v>
      </c>
      <c r="I581" s="56">
        <f t="shared" si="35"/>
        <v>-9.8038042515513766</v>
      </c>
      <c r="J581" s="56">
        <f t="shared" si="36"/>
        <v>138216.64610739049</v>
      </c>
      <c r="K581" s="56">
        <f t="shared" si="37"/>
        <v>548009.60978069005</v>
      </c>
      <c r="T581" s="83"/>
    </row>
    <row r="582" spans="2:20" x14ac:dyDescent="0.2">
      <c r="B582" s="83"/>
      <c r="C582" s="56">
        <v>543</v>
      </c>
      <c r="D582" s="56">
        <v>17340.592418850218</v>
      </c>
      <c r="E582" s="56">
        <v>3.5653793984734867</v>
      </c>
      <c r="F582" s="56">
        <v>15348.371764258294</v>
      </c>
      <c r="G582" s="56">
        <v>16.555117064134325</v>
      </c>
      <c r="H582" s="56">
        <f t="shared" si="34"/>
        <v>1992.2206545919234</v>
      </c>
      <c r="I582" s="56">
        <f t="shared" si="35"/>
        <v>-12.989737665660838</v>
      </c>
      <c r="J582" s="56">
        <f t="shared" si="36"/>
        <v>130351.6837835155</v>
      </c>
      <c r="K582" s="56">
        <f t="shared" si="37"/>
        <v>670430.79750044202</v>
      </c>
      <c r="T582" s="83"/>
    </row>
    <row r="583" spans="2:20" x14ac:dyDescent="0.2">
      <c r="B583" s="83"/>
      <c r="C583" s="56">
        <v>544</v>
      </c>
      <c r="D583" s="56">
        <v>7485.691455063883</v>
      </c>
      <c r="E583" s="56">
        <v>1.3455245863497054</v>
      </c>
      <c r="F583" s="56">
        <v>16551.740998888214</v>
      </c>
      <c r="G583" s="56">
        <v>14.854801775446449</v>
      </c>
      <c r="H583" s="56">
        <f t="shared" si="34"/>
        <v>-9066.0495438243306</v>
      </c>
      <c r="I583" s="56">
        <f t="shared" si="35"/>
        <v>-13.509277189096743</v>
      </c>
      <c r="J583" s="56">
        <f t="shared" si="36"/>
        <v>48251.319009886312</v>
      </c>
      <c r="K583" s="56">
        <f t="shared" si="37"/>
        <v>598793.5677472055</v>
      </c>
      <c r="T583" s="83"/>
    </row>
    <row r="584" spans="2:20" x14ac:dyDescent="0.2">
      <c r="B584" s="83"/>
      <c r="C584" s="56">
        <v>545</v>
      </c>
      <c r="D584" s="56">
        <v>16849.617198251326</v>
      </c>
      <c r="E584" s="56">
        <v>3.5719646218459333</v>
      </c>
      <c r="F584" s="56">
        <v>12638.071396004956</v>
      </c>
      <c r="G584" s="56">
        <v>11.070920741406981</v>
      </c>
      <c r="H584" s="56">
        <f t="shared" si="34"/>
        <v>4211.5458022463699</v>
      </c>
      <c r="I584" s="56">
        <f t="shared" si="35"/>
        <v>-7.4989561195610479</v>
      </c>
      <c r="J584" s="56">
        <f t="shared" si="36"/>
        <v>131115.44529709461</v>
      </c>
      <c r="K584" s="56">
        <f t="shared" si="37"/>
        <v>445963.74939603783</v>
      </c>
      <c r="T584" s="83"/>
    </row>
    <row r="585" spans="2:20" x14ac:dyDescent="0.2">
      <c r="B585" s="83"/>
      <c r="C585" s="56">
        <v>546</v>
      </c>
      <c r="D585" s="56">
        <v>18090.003384753469</v>
      </c>
      <c r="E585" s="56">
        <v>3.4176662086366782</v>
      </c>
      <c r="F585" s="56">
        <v>5626.3011410327445</v>
      </c>
      <c r="G585" s="56">
        <v>5.3086376370190882</v>
      </c>
      <c r="H585" s="56">
        <f t="shared" si="34"/>
        <v>12463.702243720723</v>
      </c>
      <c r="I585" s="56">
        <f t="shared" si="35"/>
        <v>-1.8909714283824099</v>
      </c>
      <c r="J585" s="56">
        <f t="shared" si="36"/>
        <v>123483.40164181231</v>
      </c>
      <c r="K585" s="56">
        <f t="shared" si="37"/>
        <v>214278.70433484597</v>
      </c>
      <c r="T585" s="83"/>
    </row>
    <row r="586" spans="2:20" x14ac:dyDescent="0.2">
      <c r="B586" s="83"/>
      <c r="C586" s="56">
        <v>547</v>
      </c>
      <c r="D586" s="56">
        <v>14801.742984534507</v>
      </c>
      <c r="E586" s="56">
        <v>2.8401272916774696</v>
      </c>
      <c r="F586" s="56">
        <v>11722.567843210489</v>
      </c>
      <c r="G586" s="56">
        <v>12.725632708850421</v>
      </c>
      <c r="H586" s="56">
        <f t="shared" si="34"/>
        <v>3079.1751413240181</v>
      </c>
      <c r="I586" s="56">
        <f t="shared" si="35"/>
        <v>-9.8855054171729506</v>
      </c>
      <c r="J586" s="56">
        <f t="shared" si="36"/>
        <v>102847.68994591299</v>
      </c>
      <c r="K586" s="56">
        <f t="shared" si="37"/>
        <v>515424.04148820933</v>
      </c>
      <c r="T586" s="83"/>
    </row>
    <row r="587" spans="2:20" x14ac:dyDescent="0.2">
      <c r="B587" s="83"/>
      <c r="C587" s="56">
        <v>548</v>
      </c>
      <c r="D587" s="56">
        <v>15568.335635536168</v>
      </c>
      <c r="E587" s="56">
        <v>3.7375830590614649</v>
      </c>
      <c r="F587" s="56">
        <v>12525.775532875808</v>
      </c>
      <c r="G587" s="56">
        <v>10.431750250391419</v>
      </c>
      <c r="H587" s="56">
        <f t="shared" si="34"/>
        <v>3042.5601026603599</v>
      </c>
      <c r="I587" s="56">
        <f t="shared" si="35"/>
        <v>-6.6941671913299539</v>
      </c>
      <c r="J587" s="56">
        <f t="shared" si="36"/>
        <v>139257.30500302595</v>
      </c>
      <c r="K587" s="56">
        <f t="shared" si="37"/>
        <v>419599.04683933832</v>
      </c>
      <c r="T587" s="83"/>
    </row>
    <row r="588" spans="2:20" x14ac:dyDescent="0.2">
      <c r="B588" s="83"/>
      <c r="C588" s="56">
        <v>549</v>
      </c>
      <c r="D588" s="56">
        <v>18997.494952054512</v>
      </c>
      <c r="E588" s="56">
        <v>3.7921870868554435</v>
      </c>
      <c r="F588" s="56">
        <v>11950.935180642799</v>
      </c>
      <c r="G588" s="56">
        <v>10.922261626708675</v>
      </c>
      <c r="H588" s="56">
        <f t="shared" si="34"/>
        <v>7046.5597714117139</v>
      </c>
      <c r="I588" s="56">
        <f t="shared" si="35"/>
        <v>-7.130074539853231</v>
      </c>
      <c r="J588" s="56">
        <f t="shared" si="36"/>
        <v>138090.06293384536</v>
      </c>
      <c r="K588" s="56">
        <f t="shared" si="37"/>
        <v>440492.83044413733</v>
      </c>
      <c r="T588" s="83"/>
    </row>
    <row r="589" spans="2:20" x14ac:dyDescent="0.2">
      <c r="B589" s="83"/>
      <c r="C589" s="56">
        <v>550</v>
      </c>
      <c r="D589" s="56">
        <v>27610.668298803623</v>
      </c>
      <c r="E589" s="56">
        <v>4.3721862124308997</v>
      </c>
      <c r="F589" s="56">
        <v>22020.556991736845</v>
      </c>
      <c r="G589" s="56">
        <v>18.398079993680049</v>
      </c>
      <c r="H589" s="56">
        <f t="shared" si="34"/>
        <v>5590.111307066778</v>
      </c>
      <c r="I589" s="56">
        <f t="shared" si="35"/>
        <v>-14.025893781249149</v>
      </c>
      <c r="J589" s="56">
        <f t="shared" si="36"/>
        <v>153502.77336493396</v>
      </c>
      <c r="K589" s="56">
        <f t="shared" si="37"/>
        <v>740101.50866646552</v>
      </c>
      <c r="T589" s="83"/>
    </row>
    <row r="590" spans="2:20" x14ac:dyDescent="0.2">
      <c r="B590" s="83"/>
      <c r="C590" s="56">
        <v>551</v>
      </c>
      <c r="D590" s="56">
        <v>15232.423433121765</v>
      </c>
      <c r="E590" s="56">
        <v>3.2461262218884728</v>
      </c>
      <c r="F590" s="56">
        <v>9928.1456602323597</v>
      </c>
      <c r="G590" s="56">
        <v>9.5015551267053429</v>
      </c>
      <c r="H590" s="56">
        <f t="shared" si="34"/>
        <v>5304.2777728894052</v>
      </c>
      <c r="I590" s="56">
        <f t="shared" si="35"/>
        <v>-6.2554289048168705</v>
      </c>
      <c r="J590" s="56">
        <f t="shared" si="36"/>
        <v>119235.10918238634</v>
      </c>
      <c r="K590" s="56">
        <f t="shared" si="37"/>
        <v>383664.27390840976</v>
      </c>
      <c r="T590" s="83"/>
    </row>
    <row r="591" spans="2:20" x14ac:dyDescent="0.2">
      <c r="B591" s="83"/>
      <c r="C591" s="56">
        <v>552</v>
      </c>
      <c r="D591" s="56">
        <v>20647.551062916922</v>
      </c>
      <c r="E591" s="56">
        <v>3.4116473799970248</v>
      </c>
      <c r="F591" s="56">
        <v>17219.701662675816</v>
      </c>
      <c r="G591" s="56">
        <v>15.15612882670748</v>
      </c>
      <c r="H591" s="56">
        <f t="shared" si="34"/>
        <v>3427.8494002411062</v>
      </c>
      <c r="I591" s="56">
        <f t="shared" si="35"/>
        <v>-11.744481446710456</v>
      </c>
      <c r="J591" s="56">
        <f t="shared" si="36"/>
        <v>120676.53000607982</v>
      </c>
      <c r="K591" s="56">
        <f t="shared" si="37"/>
        <v>610607.77885485487</v>
      </c>
      <c r="T591" s="83"/>
    </row>
    <row r="592" spans="2:20" x14ac:dyDescent="0.2">
      <c r="B592" s="83"/>
      <c r="C592" s="56">
        <v>553</v>
      </c>
      <c r="D592" s="56">
        <v>8705.4415704597759</v>
      </c>
      <c r="E592" s="56">
        <v>1.6359384696376127</v>
      </c>
      <c r="F592" s="56">
        <v>18050.42267811995</v>
      </c>
      <c r="G592" s="56">
        <v>18.552494597178963</v>
      </c>
      <c r="H592" s="56">
        <f t="shared" si="34"/>
        <v>-9344.9811076601745</v>
      </c>
      <c r="I592" s="56">
        <f t="shared" si="35"/>
        <v>-16.916556127541352</v>
      </c>
      <c r="J592" s="56">
        <f t="shared" si="36"/>
        <v>59061.673595808694</v>
      </c>
      <c r="K592" s="56">
        <f t="shared" si="37"/>
        <v>750468.1135154214</v>
      </c>
      <c r="T592" s="83"/>
    </row>
    <row r="593" spans="2:20" x14ac:dyDescent="0.2">
      <c r="B593" s="83"/>
      <c r="C593" s="56">
        <v>554</v>
      </c>
      <c r="D593" s="56">
        <v>12924.08006616401</v>
      </c>
      <c r="E593" s="56">
        <v>2.7196611451713668</v>
      </c>
      <c r="F593" s="56">
        <v>12713.344356725092</v>
      </c>
      <c r="G593" s="56">
        <v>13.342753081505203</v>
      </c>
      <c r="H593" s="56">
        <f t="shared" si="34"/>
        <v>210.73570943891718</v>
      </c>
      <c r="I593" s="56">
        <f t="shared" si="35"/>
        <v>-10.623091936333836</v>
      </c>
      <c r="J593" s="56">
        <f t="shared" si="36"/>
        <v>99735.163211414692</v>
      </c>
      <c r="K593" s="56">
        <f t="shared" si="37"/>
        <v>539996.8592915464</v>
      </c>
      <c r="T593" s="83"/>
    </row>
    <row r="594" spans="2:20" x14ac:dyDescent="0.2">
      <c r="B594" s="83"/>
      <c r="C594" s="56">
        <v>555</v>
      </c>
      <c r="D594" s="56">
        <v>13965.056067848178</v>
      </c>
      <c r="E594" s="56">
        <v>3.5923921167884383</v>
      </c>
      <c r="F594" s="56">
        <v>16657.738965277724</v>
      </c>
      <c r="G594" s="56">
        <v>16.783090195238884</v>
      </c>
      <c r="H594" s="56">
        <f t="shared" si="34"/>
        <v>-2692.6828974295458</v>
      </c>
      <c r="I594" s="56">
        <f t="shared" si="35"/>
        <v>-13.190698078450446</v>
      </c>
      <c r="J594" s="56">
        <f t="shared" si="36"/>
        <v>134846.19497799609</v>
      </c>
      <c r="K594" s="56">
        <f t="shared" si="37"/>
        <v>678564.9892822979</v>
      </c>
      <c r="T594" s="83"/>
    </row>
    <row r="595" spans="2:20" x14ac:dyDescent="0.2">
      <c r="B595" s="83"/>
      <c r="C595" s="56">
        <v>556</v>
      </c>
      <c r="D595" s="56">
        <v>14617.756131567272</v>
      </c>
      <c r="E595" s="56">
        <v>3.184761672776709</v>
      </c>
      <c r="F595" s="56">
        <v>13860.471447663853</v>
      </c>
      <c r="G595" s="56">
        <v>12.185342839254272</v>
      </c>
      <c r="H595" s="56">
        <f t="shared" si="34"/>
        <v>757.28468390341914</v>
      </c>
      <c r="I595" s="56">
        <f t="shared" si="35"/>
        <v>-9.0005811664775628</v>
      </c>
      <c r="J595" s="56">
        <f t="shared" si="36"/>
        <v>117307.81140153512</v>
      </c>
      <c r="K595" s="56">
        <f t="shared" si="37"/>
        <v>490905.17032560508</v>
      </c>
      <c r="T595" s="83"/>
    </row>
    <row r="596" spans="2:20" x14ac:dyDescent="0.2">
      <c r="B596" s="83"/>
      <c r="C596" s="56">
        <v>557</v>
      </c>
      <c r="D596" s="56">
        <v>10421.182839840978</v>
      </c>
      <c r="E596" s="56">
        <v>2.3493146097008983</v>
      </c>
      <c r="F596" s="56">
        <v>9775.3642238099583</v>
      </c>
      <c r="G596" s="56">
        <v>9.6758798050297692</v>
      </c>
      <c r="H596" s="56">
        <f t="shared" si="34"/>
        <v>645.8186160310197</v>
      </c>
      <c r="I596" s="56">
        <f t="shared" si="35"/>
        <v>-7.3265651953288708</v>
      </c>
      <c r="J596" s="56">
        <f t="shared" si="36"/>
        <v>86896.825552409049</v>
      </c>
      <c r="K596" s="56">
        <f t="shared" si="37"/>
        <v>391038.28081974317</v>
      </c>
      <c r="T596" s="83"/>
    </row>
    <row r="597" spans="2:20" x14ac:dyDescent="0.2">
      <c r="B597" s="83"/>
      <c r="C597" s="56">
        <v>558</v>
      </c>
      <c r="D597" s="56">
        <v>11452.463338317652</v>
      </c>
      <c r="E597" s="56">
        <v>2.1846345796931135</v>
      </c>
      <c r="F597" s="56">
        <v>21883.202598996282</v>
      </c>
      <c r="G597" s="56">
        <v>22.053919473730911</v>
      </c>
      <c r="H597" s="56">
        <f t="shared" si="34"/>
        <v>-10430.739260678631</v>
      </c>
      <c r="I597" s="56">
        <f t="shared" si="35"/>
        <v>-19.869284894037797</v>
      </c>
      <c r="J597" s="56">
        <f t="shared" si="36"/>
        <v>79043.839490889877</v>
      </c>
      <c r="K597" s="56">
        <f t="shared" si="37"/>
        <v>891678.35768083308</v>
      </c>
      <c r="T597" s="83"/>
    </row>
    <row r="598" spans="2:20" x14ac:dyDescent="0.2">
      <c r="B598" s="83"/>
      <c r="C598" s="56">
        <v>559</v>
      </c>
      <c r="D598" s="56">
        <v>15658.857767340634</v>
      </c>
      <c r="E598" s="56">
        <v>3.5404733445339609</v>
      </c>
      <c r="F598" s="56">
        <v>19041.455792849738</v>
      </c>
      <c r="G598" s="56">
        <v>19.371584633821396</v>
      </c>
      <c r="H598" s="56">
        <f t="shared" si="34"/>
        <v>-3382.5980255091035</v>
      </c>
      <c r="I598" s="56">
        <f t="shared" si="35"/>
        <v>-15.831111289287435</v>
      </c>
      <c r="J598" s="56">
        <f t="shared" si="36"/>
        <v>131001.71005663415</v>
      </c>
      <c r="K598" s="56">
        <f t="shared" si="37"/>
        <v>783407.06607856776</v>
      </c>
      <c r="T598" s="83"/>
    </row>
    <row r="599" spans="2:20" x14ac:dyDescent="0.2">
      <c r="B599" s="83"/>
      <c r="C599" s="56">
        <v>560</v>
      </c>
      <c r="D599" s="56">
        <v>15211.561472292111</v>
      </c>
      <c r="E599" s="56">
        <v>3.6802220873699607</v>
      </c>
      <c r="F599" s="56">
        <v>18725.481392979622</v>
      </c>
      <c r="G599" s="56">
        <v>21.479391562318355</v>
      </c>
      <c r="H599" s="56">
        <f t="shared" si="34"/>
        <v>-3513.919920687511</v>
      </c>
      <c r="I599" s="56">
        <f t="shared" si="35"/>
        <v>-17.799169474948393</v>
      </c>
      <c r="J599" s="56">
        <f t="shared" si="36"/>
        <v>137237.95827492114</v>
      </c>
      <c r="K599" s="56">
        <f t="shared" si="37"/>
        <v>871036.83468449593</v>
      </c>
      <c r="T599" s="83"/>
    </row>
    <row r="600" spans="2:20" x14ac:dyDescent="0.2">
      <c r="B600" s="83"/>
      <c r="C600" s="56">
        <v>561</v>
      </c>
      <c r="D600" s="56">
        <v>12917.814769417855</v>
      </c>
      <c r="E600" s="56">
        <v>2.3815915601274429</v>
      </c>
      <c r="F600" s="56">
        <v>9639.8730660706224</v>
      </c>
      <c r="G600" s="56">
        <v>8.7188368168410619</v>
      </c>
      <c r="H600" s="56">
        <f t="shared" si="34"/>
        <v>3277.9417033472328</v>
      </c>
      <c r="I600" s="56">
        <f t="shared" si="35"/>
        <v>-6.3372452567136186</v>
      </c>
      <c r="J600" s="56">
        <f t="shared" si="36"/>
        <v>85737.234017301351</v>
      </c>
      <c r="K600" s="56">
        <f t="shared" si="37"/>
        <v>351529.22323475353</v>
      </c>
      <c r="T600" s="83"/>
    </row>
    <row r="601" spans="2:20" x14ac:dyDescent="0.2">
      <c r="B601" s="83"/>
      <c r="C601" s="56">
        <v>562</v>
      </c>
      <c r="D601" s="56">
        <v>20091.710084595103</v>
      </c>
      <c r="E601" s="56">
        <v>3.1840388008557823</v>
      </c>
      <c r="F601" s="56">
        <v>8768.7549477882749</v>
      </c>
      <c r="G601" s="56">
        <v>7.6537671404308512</v>
      </c>
      <c r="H601" s="56">
        <f t="shared" si="34"/>
        <v>11322.955136806828</v>
      </c>
      <c r="I601" s="56">
        <f t="shared" si="35"/>
        <v>-4.4697283395750684</v>
      </c>
      <c r="J601" s="56">
        <f t="shared" si="36"/>
        <v>111803.91320205483</v>
      </c>
      <c r="K601" s="56">
        <f t="shared" si="37"/>
        <v>308280.89507741929</v>
      </c>
      <c r="T601" s="83"/>
    </row>
    <row r="602" spans="2:20" x14ac:dyDescent="0.2">
      <c r="B602" s="83"/>
      <c r="C602" s="56">
        <v>563</v>
      </c>
      <c r="D602" s="56">
        <v>14802.619958337802</v>
      </c>
      <c r="E602" s="56">
        <v>3.9726179449122139</v>
      </c>
      <c r="F602" s="56">
        <v>15915.359043311453</v>
      </c>
      <c r="G602" s="56">
        <v>20.710366095042566</v>
      </c>
      <c r="H602" s="56">
        <f t="shared" si="34"/>
        <v>-1112.7390849736512</v>
      </c>
      <c r="I602" s="56">
        <f t="shared" si="35"/>
        <v>-16.737748150130351</v>
      </c>
      <c r="J602" s="56">
        <f t="shared" si="36"/>
        <v>149759.10579170575</v>
      </c>
      <c r="K602" s="56">
        <f t="shared" si="37"/>
        <v>841990.84607773181</v>
      </c>
      <c r="T602" s="83"/>
    </row>
    <row r="603" spans="2:20" x14ac:dyDescent="0.2">
      <c r="B603" s="83"/>
      <c r="C603" s="56">
        <v>564</v>
      </c>
      <c r="D603" s="56">
        <v>10983.222273087653</v>
      </c>
      <c r="E603" s="56">
        <v>2.2121091351150839</v>
      </c>
      <c r="F603" s="56">
        <v>14714.629835634396</v>
      </c>
      <c r="G603" s="56">
        <v>14.754011084544125</v>
      </c>
      <c r="H603" s="56">
        <f t="shared" si="34"/>
        <v>-3731.4075625467431</v>
      </c>
      <c r="I603" s="56">
        <f t="shared" si="35"/>
        <v>-12.541901949429041</v>
      </c>
      <c r="J603" s="56">
        <f t="shared" si="36"/>
        <v>80651.186539919581</v>
      </c>
      <c r="K603" s="56">
        <f t="shared" si="37"/>
        <v>596455.5253305214</v>
      </c>
      <c r="T603" s="83"/>
    </row>
    <row r="604" spans="2:20" x14ac:dyDescent="0.2">
      <c r="B604" s="83"/>
      <c r="C604" s="56">
        <v>565</v>
      </c>
      <c r="D604" s="56">
        <v>13194.287627622556</v>
      </c>
      <c r="E604" s="56">
        <v>3.6014680563432178</v>
      </c>
      <c r="F604" s="56">
        <v>12741.779544787651</v>
      </c>
      <c r="G604" s="56">
        <v>15.356429380076746</v>
      </c>
      <c r="H604" s="56">
        <f t="shared" si="34"/>
        <v>452.50808283490551</v>
      </c>
      <c r="I604" s="56">
        <f t="shared" si="35"/>
        <v>-11.754961323733529</v>
      </c>
      <c r="J604" s="56">
        <f t="shared" si="36"/>
        <v>135992.92513833891</v>
      </c>
      <c r="K604" s="56">
        <f t="shared" si="37"/>
        <v>623382.95109551155</v>
      </c>
      <c r="T604" s="83"/>
    </row>
    <row r="605" spans="2:20" x14ac:dyDescent="0.2">
      <c r="B605" s="83"/>
      <c r="C605" s="56">
        <v>566</v>
      </c>
      <c r="D605" s="56">
        <v>10809.649290926071</v>
      </c>
      <c r="E605" s="56">
        <v>1.6898419406874101</v>
      </c>
      <c r="F605" s="56">
        <v>18648.087512150993</v>
      </c>
      <c r="G605" s="56">
        <v>16.245361091774335</v>
      </c>
      <c r="H605" s="56">
        <f t="shared" si="34"/>
        <v>-7838.438221224922</v>
      </c>
      <c r="I605" s="56">
        <f t="shared" si="35"/>
        <v>-14.555519151086925</v>
      </c>
      <c r="J605" s="56">
        <f t="shared" si="36"/>
        <v>59190.36326010921</v>
      </c>
      <c r="K605" s="56">
        <f t="shared" si="37"/>
        <v>654299.75035350909</v>
      </c>
      <c r="T605" s="83"/>
    </row>
    <row r="606" spans="2:20" x14ac:dyDescent="0.2">
      <c r="B606" s="83"/>
      <c r="C606" s="56">
        <v>567</v>
      </c>
      <c r="D606" s="56">
        <v>11899.041037231556</v>
      </c>
      <c r="E606" s="56">
        <v>3.1259893543092279</v>
      </c>
      <c r="F606" s="56">
        <v>9515.6298112612112</v>
      </c>
      <c r="G606" s="56">
        <v>11.552572620186758</v>
      </c>
      <c r="H606" s="56">
        <f t="shared" si="34"/>
        <v>2383.4112259703452</v>
      </c>
      <c r="I606" s="56">
        <f t="shared" si="35"/>
        <v>-8.4265832658775306</v>
      </c>
      <c r="J606" s="56">
        <f t="shared" si="36"/>
        <v>117591.94197567391</v>
      </c>
      <c r="K606" s="56">
        <f t="shared" si="37"/>
        <v>469038.13840735506</v>
      </c>
      <c r="T606" s="83"/>
    </row>
    <row r="607" spans="2:20" x14ac:dyDescent="0.2">
      <c r="B607" s="83"/>
      <c r="C607" s="56">
        <v>568</v>
      </c>
      <c r="D607" s="56">
        <v>15877.421554705112</v>
      </c>
      <c r="E607" s="56">
        <v>2.9821501956071379</v>
      </c>
      <c r="F607" s="56">
        <v>16817.689344496339</v>
      </c>
      <c r="G607" s="56">
        <v>13.664366244247665</v>
      </c>
      <c r="H607" s="56">
        <f t="shared" si="34"/>
        <v>-940.26778979122719</v>
      </c>
      <c r="I607" s="56">
        <f t="shared" si="35"/>
        <v>-10.682216048640527</v>
      </c>
      <c r="J607" s="56">
        <f t="shared" si="36"/>
        <v>107655.16814812497</v>
      </c>
      <c r="K607" s="56">
        <f t="shared" si="37"/>
        <v>549215.01795721892</v>
      </c>
      <c r="T607" s="83"/>
    </row>
    <row r="608" spans="2:20" x14ac:dyDescent="0.2">
      <c r="B608" s="83"/>
      <c r="C608" s="56">
        <v>569</v>
      </c>
      <c r="D608" s="56">
        <v>21349.16228466234</v>
      </c>
      <c r="E608" s="56">
        <v>4.2001333625926591</v>
      </c>
      <c r="F608" s="56">
        <v>14231.877647057616</v>
      </c>
      <c r="G608" s="56">
        <v>11.789159006021212</v>
      </c>
      <c r="H608" s="56">
        <f t="shared" si="34"/>
        <v>7117.2846376047237</v>
      </c>
      <c r="I608" s="56">
        <f t="shared" si="35"/>
        <v>-7.5890256434285526</v>
      </c>
      <c r="J608" s="56">
        <f t="shared" si="36"/>
        <v>152637.16212737598</v>
      </c>
      <c r="K608" s="56">
        <f t="shared" si="37"/>
        <v>474122.24501836504</v>
      </c>
      <c r="T608" s="83"/>
    </row>
    <row r="609" spans="2:20" x14ac:dyDescent="0.2">
      <c r="B609" s="83"/>
      <c r="C609" s="56">
        <v>570</v>
      </c>
      <c r="D609" s="56">
        <v>10045.008272700423</v>
      </c>
      <c r="E609" s="56">
        <v>1.8634971495098962</v>
      </c>
      <c r="F609" s="56">
        <v>11082.019964972167</v>
      </c>
      <c r="G609" s="56">
        <v>11.744272173553677</v>
      </c>
      <c r="H609" s="56">
        <f t="shared" si="34"/>
        <v>-1037.0116922717443</v>
      </c>
      <c r="I609" s="56">
        <f t="shared" si="35"/>
        <v>-9.8807750240437802</v>
      </c>
      <c r="J609" s="56">
        <f t="shared" si="36"/>
        <v>67148.49764859752</v>
      </c>
      <c r="K609" s="56">
        <f t="shared" si="37"/>
        <v>475412.71055231534</v>
      </c>
      <c r="T609" s="83"/>
    </row>
    <row r="610" spans="2:20" x14ac:dyDescent="0.2">
      <c r="B610" s="83"/>
      <c r="C610" s="56">
        <v>571</v>
      </c>
      <c r="D610" s="56">
        <v>18871.297810958466</v>
      </c>
      <c r="E610" s="56">
        <v>3.8743994137154063</v>
      </c>
      <c r="F610" s="56">
        <v>19112.020343871431</v>
      </c>
      <c r="G610" s="56">
        <v>20.263833248400068</v>
      </c>
      <c r="H610" s="56">
        <f t="shared" si="34"/>
        <v>-240.72253291296511</v>
      </c>
      <c r="I610" s="56">
        <f t="shared" si="35"/>
        <v>-16.389433834684663</v>
      </c>
      <c r="J610" s="56">
        <f t="shared" si="36"/>
        <v>141621.82350278852</v>
      </c>
      <c r="K610" s="56">
        <f t="shared" si="37"/>
        <v>820297.008137853</v>
      </c>
      <c r="T610" s="83"/>
    </row>
    <row r="611" spans="2:20" x14ac:dyDescent="0.2">
      <c r="B611" s="83"/>
      <c r="C611" s="56">
        <v>572</v>
      </c>
      <c r="D611" s="56">
        <v>12538.162860102135</v>
      </c>
      <c r="E611" s="56">
        <v>2.4249432974942837</v>
      </c>
      <c r="F611" s="56">
        <v>15792.070905121904</v>
      </c>
      <c r="G611" s="56">
        <v>15.906710606861871</v>
      </c>
      <c r="H611" s="56">
        <f t="shared" si="34"/>
        <v>-3253.9080450197689</v>
      </c>
      <c r="I611" s="56">
        <f t="shared" si="35"/>
        <v>-13.481767309367587</v>
      </c>
      <c r="J611" s="56">
        <f t="shared" si="36"/>
        <v>87912.688295301079</v>
      </c>
      <c r="K611" s="56">
        <f t="shared" si="37"/>
        <v>643127.50927352428</v>
      </c>
      <c r="T611" s="83"/>
    </row>
    <row r="612" spans="2:20" x14ac:dyDescent="0.2">
      <c r="B612" s="83"/>
      <c r="C612" s="56">
        <v>573</v>
      </c>
      <c r="D612" s="56">
        <v>10557.737742612719</v>
      </c>
      <c r="E612" s="56">
        <v>1.9707919903642956</v>
      </c>
      <c r="F612" s="56">
        <v>18108.433228775171</v>
      </c>
      <c r="G612" s="56">
        <v>17.967868258978498</v>
      </c>
      <c r="H612" s="56">
        <f t="shared" si="34"/>
        <v>-7550.6954861624527</v>
      </c>
      <c r="I612" s="56">
        <f t="shared" si="35"/>
        <v>-15.997076268614203</v>
      </c>
      <c r="J612" s="56">
        <f t="shared" si="36"/>
        <v>71080.34966623786</v>
      </c>
      <c r="K612" s="56">
        <f t="shared" si="37"/>
        <v>726192.54153115011</v>
      </c>
      <c r="T612" s="83"/>
    </row>
    <row r="613" spans="2:20" x14ac:dyDescent="0.2">
      <c r="B613" s="83"/>
      <c r="C613" s="56">
        <v>574</v>
      </c>
      <c r="D613" s="56">
        <v>11294.711705886846</v>
      </c>
      <c r="E613" s="56">
        <v>1.9730420819107659</v>
      </c>
      <c r="F613" s="56">
        <v>18550.383823264721</v>
      </c>
      <c r="G613" s="56">
        <v>14.073142869556815</v>
      </c>
      <c r="H613" s="56">
        <f t="shared" si="34"/>
        <v>-7255.6721173778751</v>
      </c>
      <c r="I613" s="56">
        <f t="shared" si="35"/>
        <v>-12.100100787646049</v>
      </c>
      <c r="J613" s="56">
        <f t="shared" si="36"/>
        <v>70436.583495184721</v>
      </c>
      <c r="K613" s="56">
        <f t="shared" si="37"/>
        <v>564415.48640525679</v>
      </c>
      <c r="T613" s="83"/>
    </row>
    <row r="614" spans="2:20" x14ac:dyDescent="0.2">
      <c r="B614" s="83"/>
      <c r="C614" s="56">
        <v>575</v>
      </c>
      <c r="D614" s="56">
        <v>9064.8174419275092</v>
      </c>
      <c r="E614" s="56">
        <v>1.7631696705125526</v>
      </c>
      <c r="F614" s="56">
        <v>19976.622944599378</v>
      </c>
      <c r="G614" s="56">
        <v>22.214280253576558</v>
      </c>
      <c r="H614" s="56">
        <f t="shared" si="34"/>
        <v>-10911.805502671868</v>
      </c>
      <c r="I614" s="56">
        <f t="shared" si="35"/>
        <v>-20.451110583064004</v>
      </c>
      <c r="J614" s="56">
        <f t="shared" si="36"/>
        <v>63972.722989384471</v>
      </c>
      <c r="K614" s="56">
        <f t="shared" si="37"/>
        <v>900227.72227955598</v>
      </c>
      <c r="T614" s="83"/>
    </row>
    <row r="615" spans="2:20" x14ac:dyDescent="0.2">
      <c r="B615" s="83"/>
      <c r="C615" s="56">
        <v>576</v>
      </c>
      <c r="D615" s="56">
        <v>22894.201006262479</v>
      </c>
      <c r="E615" s="56">
        <v>4.1963197449420724</v>
      </c>
      <c r="F615" s="56">
        <v>19462.557601603228</v>
      </c>
      <c r="G615" s="56">
        <v>18.045755036625067</v>
      </c>
      <c r="H615" s="56">
        <f t="shared" si="34"/>
        <v>3431.6434046592512</v>
      </c>
      <c r="I615" s="56">
        <f t="shared" si="35"/>
        <v>-13.849435291682994</v>
      </c>
      <c r="J615" s="56">
        <f t="shared" si="36"/>
        <v>150934.14810821792</v>
      </c>
      <c r="K615" s="56">
        <f t="shared" si="37"/>
        <v>728064.79903555359</v>
      </c>
      <c r="T615" s="83"/>
    </row>
    <row r="616" spans="2:20" x14ac:dyDescent="0.2">
      <c r="B616" s="83"/>
      <c r="C616" s="56">
        <v>577</v>
      </c>
      <c r="D616" s="56">
        <v>10918.532555303085</v>
      </c>
      <c r="E616" s="56">
        <v>1.9435834980558955</v>
      </c>
      <c r="F616" s="56">
        <v>15248.446664167766</v>
      </c>
      <c r="G616" s="56">
        <v>15.974658762049017</v>
      </c>
      <c r="H616" s="56">
        <f t="shared" ref="H616:H679" si="38">IF($C616&lt;=No_of_iterations_PSA,D616-$F616,"")</f>
        <v>-4329.9141088646811</v>
      </c>
      <c r="I616" s="56">
        <f t="shared" ref="I616:I679" si="39">IF($C616&lt;=No_of_iterations_PSA,E616-$G616,"")</f>
        <v>-14.031075263993122</v>
      </c>
      <c r="J616" s="56">
        <f t="shared" ref="J616:J679" si="40">IF($C616&lt;=No_of_iterations_PSA,E616*WTP-D616,"")</f>
        <v>69592.470268164325</v>
      </c>
      <c r="K616" s="56">
        <f t="shared" ref="K616:K679" si="41">IF($C616&lt;=No_of_iterations_PSA,G616*WTP-F616,"")</f>
        <v>646485.81789495074</v>
      </c>
      <c r="T616" s="83"/>
    </row>
    <row r="617" spans="2:20" x14ac:dyDescent="0.2">
      <c r="B617" s="83"/>
      <c r="C617" s="56">
        <v>578</v>
      </c>
      <c r="D617" s="56">
        <v>17495.125772668085</v>
      </c>
      <c r="E617" s="56">
        <v>3.1862643390091967</v>
      </c>
      <c r="F617" s="56">
        <v>13395.346440489402</v>
      </c>
      <c r="G617" s="56">
        <v>12.162846088181313</v>
      </c>
      <c r="H617" s="56">
        <f t="shared" si="38"/>
        <v>4099.779332178683</v>
      </c>
      <c r="I617" s="56">
        <f t="shared" si="39"/>
        <v>-8.9765817491721158</v>
      </c>
      <c r="J617" s="56">
        <f t="shared" si="40"/>
        <v>114492.68820644889</v>
      </c>
      <c r="K617" s="56">
        <f t="shared" si="41"/>
        <v>490438.38991633331</v>
      </c>
      <c r="T617" s="83"/>
    </row>
    <row r="618" spans="2:20" x14ac:dyDescent="0.2">
      <c r="B618" s="83"/>
      <c r="C618" s="56">
        <v>579</v>
      </c>
      <c r="D618" s="56">
        <v>18153.170101082935</v>
      </c>
      <c r="E618" s="56">
        <v>3.2989423057661433</v>
      </c>
      <c r="F618" s="56">
        <v>21813.152275129858</v>
      </c>
      <c r="G618" s="56">
        <v>20.868584401797417</v>
      </c>
      <c r="H618" s="56">
        <f t="shared" si="38"/>
        <v>-3659.9821740469233</v>
      </c>
      <c r="I618" s="56">
        <f t="shared" si="39"/>
        <v>-17.569642096031274</v>
      </c>
      <c r="J618" s="56">
        <f t="shared" si="40"/>
        <v>118502.21597297379</v>
      </c>
      <c r="K618" s="56">
        <f t="shared" si="41"/>
        <v>842647.08798492642</v>
      </c>
      <c r="T618" s="83"/>
    </row>
    <row r="619" spans="2:20" x14ac:dyDescent="0.2">
      <c r="B619" s="83"/>
      <c r="C619" s="56">
        <v>580</v>
      </c>
      <c r="D619" s="56">
        <v>14653.822654926966</v>
      </c>
      <c r="E619" s="56">
        <v>2.9798766520999167</v>
      </c>
      <c r="F619" s="56">
        <v>12087.535495307946</v>
      </c>
      <c r="G619" s="56">
        <v>12.167530306568167</v>
      </c>
      <c r="H619" s="56">
        <f t="shared" si="38"/>
        <v>2566.2871596190198</v>
      </c>
      <c r="I619" s="56">
        <f t="shared" si="39"/>
        <v>-9.1876536544682512</v>
      </c>
      <c r="J619" s="56">
        <f t="shared" si="40"/>
        <v>108784.58778165998</v>
      </c>
      <c r="K619" s="56">
        <f t="shared" si="41"/>
        <v>491940.23992397182</v>
      </c>
      <c r="T619" s="83"/>
    </row>
    <row r="620" spans="2:20" x14ac:dyDescent="0.2">
      <c r="B620" s="83"/>
      <c r="C620" s="56">
        <v>581</v>
      </c>
      <c r="D620" s="56">
        <v>13234.915296160942</v>
      </c>
      <c r="E620" s="56">
        <v>2.9449321718338526</v>
      </c>
      <c r="F620" s="56">
        <v>9843.4472806384074</v>
      </c>
      <c r="G620" s="56">
        <v>9.6204330550847796</v>
      </c>
      <c r="H620" s="56">
        <f t="shared" si="38"/>
        <v>3391.4680155225342</v>
      </c>
      <c r="I620" s="56">
        <f t="shared" si="39"/>
        <v>-6.6755008832509271</v>
      </c>
      <c r="J620" s="56">
        <f t="shared" si="40"/>
        <v>108755.95498988457</v>
      </c>
      <c r="K620" s="56">
        <f t="shared" si="41"/>
        <v>388673.3715931935</v>
      </c>
      <c r="T620" s="83"/>
    </row>
    <row r="621" spans="2:20" x14ac:dyDescent="0.2">
      <c r="B621" s="83"/>
      <c r="C621" s="56">
        <v>582</v>
      </c>
      <c r="D621" s="56">
        <v>15973.650079631432</v>
      </c>
      <c r="E621" s="56">
        <v>4.0883059159299169</v>
      </c>
      <c r="F621" s="56">
        <v>13697.185327925841</v>
      </c>
      <c r="G621" s="56">
        <v>13.798314277439289</v>
      </c>
      <c r="H621" s="56">
        <f t="shared" si="38"/>
        <v>2276.464751705591</v>
      </c>
      <c r="I621" s="56">
        <f t="shared" si="39"/>
        <v>-9.710008361509372</v>
      </c>
      <c r="J621" s="56">
        <f t="shared" si="40"/>
        <v>153380.33418184947</v>
      </c>
      <c r="K621" s="56">
        <f t="shared" si="41"/>
        <v>557884.18530071923</v>
      </c>
      <c r="T621" s="83"/>
    </row>
    <row r="622" spans="2:20" x14ac:dyDescent="0.2">
      <c r="B622" s="83"/>
      <c r="C622" s="56">
        <v>583</v>
      </c>
      <c r="D622" s="56">
        <v>19380.899960643557</v>
      </c>
      <c r="E622" s="56">
        <v>3.8707076314406894</v>
      </c>
      <c r="F622" s="56">
        <v>13788.339881085898</v>
      </c>
      <c r="G622" s="56">
        <v>11.045347271978972</v>
      </c>
      <c r="H622" s="56">
        <f t="shared" si="38"/>
        <v>5592.5600795576593</v>
      </c>
      <c r="I622" s="56">
        <f t="shared" si="39"/>
        <v>-7.1746396405382828</v>
      </c>
      <c r="J622" s="56">
        <f t="shared" si="40"/>
        <v>140959.29296415555</v>
      </c>
      <c r="K622" s="56">
        <f t="shared" si="41"/>
        <v>443754.12551337102</v>
      </c>
      <c r="T622" s="83"/>
    </row>
    <row r="623" spans="2:20" x14ac:dyDescent="0.2">
      <c r="B623" s="83"/>
      <c r="C623" s="56">
        <v>584</v>
      </c>
      <c r="D623" s="56">
        <v>14807.215047845137</v>
      </c>
      <c r="E623" s="56">
        <v>2.5840345481118332</v>
      </c>
      <c r="F623" s="56">
        <v>13477.935013162169</v>
      </c>
      <c r="G623" s="56">
        <v>11.703920517420679</v>
      </c>
      <c r="H623" s="56">
        <f t="shared" si="38"/>
        <v>1329.2800346829681</v>
      </c>
      <c r="I623" s="56">
        <f t="shared" si="39"/>
        <v>-9.1198859693088465</v>
      </c>
      <c r="J623" s="56">
        <f t="shared" si="40"/>
        <v>92233.832073139449</v>
      </c>
      <c r="K623" s="56">
        <f t="shared" si="41"/>
        <v>471345.26850047207</v>
      </c>
      <c r="T623" s="83"/>
    </row>
    <row r="624" spans="2:20" x14ac:dyDescent="0.2">
      <c r="B624" s="83"/>
      <c r="C624" s="56">
        <v>585</v>
      </c>
      <c r="D624" s="56">
        <v>13121.166805163661</v>
      </c>
      <c r="E624" s="56">
        <v>3.0714102193705735</v>
      </c>
      <c r="F624" s="56">
        <v>14617.282518147491</v>
      </c>
      <c r="G624" s="56">
        <v>16.14713026920311</v>
      </c>
      <c r="H624" s="56">
        <f t="shared" si="38"/>
        <v>-1496.1157129838302</v>
      </c>
      <c r="I624" s="56">
        <f t="shared" si="39"/>
        <v>-13.075720049832537</v>
      </c>
      <c r="J624" s="56">
        <f t="shared" si="40"/>
        <v>114108.93012204296</v>
      </c>
      <c r="K624" s="56">
        <f t="shared" si="41"/>
        <v>654261.44175332214</v>
      </c>
      <c r="T624" s="83"/>
    </row>
    <row r="625" spans="2:20" x14ac:dyDescent="0.2">
      <c r="B625" s="83"/>
      <c r="C625" s="56">
        <v>586</v>
      </c>
      <c r="D625" s="56">
        <v>14549.580985396191</v>
      </c>
      <c r="E625" s="56">
        <v>2.6283399266372194</v>
      </c>
      <c r="F625" s="56">
        <v>14082.196631600244</v>
      </c>
      <c r="G625" s="56">
        <v>16.094144514654005</v>
      </c>
      <c r="H625" s="56">
        <f t="shared" si="38"/>
        <v>467.38435379594739</v>
      </c>
      <c r="I625" s="56">
        <f t="shared" si="39"/>
        <v>-13.465804588016786</v>
      </c>
      <c r="J625" s="56">
        <f t="shared" si="40"/>
        <v>94326.772135623993</v>
      </c>
      <c r="K625" s="56">
        <f t="shared" si="41"/>
        <v>652601.64574342722</v>
      </c>
      <c r="T625" s="83"/>
    </row>
    <row r="626" spans="2:20" x14ac:dyDescent="0.2">
      <c r="B626" s="83"/>
      <c r="C626" s="56">
        <v>587</v>
      </c>
      <c r="D626" s="56">
        <v>16304.08661414802</v>
      </c>
      <c r="E626" s="56">
        <v>3.1291851876940284</v>
      </c>
      <c r="F626" s="56">
        <v>12891.963167999256</v>
      </c>
      <c r="G626" s="56">
        <v>11.234290709286629</v>
      </c>
      <c r="H626" s="56">
        <f t="shared" si="38"/>
        <v>3412.1234461487638</v>
      </c>
      <c r="I626" s="56">
        <f t="shared" si="39"/>
        <v>-8.1051055215926002</v>
      </c>
      <c r="J626" s="56">
        <f t="shared" si="40"/>
        <v>113319.28060088941</v>
      </c>
      <c r="K626" s="56">
        <f t="shared" si="41"/>
        <v>452477.29517349007</v>
      </c>
      <c r="T626" s="83"/>
    </row>
    <row r="627" spans="2:20" x14ac:dyDescent="0.2">
      <c r="B627" s="83"/>
      <c r="C627" s="56">
        <v>588</v>
      </c>
      <c r="D627" s="56">
        <v>9958.2974342138568</v>
      </c>
      <c r="E627" s="56">
        <v>2.8807008443317783</v>
      </c>
      <c r="F627" s="56">
        <v>17125.420572228933</v>
      </c>
      <c r="G627" s="56">
        <v>21.992559018570532</v>
      </c>
      <c r="H627" s="56">
        <f t="shared" si="38"/>
        <v>-7167.1231380150766</v>
      </c>
      <c r="I627" s="56">
        <f t="shared" si="39"/>
        <v>-19.111858174238755</v>
      </c>
      <c r="J627" s="56">
        <f t="shared" si="40"/>
        <v>109371.85434138573</v>
      </c>
      <c r="K627" s="56">
        <f t="shared" si="41"/>
        <v>893894.3442130367</v>
      </c>
      <c r="T627" s="83"/>
    </row>
    <row r="628" spans="2:20" x14ac:dyDescent="0.2">
      <c r="B628" s="83"/>
      <c r="C628" s="56">
        <v>589</v>
      </c>
      <c r="D628" s="56">
        <v>15055.167867193199</v>
      </c>
      <c r="E628" s="56">
        <v>2.6253662743395281</v>
      </c>
      <c r="F628" s="56">
        <v>21631.119600907074</v>
      </c>
      <c r="G628" s="56">
        <v>22.07674787151921</v>
      </c>
      <c r="H628" s="56">
        <f t="shared" si="38"/>
        <v>-6575.951733713875</v>
      </c>
      <c r="I628" s="56">
        <f t="shared" si="39"/>
        <v>-19.451381597179683</v>
      </c>
      <c r="J628" s="56">
        <f t="shared" si="40"/>
        <v>93698.004681047401</v>
      </c>
      <c r="K628" s="56">
        <f t="shared" si="41"/>
        <v>892876.08422890469</v>
      </c>
      <c r="T628" s="83"/>
    </row>
    <row r="629" spans="2:20" x14ac:dyDescent="0.2">
      <c r="B629" s="83"/>
      <c r="C629" s="56">
        <v>590</v>
      </c>
      <c r="D629" s="56">
        <v>23470.583355081391</v>
      </c>
      <c r="E629" s="56">
        <v>4.6480938454274945</v>
      </c>
      <c r="F629" s="56">
        <v>17189.492107663893</v>
      </c>
      <c r="G629" s="56">
        <v>16.862892157885913</v>
      </c>
      <c r="H629" s="56">
        <f t="shared" si="38"/>
        <v>6281.0912474174984</v>
      </c>
      <c r="I629" s="56">
        <f t="shared" si="39"/>
        <v>-12.214798312458418</v>
      </c>
      <c r="J629" s="56">
        <f t="shared" si="40"/>
        <v>169072.05609790716</v>
      </c>
      <c r="K629" s="56">
        <f t="shared" si="41"/>
        <v>681338.95264060213</v>
      </c>
      <c r="T629" s="83"/>
    </row>
    <row r="630" spans="2:20" x14ac:dyDescent="0.2">
      <c r="B630" s="83"/>
      <c r="C630" s="56">
        <v>591</v>
      </c>
      <c r="D630" s="56">
        <v>15807.985692287451</v>
      </c>
      <c r="E630" s="56">
        <v>3.5977453596926492</v>
      </c>
      <c r="F630" s="56">
        <v>10545.798125945234</v>
      </c>
      <c r="G630" s="56">
        <v>9.6961820515398429</v>
      </c>
      <c r="H630" s="56">
        <f t="shared" si="38"/>
        <v>5262.1875663422179</v>
      </c>
      <c r="I630" s="56">
        <f t="shared" si="39"/>
        <v>-6.0984366918471942</v>
      </c>
      <c r="J630" s="56">
        <f t="shared" si="40"/>
        <v>133225.01808762085</v>
      </c>
      <c r="K630" s="56">
        <f t="shared" si="41"/>
        <v>391108.84717704123</v>
      </c>
      <c r="T630" s="83"/>
    </row>
    <row r="631" spans="2:20" x14ac:dyDescent="0.2">
      <c r="B631" s="83"/>
      <c r="C631" s="56">
        <v>592</v>
      </c>
      <c r="D631" s="56">
        <v>15526.980797451108</v>
      </c>
      <c r="E631" s="56">
        <v>3.0330107024770481</v>
      </c>
      <c r="F631" s="56">
        <v>19780.909570641481</v>
      </c>
      <c r="G631" s="56">
        <v>21.057284221347096</v>
      </c>
      <c r="H631" s="56">
        <f t="shared" si="38"/>
        <v>-4253.9287731903732</v>
      </c>
      <c r="I631" s="56">
        <f t="shared" si="39"/>
        <v>-18.024273518870046</v>
      </c>
      <c r="J631" s="56">
        <f t="shared" si="40"/>
        <v>110112.45454195813</v>
      </c>
      <c r="K631" s="56">
        <f t="shared" si="41"/>
        <v>852496.03201444063</v>
      </c>
      <c r="T631" s="83"/>
    </row>
    <row r="632" spans="2:20" x14ac:dyDescent="0.2">
      <c r="B632" s="83"/>
      <c r="C632" s="56">
        <v>593</v>
      </c>
      <c r="D632" s="56">
        <v>23897.229061169968</v>
      </c>
      <c r="E632" s="56">
        <v>4.7402847386073272</v>
      </c>
      <c r="F632" s="56">
        <v>14881.760812965371</v>
      </c>
      <c r="G632" s="56">
        <v>11.748081295203443</v>
      </c>
      <c r="H632" s="56">
        <f t="shared" si="38"/>
        <v>9015.4682482045973</v>
      </c>
      <c r="I632" s="56">
        <f t="shared" si="39"/>
        <v>-7.0077965565961158</v>
      </c>
      <c r="J632" s="56">
        <f t="shared" si="40"/>
        <v>172464.32595089998</v>
      </c>
      <c r="K632" s="56">
        <f t="shared" si="41"/>
        <v>471770.75875954202</v>
      </c>
      <c r="T632" s="83"/>
    </row>
    <row r="633" spans="2:20" x14ac:dyDescent="0.2">
      <c r="B633" s="83"/>
      <c r="C633" s="56">
        <v>594</v>
      </c>
      <c r="D633" s="56">
        <v>18012.435481775519</v>
      </c>
      <c r="E633" s="56">
        <v>4.6182910425246266</v>
      </c>
      <c r="F633" s="56">
        <v>12762.287766688243</v>
      </c>
      <c r="G633" s="56">
        <v>11.723002099434996</v>
      </c>
      <c r="H633" s="56">
        <f t="shared" si="38"/>
        <v>5250.1477150872761</v>
      </c>
      <c r="I633" s="56">
        <f t="shared" si="39"/>
        <v>-7.1047110569103697</v>
      </c>
      <c r="J633" s="56">
        <f t="shared" si="40"/>
        <v>173295.6526637646</v>
      </c>
      <c r="K633" s="56">
        <f t="shared" si="41"/>
        <v>472851.35120030702</v>
      </c>
      <c r="T633" s="83"/>
    </row>
    <row r="634" spans="2:20" x14ac:dyDescent="0.2">
      <c r="B634" s="83"/>
      <c r="C634" s="56">
        <v>595</v>
      </c>
      <c r="D634" s="56">
        <v>16143.626130141989</v>
      </c>
      <c r="E634" s="56">
        <v>4.0679632061692166</v>
      </c>
      <c r="F634" s="56">
        <v>10474.267226944008</v>
      </c>
      <c r="G634" s="56">
        <v>9.9307200922369692</v>
      </c>
      <c r="H634" s="56">
        <f t="shared" si="38"/>
        <v>5669.3589031979809</v>
      </c>
      <c r="I634" s="56">
        <f t="shared" si="39"/>
        <v>-5.8627568860677526</v>
      </c>
      <c r="J634" s="56">
        <f t="shared" si="40"/>
        <v>152367.68172221165</v>
      </c>
      <c r="K634" s="56">
        <f t="shared" si="41"/>
        <v>400895.88187388016</v>
      </c>
      <c r="T634" s="83"/>
    </row>
    <row r="635" spans="2:20" x14ac:dyDescent="0.2">
      <c r="B635" s="83"/>
      <c r="C635" s="56">
        <v>596</v>
      </c>
      <c r="D635" s="56">
        <v>18567.955972687258</v>
      </c>
      <c r="E635" s="56">
        <v>4.1181449520205442</v>
      </c>
      <c r="F635" s="56">
        <v>13074.071578110434</v>
      </c>
      <c r="G635" s="56">
        <v>12.470964725456183</v>
      </c>
      <c r="H635" s="56">
        <f t="shared" si="38"/>
        <v>5493.884394576824</v>
      </c>
      <c r="I635" s="56">
        <f t="shared" si="39"/>
        <v>-8.3528197734356375</v>
      </c>
      <c r="J635" s="56">
        <f t="shared" si="40"/>
        <v>152022.08051981177</v>
      </c>
      <c r="K635" s="56">
        <f t="shared" si="41"/>
        <v>503523.17120918643</v>
      </c>
      <c r="T635" s="83"/>
    </row>
    <row r="636" spans="2:20" x14ac:dyDescent="0.2">
      <c r="B636" s="83"/>
      <c r="C636" s="56">
        <v>597</v>
      </c>
      <c r="D636" s="56">
        <v>14508.287685472853</v>
      </c>
      <c r="E636" s="56">
        <v>3.5563370613276311</v>
      </c>
      <c r="F636" s="56">
        <v>16229.424048212741</v>
      </c>
      <c r="G636" s="56">
        <v>16.784501338002386</v>
      </c>
      <c r="H636" s="56">
        <f t="shared" si="38"/>
        <v>-1721.1363627398878</v>
      </c>
      <c r="I636" s="56">
        <f t="shared" si="39"/>
        <v>-13.228164276674754</v>
      </c>
      <c r="J636" s="56">
        <f t="shared" si="40"/>
        <v>132809.41874296294</v>
      </c>
      <c r="K636" s="56">
        <f t="shared" si="41"/>
        <v>679051.75937719818</v>
      </c>
      <c r="T636" s="83"/>
    </row>
    <row r="637" spans="2:20" x14ac:dyDescent="0.2">
      <c r="B637" s="83"/>
      <c r="C637" s="56">
        <v>598</v>
      </c>
      <c r="D637" s="56">
        <v>20397.480625070322</v>
      </c>
      <c r="E637" s="56">
        <v>5.3758267189555333</v>
      </c>
      <c r="F637" s="56">
        <v>7868.9809749577244</v>
      </c>
      <c r="G637" s="56">
        <v>6.9182287454873705</v>
      </c>
      <c r="H637" s="56">
        <f t="shared" si="38"/>
        <v>12528.499650112597</v>
      </c>
      <c r="I637" s="56">
        <f t="shared" si="39"/>
        <v>-1.5424020265318372</v>
      </c>
      <c r="J637" s="56">
        <f t="shared" si="40"/>
        <v>202290.76538094369</v>
      </c>
      <c r="K637" s="56">
        <f t="shared" si="41"/>
        <v>278711.72657811112</v>
      </c>
      <c r="T637" s="83"/>
    </row>
    <row r="638" spans="2:20" x14ac:dyDescent="0.2">
      <c r="B638" s="83"/>
      <c r="C638" s="56">
        <v>599</v>
      </c>
      <c r="D638" s="56">
        <v>22186.766466253746</v>
      </c>
      <c r="E638" s="56">
        <v>4.6503699432226835</v>
      </c>
      <c r="F638" s="56">
        <v>22668.838051989369</v>
      </c>
      <c r="G638" s="56">
        <v>20.348047761373763</v>
      </c>
      <c r="H638" s="56">
        <f t="shared" si="38"/>
        <v>-482.07158573562265</v>
      </c>
      <c r="I638" s="56">
        <f t="shared" si="39"/>
        <v>-15.69767781815108</v>
      </c>
      <c r="J638" s="56">
        <f t="shared" si="40"/>
        <v>170450.15806180268</v>
      </c>
      <c r="K638" s="56">
        <f t="shared" si="41"/>
        <v>820228.69241515745</v>
      </c>
      <c r="T638" s="83"/>
    </row>
    <row r="639" spans="2:20" x14ac:dyDescent="0.2">
      <c r="B639" s="83"/>
      <c r="C639" s="56">
        <v>600</v>
      </c>
      <c r="D639" s="56">
        <v>18332.526922436606</v>
      </c>
      <c r="E639" s="56">
        <v>4.2304599120354727</v>
      </c>
      <c r="F639" s="56">
        <v>15938.564656508453</v>
      </c>
      <c r="G639" s="56">
        <v>18.165855879802145</v>
      </c>
      <c r="H639" s="56">
        <f t="shared" si="38"/>
        <v>2393.9622659281522</v>
      </c>
      <c r="I639" s="56">
        <f t="shared" si="39"/>
        <v>-13.935395967766672</v>
      </c>
      <c r="J639" s="56">
        <f t="shared" si="40"/>
        <v>156910.0444737208</v>
      </c>
      <c r="K639" s="56">
        <f t="shared" si="41"/>
        <v>736563.84930841555</v>
      </c>
      <c r="T639" s="83"/>
    </row>
    <row r="640" spans="2:20" x14ac:dyDescent="0.2">
      <c r="B640" s="83"/>
      <c r="C640" s="56">
        <v>601</v>
      </c>
      <c r="D640" s="56">
        <v>21096.635133917262</v>
      </c>
      <c r="E640" s="56">
        <v>4.4907157089847338</v>
      </c>
      <c r="F640" s="56">
        <v>13246.346904429749</v>
      </c>
      <c r="G640" s="56">
        <v>13.917993720248159</v>
      </c>
      <c r="H640" s="56">
        <f t="shared" si="38"/>
        <v>7850.2882294875126</v>
      </c>
      <c r="I640" s="56">
        <f t="shared" si="39"/>
        <v>-9.4272780112634251</v>
      </c>
      <c r="J640" s="56">
        <f t="shared" si="40"/>
        <v>164926.77239506633</v>
      </c>
      <c r="K640" s="56">
        <f t="shared" si="41"/>
        <v>563292.62496312999</v>
      </c>
      <c r="T640" s="83"/>
    </row>
    <row r="641" spans="2:20" x14ac:dyDescent="0.2">
      <c r="B641" s="83"/>
      <c r="C641" s="56">
        <v>602</v>
      </c>
      <c r="D641" s="56">
        <v>12891.312877056665</v>
      </c>
      <c r="E641" s="56">
        <v>2.36769917794342</v>
      </c>
      <c r="F641" s="56">
        <v>14078.773272965302</v>
      </c>
      <c r="G641" s="56">
        <v>12.99230539651442</v>
      </c>
      <c r="H641" s="56">
        <f t="shared" si="38"/>
        <v>-1187.4603959086362</v>
      </c>
      <c r="I641" s="56">
        <f t="shared" si="39"/>
        <v>-10.624606218571</v>
      </c>
      <c r="J641" s="56">
        <f t="shared" si="40"/>
        <v>85188.257870071568</v>
      </c>
      <c r="K641" s="56">
        <f t="shared" si="41"/>
        <v>524114.48547224799</v>
      </c>
      <c r="T641" s="83"/>
    </row>
    <row r="642" spans="2:20" x14ac:dyDescent="0.2">
      <c r="B642" s="83"/>
      <c r="C642" s="56">
        <v>603</v>
      </c>
      <c r="D642" s="56">
        <v>8783.8976803271253</v>
      </c>
      <c r="E642" s="56">
        <v>1.5219848070262549</v>
      </c>
      <c r="F642" s="56">
        <v>12846.629045620693</v>
      </c>
      <c r="G642" s="56">
        <v>11.952214299556001</v>
      </c>
      <c r="H642" s="56">
        <f t="shared" si="38"/>
        <v>-4062.7313652935682</v>
      </c>
      <c r="I642" s="56">
        <f t="shared" si="39"/>
        <v>-10.430229492529746</v>
      </c>
      <c r="J642" s="56">
        <f t="shared" si="40"/>
        <v>54262.800965928458</v>
      </c>
      <c r="K642" s="56">
        <f t="shared" si="41"/>
        <v>482261.89609918708</v>
      </c>
      <c r="T642" s="83"/>
    </row>
    <row r="643" spans="2:20" x14ac:dyDescent="0.2">
      <c r="B643" s="83"/>
      <c r="C643" s="56">
        <v>604</v>
      </c>
      <c r="D643" s="56">
        <v>17830.746299237064</v>
      </c>
      <c r="E643" s="56">
        <v>4.5472433795299541</v>
      </c>
      <c r="F643" s="56">
        <v>14589.758214245565</v>
      </c>
      <c r="G643" s="56">
        <v>16.543733103547495</v>
      </c>
      <c r="H643" s="56">
        <f t="shared" si="38"/>
        <v>3240.9880849914989</v>
      </c>
      <c r="I643" s="56">
        <f t="shared" si="39"/>
        <v>-11.996489724017541</v>
      </c>
      <c r="J643" s="56">
        <f t="shared" si="40"/>
        <v>170534.26345441173</v>
      </c>
      <c r="K643" s="56">
        <f t="shared" si="41"/>
        <v>670717.84186710592</v>
      </c>
      <c r="T643" s="83"/>
    </row>
    <row r="644" spans="2:20" x14ac:dyDescent="0.2">
      <c r="B644" s="83"/>
      <c r="C644" s="56">
        <v>605</v>
      </c>
      <c r="D644" s="56">
        <v>13262.070286913271</v>
      </c>
      <c r="E644" s="56">
        <v>2.9155840057348783</v>
      </c>
      <c r="F644" s="56">
        <v>21809.533600157461</v>
      </c>
      <c r="G644" s="56">
        <v>24.124062558103105</v>
      </c>
      <c r="H644" s="56">
        <f t="shared" si="38"/>
        <v>-8547.4633132441904</v>
      </c>
      <c r="I644" s="56">
        <f t="shared" si="39"/>
        <v>-21.208478552368227</v>
      </c>
      <c r="J644" s="56">
        <f t="shared" si="40"/>
        <v>107513.08156664834</v>
      </c>
      <c r="K644" s="56">
        <f t="shared" si="41"/>
        <v>977505.63380670559</v>
      </c>
      <c r="T644" s="83"/>
    </row>
    <row r="645" spans="2:20" x14ac:dyDescent="0.2">
      <c r="B645" s="83"/>
      <c r="C645" s="56">
        <v>606</v>
      </c>
      <c r="D645" s="56">
        <v>12737.538609286343</v>
      </c>
      <c r="E645" s="56">
        <v>2.8314137815672522</v>
      </c>
      <c r="F645" s="56">
        <v>21483.056076375869</v>
      </c>
      <c r="G645" s="56">
        <v>19.656048518240933</v>
      </c>
      <c r="H645" s="56">
        <f t="shared" si="38"/>
        <v>-8745.5174670895267</v>
      </c>
      <c r="I645" s="56">
        <f t="shared" si="39"/>
        <v>-16.82463473667368</v>
      </c>
      <c r="J645" s="56">
        <f t="shared" si="40"/>
        <v>104550.9458783555</v>
      </c>
      <c r="K645" s="56">
        <f t="shared" si="41"/>
        <v>792749.09774323658</v>
      </c>
      <c r="T645" s="83"/>
    </row>
    <row r="646" spans="2:20" x14ac:dyDescent="0.2">
      <c r="B646" s="83"/>
      <c r="C646" s="56">
        <v>607</v>
      </c>
      <c r="D646" s="56">
        <v>12182.573512148419</v>
      </c>
      <c r="E646" s="56">
        <v>2.4340669273111031</v>
      </c>
      <c r="F646" s="56">
        <v>17586.323495542572</v>
      </c>
      <c r="G646" s="56">
        <v>18.135546901874779</v>
      </c>
      <c r="H646" s="56">
        <f t="shared" si="38"/>
        <v>-5403.7499833941529</v>
      </c>
      <c r="I646" s="56">
        <f t="shared" si="39"/>
        <v>-15.701479974563675</v>
      </c>
      <c r="J646" s="56">
        <f t="shared" si="40"/>
        <v>88646.214884786721</v>
      </c>
      <c r="K646" s="56">
        <f t="shared" si="41"/>
        <v>733660.57136771828</v>
      </c>
      <c r="T646" s="83"/>
    </row>
    <row r="647" spans="2:20" x14ac:dyDescent="0.2">
      <c r="B647" s="83"/>
      <c r="C647" s="56">
        <v>608</v>
      </c>
      <c r="D647" s="56">
        <v>14634.42630179248</v>
      </c>
      <c r="E647" s="56">
        <v>4.1701488457284324</v>
      </c>
      <c r="F647" s="56">
        <v>12776.028300339553</v>
      </c>
      <c r="G647" s="56">
        <v>14.759051032819764</v>
      </c>
      <c r="H647" s="56">
        <f t="shared" si="38"/>
        <v>1858.3980014529279</v>
      </c>
      <c r="I647" s="56">
        <f t="shared" si="39"/>
        <v>-10.588902187091332</v>
      </c>
      <c r="J647" s="56">
        <f t="shared" si="40"/>
        <v>158109.81948366211</v>
      </c>
      <c r="K647" s="56">
        <f t="shared" si="41"/>
        <v>598602.9016831863</v>
      </c>
      <c r="T647" s="83"/>
    </row>
    <row r="648" spans="2:20" x14ac:dyDescent="0.2">
      <c r="B648" s="83"/>
      <c r="C648" s="56">
        <v>609</v>
      </c>
      <c r="D648" s="56">
        <v>13681.381591356925</v>
      </c>
      <c r="E648" s="56">
        <v>2.797605708874503</v>
      </c>
      <c r="F648" s="56">
        <v>14883.767564486036</v>
      </c>
      <c r="G648" s="56">
        <v>13.889351239764757</v>
      </c>
      <c r="H648" s="56">
        <f t="shared" si="38"/>
        <v>-1202.3859731291104</v>
      </c>
      <c r="I648" s="56">
        <f t="shared" si="39"/>
        <v>-11.091745530890254</v>
      </c>
      <c r="J648" s="56">
        <f t="shared" si="40"/>
        <v>102206.63729306048</v>
      </c>
      <c r="K648" s="56">
        <f t="shared" si="41"/>
        <v>560468.71819152927</v>
      </c>
      <c r="T648" s="83"/>
    </row>
    <row r="649" spans="2:20" x14ac:dyDescent="0.2">
      <c r="B649" s="83"/>
      <c r="C649" s="56">
        <v>610</v>
      </c>
      <c r="D649" s="56">
        <v>13053.921023767552</v>
      </c>
      <c r="E649" s="56">
        <v>2.3756808444761659</v>
      </c>
      <c r="F649" s="56">
        <v>15783.58647873245</v>
      </c>
      <c r="G649" s="56">
        <v>15.469159051309969</v>
      </c>
      <c r="H649" s="56">
        <f t="shared" si="38"/>
        <v>-2729.6654549648974</v>
      </c>
      <c r="I649" s="56">
        <f t="shared" si="39"/>
        <v>-13.093478206833803</v>
      </c>
      <c r="J649" s="56">
        <f t="shared" si="40"/>
        <v>85356.282277813138</v>
      </c>
      <c r="K649" s="56">
        <f t="shared" si="41"/>
        <v>625010.8580627318</v>
      </c>
      <c r="T649" s="83"/>
    </row>
    <row r="650" spans="2:20" x14ac:dyDescent="0.2">
      <c r="B650" s="83"/>
      <c r="C650" s="56">
        <v>611</v>
      </c>
      <c r="D650" s="56">
        <v>16625.988632492714</v>
      </c>
      <c r="E650" s="56">
        <v>3.0414912270703511</v>
      </c>
      <c r="F650" s="56">
        <v>15599.993949457092</v>
      </c>
      <c r="G650" s="56">
        <v>16.354268660552659</v>
      </c>
      <c r="H650" s="56">
        <f t="shared" si="38"/>
        <v>1025.9946830356221</v>
      </c>
      <c r="I650" s="56">
        <f t="shared" si="39"/>
        <v>-13.312777433482308</v>
      </c>
      <c r="J650" s="56">
        <f t="shared" si="40"/>
        <v>109364.7439576695</v>
      </c>
      <c r="K650" s="56">
        <f t="shared" si="41"/>
        <v>661859.23104527628</v>
      </c>
      <c r="T650" s="83"/>
    </row>
    <row r="651" spans="2:20" x14ac:dyDescent="0.2">
      <c r="B651" s="83"/>
      <c r="C651" s="56">
        <v>612</v>
      </c>
      <c r="D651" s="56">
        <v>15566.415070035071</v>
      </c>
      <c r="E651" s="56">
        <v>3.7778286590202956</v>
      </c>
      <c r="F651" s="56">
        <v>5806.5136477162123</v>
      </c>
      <c r="G651" s="56">
        <v>3.8086663082286032</v>
      </c>
      <c r="H651" s="56">
        <f t="shared" si="38"/>
        <v>9759.9014223188587</v>
      </c>
      <c r="I651" s="56">
        <f t="shared" si="39"/>
        <v>-3.083764920830756E-2</v>
      </c>
      <c r="J651" s="56">
        <f t="shared" si="40"/>
        <v>140926.35930122167</v>
      </c>
      <c r="K651" s="56">
        <f t="shared" si="41"/>
        <v>151963.67950434546</v>
      </c>
      <c r="T651" s="83"/>
    </row>
    <row r="652" spans="2:20" x14ac:dyDescent="0.2">
      <c r="B652" s="83"/>
      <c r="C652" s="56">
        <v>613</v>
      </c>
      <c r="D652" s="56">
        <v>15893.042112889607</v>
      </c>
      <c r="E652" s="56">
        <v>3.414294477320857</v>
      </c>
      <c r="F652" s="56">
        <v>20564.531448361224</v>
      </c>
      <c r="G652" s="56">
        <v>19.768653465690495</v>
      </c>
      <c r="H652" s="56">
        <f t="shared" si="38"/>
        <v>-4671.4893354716169</v>
      </c>
      <c r="I652" s="56">
        <f t="shared" si="39"/>
        <v>-16.354358988369636</v>
      </c>
      <c r="J652" s="56">
        <f t="shared" si="40"/>
        <v>125540.69231564956</v>
      </c>
      <c r="K652" s="56">
        <f t="shared" si="41"/>
        <v>798332.16971440183</v>
      </c>
      <c r="T652" s="83"/>
    </row>
    <row r="653" spans="2:20" x14ac:dyDescent="0.2">
      <c r="B653" s="83"/>
      <c r="C653" s="56">
        <v>614</v>
      </c>
      <c r="D653" s="56">
        <v>26355.635089306154</v>
      </c>
      <c r="E653" s="56">
        <v>4.8384087425351225</v>
      </c>
      <c r="F653" s="56">
        <v>18729.639152927877</v>
      </c>
      <c r="G653" s="56">
        <v>16.286755246359885</v>
      </c>
      <c r="H653" s="56">
        <f t="shared" si="38"/>
        <v>7625.9959363782764</v>
      </c>
      <c r="I653" s="56">
        <f t="shared" si="39"/>
        <v>-11.448346503824762</v>
      </c>
      <c r="J653" s="56">
        <f t="shared" si="40"/>
        <v>174070.60866146875</v>
      </c>
      <c r="K653" s="56">
        <f t="shared" si="41"/>
        <v>655932.910172284</v>
      </c>
      <c r="T653" s="83"/>
    </row>
    <row r="654" spans="2:20" x14ac:dyDescent="0.2">
      <c r="B654" s="83"/>
      <c r="C654" s="56">
        <v>615</v>
      </c>
      <c r="D654" s="56">
        <v>12734.351347955353</v>
      </c>
      <c r="E654" s="56">
        <v>3.2669781625398864</v>
      </c>
      <c r="F654" s="56">
        <v>9370.4972935132937</v>
      </c>
      <c r="G654" s="56">
        <v>6.2376789152966623</v>
      </c>
      <c r="H654" s="56">
        <f t="shared" si="38"/>
        <v>3363.8540544420594</v>
      </c>
      <c r="I654" s="56">
        <f t="shared" si="39"/>
        <v>-2.9707007527567759</v>
      </c>
      <c r="J654" s="56">
        <f t="shared" si="40"/>
        <v>122596.9520570969</v>
      </c>
      <c r="K654" s="56">
        <f t="shared" si="41"/>
        <v>249019.11409373564</v>
      </c>
      <c r="T654" s="83"/>
    </row>
    <row r="655" spans="2:20" x14ac:dyDescent="0.2">
      <c r="B655" s="83"/>
      <c r="C655" s="56">
        <v>616</v>
      </c>
      <c r="D655" s="56">
        <v>7677.5333336586664</v>
      </c>
      <c r="E655" s="56">
        <v>2.3338275532530806</v>
      </c>
      <c r="F655" s="56">
        <v>12884.416722251732</v>
      </c>
      <c r="G655" s="56">
        <v>17.26748286485353</v>
      </c>
      <c r="H655" s="56">
        <f t="shared" si="38"/>
        <v>-5206.8833885930653</v>
      </c>
      <c r="I655" s="56">
        <f t="shared" si="39"/>
        <v>-14.93365531160045</v>
      </c>
      <c r="J655" s="56">
        <f t="shared" si="40"/>
        <v>88998.939232296951</v>
      </c>
      <c r="K655" s="56">
        <f t="shared" si="41"/>
        <v>702403.79347144091</v>
      </c>
      <c r="T655" s="83"/>
    </row>
    <row r="656" spans="2:20" x14ac:dyDescent="0.2">
      <c r="B656" s="83"/>
      <c r="C656" s="56">
        <v>617</v>
      </c>
      <c r="D656" s="56">
        <v>21795.065060294557</v>
      </c>
      <c r="E656" s="56">
        <v>3.9943279998184096</v>
      </c>
      <c r="F656" s="56">
        <v>8555.7018905312725</v>
      </c>
      <c r="G656" s="56">
        <v>6.9025244081778894</v>
      </c>
      <c r="H656" s="56">
        <f t="shared" si="38"/>
        <v>13239.363169763285</v>
      </c>
      <c r="I656" s="56">
        <f t="shared" si="39"/>
        <v>-2.9081964083594798</v>
      </c>
      <c r="J656" s="56">
        <f t="shared" si="40"/>
        <v>143665.97800418324</v>
      </c>
      <c r="K656" s="56">
        <f t="shared" si="41"/>
        <v>277374.46919382963</v>
      </c>
      <c r="T656" s="83"/>
    </row>
    <row r="657" spans="2:20" x14ac:dyDescent="0.2">
      <c r="B657" s="83"/>
      <c r="C657" s="56">
        <v>618</v>
      </c>
      <c r="D657" s="56">
        <v>19371.831844783886</v>
      </c>
      <c r="E657" s="56">
        <v>3.7488400219833151</v>
      </c>
      <c r="F657" s="56">
        <v>11748.917894256365</v>
      </c>
      <c r="G657" s="56">
        <v>9.5501961205178638</v>
      </c>
      <c r="H657" s="56">
        <f t="shared" si="38"/>
        <v>7622.9139505275216</v>
      </c>
      <c r="I657" s="56">
        <f t="shared" si="39"/>
        <v>-5.8013560985345487</v>
      </c>
      <c r="J657" s="56">
        <f t="shared" si="40"/>
        <v>135920.11722585297</v>
      </c>
      <c r="K657" s="56">
        <f t="shared" si="41"/>
        <v>383858.40620207565</v>
      </c>
      <c r="T657" s="83"/>
    </row>
    <row r="658" spans="2:20" x14ac:dyDescent="0.2">
      <c r="B658" s="83"/>
      <c r="C658" s="56">
        <v>619</v>
      </c>
      <c r="D658" s="56">
        <v>12132.683507674352</v>
      </c>
      <c r="E658" s="56">
        <v>2.4173198342730173</v>
      </c>
      <c r="F658" s="56">
        <v>10022.632155780777</v>
      </c>
      <c r="G658" s="56">
        <v>10.194215803175396</v>
      </c>
      <c r="H658" s="56">
        <f t="shared" si="38"/>
        <v>2110.051351893575</v>
      </c>
      <c r="I658" s="56">
        <f t="shared" si="39"/>
        <v>-7.7768959689023784</v>
      </c>
      <c r="J658" s="56">
        <f t="shared" si="40"/>
        <v>88002.37330725111</v>
      </c>
      <c r="K658" s="56">
        <f t="shared" si="41"/>
        <v>412262.56327495683</v>
      </c>
      <c r="T658" s="83"/>
    </row>
    <row r="659" spans="2:20" x14ac:dyDescent="0.2">
      <c r="B659" s="83"/>
      <c r="C659" s="56">
        <v>620</v>
      </c>
      <c r="D659" s="56">
        <v>16668.910697503601</v>
      </c>
      <c r="E659" s="56">
        <v>3.8611657883569155</v>
      </c>
      <c r="F659" s="56">
        <v>17301.875039897361</v>
      </c>
      <c r="G659" s="56">
        <v>20.981988052666889</v>
      </c>
      <c r="H659" s="56">
        <f t="shared" si="38"/>
        <v>-632.96434239375958</v>
      </c>
      <c r="I659" s="56">
        <f t="shared" si="39"/>
        <v>-17.120822264309972</v>
      </c>
      <c r="J659" s="56">
        <f t="shared" si="40"/>
        <v>143276.02091939328</v>
      </c>
      <c r="K659" s="56">
        <f t="shared" si="41"/>
        <v>851855.99805377587</v>
      </c>
      <c r="T659" s="83"/>
    </row>
    <row r="660" spans="2:20" x14ac:dyDescent="0.2">
      <c r="B660" s="83"/>
      <c r="C660" s="56">
        <v>621</v>
      </c>
      <c r="D660" s="56">
        <v>12045.201622483628</v>
      </c>
      <c r="E660" s="56">
        <v>3.8837027246285754</v>
      </c>
      <c r="F660" s="56">
        <v>14723.683212618216</v>
      </c>
      <c r="G660" s="56">
        <v>17.316984403133834</v>
      </c>
      <c r="H660" s="56">
        <f t="shared" si="38"/>
        <v>-2678.4815901345883</v>
      </c>
      <c r="I660" s="56">
        <f t="shared" si="39"/>
        <v>-13.433281678505258</v>
      </c>
      <c r="J660" s="56">
        <f t="shared" si="40"/>
        <v>148833.30004253046</v>
      </c>
      <c r="K660" s="56">
        <f t="shared" si="41"/>
        <v>702615.07870279765</v>
      </c>
      <c r="T660" s="83"/>
    </row>
    <row r="661" spans="2:20" x14ac:dyDescent="0.2">
      <c r="B661" s="83"/>
      <c r="C661" s="56">
        <v>622</v>
      </c>
      <c r="D661" s="56">
        <v>13862.605377507896</v>
      </c>
      <c r="E661" s="56">
        <v>3.2196597297418212</v>
      </c>
      <c r="F661" s="56">
        <v>13825.059929506295</v>
      </c>
      <c r="G661" s="56">
        <v>13.753872575864271</v>
      </c>
      <c r="H661" s="56">
        <f t="shared" si="38"/>
        <v>37.545448001601471</v>
      </c>
      <c r="I661" s="56">
        <f t="shared" si="39"/>
        <v>-10.53421284612245</v>
      </c>
      <c r="J661" s="56">
        <f t="shared" si="40"/>
        <v>119508.57926731731</v>
      </c>
      <c r="K661" s="56">
        <f t="shared" si="41"/>
        <v>555915.35765309527</v>
      </c>
      <c r="T661" s="83"/>
    </row>
    <row r="662" spans="2:20" x14ac:dyDescent="0.2">
      <c r="B662" s="83"/>
      <c r="C662" s="56">
        <v>623</v>
      </c>
      <c r="D662" s="56">
        <v>16864.604824265141</v>
      </c>
      <c r="E662" s="56">
        <v>2.9194788267563174</v>
      </c>
      <c r="F662" s="56">
        <v>18954.381839273283</v>
      </c>
      <c r="G662" s="56">
        <v>16.224576646838749</v>
      </c>
      <c r="H662" s="56">
        <f t="shared" si="38"/>
        <v>-2089.7770150081415</v>
      </c>
      <c r="I662" s="56">
        <f t="shared" si="39"/>
        <v>-13.30509782008243</v>
      </c>
      <c r="J662" s="56">
        <f t="shared" si="40"/>
        <v>104071.88609528854</v>
      </c>
      <c r="K662" s="56">
        <f t="shared" si="41"/>
        <v>653132.48117937509</v>
      </c>
      <c r="T662" s="83"/>
    </row>
    <row r="663" spans="2:20" x14ac:dyDescent="0.2">
      <c r="B663" s="83"/>
      <c r="C663" s="56">
        <v>624</v>
      </c>
      <c r="D663" s="56">
        <v>18689.553827573247</v>
      </c>
      <c r="E663" s="56">
        <v>3.475064187039405</v>
      </c>
      <c r="F663" s="56">
        <v>9037.7736350652285</v>
      </c>
      <c r="G663" s="56">
        <v>6.5284729655592697</v>
      </c>
      <c r="H663" s="56">
        <f t="shared" si="38"/>
        <v>9651.7801925080184</v>
      </c>
      <c r="I663" s="56">
        <f t="shared" si="39"/>
        <v>-3.0534087785198647</v>
      </c>
      <c r="J663" s="56">
        <f t="shared" si="40"/>
        <v>125261.50505634706</v>
      </c>
      <c r="K663" s="56">
        <f t="shared" si="41"/>
        <v>261397.69049026194</v>
      </c>
      <c r="T663" s="83"/>
    </row>
    <row r="664" spans="2:20" x14ac:dyDescent="0.2">
      <c r="B664" s="83"/>
      <c r="C664" s="56">
        <v>625</v>
      </c>
      <c r="D664" s="56">
        <v>14175.882452736445</v>
      </c>
      <c r="E664" s="56">
        <v>3.1347882130817526</v>
      </c>
      <c r="F664" s="56">
        <v>14379.375443531944</v>
      </c>
      <c r="G664" s="56">
        <v>12.921601042148787</v>
      </c>
      <c r="H664" s="56">
        <f t="shared" si="38"/>
        <v>-203.49299079549928</v>
      </c>
      <c r="I664" s="56">
        <f t="shared" si="39"/>
        <v>-9.7868128290670349</v>
      </c>
      <c r="J664" s="56">
        <f t="shared" si="40"/>
        <v>115679.58448596207</v>
      </c>
      <c r="K664" s="56">
        <f t="shared" si="41"/>
        <v>520885.02612643939</v>
      </c>
      <c r="T664" s="83"/>
    </row>
    <row r="665" spans="2:20" x14ac:dyDescent="0.2">
      <c r="B665" s="83"/>
      <c r="C665" s="56">
        <v>626</v>
      </c>
      <c r="D665" s="56">
        <v>17203.927201676415</v>
      </c>
      <c r="E665" s="56">
        <v>3.6674858932385539</v>
      </c>
      <c r="F665" s="56">
        <v>15260.471864329429</v>
      </c>
      <c r="G665" s="56">
        <v>19.355298975833318</v>
      </c>
      <c r="H665" s="56">
        <f t="shared" si="38"/>
        <v>1943.4553373469862</v>
      </c>
      <c r="I665" s="56">
        <f t="shared" si="39"/>
        <v>-15.687813082594763</v>
      </c>
      <c r="J665" s="56">
        <f t="shared" si="40"/>
        <v>134718.00843983743</v>
      </c>
      <c r="K665" s="56">
        <f t="shared" si="41"/>
        <v>786513.43291058997</v>
      </c>
      <c r="T665" s="83"/>
    </row>
    <row r="666" spans="2:20" x14ac:dyDescent="0.2">
      <c r="B666" s="83"/>
      <c r="C666" s="56">
        <v>627</v>
      </c>
      <c r="D666" s="56">
        <v>15097.592442205188</v>
      </c>
      <c r="E666" s="56">
        <v>2.9841961167218067</v>
      </c>
      <c r="F666" s="56">
        <v>15723.960961161536</v>
      </c>
      <c r="G666" s="56">
        <v>15.153476161460716</v>
      </c>
      <c r="H666" s="56">
        <f t="shared" si="38"/>
        <v>-626.36851895634754</v>
      </c>
      <c r="I666" s="56">
        <f t="shared" si="39"/>
        <v>-12.16928004473891</v>
      </c>
      <c r="J666" s="56">
        <f t="shared" si="40"/>
        <v>108519.74749687893</v>
      </c>
      <c r="K666" s="56">
        <f t="shared" si="41"/>
        <v>611993.63555118721</v>
      </c>
      <c r="T666" s="83"/>
    </row>
    <row r="667" spans="2:20" x14ac:dyDescent="0.2">
      <c r="B667" s="83"/>
      <c r="C667" s="56">
        <v>628</v>
      </c>
      <c r="D667" s="56">
        <v>11078.562972019829</v>
      </c>
      <c r="E667" s="56">
        <v>2.5269806978891012</v>
      </c>
      <c r="F667" s="56">
        <v>15652.16868905694</v>
      </c>
      <c r="G667" s="56">
        <v>20.17747208803749</v>
      </c>
      <c r="H667" s="56">
        <f t="shared" si="38"/>
        <v>-4573.6057170371114</v>
      </c>
      <c r="I667" s="56">
        <f t="shared" si="39"/>
        <v>-17.650491390148389</v>
      </c>
      <c r="J667" s="56">
        <f t="shared" si="40"/>
        <v>93599.085457338297</v>
      </c>
      <c r="K667" s="56">
        <f t="shared" si="41"/>
        <v>820179.43508580816</v>
      </c>
      <c r="T667" s="83"/>
    </row>
    <row r="668" spans="2:20" x14ac:dyDescent="0.2">
      <c r="B668" s="83"/>
      <c r="C668" s="56">
        <v>629</v>
      </c>
      <c r="D668" s="56">
        <v>6151.8897832297389</v>
      </c>
      <c r="E668" s="56">
        <v>1.686246990091727</v>
      </c>
      <c r="F668" s="56">
        <v>12463.119628048715</v>
      </c>
      <c r="G668" s="56">
        <v>13.192657405758327</v>
      </c>
      <c r="H668" s="56">
        <f t="shared" si="38"/>
        <v>-6311.2298448189758</v>
      </c>
      <c r="I668" s="56">
        <f t="shared" si="39"/>
        <v>-11.5064104156666</v>
      </c>
      <c r="J668" s="56">
        <f t="shared" si="40"/>
        <v>63699.205534329958</v>
      </c>
      <c r="K668" s="56">
        <f t="shared" si="41"/>
        <v>534029.52074808418</v>
      </c>
      <c r="T668" s="83"/>
    </row>
    <row r="669" spans="2:20" x14ac:dyDescent="0.2">
      <c r="B669" s="83"/>
      <c r="C669" s="56">
        <v>630</v>
      </c>
      <c r="D669" s="56">
        <v>12676.962775039057</v>
      </c>
      <c r="E669" s="56">
        <v>2.5373573412693027</v>
      </c>
      <c r="F669" s="56">
        <v>10367.400684513739</v>
      </c>
      <c r="G669" s="56">
        <v>9.4921180595696377</v>
      </c>
      <c r="H669" s="56">
        <f t="shared" si="38"/>
        <v>2309.5620905253181</v>
      </c>
      <c r="I669" s="56">
        <f t="shared" si="39"/>
        <v>-6.954760718300335</v>
      </c>
      <c r="J669" s="56">
        <f t="shared" si="40"/>
        <v>92430.527729700523</v>
      </c>
      <c r="K669" s="56">
        <f t="shared" si="41"/>
        <v>382834.09781509894</v>
      </c>
      <c r="T669" s="83"/>
    </row>
    <row r="670" spans="2:20" x14ac:dyDescent="0.2">
      <c r="B670" s="83"/>
      <c r="C670" s="56">
        <v>631</v>
      </c>
      <c r="D670" s="56">
        <v>14816.795888814899</v>
      </c>
      <c r="E670" s="56">
        <v>2.6168147821116348</v>
      </c>
      <c r="F670" s="56">
        <v>11978.269105167947</v>
      </c>
      <c r="G670" s="56">
        <v>12.817596751108971</v>
      </c>
      <c r="H670" s="56">
        <f t="shared" si="38"/>
        <v>2838.526783646952</v>
      </c>
      <c r="I670" s="56">
        <f t="shared" si="39"/>
        <v>-10.200781968997337</v>
      </c>
      <c r="J670" s="56">
        <f t="shared" si="40"/>
        <v>93582.139645377465</v>
      </c>
      <c r="K670" s="56">
        <f t="shared" si="41"/>
        <v>518977.85871277004</v>
      </c>
      <c r="T670" s="83"/>
    </row>
    <row r="671" spans="2:20" x14ac:dyDescent="0.2">
      <c r="B671" s="83"/>
      <c r="C671" s="56">
        <v>632</v>
      </c>
      <c r="D671" s="56">
        <v>16965.680380801179</v>
      </c>
      <c r="E671" s="56">
        <v>3.6793792900232285</v>
      </c>
      <c r="F671" s="56">
        <v>10504.939179099454</v>
      </c>
      <c r="G671" s="56">
        <v>10.284831939163842</v>
      </c>
      <c r="H671" s="56">
        <f t="shared" si="38"/>
        <v>6460.741201701725</v>
      </c>
      <c r="I671" s="56">
        <f t="shared" si="39"/>
        <v>-6.6054526491406138</v>
      </c>
      <c r="J671" s="56">
        <f t="shared" si="40"/>
        <v>135448.92732912104</v>
      </c>
      <c r="K671" s="56">
        <f t="shared" si="41"/>
        <v>415533.93906882353</v>
      </c>
      <c r="T671" s="83"/>
    </row>
    <row r="672" spans="2:20" x14ac:dyDescent="0.2">
      <c r="B672" s="83"/>
      <c r="C672" s="56">
        <v>633</v>
      </c>
      <c r="D672" s="56">
        <v>11907.578554521324</v>
      </c>
      <c r="E672" s="56">
        <v>2.8374493190858701</v>
      </c>
      <c r="F672" s="56">
        <v>11162.355733061449</v>
      </c>
      <c r="G672" s="56">
        <v>11.643667328928386</v>
      </c>
      <c r="H672" s="56">
        <f t="shared" si="38"/>
        <v>745.22282145987447</v>
      </c>
      <c r="I672" s="56">
        <f t="shared" si="39"/>
        <v>-8.8062180098425156</v>
      </c>
      <c r="J672" s="56">
        <f t="shared" si="40"/>
        <v>105630.92203929175</v>
      </c>
      <c r="K672" s="56">
        <f t="shared" si="41"/>
        <v>471164.91970046802</v>
      </c>
      <c r="T672" s="83"/>
    </row>
    <row r="673" spans="2:20" x14ac:dyDescent="0.2">
      <c r="B673" s="83"/>
      <c r="C673" s="56">
        <v>634</v>
      </c>
      <c r="D673" s="56">
        <v>18231.92158122973</v>
      </c>
      <c r="E673" s="56">
        <v>4.0724407972245498</v>
      </c>
      <c r="F673" s="56">
        <v>18190.270422599504</v>
      </c>
      <c r="G673" s="56">
        <v>18.334710167271218</v>
      </c>
      <c r="H673" s="56">
        <f t="shared" si="38"/>
        <v>41.651158630225837</v>
      </c>
      <c r="I673" s="56">
        <f t="shared" si="39"/>
        <v>-14.262269370046669</v>
      </c>
      <c r="J673" s="56">
        <f t="shared" si="40"/>
        <v>150464.86600300003</v>
      </c>
      <c r="K673" s="56">
        <f t="shared" si="41"/>
        <v>741306.76354644343</v>
      </c>
      <c r="T673" s="83"/>
    </row>
    <row r="674" spans="2:20" x14ac:dyDescent="0.2">
      <c r="B674" s="83"/>
      <c r="C674" s="56">
        <v>635</v>
      </c>
      <c r="D674" s="56">
        <v>21078.490869369358</v>
      </c>
      <c r="E674" s="56">
        <v>5.2443063638035756</v>
      </c>
      <c r="F674" s="56">
        <v>19128.066665851577</v>
      </c>
      <c r="G674" s="56">
        <v>16.694347698164002</v>
      </c>
      <c r="H674" s="56">
        <f t="shared" si="38"/>
        <v>1950.4242035177813</v>
      </c>
      <c r="I674" s="56">
        <f t="shared" si="39"/>
        <v>-11.450041334360426</v>
      </c>
      <c r="J674" s="56">
        <f t="shared" si="40"/>
        <v>196161.65594482995</v>
      </c>
      <c r="K674" s="56">
        <f t="shared" si="41"/>
        <v>672418.59238289401</v>
      </c>
      <c r="T674" s="83"/>
    </row>
    <row r="675" spans="2:20" x14ac:dyDescent="0.2">
      <c r="B675" s="83"/>
      <c r="C675" s="56">
        <v>636</v>
      </c>
      <c r="D675" s="56">
        <v>11983.561188710915</v>
      </c>
      <c r="E675" s="56">
        <v>2.5930137590604492</v>
      </c>
      <c r="F675" s="56">
        <v>15794.934166374438</v>
      </c>
      <c r="G675" s="56">
        <v>16.192356119098459</v>
      </c>
      <c r="H675" s="56">
        <f t="shared" si="38"/>
        <v>-3811.3729776635228</v>
      </c>
      <c r="I675" s="56">
        <f t="shared" si="39"/>
        <v>-13.59934236003801</v>
      </c>
      <c r="J675" s="56">
        <f t="shared" si="40"/>
        <v>95429.440766609128</v>
      </c>
      <c r="K675" s="56">
        <f t="shared" si="41"/>
        <v>654957.22571116022</v>
      </c>
      <c r="T675" s="83"/>
    </row>
    <row r="676" spans="2:20" x14ac:dyDescent="0.2">
      <c r="B676" s="83"/>
      <c r="C676" s="56">
        <v>637</v>
      </c>
      <c r="D676" s="56">
        <v>13464.726740746879</v>
      </c>
      <c r="E676" s="56">
        <v>4.3405533752439975</v>
      </c>
      <c r="F676" s="56">
        <v>7970.6506791338734</v>
      </c>
      <c r="G676" s="56">
        <v>9.0530535031225323</v>
      </c>
      <c r="H676" s="56">
        <f t="shared" si="38"/>
        <v>5494.0760616130055</v>
      </c>
      <c r="I676" s="56">
        <f t="shared" si="39"/>
        <v>-4.7125001278785348</v>
      </c>
      <c r="J676" s="56">
        <f t="shared" si="40"/>
        <v>166338.35627536048</v>
      </c>
      <c r="K676" s="56">
        <f t="shared" si="41"/>
        <v>367043.03763421386</v>
      </c>
      <c r="T676" s="83"/>
    </row>
    <row r="677" spans="2:20" x14ac:dyDescent="0.2">
      <c r="B677" s="83"/>
      <c r="C677" s="56">
        <v>638</v>
      </c>
      <c r="D677" s="56">
        <v>14161.642585498084</v>
      </c>
      <c r="E677" s="56">
        <v>2.8563137849197195</v>
      </c>
      <c r="F677" s="56">
        <v>10361.321034458262</v>
      </c>
      <c r="G677" s="56">
        <v>9.7517383547878023</v>
      </c>
      <c r="H677" s="56">
        <f t="shared" si="38"/>
        <v>3800.3215510398222</v>
      </c>
      <c r="I677" s="56">
        <f t="shared" si="39"/>
        <v>-6.8954245698680827</v>
      </c>
      <c r="J677" s="56">
        <f t="shared" si="40"/>
        <v>104158.29964101638</v>
      </c>
      <c r="K677" s="56">
        <f t="shared" si="41"/>
        <v>393594.68857427163</v>
      </c>
      <c r="T677" s="83"/>
    </row>
    <row r="678" spans="2:20" x14ac:dyDescent="0.2">
      <c r="B678" s="83"/>
      <c r="C678" s="56">
        <v>639</v>
      </c>
      <c r="D678" s="56">
        <v>12696.042812890877</v>
      </c>
      <c r="E678" s="56">
        <v>2.723540867417459</v>
      </c>
      <c r="F678" s="56">
        <v>11512.423193253724</v>
      </c>
      <c r="G678" s="56">
        <v>12.606319390482058</v>
      </c>
      <c r="H678" s="56">
        <f t="shared" si="38"/>
        <v>1183.6196196371529</v>
      </c>
      <c r="I678" s="56">
        <f t="shared" si="39"/>
        <v>-9.8827785230645997</v>
      </c>
      <c r="J678" s="56">
        <f t="shared" si="40"/>
        <v>100123.91407900995</v>
      </c>
      <c r="K678" s="56">
        <f t="shared" si="41"/>
        <v>510691.75123807503</v>
      </c>
      <c r="T678" s="83"/>
    </row>
    <row r="679" spans="2:20" x14ac:dyDescent="0.2">
      <c r="B679" s="83"/>
      <c r="C679" s="56">
        <v>640</v>
      </c>
      <c r="D679" s="56">
        <v>29657.894917797163</v>
      </c>
      <c r="E679" s="56">
        <v>4.7783445440953969</v>
      </c>
      <c r="F679" s="56">
        <v>18603.503266456835</v>
      </c>
      <c r="G679" s="56">
        <v>16.990217889010033</v>
      </c>
      <c r="H679" s="56">
        <f t="shared" si="38"/>
        <v>11054.391651340327</v>
      </c>
      <c r="I679" s="56">
        <f t="shared" si="39"/>
        <v>-12.211873344914636</v>
      </c>
      <c r="J679" s="56">
        <f t="shared" si="40"/>
        <v>168280.24947681057</v>
      </c>
      <c r="K679" s="56">
        <f t="shared" si="41"/>
        <v>685199.28256789467</v>
      </c>
      <c r="T679" s="83"/>
    </row>
    <row r="680" spans="2:20" x14ac:dyDescent="0.2">
      <c r="B680" s="83"/>
      <c r="C680" s="56">
        <v>641</v>
      </c>
      <c r="D680" s="56">
        <v>13380.157770858248</v>
      </c>
      <c r="E680" s="56">
        <v>1.9688945201119727</v>
      </c>
      <c r="F680" s="56">
        <v>20413.645050272196</v>
      </c>
      <c r="G680" s="56">
        <v>19.487474886758164</v>
      </c>
      <c r="H680" s="56">
        <f t="shared" ref="H680:H743" si="42">IF($C680&lt;=No_of_iterations_PSA,D680-$F680,"")</f>
        <v>-7033.4872794139483</v>
      </c>
      <c r="I680" s="56">
        <f t="shared" ref="I680:I743" si="43">IF($C680&lt;=No_of_iterations_PSA,E680-$G680,"")</f>
        <v>-17.518580366646191</v>
      </c>
      <c r="J680" s="56">
        <f t="shared" ref="J680:J743" si="44">IF($C680&lt;=No_of_iterations_PSA,E680*WTP-D680,"")</f>
        <v>68179.328830260114</v>
      </c>
      <c r="K680" s="56">
        <f t="shared" ref="K680:K743" si="45">IF($C680&lt;=No_of_iterations_PSA,G680*WTP-F680,"")</f>
        <v>786835.514658798</v>
      </c>
      <c r="T680" s="83"/>
    </row>
    <row r="681" spans="2:20" x14ac:dyDescent="0.2">
      <c r="B681" s="83"/>
      <c r="C681" s="56">
        <v>642</v>
      </c>
      <c r="D681" s="56">
        <v>20000.513953156154</v>
      </c>
      <c r="E681" s="56">
        <v>4.4250554584745014</v>
      </c>
      <c r="F681" s="56">
        <v>16582.706397195951</v>
      </c>
      <c r="G681" s="56">
        <v>15.396243520868977</v>
      </c>
      <c r="H681" s="56">
        <f t="shared" si="42"/>
        <v>3417.8075559602039</v>
      </c>
      <c r="I681" s="56">
        <f t="shared" si="43"/>
        <v>-10.971188062394475</v>
      </c>
      <c r="J681" s="56">
        <f t="shared" si="44"/>
        <v>163302.98335869159</v>
      </c>
      <c r="K681" s="56">
        <f t="shared" si="45"/>
        <v>621191.28521128057</v>
      </c>
      <c r="T681" s="83"/>
    </row>
    <row r="682" spans="2:20" x14ac:dyDescent="0.2">
      <c r="B682" s="83"/>
      <c r="C682" s="56">
        <v>643</v>
      </c>
      <c r="D682" s="56">
        <v>9544.046324983572</v>
      </c>
      <c r="E682" s="56">
        <v>2.5748191128408675</v>
      </c>
      <c r="F682" s="56">
        <v>12399.579071198727</v>
      </c>
      <c r="G682" s="56">
        <v>14.884121780621022</v>
      </c>
      <c r="H682" s="56">
        <f t="shared" si="42"/>
        <v>-2855.5327462151545</v>
      </c>
      <c r="I682" s="56">
        <f t="shared" si="43"/>
        <v>-12.309302667780155</v>
      </c>
      <c r="J682" s="56">
        <f t="shared" si="44"/>
        <v>97115.260605336516</v>
      </c>
      <c r="K682" s="56">
        <f t="shared" si="45"/>
        <v>604160.28156924655</v>
      </c>
      <c r="T682" s="83"/>
    </row>
    <row r="683" spans="2:20" x14ac:dyDescent="0.2">
      <c r="B683" s="83"/>
      <c r="C683" s="56">
        <v>644</v>
      </c>
      <c r="D683" s="56">
        <v>11151.533694150894</v>
      </c>
      <c r="E683" s="56">
        <v>2.3006654764013903</v>
      </c>
      <c r="F683" s="56">
        <v>15248.891764730259</v>
      </c>
      <c r="G683" s="56">
        <v>15.713988429586848</v>
      </c>
      <c r="H683" s="56">
        <f t="shared" si="42"/>
        <v>-4097.3580705793647</v>
      </c>
      <c r="I683" s="56">
        <f t="shared" si="43"/>
        <v>-13.413322953185459</v>
      </c>
      <c r="J683" s="56">
        <f t="shared" si="44"/>
        <v>84151.233000300301</v>
      </c>
      <c r="K683" s="56">
        <f t="shared" si="45"/>
        <v>635687.36494247534</v>
      </c>
      <c r="T683" s="83"/>
    </row>
    <row r="684" spans="2:20" x14ac:dyDescent="0.2">
      <c r="B684" s="83"/>
      <c r="C684" s="56">
        <v>645</v>
      </c>
      <c r="D684" s="56">
        <v>11763.812084229492</v>
      </c>
      <c r="E684" s="56">
        <v>2.7111170623771379</v>
      </c>
      <c r="F684" s="56">
        <v>11219.359655683727</v>
      </c>
      <c r="G684" s="56">
        <v>11.238220649608294</v>
      </c>
      <c r="H684" s="56">
        <f t="shared" si="42"/>
        <v>544.45242854576463</v>
      </c>
      <c r="I684" s="56">
        <f t="shared" si="43"/>
        <v>-8.5271035872311565</v>
      </c>
      <c r="J684" s="56">
        <f t="shared" si="44"/>
        <v>100541.50110768108</v>
      </c>
      <c r="K684" s="56">
        <f t="shared" si="45"/>
        <v>454312.69253369025</v>
      </c>
      <c r="T684" s="83"/>
    </row>
    <row r="685" spans="2:20" x14ac:dyDescent="0.2">
      <c r="B685" s="83"/>
      <c r="C685" s="56">
        <v>646</v>
      </c>
      <c r="D685" s="56">
        <v>15178.774364804489</v>
      </c>
      <c r="E685" s="56">
        <v>4.1498424985314344</v>
      </c>
      <c r="F685" s="56">
        <v>6650.866078412334</v>
      </c>
      <c r="G685" s="56">
        <v>7.7709909587010033</v>
      </c>
      <c r="H685" s="56">
        <f t="shared" si="42"/>
        <v>8527.908286392154</v>
      </c>
      <c r="I685" s="56">
        <f t="shared" si="43"/>
        <v>-3.6211484601695689</v>
      </c>
      <c r="J685" s="56">
        <f t="shared" si="44"/>
        <v>156724.30129436165</v>
      </c>
      <c r="K685" s="56">
        <f t="shared" si="45"/>
        <v>315254.66339481802</v>
      </c>
      <c r="T685" s="83"/>
    </row>
    <row r="686" spans="2:20" x14ac:dyDescent="0.2">
      <c r="B686" s="83"/>
      <c r="C686" s="56">
        <v>647</v>
      </c>
      <c r="D686" s="56">
        <v>15400.994890665826</v>
      </c>
      <c r="E686" s="56">
        <v>3.3914042794470891</v>
      </c>
      <c r="F686" s="56">
        <v>14650.435501101463</v>
      </c>
      <c r="G686" s="56">
        <v>12.471377316243938</v>
      </c>
      <c r="H686" s="56">
        <f t="shared" si="42"/>
        <v>750.5593895643633</v>
      </c>
      <c r="I686" s="56">
        <f t="shared" si="43"/>
        <v>-9.079973036796849</v>
      </c>
      <c r="J686" s="56">
        <f t="shared" si="44"/>
        <v>125084.53598115039</v>
      </c>
      <c r="K686" s="56">
        <f t="shared" si="45"/>
        <v>501963.89844698738</v>
      </c>
      <c r="T686" s="83"/>
    </row>
    <row r="687" spans="2:20" x14ac:dyDescent="0.2">
      <c r="B687" s="83"/>
      <c r="C687" s="56">
        <v>648</v>
      </c>
      <c r="D687" s="56">
        <v>8066.816808286213</v>
      </c>
      <c r="E687" s="56">
        <v>2.0152633084200904</v>
      </c>
      <c r="F687" s="56">
        <v>14325.699389985313</v>
      </c>
      <c r="G687" s="56">
        <v>18.823935955011819</v>
      </c>
      <c r="H687" s="56">
        <f t="shared" si="42"/>
        <v>-6258.8825816991002</v>
      </c>
      <c r="I687" s="56">
        <f t="shared" si="43"/>
        <v>-16.808672646591731</v>
      </c>
      <c r="J687" s="56">
        <f t="shared" si="44"/>
        <v>75413.450479707608</v>
      </c>
      <c r="K687" s="56">
        <f t="shared" si="45"/>
        <v>765437.02361042437</v>
      </c>
      <c r="T687" s="83"/>
    </row>
    <row r="688" spans="2:20" x14ac:dyDescent="0.2">
      <c r="B688" s="83"/>
      <c r="C688" s="56">
        <v>649</v>
      </c>
      <c r="D688" s="56">
        <v>14282.588889873447</v>
      </c>
      <c r="E688" s="56">
        <v>2.9379572839667203</v>
      </c>
      <c r="F688" s="56">
        <v>15727.286404799841</v>
      </c>
      <c r="G688" s="56">
        <v>14.962942109404995</v>
      </c>
      <c r="H688" s="56">
        <f t="shared" si="42"/>
        <v>-1444.6975149263944</v>
      </c>
      <c r="I688" s="56">
        <f t="shared" si="43"/>
        <v>-12.024984825438274</v>
      </c>
      <c r="J688" s="56">
        <f t="shared" si="44"/>
        <v>107419.35364116398</v>
      </c>
      <c r="K688" s="56">
        <f t="shared" si="45"/>
        <v>604097.62753519276</v>
      </c>
      <c r="T688" s="83"/>
    </row>
    <row r="689" spans="2:20" x14ac:dyDescent="0.2">
      <c r="B689" s="83"/>
      <c r="C689" s="56">
        <v>650</v>
      </c>
      <c r="D689" s="56">
        <v>13166.466299167803</v>
      </c>
      <c r="E689" s="56">
        <v>2.4196996589293178</v>
      </c>
      <c r="F689" s="56">
        <v>14558.473832815993</v>
      </c>
      <c r="G689" s="56">
        <v>11.581930933846598</v>
      </c>
      <c r="H689" s="56">
        <f t="shared" si="42"/>
        <v>-1392.0075336481896</v>
      </c>
      <c r="I689" s="56">
        <f t="shared" si="43"/>
        <v>-9.1622312749172803</v>
      </c>
      <c r="J689" s="56">
        <f t="shared" si="44"/>
        <v>87067.172372320259</v>
      </c>
      <c r="K689" s="56">
        <f t="shared" si="45"/>
        <v>465211.4331708455</v>
      </c>
      <c r="T689" s="83"/>
    </row>
    <row r="690" spans="2:20" x14ac:dyDescent="0.2">
      <c r="B690" s="83"/>
      <c r="C690" s="56">
        <v>651</v>
      </c>
      <c r="D690" s="56">
        <v>10617.720652981634</v>
      </c>
      <c r="E690" s="56">
        <v>2.5447986078292284</v>
      </c>
      <c r="F690" s="56">
        <v>14504.02019517227</v>
      </c>
      <c r="G690" s="56">
        <v>16.922399012383327</v>
      </c>
      <c r="H690" s="56">
        <f t="shared" si="42"/>
        <v>-3886.2995421906362</v>
      </c>
      <c r="I690" s="56">
        <f t="shared" si="43"/>
        <v>-14.377600404554098</v>
      </c>
      <c r="J690" s="56">
        <f t="shared" si="44"/>
        <v>94798.016877736329</v>
      </c>
      <c r="K690" s="56">
        <f t="shared" si="45"/>
        <v>686489.43649379467</v>
      </c>
      <c r="T690" s="83"/>
    </row>
    <row r="691" spans="2:20" x14ac:dyDescent="0.2">
      <c r="B691" s="83"/>
      <c r="C691" s="56">
        <v>652</v>
      </c>
      <c r="D691" s="56">
        <v>11912.714656205982</v>
      </c>
      <c r="E691" s="56">
        <v>2.7974395998363786</v>
      </c>
      <c r="F691" s="56">
        <v>11139.599894085632</v>
      </c>
      <c r="G691" s="56">
        <v>11.415410983682863</v>
      </c>
      <c r="H691" s="56">
        <f t="shared" si="42"/>
        <v>773.11476212035086</v>
      </c>
      <c r="I691" s="56">
        <f t="shared" si="43"/>
        <v>-8.6179713838464842</v>
      </c>
      <c r="J691" s="56">
        <f t="shared" si="44"/>
        <v>103968.42332741617</v>
      </c>
      <c r="K691" s="56">
        <f t="shared" si="45"/>
        <v>461732.38469399331</v>
      </c>
      <c r="T691" s="83"/>
    </row>
    <row r="692" spans="2:20" x14ac:dyDescent="0.2">
      <c r="B692" s="83"/>
      <c r="C692" s="56">
        <v>653</v>
      </c>
      <c r="D692" s="56">
        <v>17766.176963402209</v>
      </c>
      <c r="E692" s="56">
        <v>4.0628979450134128</v>
      </c>
      <c r="F692" s="56">
        <v>10769.22948544662</v>
      </c>
      <c r="G692" s="56">
        <v>8.663540531824907</v>
      </c>
      <c r="H692" s="56">
        <f t="shared" si="42"/>
        <v>6996.9474779555894</v>
      </c>
      <c r="I692" s="56">
        <f t="shared" si="43"/>
        <v>-4.6006425868114942</v>
      </c>
      <c r="J692" s="56">
        <f t="shared" si="44"/>
        <v>150535.3075108334</v>
      </c>
      <c r="K692" s="56">
        <f t="shared" si="45"/>
        <v>348109.27350486832</v>
      </c>
      <c r="T692" s="83"/>
    </row>
    <row r="693" spans="2:20" x14ac:dyDescent="0.2">
      <c r="B693" s="83"/>
      <c r="C693" s="56">
        <v>654</v>
      </c>
      <c r="D693" s="56">
        <v>16116.3443089219</v>
      </c>
      <c r="E693" s="56">
        <v>2.920790198929597</v>
      </c>
      <c r="F693" s="56">
        <v>17099.151283485404</v>
      </c>
      <c r="G693" s="56">
        <v>15.130703737983241</v>
      </c>
      <c r="H693" s="56">
        <f t="shared" si="42"/>
        <v>-982.8069745635039</v>
      </c>
      <c r="I693" s="56">
        <f t="shared" si="43"/>
        <v>-12.209913539053645</v>
      </c>
      <c r="J693" s="56">
        <f t="shared" si="44"/>
        <v>104874.46889153772</v>
      </c>
      <c r="K693" s="56">
        <f t="shared" si="45"/>
        <v>609675.12035873241</v>
      </c>
      <c r="T693" s="83"/>
    </row>
    <row r="694" spans="2:20" x14ac:dyDescent="0.2">
      <c r="B694" s="83"/>
      <c r="C694" s="56">
        <v>655</v>
      </c>
      <c r="D694" s="56">
        <v>13203.371997175529</v>
      </c>
      <c r="E694" s="56">
        <v>2.7821475757766687</v>
      </c>
      <c r="F694" s="56">
        <v>16030.351636856998</v>
      </c>
      <c r="G694" s="56">
        <v>15.599140529240062</v>
      </c>
      <c r="H694" s="56">
        <f t="shared" si="42"/>
        <v>-2826.9796396814691</v>
      </c>
      <c r="I694" s="56">
        <f t="shared" si="43"/>
        <v>-12.816992953463393</v>
      </c>
      <c r="J694" s="56">
        <f t="shared" si="44"/>
        <v>102044.30918179719</v>
      </c>
      <c r="K694" s="56">
        <f t="shared" si="45"/>
        <v>630148.44564638333</v>
      </c>
      <c r="T694" s="83"/>
    </row>
    <row r="695" spans="2:20" x14ac:dyDescent="0.2">
      <c r="B695" s="83"/>
      <c r="C695" s="56">
        <v>656</v>
      </c>
      <c r="D695" s="56">
        <v>11644.869013584806</v>
      </c>
      <c r="E695" s="56">
        <v>2.6966632537339561</v>
      </c>
      <c r="F695" s="56">
        <v>8554.9292605499413</v>
      </c>
      <c r="G695" s="56">
        <v>10.361287764288512</v>
      </c>
      <c r="H695" s="56">
        <f t="shared" si="42"/>
        <v>3089.9397530348651</v>
      </c>
      <c r="I695" s="56">
        <f t="shared" si="43"/>
        <v>-7.6646245105545567</v>
      </c>
      <c r="J695" s="56">
        <f t="shared" si="44"/>
        <v>100061.7096090906</v>
      </c>
      <c r="K695" s="56">
        <f t="shared" si="45"/>
        <v>420651.05508733739</v>
      </c>
      <c r="T695" s="83"/>
    </row>
    <row r="696" spans="2:20" x14ac:dyDescent="0.2">
      <c r="B696" s="83"/>
      <c r="C696" s="56">
        <v>657</v>
      </c>
      <c r="D696" s="56">
        <v>14026.571885379914</v>
      </c>
      <c r="E696" s="56">
        <v>2.5593779843994167</v>
      </c>
      <c r="F696" s="56">
        <v>10454.80204621785</v>
      </c>
      <c r="G696" s="56">
        <v>9.5848363552778881</v>
      </c>
      <c r="H696" s="56">
        <f t="shared" si="42"/>
        <v>3571.7698391620634</v>
      </c>
      <c r="I696" s="56">
        <f t="shared" si="43"/>
        <v>-7.0254583708784715</v>
      </c>
      <c r="J696" s="56">
        <f t="shared" si="44"/>
        <v>91993.10174038152</v>
      </c>
      <c r="K696" s="56">
        <f t="shared" si="45"/>
        <v>386587.4591348134</v>
      </c>
      <c r="T696" s="83"/>
    </row>
    <row r="697" spans="2:20" x14ac:dyDescent="0.2">
      <c r="B697" s="83"/>
      <c r="C697" s="56">
        <v>658</v>
      </c>
      <c r="D697" s="56">
        <v>16159.032392238973</v>
      </c>
      <c r="E697" s="56">
        <v>3.2245500646832399</v>
      </c>
      <c r="F697" s="56">
        <v>16639.258305029234</v>
      </c>
      <c r="G697" s="56">
        <v>15.354203010152355</v>
      </c>
      <c r="H697" s="56">
        <f t="shared" si="42"/>
        <v>-480.22591279026165</v>
      </c>
      <c r="I697" s="56">
        <f t="shared" si="43"/>
        <v>-12.129652945469115</v>
      </c>
      <c r="J697" s="56">
        <f t="shared" si="44"/>
        <v>117414.72948719957</v>
      </c>
      <c r="K697" s="56">
        <f t="shared" si="45"/>
        <v>619393.24718752189</v>
      </c>
      <c r="T697" s="83"/>
    </row>
    <row r="698" spans="2:20" x14ac:dyDescent="0.2">
      <c r="B698" s="83"/>
      <c r="C698" s="56">
        <v>659</v>
      </c>
      <c r="D698" s="56">
        <v>12609.958892768327</v>
      </c>
      <c r="E698" s="56">
        <v>3.4635670140009966</v>
      </c>
      <c r="F698" s="56">
        <v>7021.0427642138466</v>
      </c>
      <c r="G698" s="56">
        <v>6.4385351842722471</v>
      </c>
      <c r="H698" s="56">
        <f t="shared" si="42"/>
        <v>5588.9161285544806</v>
      </c>
      <c r="I698" s="56">
        <f t="shared" si="43"/>
        <v>-2.9749681702712505</v>
      </c>
      <c r="J698" s="56">
        <f t="shared" si="44"/>
        <v>130864.84109520896</v>
      </c>
      <c r="K698" s="56">
        <f t="shared" si="45"/>
        <v>259688.83870907975</v>
      </c>
      <c r="T698" s="83"/>
    </row>
    <row r="699" spans="2:20" x14ac:dyDescent="0.2">
      <c r="B699" s="83"/>
      <c r="C699" s="56">
        <v>660</v>
      </c>
      <c r="D699" s="56">
        <v>11326.629352157161</v>
      </c>
      <c r="E699" s="56">
        <v>2.3935220382969922</v>
      </c>
      <c r="F699" s="56">
        <v>17869.347148360008</v>
      </c>
      <c r="G699" s="56">
        <v>17.517990807727902</v>
      </c>
      <c r="H699" s="56">
        <f t="shared" si="42"/>
        <v>-6542.7177962028472</v>
      </c>
      <c r="I699" s="56">
        <f t="shared" si="43"/>
        <v>-15.124468769430909</v>
      </c>
      <c r="J699" s="56">
        <f t="shared" si="44"/>
        <v>87822.627562257447</v>
      </c>
      <c r="K699" s="56">
        <f t="shared" si="45"/>
        <v>707795.90407096059</v>
      </c>
      <c r="T699" s="83"/>
    </row>
    <row r="700" spans="2:20" x14ac:dyDescent="0.2">
      <c r="B700" s="83"/>
      <c r="C700" s="56">
        <v>661</v>
      </c>
      <c r="D700" s="56">
        <v>13921.962972818774</v>
      </c>
      <c r="E700" s="56">
        <v>2.9883058155837179</v>
      </c>
      <c r="F700" s="56">
        <v>17235.985625350357</v>
      </c>
      <c r="G700" s="56">
        <v>17.402992485261212</v>
      </c>
      <c r="H700" s="56">
        <f t="shared" si="42"/>
        <v>-3314.0226525315829</v>
      </c>
      <c r="I700" s="56">
        <f t="shared" si="43"/>
        <v>-14.414686669677494</v>
      </c>
      <c r="J700" s="56">
        <f t="shared" si="44"/>
        <v>109865.61713192116</v>
      </c>
      <c r="K700" s="56">
        <f t="shared" si="45"/>
        <v>703665.57508411002</v>
      </c>
      <c r="T700" s="83"/>
    </row>
    <row r="701" spans="2:20" x14ac:dyDescent="0.2">
      <c r="B701" s="83"/>
      <c r="C701" s="56">
        <v>662</v>
      </c>
      <c r="D701" s="56">
        <v>17238.99850694722</v>
      </c>
      <c r="E701" s="56">
        <v>3.982525031261785</v>
      </c>
      <c r="F701" s="56">
        <v>6885.1223867057161</v>
      </c>
      <c r="G701" s="56">
        <v>6.1517580261949156</v>
      </c>
      <c r="H701" s="56">
        <f t="shared" si="42"/>
        <v>10353.876120241504</v>
      </c>
      <c r="I701" s="56">
        <f t="shared" si="43"/>
        <v>-2.1692329949331306</v>
      </c>
      <c r="J701" s="56">
        <f t="shared" si="44"/>
        <v>147733.11838804098</v>
      </c>
      <c r="K701" s="56">
        <f t="shared" si="45"/>
        <v>247945.30209039248</v>
      </c>
      <c r="T701" s="83"/>
    </row>
    <row r="702" spans="2:20" x14ac:dyDescent="0.2">
      <c r="B702" s="83"/>
      <c r="C702" s="56">
        <v>663</v>
      </c>
      <c r="D702" s="56">
        <v>18716.601326690092</v>
      </c>
      <c r="E702" s="56">
        <v>3.3619175838277302</v>
      </c>
      <c r="F702" s="56">
        <v>12899.945543342294</v>
      </c>
      <c r="G702" s="56">
        <v>12.155590485019498</v>
      </c>
      <c r="H702" s="56">
        <f t="shared" si="42"/>
        <v>5816.6557833477982</v>
      </c>
      <c r="I702" s="56">
        <f t="shared" si="43"/>
        <v>-8.7936729011917691</v>
      </c>
      <c r="J702" s="56">
        <f t="shared" si="44"/>
        <v>120547.4726657898</v>
      </c>
      <c r="K702" s="56">
        <f t="shared" si="45"/>
        <v>490633.23470810545</v>
      </c>
      <c r="T702" s="83"/>
    </row>
    <row r="703" spans="2:20" x14ac:dyDescent="0.2">
      <c r="B703" s="83"/>
      <c r="C703" s="56">
        <v>664</v>
      </c>
      <c r="D703" s="56">
        <v>17506.945444799603</v>
      </c>
      <c r="E703" s="56">
        <v>4.3176936919269053</v>
      </c>
      <c r="F703" s="56">
        <v>13425.246919336298</v>
      </c>
      <c r="G703" s="56">
        <v>11.841503226181997</v>
      </c>
      <c r="H703" s="56">
        <f t="shared" si="42"/>
        <v>4081.6985254633055</v>
      </c>
      <c r="I703" s="56">
        <f t="shared" si="43"/>
        <v>-7.5238095342550917</v>
      </c>
      <c r="J703" s="56">
        <f t="shared" si="44"/>
        <v>161349.1980495805</v>
      </c>
      <c r="K703" s="56">
        <f t="shared" si="45"/>
        <v>477097.18272202672</v>
      </c>
      <c r="T703" s="83"/>
    </row>
    <row r="704" spans="2:20" x14ac:dyDescent="0.2">
      <c r="B704" s="83"/>
      <c r="C704" s="56">
        <v>665</v>
      </c>
      <c r="D704" s="56">
        <v>17367.816520270015</v>
      </c>
      <c r="E704" s="56">
        <v>4.9423845662524908</v>
      </c>
      <c r="F704" s="56">
        <v>13086.639426829379</v>
      </c>
      <c r="G704" s="56">
        <v>13.888704782431677</v>
      </c>
      <c r="H704" s="56">
        <f t="shared" si="42"/>
        <v>4281.1770934406359</v>
      </c>
      <c r="I704" s="56">
        <f t="shared" si="43"/>
        <v>-8.9463202161791866</v>
      </c>
      <c r="J704" s="56">
        <f t="shared" si="44"/>
        <v>187365.52175217317</v>
      </c>
      <c r="K704" s="56">
        <f t="shared" si="45"/>
        <v>562239.06748062035</v>
      </c>
      <c r="T704" s="83"/>
    </row>
    <row r="705" spans="2:20" x14ac:dyDescent="0.2">
      <c r="B705" s="83"/>
      <c r="C705" s="56">
        <v>666</v>
      </c>
      <c r="D705" s="56">
        <v>15801.078410779364</v>
      </c>
      <c r="E705" s="56">
        <v>3.4203470822949251</v>
      </c>
      <c r="F705" s="56">
        <v>10362.567494358414</v>
      </c>
      <c r="G705" s="56">
        <v>8.8079070748432802</v>
      </c>
      <c r="H705" s="56">
        <f t="shared" si="42"/>
        <v>5438.5109164209498</v>
      </c>
      <c r="I705" s="56">
        <f t="shared" si="43"/>
        <v>-5.387559992548355</v>
      </c>
      <c r="J705" s="56">
        <f t="shared" si="44"/>
        <v>125883.37912620563</v>
      </c>
      <c r="K705" s="56">
        <f t="shared" si="45"/>
        <v>354496.17517394962</v>
      </c>
      <c r="T705" s="83"/>
    </row>
    <row r="706" spans="2:20" x14ac:dyDescent="0.2">
      <c r="B706" s="83"/>
      <c r="C706" s="56">
        <v>667</v>
      </c>
      <c r="D706" s="56">
        <v>22825.98041653027</v>
      </c>
      <c r="E706" s="56">
        <v>3.9443230952761805</v>
      </c>
      <c r="F706" s="56">
        <v>20754.876808645993</v>
      </c>
      <c r="G706" s="56">
        <v>17.413012679377108</v>
      </c>
      <c r="H706" s="56">
        <f t="shared" si="42"/>
        <v>2071.1036078842772</v>
      </c>
      <c r="I706" s="56">
        <f t="shared" si="43"/>
        <v>-13.468689584100927</v>
      </c>
      <c r="J706" s="56">
        <f t="shared" si="44"/>
        <v>140563.65948219021</v>
      </c>
      <c r="K706" s="56">
        <f t="shared" si="45"/>
        <v>700561.76042187132</v>
      </c>
      <c r="T706" s="83"/>
    </row>
    <row r="707" spans="2:20" x14ac:dyDescent="0.2">
      <c r="B707" s="83"/>
      <c r="C707" s="56">
        <v>668</v>
      </c>
      <c r="D707" s="56">
        <v>15865.098391659096</v>
      </c>
      <c r="E707" s="56">
        <v>3.261767181208961</v>
      </c>
      <c r="F707" s="56">
        <v>14925.451247592257</v>
      </c>
      <c r="G707" s="56">
        <v>14.400582253216056</v>
      </c>
      <c r="H707" s="56">
        <f t="shared" si="42"/>
        <v>939.64714406683925</v>
      </c>
      <c r="I707" s="56">
        <f t="shared" si="43"/>
        <v>-11.138815072007095</v>
      </c>
      <c r="J707" s="56">
        <f t="shared" si="44"/>
        <v>119250.3453227409</v>
      </c>
      <c r="K707" s="56">
        <f t="shared" si="45"/>
        <v>581604.26800962968</v>
      </c>
      <c r="T707" s="83"/>
    </row>
    <row r="708" spans="2:20" x14ac:dyDescent="0.2">
      <c r="B708" s="83"/>
      <c r="C708" s="56">
        <v>669</v>
      </c>
      <c r="D708" s="56">
        <v>13263.870481400325</v>
      </c>
      <c r="E708" s="56">
        <v>2.7276844438827279</v>
      </c>
      <c r="F708" s="56">
        <v>20669.86890014217</v>
      </c>
      <c r="G708" s="56">
        <v>23.642742232965137</v>
      </c>
      <c r="H708" s="56">
        <f t="shared" si="42"/>
        <v>-7405.9984187418449</v>
      </c>
      <c r="I708" s="56">
        <f t="shared" si="43"/>
        <v>-20.915057789082411</v>
      </c>
      <c r="J708" s="56">
        <f t="shared" si="44"/>
        <v>99727.729921997787</v>
      </c>
      <c r="K708" s="56">
        <f t="shared" si="45"/>
        <v>958707.08535820572</v>
      </c>
      <c r="T708" s="83"/>
    </row>
    <row r="709" spans="2:20" x14ac:dyDescent="0.2">
      <c r="B709" s="83"/>
      <c r="C709" s="56">
        <v>670</v>
      </c>
      <c r="D709" s="56">
        <v>14145.522046722213</v>
      </c>
      <c r="E709" s="56">
        <v>3.2451904740771806</v>
      </c>
      <c r="F709" s="56">
        <v>10817.153107499977</v>
      </c>
      <c r="G709" s="56">
        <v>9.9140842175499007</v>
      </c>
      <c r="H709" s="56">
        <f t="shared" si="42"/>
        <v>3328.3689392222368</v>
      </c>
      <c r="I709" s="56">
        <f t="shared" si="43"/>
        <v>-6.6688937434727205</v>
      </c>
      <c r="J709" s="56">
        <f t="shared" si="44"/>
        <v>120283.24815145091</v>
      </c>
      <c r="K709" s="56">
        <f t="shared" si="45"/>
        <v>399863.87152028707</v>
      </c>
      <c r="T709" s="83"/>
    </row>
    <row r="710" spans="2:20" x14ac:dyDescent="0.2">
      <c r="B710" s="83"/>
      <c r="C710" s="56">
        <v>671</v>
      </c>
      <c r="D710" s="56">
        <v>21533.950837209202</v>
      </c>
      <c r="E710" s="56">
        <v>4.4208598856519661</v>
      </c>
      <c r="F710" s="56">
        <v>18221.025870594262</v>
      </c>
      <c r="G710" s="56">
        <v>17.199884046368581</v>
      </c>
      <c r="H710" s="56">
        <f t="shared" si="42"/>
        <v>3312.9249666149408</v>
      </c>
      <c r="I710" s="56">
        <f t="shared" si="43"/>
        <v>-12.779024160716615</v>
      </c>
      <c r="J710" s="56">
        <f t="shared" si="44"/>
        <v>161595.74906603782</v>
      </c>
      <c r="K710" s="56">
        <f t="shared" si="45"/>
        <v>694266.97086617781</v>
      </c>
      <c r="T710" s="83"/>
    </row>
    <row r="711" spans="2:20" x14ac:dyDescent="0.2">
      <c r="B711" s="83"/>
      <c r="C711" s="56">
        <v>672</v>
      </c>
      <c r="D711" s="56">
        <v>18394.957059577053</v>
      </c>
      <c r="E711" s="56">
        <v>4.638528255961778</v>
      </c>
      <c r="F711" s="56">
        <v>15130.187548244121</v>
      </c>
      <c r="G711" s="56">
        <v>17.180094537988655</v>
      </c>
      <c r="H711" s="56">
        <f t="shared" si="42"/>
        <v>3264.7695113329319</v>
      </c>
      <c r="I711" s="56">
        <f t="shared" si="43"/>
        <v>-12.541566282026878</v>
      </c>
      <c r="J711" s="56">
        <f t="shared" si="44"/>
        <v>173751.43741538364</v>
      </c>
      <c r="K711" s="56">
        <f t="shared" si="45"/>
        <v>696538.04859339795</v>
      </c>
      <c r="T711" s="83"/>
    </row>
    <row r="712" spans="2:20" x14ac:dyDescent="0.2">
      <c r="B712" s="83"/>
      <c r="C712" s="56">
        <v>673</v>
      </c>
      <c r="D712" s="56">
        <v>12073.254122672082</v>
      </c>
      <c r="E712" s="56">
        <v>1.7457938967531446</v>
      </c>
      <c r="F712" s="56">
        <v>21536.612156588144</v>
      </c>
      <c r="G712" s="56">
        <v>19.182932556908881</v>
      </c>
      <c r="H712" s="56">
        <f t="shared" si="42"/>
        <v>-9463.3580339160617</v>
      </c>
      <c r="I712" s="56">
        <f t="shared" si="43"/>
        <v>-17.437138660155735</v>
      </c>
      <c r="J712" s="56">
        <f t="shared" si="44"/>
        <v>60244.512256430186</v>
      </c>
      <c r="K712" s="56">
        <f t="shared" si="45"/>
        <v>773097.18608080538</v>
      </c>
      <c r="T712" s="83"/>
    </row>
    <row r="713" spans="2:20" x14ac:dyDescent="0.2">
      <c r="B713" s="83"/>
      <c r="C713" s="56">
        <v>674</v>
      </c>
      <c r="D713" s="56">
        <v>21241.094390792707</v>
      </c>
      <c r="E713" s="56">
        <v>5.213431391884586</v>
      </c>
      <c r="F713" s="56">
        <v>18867.907525260875</v>
      </c>
      <c r="G713" s="56">
        <v>18.907305370742417</v>
      </c>
      <c r="H713" s="56">
        <f t="shared" si="42"/>
        <v>2373.1868655318322</v>
      </c>
      <c r="I713" s="56">
        <f t="shared" si="43"/>
        <v>-13.69387397885783</v>
      </c>
      <c r="J713" s="56">
        <f t="shared" si="44"/>
        <v>194720.08758663438</v>
      </c>
      <c r="K713" s="56">
        <f t="shared" si="45"/>
        <v>764348.31015237304</v>
      </c>
      <c r="T713" s="83"/>
    </row>
    <row r="714" spans="2:20" x14ac:dyDescent="0.2">
      <c r="B714" s="83"/>
      <c r="C714" s="56">
        <v>675</v>
      </c>
      <c r="D714" s="56">
        <v>18298.810758113865</v>
      </c>
      <c r="E714" s="56">
        <v>3.4028029332959875</v>
      </c>
      <c r="F714" s="56">
        <v>24339.728918870856</v>
      </c>
      <c r="G714" s="56">
        <v>22.844780307013387</v>
      </c>
      <c r="H714" s="56">
        <f t="shared" si="42"/>
        <v>-6040.9181607569917</v>
      </c>
      <c r="I714" s="56">
        <f t="shared" si="43"/>
        <v>-19.4419773737174</v>
      </c>
      <c r="J714" s="56">
        <f t="shared" si="44"/>
        <v>122658.89795073913</v>
      </c>
      <c r="K714" s="56">
        <f t="shared" si="45"/>
        <v>921982.45051885163</v>
      </c>
      <c r="T714" s="83"/>
    </row>
    <row r="715" spans="2:20" x14ac:dyDescent="0.2">
      <c r="B715" s="83"/>
      <c r="C715" s="56">
        <v>676</v>
      </c>
      <c r="D715" s="56">
        <v>15710.79303563085</v>
      </c>
      <c r="E715" s="56">
        <v>2.4267693533377139</v>
      </c>
      <c r="F715" s="56">
        <v>15520.293082431333</v>
      </c>
      <c r="G715" s="56">
        <v>11.83493380270991</v>
      </c>
      <c r="H715" s="56">
        <f t="shared" si="42"/>
        <v>190.49995319951631</v>
      </c>
      <c r="I715" s="56">
        <f t="shared" si="43"/>
        <v>-9.4081644493721974</v>
      </c>
      <c r="J715" s="56">
        <f t="shared" si="44"/>
        <v>84815.700657030611</v>
      </c>
      <c r="K715" s="56">
        <f t="shared" si="45"/>
        <v>474730.00476102403</v>
      </c>
      <c r="T715" s="83"/>
    </row>
    <row r="716" spans="2:20" x14ac:dyDescent="0.2">
      <c r="B716" s="83"/>
      <c r="C716" s="56">
        <v>677</v>
      </c>
      <c r="D716" s="56">
        <v>12610.381324093674</v>
      </c>
      <c r="E716" s="56">
        <v>3.402712584295942</v>
      </c>
      <c r="F716" s="56">
        <v>18113.977606777655</v>
      </c>
      <c r="G716" s="56">
        <v>22.518481028364661</v>
      </c>
      <c r="H716" s="56">
        <f t="shared" si="42"/>
        <v>-5503.5962826839805</v>
      </c>
      <c r="I716" s="56">
        <f t="shared" si="43"/>
        <v>-19.115768444068721</v>
      </c>
      <c r="J716" s="56">
        <f t="shared" si="44"/>
        <v>128343.58476778143</v>
      </c>
      <c r="K716" s="56">
        <f t="shared" si="45"/>
        <v>914691.58051220002</v>
      </c>
      <c r="T716" s="83"/>
    </row>
    <row r="717" spans="2:20" x14ac:dyDescent="0.2">
      <c r="B717" s="83"/>
      <c r="C717" s="56">
        <v>678</v>
      </c>
      <c r="D717" s="56">
        <v>6502.4994382031864</v>
      </c>
      <c r="E717" s="56">
        <v>1.6364772132081291</v>
      </c>
      <c r="F717" s="56">
        <v>10622.042744245395</v>
      </c>
      <c r="G717" s="56">
        <v>13.864249581994375</v>
      </c>
      <c r="H717" s="56">
        <f t="shared" si="42"/>
        <v>-4119.5433060422083</v>
      </c>
      <c r="I717" s="56">
        <f t="shared" si="43"/>
        <v>-12.227772368786246</v>
      </c>
      <c r="J717" s="56">
        <f t="shared" si="44"/>
        <v>61286.932641730353</v>
      </c>
      <c r="K717" s="56">
        <f t="shared" si="45"/>
        <v>563690.63194028963</v>
      </c>
      <c r="T717" s="83"/>
    </row>
    <row r="718" spans="2:20" x14ac:dyDescent="0.2">
      <c r="B718" s="83"/>
      <c r="C718" s="56">
        <v>679</v>
      </c>
      <c r="D718" s="56">
        <v>14528.000144975216</v>
      </c>
      <c r="E718" s="56">
        <v>3.1386853873544971</v>
      </c>
      <c r="F718" s="56">
        <v>9976.5196687328644</v>
      </c>
      <c r="G718" s="56">
        <v>9.6025920215777045</v>
      </c>
      <c r="H718" s="56">
        <f t="shared" si="42"/>
        <v>4551.4804762423519</v>
      </c>
      <c r="I718" s="56">
        <f t="shared" si="43"/>
        <v>-6.463906634223207</v>
      </c>
      <c r="J718" s="56">
        <f t="shared" si="44"/>
        <v>115488.90334079748</v>
      </c>
      <c r="K718" s="56">
        <f t="shared" si="45"/>
        <v>387801.25223310193</v>
      </c>
      <c r="T718" s="83"/>
    </row>
    <row r="719" spans="2:20" x14ac:dyDescent="0.2">
      <c r="B719" s="83"/>
      <c r="C719" s="56">
        <v>680</v>
      </c>
      <c r="D719" s="56">
        <v>12372.994237938185</v>
      </c>
      <c r="E719" s="56">
        <v>3.2038935461080151</v>
      </c>
      <c r="F719" s="56">
        <v>13948.633733695029</v>
      </c>
      <c r="G719" s="56">
        <v>14.614523377008148</v>
      </c>
      <c r="H719" s="56">
        <f t="shared" si="42"/>
        <v>-1575.6394957568446</v>
      </c>
      <c r="I719" s="56">
        <f t="shared" si="43"/>
        <v>-11.410629830900133</v>
      </c>
      <c r="J719" s="56">
        <f t="shared" si="44"/>
        <v>120345.09201604025</v>
      </c>
      <c r="K719" s="56">
        <f t="shared" si="45"/>
        <v>591443.3826354905</v>
      </c>
      <c r="T719" s="83"/>
    </row>
    <row r="720" spans="2:20" x14ac:dyDescent="0.2">
      <c r="B720" s="83"/>
      <c r="C720" s="56">
        <v>681</v>
      </c>
      <c r="D720" s="56">
        <v>16234.675490882863</v>
      </c>
      <c r="E720" s="56">
        <v>3.2379179060058916</v>
      </c>
      <c r="F720" s="56">
        <v>10047.677940829306</v>
      </c>
      <c r="G720" s="56">
        <v>7.7788499265592081</v>
      </c>
      <c r="H720" s="56">
        <f t="shared" si="42"/>
        <v>6186.9975500535566</v>
      </c>
      <c r="I720" s="56">
        <f t="shared" si="43"/>
        <v>-4.540932020553317</v>
      </c>
      <c r="J720" s="56">
        <f t="shared" si="44"/>
        <v>117892.83584750519</v>
      </c>
      <c r="K720" s="56">
        <f t="shared" si="45"/>
        <v>312183.40141695936</v>
      </c>
      <c r="T720" s="83"/>
    </row>
    <row r="721" spans="2:20" x14ac:dyDescent="0.2">
      <c r="B721" s="83"/>
      <c r="C721" s="56">
        <v>682</v>
      </c>
      <c r="D721" s="56">
        <v>11250.560061549662</v>
      </c>
      <c r="E721" s="56">
        <v>2.4587616882172094</v>
      </c>
      <c r="F721" s="56">
        <v>14845.586066523623</v>
      </c>
      <c r="G721" s="56">
        <v>17.065815724906955</v>
      </c>
      <c r="H721" s="56">
        <f t="shared" si="42"/>
        <v>-3595.0260049739609</v>
      </c>
      <c r="I721" s="56">
        <f t="shared" si="43"/>
        <v>-14.607054036689746</v>
      </c>
      <c r="J721" s="56">
        <f t="shared" si="44"/>
        <v>90601.184111160022</v>
      </c>
      <c r="K721" s="56">
        <f t="shared" si="45"/>
        <v>692088.7645220221</v>
      </c>
      <c r="T721" s="83"/>
    </row>
    <row r="722" spans="2:20" x14ac:dyDescent="0.2">
      <c r="B722" s="83"/>
      <c r="C722" s="56">
        <v>683</v>
      </c>
      <c r="D722" s="56">
        <v>21618.989112596202</v>
      </c>
      <c r="E722" s="56">
        <v>4.1273678077224112</v>
      </c>
      <c r="F722" s="56">
        <v>17458.301068847231</v>
      </c>
      <c r="G722" s="56">
        <v>15.204344341586365</v>
      </c>
      <c r="H722" s="56">
        <f t="shared" si="42"/>
        <v>4160.6880437489708</v>
      </c>
      <c r="I722" s="56">
        <f t="shared" si="43"/>
        <v>-11.076976533863954</v>
      </c>
      <c r="J722" s="56">
        <f t="shared" si="44"/>
        <v>149353.09495449695</v>
      </c>
      <c r="K722" s="56">
        <f t="shared" si="45"/>
        <v>612366.45893702644</v>
      </c>
      <c r="T722" s="83"/>
    </row>
    <row r="723" spans="2:20" x14ac:dyDescent="0.2">
      <c r="B723" s="83"/>
      <c r="C723" s="56">
        <v>684</v>
      </c>
      <c r="D723" s="56">
        <v>14419.164957540737</v>
      </c>
      <c r="E723" s="56">
        <v>2.9073208599375002</v>
      </c>
      <c r="F723" s="56">
        <v>16476.149871327983</v>
      </c>
      <c r="G723" s="56">
        <v>16.17785378756944</v>
      </c>
      <c r="H723" s="56">
        <f t="shared" si="42"/>
        <v>-2056.9849137872461</v>
      </c>
      <c r="I723" s="56">
        <f t="shared" si="43"/>
        <v>-13.27053292763194</v>
      </c>
      <c r="J723" s="56">
        <f t="shared" si="44"/>
        <v>106013.69434451028</v>
      </c>
      <c r="K723" s="56">
        <f t="shared" si="45"/>
        <v>653675.26542494842</v>
      </c>
      <c r="T723" s="83"/>
    </row>
    <row r="724" spans="2:20" x14ac:dyDescent="0.2">
      <c r="B724" s="83"/>
      <c r="C724" s="56">
        <v>685</v>
      </c>
      <c r="D724" s="56">
        <v>24890.772011923371</v>
      </c>
      <c r="E724" s="56">
        <v>5.5097934167913039</v>
      </c>
      <c r="F724" s="56">
        <v>20948.652610551348</v>
      </c>
      <c r="G724" s="56">
        <v>20.818897589499503</v>
      </c>
      <c r="H724" s="56">
        <f t="shared" si="42"/>
        <v>3942.1194013720233</v>
      </c>
      <c r="I724" s="56">
        <f t="shared" si="43"/>
        <v>-15.309104172708199</v>
      </c>
      <c r="J724" s="56">
        <f t="shared" si="44"/>
        <v>203346.91048523961</v>
      </c>
      <c r="K724" s="56">
        <f t="shared" si="45"/>
        <v>841453.36113687605</v>
      </c>
      <c r="T724" s="83"/>
    </row>
    <row r="725" spans="2:20" x14ac:dyDescent="0.2">
      <c r="B725" s="83"/>
      <c r="C725" s="56">
        <v>686</v>
      </c>
      <c r="D725" s="56">
        <v>14040.8068221872</v>
      </c>
      <c r="E725" s="56">
        <v>3.3753020210322724</v>
      </c>
      <c r="F725" s="56">
        <v>12836.955140370119</v>
      </c>
      <c r="G725" s="56">
        <v>14.844533648390906</v>
      </c>
      <c r="H725" s="56">
        <f t="shared" si="42"/>
        <v>1203.851681817081</v>
      </c>
      <c r="I725" s="56">
        <f t="shared" si="43"/>
        <v>-11.469231627358633</v>
      </c>
      <c r="J725" s="56">
        <f t="shared" si="44"/>
        <v>125777.70409705366</v>
      </c>
      <c r="K725" s="56">
        <f t="shared" si="45"/>
        <v>602083.00671057473</v>
      </c>
      <c r="T725" s="83"/>
    </row>
    <row r="726" spans="2:20" x14ac:dyDescent="0.2">
      <c r="B726" s="83"/>
      <c r="C726" s="56">
        <v>687</v>
      </c>
      <c r="D726" s="56">
        <v>15572.448988453561</v>
      </c>
      <c r="E726" s="56">
        <v>3.8567292619809637</v>
      </c>
      <c r="F726" s="56">
        <v>13577.856246864509</v>
      </c>
      <c r="G726" s="56">
        <v>12.461603225841479</v>
      </c>
      <c r="H726" s="56">
        <f t="shared" si="42"/>
        <v>1994.5927415890528</v>
      </c>
      <c r="I726" s="56">
        <f t="shared" si="43"/>
        <v>-8.6048739638605163</v>
      </c>
      <c r="J726" s="56">
        <f t="shared" si="44"/>
        <v>144188.70395984588</v>
      </c>
      <c r="K726" s="56">
        <f t="shared" si="45"/>
        <v>502631.59578039293</v>
      </c>
      <c r="T726" s="83"/>
    </row>
    <row r="727" spans="2:20" x14ac:dyDescent="0.2">
      <c r="B727" s="83"/>
      <c r="C727" s="56">
        <v>688</v>
      </c>
      <c r="D727" s="56">
        <v>16854.759792111963</v>
      </c>
      <c r="E727" s="56">
        <v>4.8644597128919811</v>
      </c>
      <c r="F727" s="56">
        <v>14407.09010532613</v>
      </c>
      <c r="G727" s="56">
        <v>17.817614066846772</v>
      </c>
      <c r="H727" s="56">
        <f t="shared" si="42"/>
        <v>2447.6696867858336</v>
      </c>
      <c r="I727" s="56">
        <f t="shared" si="43"/>
        <v>-12.95315435395479</v>
      </c>
      <c r="J727" s="56">
        <f t="shared" si="44"/>
        <v>184650.61935472547</v>
      </c>
      <c r="K727" s="56">
        <f t="shared" si="45"/>
        <v>723669.75499973458</v>
      </c>
      <c r="T727" s="83"/>
    </row>
    <row r="728" spans="2:20" x14ac:dyDescent="0.2">
      <c r="B728" s="83"/>
      <c r="C728" s="56">
        <v>689</v>
      </c>
      <c r="D728" s="56">
        <v>11421.00631129328</v>
      </c>
      <c r="E728" s="56">
        <v>3.4036332493193329</v>
      </c>
      <c r="F728" s="56">
        <v>11726.832282469795</v>
      </c>
      <c r="G728" s="56">
        <v>15.212785580484351</v>
      </c>
      <c r="H728" s="56">
        <f t="shared" si="42"/>
        <v>-305.82597117651494</v>
      </c>
      <c r="I728" s="56">
        <f t="shared" si="43"/>
        <v>-11.809152331165018</v>
      </c>
      <c r="J728" s="56">
        <f t="shared" si="44"/>
        <v>129571.09740851077</v>
      </c>
      <c r="K728" s="56">
        <f t="shared" si="45"/>
        <v>618447.59760351386</v>
      </c>
      <c r="T728" s="83"/>
    </row>
    <row r="729" spans="2:20" x14ac:dyDescent="0.2">
      <c r="B729" s="83"/>
      <c r="C729" s="56">
        <v>690</v>
      </c>
      <c r="D729" s="56">
        <v>16726.433599180451</v>
      </c>
      <c r="E729" s="56">
        <v>4.7559306794385829</v>
      </c>
      <c r="F729" s="56">
        <v>11455.34739420201</v>
      </c>
      <c r="G729" s="56">
        <v>12.21699466864967</v>
      </c>
      <c r="H729" s="56">
        <f t="shared" si="42"/>
        <v>5271.0862049784409</v>
      </c>
      <c r="I729" s="56">
        <f t="shared" si="43"/>
        <v>-7.4610639892110875</v>
      </c>
      <c r="J729" s="56">
        <f t="shared" si="44"/>
        <v>180283.23886588341</v>
      </c>
      <c r="K729" s="56">
        <f t="shared" si="45"/>
        <v>494621.43975994195</v>
      </c>
      <c r="T729" s="83"/>
    </row>
    <row r="730" spans="2:20" x14ac:dyDescent="0.2">
      <c r="B730" s="83"/>
      <c r="C730" s="56">
        <v>691</v>
      </c>
      <c r="D730" s="56">
        <v>12281.000383634724</v>
      </c>
      <c r="E730" s="56">
        <v>2.1783351514134122</v>
      </c>
      <c r="F730" s="56">
        <v>13605.701893173429</v>
      </c>
      <c r="G730" s="56">
        <v>11.837508017311462</v>
      </c>
      <c r="H730" s="56">
        <f t="shared" si="42"/>
        <v>-1324.7015095387051</v>
      </c>
      <c r="I730" s="56">
        <f t="shared" si="43"/>
        <v>-9.65917286589805</v>
      </c>
      <c r="J730" s="56">
        <f t="shared" si="44"/>
        <v>77954.354928514455</v>
      </c>
      <c r="K730" s="56">
        <f t="shared" si="45"/>
        <v>476751.23021593655</v>
      </c>
      <c r="T730" s="83"/>
    </row>
    <row r="731" spans="2:20" x14ac:dyDescent="0.2">
      <c r="B731" s="83"/>
      <c r="C731" s="56">
        <v>692</v>
      </c>
      <c r="D731" s="56">
        <v>16707.023675446137</v>
      </c>
      <c r="E731" s="56">
        <v>3.7376502041263189</v>
      </c>
      <c r="F731" s="56">
        <v>16477.618591905386</v>
      </c>
      <c r="G731" s="56">
        <v>16.146019383994012</v>
      </c>
      <c r="H731" s="56">
        <f t="shared" si="42"/>
        <v>229.40508354075064</v>
      </c>
      <c r="I731" s="56">
        <f t="shared" si="43"/>
        <v>-12.408369179867694</v>
      </c>
      <c r="J731" s="56">
        <f t="shared" si="44"/>
        <v>138121.39838028251</v>
      </c>
      <c r="K731" s="56">
        <f t="shared" si="45"/>
        <v>652355.08837066265</v>
      </c>
      <c r="T731" s="83"/>
    </row>
    <row r="732" spans="2:20" x14ac:dyDescent="0.2">
      <c r="B732" s="83"/>
      <c r="C732" s="56">
        <v>693</v>
      </c>
      <c r="D732" s="56">
        <v>12138.903751734126</v>
      </c>
      <c r="E732" s="56">
        <v>2.1992425657364914</v>
      </c>
      <c r="F732" s="56">
        <v>14558.529978278024</v>
      </c>
      <c r="G732" s="56">
        <v>13.520290167634673</v>
      </c>
      <c r="H732" s="56">
        <f t="shared" si="42"/>
        <v>-2419.6262265438982</v>
      </c>
      <c r="I732" s="56">
        <f t="shared" si="43"/>
        <v>-11.321047601898183</v>
      </c>
      <c r="J732" s="56">
        <f t="shared" si="44"/>
        <v>78962.520291334295</v>
      </c>
      <c r="K732" s="56">
        <f t="shared" si="45"/>
        <v>545505.96992582071</v>
      </c>
      <c r="T732" s="83"/>
    </row>
    <row r="733" spans="2:20" x14ac:dyDescent="0.2">
      <c r="B733" s="83"/>
      <c r="C733" s="56">
        <v>694</v>
      </c>
      <c r="D733" s="56">
        <v>13176.949637555013</v>
      </c>
      <c r="E733" s="56">
        <v>2.7287662620878472</v>
      </c>
      <c r="F733" s="56">
        <v>18702.18178038951</v>
      </c>
      <c r="G733" s="56">
        <v>20.369341722652429</v>
      </c>
      <c r="H733" s="56">
        <f t="shared" si="42"/>
        <v>-5525.2321428344967</v>
      </c>
      <c r="I733" s="56">
        <f t="shared" si="43"/>
        <v>-17.64057546056458</v>
      </c>
      <c r="J733" s="56">
        <f t="shared" si="44"/>
        <v>99859.464003171975</v>
      </c>
      <c r="K733" s="56">
        <f t="shared" si="45"/>
        <v>825077.42973876465</v>
      </c>
      <c r="T733" s="83"/>
    </row>
    <row r="734" spans="2:20" x14ac:dyDescent="0.2">
      <c r="B734" s="83"/>
      <c r="C734" s="56">
        <v>695</v>
      </c>
      <c r="D734" s="56">
        <v>13984.126522975583</v>
      </c>
      <c r="E734" s="56">
        <v>3.4793448039031407</v>
      </c>
      <c r="F734" s="56">
        <v>14003.775985883332</v>
      </c>
      <c r="G734" s="56">
        <v>15.013715304408771</v>
      </c>
      <c r="H734" s="56">
        <f t="shared" si="42"/>
        <v>-19.649462907749694</v>
      </c>
      <c r="I734" s="56">
        <f t="shared" si="43"/>
        <v>-11.534370500505631</v>
      </c>
      <c r="J734" s="56">
        <f t="shared" si="44"/>
        <v>130144.25263390811</v>
      </c>
      <c r="K734" s="56">
        <f t="shared" si="45"/>
        <v>607924.36678394559</v>
      </c>
      <c r="T734" s="83"/>
    </row>
    <row r="735" spans="2:20" x14ac:dyDescent="0.2">
      <c r="B735" s="83"/>
      <c r="C735" s="56">
        <v>696</v>
      </c>
      <c r="D735" s="56">
        <v>14683.345597800319</v>
      </c>
      <c r="E735" s="56">
        <v>3.3981073228153642</v>
      </c>
      <c r="F735" s="56">
        <v>15772.64296978825</v>
      </c>
      <c r="G735" s="56">
        <v>16.306945211819439</v>
      </c>
      <c r="H735" s="56">
        <f t="shared" si="42"/>
        <v>-1089.2973719879319</v>
      </c>
      <c r="I735" s="56">
        <f t="shared" si="43"/>
        <v>-12.908837889004076</v>
      </c>
      <c r="J735" s="56">
        <f t="shared" si="44"/>
        <v>126079.85214250333</v>
      </c>
      <c r="K735" s="56">
        <f t="shared" si="45"/>
        <v>659726.25548462011</v>
      </c>
      <c r="T735" s="83"/>
    </row>
    <row r="736" spans="2:20" x14ac:dyDescent="0.2">
      <c r="B736" s="83"/>
      <c r="C736" s="56">
        <v>697</v>
      </c>
      <c r="D736" s="56">
        <v>15991.971617094861</v>
      </c>
      <c r="E736" s="56">
        <v>3.5050055513477418</v>
      </c>
      <c r="F736" s="56">
        <v>15485.708621550599</v>
      </c>
      <c r="G736" s="56">
        <v>17.361392496646445</v>
      </c>
      <c r="H736" s="56">
        <f t="shared" si="42"/>
        <v>506.26299554426259</v>
      </c>
      <c r="I736" s="56">
        <f t="shared" si="43"/>
        <v>-13.856386945298704</v>
      </c>
      <c r="J736" s="56">
        <f t="shared" si="44"/>
        <v>129199.37834193399</v>
      </c>
      <c r="K736" s="56">
        <f t="shared" si="45"/>
        <v>703692.61415953177</v>
      </c>
      <c r="T736" s="83"/>
    </row>
    <row r="737" spans="2:20" x14ac:dyDescent="0.2">
      <c r="B737" s="83"/>
      <c r="C737" s="56">
        <v>698</v>
      </c>
      <c r="D737" s="56">
        <v>10894.679557433888</v>
      </c>
      <c r="E737" s="56">
        <v>2.3321485199050396</v>
      </c>
      <c r="F737" s="56">
        <v>9479.1994599234495</v>
      </c>
      <c r="G737" s="56">
        <v>11.098089573477363</v>
      </c>
      <c r="H737" s="56">
        <f t="shared" si="42"/>
        <v>1415.480097510439</v>
      </c>
      <c r="I737" s="56">
        <f t="shared" si="43"/>
        <v>-8.7659410535723232</v>
      </c>
      <c r="J737" s="56">
        <f t="shared" si="44"/>
        <v>85712.24073111247</v>
      </c>
      <c r="K737" s="56">
        <f t="shared" si="45"/>
        <v>450248.06303180289</v>
      </c>
      <c r="T737" s="83"/>
    </row>
    <row r="738" spans="2:20" x14ac:dyDescent="0.2">
      <c r="B738" s="83"/>
      <c r="C738" s="56">
        <v>699</v>
      </c>
      <c r="D738" s="56">
        <v>23442.602060999354</v>
      </c>
      <c r="E738" s="56">
        <v>5.2687362521058807</v>
      </c>
      <c r="F738" s="56">
        <v>8560.9511203842849</v>
      </c>
      <c r="G738" s="56">
        <v>7.4307856997165009</v>
      </c>
      <c r="H738" s="56">
        <f t="shared" si="42"/>
        <v>14881.650940615069</v>
      </c>
      <c r="I738" s="56">
        <f t="shared" si="43"/>
        <v>-2.1620494476106202</v>
      </c>
      <c r="J738" s="56">
        <f t="shared" si="44"/>
        <v>194809.52844623465</v>
      </c>
      <c r="K738" s="56">
        <f t="shared" si="45"/>
        <v>299251.91570467205</v>
      </c>
      <c r="T738" s="83"/>
    </row>
    <row r="739" spans="2:20" x14ac:dyDescent="0.2">
      <c r="B739" s="83"/>
      <c r="C739" s="56">
        <v>700</v>
      </c>
      <c r="D739" s="56">
        <v>13367.907496562102</v>
      </c>
      <c r="E739" s="56">
        <v>2.6291149373664684</v>
      </c>
      <c r="F739" s="56">
        <v>14993.935721862554</v>
      </c>
      <c r="G739" s="56">
        <v>15.155965774668591</v>
      </c>
      <c r="H739" s="56">
        <f t="shared" si="42"/>
        <v>-1626.0282253004516</v>
      </c>
      <c r="I739" s="56">
        <f t="shared" si="43"/>
        <v>-12.526850837302122</v>
      </c>
      <c r="J739" s="56">
        <f t="shared" si="44"/>
        <v>95540.549668906489</v>
      </c>
      <c r="K739" s="56">
        <f t="shared" si="45"/>
        <v>612826.79052800906</v>
      </c>
      <c r="T739" s="83"/>
    </row>
    <row r="740" spans="2:20" x14ac:dyDescent="0.2">
      <c r="B740" s="83"/>
      <c r="C740" s="56">
        <v>701</v>
      </c>
      <c r="D740" s="56">
        <v>13249.248929914787</v>
      </c>
      <c r="E740" s="56">
        <v>2.4945774203948319</v>
      </c>
      <c r="F740" s="56">
        <v>13166.918147152603</v>
      </c>
      <c r="G740" s="56">
        <v>13.297155997049364</v>
      </c>
      <c r="H740" s="56">
        <f t="shared" si="42"/>
        <v>82.330782762184754</v>
      </c>
      <c r="I740" s="56">
        <f t="shared" si="43"/>
        <v>-10.802578576654533</v>
      </c>
      <c r="J740" s="56">
        <f t="shared" si="44"/>
        <v>90086.126132520731</v>
      </c>
      <c r="K740" s="56">
        <f t="shared" si="45"/>
        <v>537654.47187462018</v>
      </c>
      <c r="T740" s="83"/>
    </row>
    <row r="741" spans="2:20" x14ac:dyDescent="0.2">
      <c r="B741" s="83"/>
      <c r="C741" s="56">
        <v>702</v>
      </c>
      <c r="D741" s="56">
        <v>19816.151151511425</v>
      </c>
      <c r="E741" s="56">
        <v>4.6772252976762729</v>
      </c>
      <c r="F741" s="56">
        <v>17000.927922931791</v>
      </c>
      <c r="G741" s="56">
        <v>14.274531049340553</v>
      </c>
      <c r="H741" s="56">
        <f t="shared" si="42"/>
        <v>2815.2232285796345</v>
      </c>
      <c r="I741" s="56">
        <f t="shared" si="43"/>
        <v>-9.5973057516642797</v>
      </c>
      <c r="J741" s="56">
        <f t="shared" si="44"/>
        <v>173933.22957943048</v>
      </c>
      <c r="K741" s="56">
        <f t="shared" si="45"/>
        <v>574307.2462649513</v>
      </c>
      <c r="T741" s="83"/>
    </row>
    <row r="742" spans="2:20" x14ac:dyDescent="0.2">
      <c r="B742" s="83"/>
      <c r="C742" s="56">
        <v>703</v>
      </c>
      <c r="D742" s="56">
        <v>15931.759459927736</v>
      </c>
      <c r="E742" s="56">
        <v>3.0882252257457106</v>
      </c>
      <c r="F742" s="56">
        <v>17894.172971502521</v>
      </c>
      <c r="G742" s="56">
        <v>17.898645401701131</v>
      </c>
      <c r="H742" s="56">
        <f t="shared" si="42"/>
        <v>-1962.4135115747849</v>
      </c>
      <c r="I742" s="56">
        <f t="shared" si="43"/>
        <v>-14.810420175955421</v>
      </c>
      <c r="J742" s="56">
        <f t="shared" si="44"/>
        <v>111994.88229136258</v>
      </c>
      <c r="K742" s="56">
        <f t="shared" si="45"/>
        <v>723539.31414856517</v>
      </c>
      <c r="T742" s="83"/>
    </row>
    <row r="743" spans="2:20" x14ac:dyDescent="0.2">
      <c r="B743" s="83"/>
      <c r="C743" s="56">
        <v>704</v>
      </c>
      <c r="D743" s="56">
        <v>20485.535981216453</v>
      </c>
      <c r="E743" s="56">
        <v>3.6011305958628208</v>
      </c>
      <c r="F743" s="56">
        <v>14044.506801600761</v>
      </c>
      <c r="G743" s="56">
        <v>12.377594343552133</v>
      </c>
      <c r="H743" s="56">
        <f t="shared" si="42"/>
        <v>6441.0291796156926</v>
      </c>
      <c r="I743" s="56">
        <f t="shared" si="43"/>
        <v>-8.7764637476893128</v>
      </c>
      <c r="J743" s="56">
        <f t="shared" si="44"/>
        <v>128687.69782180504</v>
      </c>
      <c r="K743" s="56">
        <f t="shared" si="45"/>
        <v>498684.96128570283</v>
      </c>
      <c r="T743" s="83"/>
    </row>
    <row r="744" spans="2:20" x14ac:dyDescent="0.2">
      <c r="B744" s="83"/>
      <c r="C744" s="56">
        <v>705</v>
      </c>
      <c r="D744" s="56">
        <v>13459.104384964528</v>
      </c>
      <c r="E744" s="56">
        <v>3.0154537213671366</v>
      </c>
      <c r="F744" s="56">
        <v>19047.471213768862</v>
      </c>
      <c r="G744" s="56">
        <v>19.190377245037148</v>
      </c>
      <c r="H744" s="56">
        <f t="shared" ref="H744:H807" si="46">IF($C744&lt;=No_of_iterations_PSA,D744-$F744,"")</f>
        <v>-5588.3668288043336</v>
      </c>
      <c r="I744" s="56">
        <f t="shared" ref="I744:I807" si="47">IF($C744&lt;=No_of_iterations_PSA,E744-$G744,"")</f>
        <v>-16.17492352367001</v>
      </c>
      <c r="J744" s="56">
        <f t="shared" ref="J744:J807" si="48">IF($C744&lt;=No_of_iterations_PSA,E744*WTP-D744,"")</f>
        <v>111453.05056894774</v>
      </c>
      <c r="K744" s="56">
        <f t="shared" ref="K744:K807" si="49">IF($C744&lt;=No_of_iterations_PSA,G744*WTP-F744,"")</f>
        <v>775894.71578464995</v>
      </c>
      <c r="T744" s="83"/>
    </row>
    <row r="745" spans="2:20" x14ac:dyDescent="0.2">
      <c r="B745" s="83"/>
      <c r="C745" s="56">
        <v>706</v>
      </c>
      <c r="D745" s="56">
        <v>19067.533714531772</v>
      </c>
      <c r="E745" s="56">
        <v>4.3010519783264005</v>
      </c>
      <c r="F745" s="56">
        <v>11931.843945817107</v>
      </c>
      <c r="G745" s="56">
        <v>10.634522223527638</v>
      </c>
      <c r="H745" s="56">
        <f t="shared" si="46"/>
        <v>7135.6897687146648</v>
      </c>
      <c r="I745" s="56">
        <f t="shared" si="47"/>
        <v>-6.3334702452012372</v>
      </c>
      <c r="J745" s="56">
        <f t="shared" si="48"/>
        <v>159099.24343566105</v>
      </c>
      <c r="K745" s="56">
        <f t="shared" si="49"/>
        <v>428592.60464159178</v>
      </c>
      <c r="T745" s="83"/>
    </row>
    <row r="746" spans="2:20" x14ac:dyDescent="0.2">
      <c r="B746" s="83"/>
      <c r="C746" s="56">
        <v>707</v>
      </c>
      <c r="D746" s="56">
        <v>12925.513005712917</v>
      </c>
      <c r="E746" s="56">
        <v>2.0142215615794274</v>
      </c>
      <c r="F746" s="56">
        <v>15333.208664284268</v>
      </c>
      <c r="G746" s="56">
        <v>12.484629580693413</v>
      </c>
      <c r="H746" s="56">
        <f t="shared" si="46"/>
        <v>-2407.6956585713506</v>
      </c>
      <c r="I746" s="56">
        <f t="shared" si="47"/>
        <v>-10.470408019113986</v>
      </c>
      <c r="J746" s="56">
        <f t="shared" si="48"/>
        <v>70511.600961153294</v>
      </c>
      <c r="K746" s="56">
        <f t="shared" si="49"/>
        <v>501830.08708635968</v>
      </c>
      <c r="T746" s="83"/>
    </row>
    <row r="747" spans="2:20" x14ac:dyDescent="0.2">
      <c r="B747" s="83"/>
      <c r="C747" s="56">
        <v>708</v>
      </c>
      <c r="D747" s="56">
        <v>15948.464543108135</v>
      </c>
      <c r="E747" s="56">
        <v>3.4029873648102358</v>
      </c>
      <c r="F747" s="56">
        <v>11577.312613779652</v>
      </c>
      <c r="G747" s="56">
        <v>9.0228465127553523</v>
      </c>
      <c r="H747" s="56">
        <f t="shared" si="46"/>
        <v>4371.1519293284837</v>
      </c>
      <c r="I747" s="56">
        <f t="shared" si="47"/>
        <v>-5.6198591479451165</v>
      </c>
      <c r="J747" s="56">
        <f t="shared" si="48"/>
        <v>125016.88405679108</v>
      </c>
      <c r="K747" s="56">
        <f t="shared" si="49"/>
        <v>362185.08133059804</v>
      </c>
      <c r="T747" s="83"/>
    </row>
    <row r="748" spans="2:20" x14ac:dyDescent="0.2">
      <c r="B748" s="83"/>
      <c r="C748" s="56">
        <v>709</v>
      </c>
      <c r="D748" s="56">
        <v>13999.188772578769</v>
      </c>
      <c r="E748" s="56">
        <v>3.7281008313350723</v>
      </c>
      <c r="F748" s="56">
        <v>16411.851891147566</v>
      </c>
      <c r="G748" s="56">
        <v>17.905914636735268</v>
      </c>
      <c r="H748" s="56">
        <f t="shared" si="46"/>
        <v>-2412.6631185687966</v>
      </c>
      <c r="I748" s="56">
        <f t="shared" si="47"/>
        <v>-14.177813805400195</v>
      </c>
      <c r="J748" s="56">
        <f t="shared" si="48"/>
        <v>140433.66006464526</v>
      </c>
      <c r="K748" s="56">
        <f t="shared" si="49"/>
        <v>725322.75602097425</v>
      </c>
      <c r="T748" s="83"/>
    </row>
    <row r="749" spans="2:20" x14ac:dyDescent="0.2">
      <c r="B749" s="83"/>
      <c r="C749" s="56">
        <v>710</v>
      </c>
      <c r="D749" s="56">
        <v>10916.208722944708</v>
      </c>
      <c r="E749" s="56">
        <v>2.1336574010419755</v>
      </c>
      <c r="F749" s="56">
        <v>17062.742613170951</v>
      </c>
      <c r="G749" s="56">
        <v>19.247133711600188</v>
      </c>
      <c r="H749" s="56">
        <f t="shared" si="46"/>
        <v>-6146.5338902262429</v>
      </c>
      <c r="I749" s="56">
        <f t="shared" si="47"/>
        <v>-17.113476310558212</v>
      </c>
      <c r="J749" s="56">
        <f t="shared" si="48"/>
        <v>77468.41545781809</v>
      </c>
      <c r="K749" s="56">
        <f t="shared" si="49"/>
        <v>780230.52425615524</v>
      </c>
      <c r="T749" s="83"/>
    </row>
    <row r="750" spans="2:20" x14ac:dyDescent="0.2">
      <c r="B750" s="83"/>
      <c r="C750" s="56">
        <v>711</v>
      </c>
      <c r="D750" s="56">
        <v>6957.6910701669931</v>
      </c>
      <c r="E750" s="56">
        <v>1.5959220758915547</v>
      </c>
      <c r="F750" s="56">
        <v>11368.391042071549</v>
      </c>
      <c r="G750" s="56">
        <v>10.405166276002243</v>
      </c>
      <c r="H750" s="56">
        <f t="shared" si="46"/>
        <v>-4410.6999719045562</v>
      </c>
      <c r="I750" s="56">
        <f t="shared" si="47"/>
        <v>-8.8092442001106885</v>
      </c>
      <c r="J750" s="56">
        <f t="shared" si="48"/>
        <v>59151.785001564764</v>
      </c>
      <c r="K750" s="56">
        <f t="shared" si="49"/>
        <v>419655.21677504532</v>
      </c>
      <c r="T750" s="83"/>
    </row>
    <row r="751" spans="2:20" x14ac:dyDescent="0.2">
      <c r="B751" s="83"/>
      <c r="C751" s="56">
        <v>712</v>
      </c>
      <c r="D751" s="56">
        <v>21878.159753324595</v>
      </c>
      <c r="E751" s="56">
        <v>3.5862188063011096</v>
      </c>
      <c r="F751" s="56">
        <v>17807.597106606201</v>
      </c>
      <c r="G751" s="56">
        <v>13.919256921658768</v>
      </c>
      <c r="H751" s="56">
        <f t="shared" si="46"/>
        <v>4070.5626467183938</v>
      </c>
      <c r="I751" s="56">
        <f t="shared" si="47"/>
        <v>-10.333038115357658</v>
      </c>
      <c r="J751" s="56">
        <f t="shared" si="48"/>
        <v>126677.36807889257</v>
      </c>
      <c r="K751" s="56">
        <f t="shared" si="49"/>
        <v>558783.70161618653</v>
      </c>
      <c r="T751" s="83"/>
    </row>
    <row r="752" spans="2:20" x14ac:dyDescent="0.2">
      <c r="B752" s="83"/>
      <c r="C752" s="56">
        <v>713</v>
      </c>
      <c r="D752" s="56">
        <v>15061.274470661569</v>
      </c>
      <c r="E752" s="56">
        <v>3.7517625960742427</v>
      </c>
      <c r="F752" s="56">
        <v>18671.474445844859</v>
      </c>
      <c r="G752" s="56">
        <v>21.845298264861309</v>
      </c>
      <c r="H752" s="56">
        <f t="shared" si="46"/>
        <v>-3610.19997518329</v>
      </c>
      <c r="I752" s="56">
        <f t="shared" si="47"/>
        <v>-18.093535668787066</v>
      </c>
      <c r="J752" s="56">
        <f t="shared" si="48"/>
        <v>140351.73930911787</v>
      </c>
      <c r="K752" s="56">
        <f t="shared" si="49"/>
        <v>886248.16087777005</v>
      </c>
      <c r="T752" s="83"/>
    </row>
    <row r="753" spans="2:20" x14ac:dyDescent="0.2">
      <c r="B753" s="83"/>
      <c r="C753" s="56">
        <v>714</v>
      </c>
      <c r="D753" s="56">
        <v>13928.455156627069</v>
      </c>
      <c r="E753" s="56">
        <v>2.512906352737355</v>
      </c>
      <c r="F753" s="56">
        <v>16534.751456149235</v>
      </c>
      <c r="G753" s="56">
        <v>17.385309370258831</v>
      </c>
      <c r="H753" s="56">
        <f t="shared" si="46"/>
        <v>-2606.296299522166</v>
      </c>
      <c r="I753" s="56">
        <f t="shared" si="47"/>
        <v>-14.872403017521476</v>
      </c>
      <c r="J753" s="56">
        <f t="shared" si="48"/>
        <v>90166.177599165123</v>
      </c>
      <c r="K753" s="56">
        <f t="shared" si="49"/>
        <v>703634.30389745254</v>
      </c>
      <c r="T753" s="83"/>
    </row>
    <row r="754" spans="2:20" x14ac:dyDescent="0.2">
      <c r="B754" s="83"/>
      <c r="C754" s="56">
        <v>715</v>
      </c>
      <c r="D754" s="56">
        <v>19380.343640476218</v>
      </c>
      <c r="E754" s="56">
        <v>4.1994576809246462</v>
      </c>
      <c r="F754" s="56">
        <v>11029.222853076586</v>
      </c>
      <c r="G754" s="56">
        <v>11.727059821249949</v>
      </c>
      <c r="H754" s="56">
        <f t="shared" si="46"/>
        <v>8351.1207873996318</v>
      </c>
      <c r="I754" s="56">
        <f t="shared" si="47"/>
        <v>-7.5276021403253024</v>
      </c>
      <c r="J754" s="56">
        <f t="shared" si="48"/>
        <v>154577.99133414635</v>
      </c>
      <c r="K754" s="56">
        <f t="shared" si="49"/>
        <v>474752.50318238128</v>
      </c>
      <c r="T754" s="83"/>
    </row>
    <row r="755" spans="2:20" x14ac:dyDescent="0.2">
      <c r="B755" s="83"/>
      <c r="C755" s="56">
        <v>716</v>
      </c>
      <c r="D755" s="56">
        <v>16379.560188513366</v>
      </c>
      <c r="E755" s="56">
        <v>3.3917903506903917</v>
      </c>
      <c r="F755" s="56">
        <v>13831.349283892385</v>
      </c>
      <c r="G755" s="56">
        <v>15.989718770441794</v>
      </c>
      <c r="H755" s="56">
        <f t="shared" si="46"/>
        <v>2548.2109046209807</v>
      </c>
      <c r="I755" s="56">
        <f t="shared" si="47"/>
        <v>-12.597928419751401</v>
      </c>
      <c r="J755" s="56">
        <f t="shared" si="48"/>
        <v>124121.96329848541</v>
      </c>
      <c r="K755" s="56">
        <f t="shared" si="49"/>
        <v>648526.76106288843</v>
      </c>
      <c r="T755" s="83"/>
    </row>
    <row r="756" spans="2:20" x14ac:dyDescent="0.2">
      <c r="B756" s="83"/>
      <c r="C756" s="56">
        <v>717</v>
      </c>
      <c r="D756" s="56">
        <v>24706.556415345844</v>
      </c>
      <c r="E756" s="56">
        <v>4.7944141597879444</v>
      </c>
      <c r="F756" s="56">
        <v>18617.872348739562</v>
      </c>
      <c r="G756" s="56">
        <v>17.230181157038533</v>
      </c>
      <c r="H756" s="56">
        <f t="shared" si="46"/>
        <v>6088.6840666062817</v>
      </c>
      <c r="I756" s="56">
        <f t="shared" si="47"/>
        <v>-12.435766997250589</v>
      </c>
      <c r="J756" s="56">
        <f t="shared" si="48"/>
        <v>173897.25573970997</v>
      </c>
      <c r="K756" s="56">
        <f t="shared" si="49"/>
        <v>695125.15190042462</v>
      </c>
      <c r="T756" s="83"/>
    </row>
    <row r="757" spans="2:20" x14ac:dyDescent="0.2">
      <c r="B757" s="83"/>
      <c r="C757" s="56">
        <v>718</v>
      </c>
      <c r="D757" s="56">
        <v>10442.204461663865</v>
      </c>
      <c r="E757" s="56">
        <v>1.6151816877367002</v>
      </c>
      <c r="F757" s="56">
        <v>12452.493919117651</v>
      </c>
      <c r="G757" s="56">
        <v>10.96749419090407</v>
      </c>
      <c r="H757" s="56">
        <f t="shared" si="46"/>
        <v>-2010.2894574537859</v>
      </c>
      <c r="I757" s="56">
        <f t="shared" si="47"/>
        <v>-9.3523125031673686</v>
      </c>
      <c r="J757" s="56">
        <f t="shared" si="48"/>
        <v>56465.081771141202</v>
      </c>
      <c r="K757" s="56">
        <f t="shared" si="49"/>
        <v>441864.98544489249</v>
      </c>
      <c r="T757" s="83"/>
    </row>
    <row r="758" spans="2:20" x14ac:dyDescent="0.2">
      <c r="B758" s="83"/>
      <c r="C758" s="56">
        <v>719</v>
      </c>
      <c r="D758" s="56">
        <v>14605.490074694499</v>
      </c>
      <c r="E758" s="56">
        <v>3.1091289722223689</v>
      </c>
      <c r="F758" s="56">
        <v>9850.3112231672403</v>
      </c>
      <c r="G758" s="56">
        <v>9.2193242004278453</v>
      </c>
      <c r="H758" s="56">
        <f t="shared" si="46"/>
        <v>4755.1788515272583</v>
      </c>
      <c r="I758" s="56">
        <f t="shared" si="47"/>
        <v>-6.1101952282054768</v>
      </c>
      <c r="J758" s="56">
        <f t="shared" si="48"/>
        <v>114187.06847064491</v>
      </c>
      <c r="K758" s="56">
        <f t="shared" si="49"/>
        <v>372050.97445535584</v>
      </c>
      <c r="T758" s="83"/>
    </row>
    <row r="759" spans="2:20" x14ac:dyDescent="0.2">
      <c r="B759" s="83"/>
      <c r="C759" s="56">
        <v>720</v>
      </c>
      <c r="D759" s="56">
        <v>15923.7295356263</v>
      </c>
      <c r="E759" s="56">
        <v>3.3253891691287416</v>
      </c>
      <c r="F759" s="56">
        <v>17487.233435607544</v>
      </c>
      <c r="G759" s="56">
        <v>18.653524419375078</v>
      </c>
      <c r="H759" s="56">
        <f t="shared" si="46"/>
        <v>-1563.5038999812441</v>
      </c>
      <c r="I759" s="56">
        <f t="shared" si="47"/>
        <v>-15.328135250246337</v>
      </c>
      <c r="J759" s="56">
        <f t="shared" si="48"/>
        <v>121827.19140636269</v>
      </c>
      <c r="K759" s="56">
        <f t="shared" si="49"/>
        <v>755216.36211258569</v>
      </c>
      <c r="T759" s="83"/>
    </row>
    <row r="760" spans="2:20" x14ac:dyDescent="0.2">
      <c r="B760" s="83"/>
      <c r="C760" s="56">
        <v>721</v>
      </c>
      <c r="D760" s="56">
        <v>13683.447588772793</v>
      </c>
      <c r="E760" s="56">
        <v>3.1235266788904115</v>
      </c>
      <c r="F760" s="56">
        <v>17108.652521088861</v>
      </c>
      <c r="G760" s="56">
        <v>18.733658260632041</v>
      </c>
      <c r="H760" s="56">
        <f t="shared" si="46"/>
        <v>-3425.2049323160682</v>
      </c>
      <c r="I760" s="56">
        <f t="shared" si="47"/>
        <v>-15.61013158174163</v>
      </c>
      <c r="J760" s="56">
        <f t="shared" si="48"/>
        <v>115705.52155758362</v>
      </c>
      <c r="K760" s="56">
        <f t="shared" si="49"/>
        <v>758914.40726733278</v>
      </c>
      <c r="T760" s="83"/>
    </row>
    <row r="761" spans="2:20" x14ac:dyDescent="0.2">
      <c r="B761" s="83"/>
      <c r="C761" s="56">
        <v>722</v>
      </c>
      <c r="D761" s="56">
        <v>9205.393164305242</v>
      </c>
      <c r="E761" s="56">
        <v>2.1826489909973095</v>
      </c>
      <c r="F761" s="56">
        <v>15540.797016082295</v>
      </c>
      <c r="G761" s="56">
        <v>18.224169270431254</v>
      </c>
      <c r="H761" s="56">
        <f t="shared" si="46"/>
        <v>-6335.4038517770532</v>
      </c>
      <c r="I761" s="56">
        <f t="shared" si="47"/>
        <v>-16.041520279433946</v>
      </c>
      <c r="J761" s="56">
        <f t="shared" si="48"/>
        <v>81208.658638767316</v>
      </c>
      <c r="K761" s="56">
        <f t="shared" si="49"/>
        <v>739377.19084226189</v>
      </c>
      <c r="T761" s="83"/>
    </row>
    <row r="762" spans="2:20" x14ac:dyDescent="0.2">
      <c r="B762" s="83"/>
      <c r="C762" s="56">
        <v>723</v>
      </c>
      <c r="D762" s="56">
        <v>12941.450149183571</v>
      </c>
      <c r="E762" s="56">
        <v>2.0372640140169436</v>
      </c>
      <c r="F762" s="56">
        <v>17892.240783147328</v>
      </c>
      <c r="G762" s="56">
        <v>14.99117331301113</v>
      </c>
      <c r="H762" s="56">
        <f t="shared" si="46"/>
        <v>-4950.7906339637575</v>
      </c>
      <c r="I762" s="56">
        <f t="shared" si="47"/>
        <v>-12.953909298994187</v>
      </c>
      <c r="J762" s="56">
        <f t="shared" si="48"/>
        <v>71450.174367454296</v>
      </c>
      <c r="K762" s="56">
        <f t="shared" si="49"/>
        <v>603102.1225350257</v>
      </c>
      <c r="T762" s="83"/>
    </row>
    <row r="763" spans="2:20" x14ac:dyDescent="0.2">
      <c r="B763" s="83"/>
      <c r="C763" s="56">
        <v>724</v>
      </c>
      <c r="D763" s="56">
        <v>22216.331974653534</v>
      </c>
      <c r="E763" s="56">
        <v>4.9746583872425205</v>
      </c>
      <c r="F763" s="56">
        <v>17205.591658512447</v>
      </c>
      <c r="G763" s="56">
        <v>17.402747520398066</v>
      </c>
      <c r="H763" s="56">
        <f t="shared" si="46"/>
        <v>5010.7403161410875</v>
      </c>
      <c r="I763" s="56">
        <f t="shared" si="47"/>
        <v>-12.428089133155545</v>
      </c>
      <c r="J763" s="56">
        <f t="shared" si="48"/>
        <v>183853.91705848064</v>
      </c>
      <c r="K763" s="56">
        <f t="shared" si="49"/>
        <v>703685.82162645704</v>
      </c>
      <c r="T763" s="83"/>
    </row>
    <row r="764" spans="2:20" x14ac:dyDescent="0.2">
      <c r="B764" s="83"/>
      <c r="C764" s="56">
        <v>725</v>
      </c>
      <c r="D764" s="56">
        <v>15072.17731801176</v>
      </c>
      <c r="E764" s="56">
        <v>4.0450764945747419</v>
      </c>
      <c r="F764" s="56">
        <v>13590.163818697471</v>
      </c>
      <c r="G764" s="56">
        <v>14.845801196098426</v>
      </c>
      <c r="H764" s="56">
        <f t="shared" si="46"/>
        <v>1482.0134993142892</v>
      </c>
      <c r="I764" s="56">
        <f t="shared" si="47"/>
        <v>-10.800724701523684</v>
      </c>
      <c r="J764" s="56">
        <f t="shared" si="48"/>
        <v>152491.07139325235</v>
      </c>
      <c r="K764" s="56">
        <f t="shared" si="49"/>
        <v>601382.30492848379</v>
      </c>
      <c r="T764" s="83"/>
    </row>
    <row r="765" spans="2:20" x14ac:dyDescent="0.2">
      <c r="B765" s="83"/>
      <c r="C765" s="56">
        <v>726</v>
      </c>
      <c r="D765" s="56">
        <v>20047.960852258737</v>
      </c>
      <c r="E765" s="56">
        <v>4.400149720518634</v>
      </c>
      <c r="F765" s="56">
        <v>14577.822199782528</v>
      </c>
      <c r="G765" s="56">
        <v>12.820017808901268</v>
      </c>
      <c r="H765" s="56">
        <f t="shared" si="46"/>
        <v>5470.1386524762092</v>
      </c>
      <c r="I765" s="56">
        <f t="shared" si="47"/>
        <v>-8.4198680883826338</v>
      </c>
      <c r="J765" s="56">
        <f t="shared" si="48"/>
        <v>162223.84117050515</v>
      </c>
      <c r="K765" s="56">
        <f t="shared" si="49"/>
        <v>516478.59551614354</v>
      </c>
      <c r="T765" s="83"/>
    </row>
    <row r="766" spans="2:20" x14ac:dyDescent="0.2">
      <c r="B766" s="83"/>
      <c r="C766" s="56">
        <v>727</v>
      </c>
      <c r="D766" s="56">
        <v>13994.534663637745</v>
      </c>
      <c r="E766" s="56">
        <v>3.1450068284228436</v>
      </c>
      <c r="F766" s="56">
        <v>10453.470829240403</v>
      </c>
      <c r="G766" s="56">
        <v>9.3002205712636226</v>
      </c>
      <c r="H766" s="56">
        <f t="shared" si="46"/>
        <v>3541.0638343973424</v>
      </c>
      <c r="I766" s="56">
        <f t="shared" si="47"/>
        <v>-6.1552137428407789</v>
      </c>
      <c r="J766" s="56">
        <f t="shared" si="48"/>
        <v>116284.22819695012</v>
      </c>
      <c r="K766" s="56">
        <f t="shared" si="49"/>
        <v>374798.86611478392</v>
      </c>
      <c r="T766" s="83"/>
    </row>
    <row r="767" spans="2:20" x14ac:dyDescent="0.2">
      <c r="B767" s="83"/>
      <c r="C767" s="56">
        <v>728</v>
      </c>
      <c r="D767" s="56">
        <v>14680.660885374675</v>
      </c>
      <c r="E767" s="56">
        <v>3.1329871005880356</v>
      </c>
      <c r="F767" s="56">
        <v>13570.539984669895</v>
      </c>
      <c r="G767" s="56">
        <v>14.800163820798307</v>
      </c>
      <c r="H767" s="56">
        <f t="shared" si="46"/>
        <v>1110.1209007047801</v>
      </c>
      <c r="I767" s="56">
        <f t="shared" si="47"/>
        <v>-11.667176720210271</v>
      </c>
      <c r="J767" s="56">
        <f t="shared" si="48"/>
        <v>115100.19676938411</v>
      </c>
      <c r="K767" s="56">
        <f t="shared" si="49"/>
        <v>599511.4461280792</v>
      </c>
      <c r="T767" s="83"/>
    </row>
    <row r="768" spans="2:20" x14ac:dyDescent="0.2">
      <c r="B768" s="83"/>
      <c r="C768" s="56">
        <v>729</v>
      </c>
      <c r="D768" s="56">
        <v>17870.281063507966</v>
      </c>
      <c r="E768" s="56">
        <v>3.2379421469459437</v>
      </c>
      <c r="F768" s="56">
        <v>17068.203549200181</v>
      </c>
      <c r="G768" s="56">
        <v>14.983031912012789</v>
      </c>
      <c r="H768" s="56">
        <f t="shared" si="46"/>
        <v>802.07751430778444</v>
      </c>
      <c r="I768" s="56">
        <f t="shared" si="47"/>
        <v>-11.745089765066846</v>
      </c>
      <c r="J768" s="56">
        <f t="shared" si="48"/>
        <v>116258.2344315808</v>
      </c>
      <c r="K768" s="56">
        <f t="shared" si="49"/>
        <v>603588.91037401755</v>
      </c>
      <c r="T768" s="83"/>
    </row>
    <row r="769" spans="2:20" x14ac:dyDescent="0.2">
      <c r="B769" s="83"/>
      <c r="C769" s="56">
        <v>730</v>
      </c>
      <c r="D769" s="56">
        <v>11495.223391335505</v>
      </c>
      <c r="E769" s="56">
        <v>2.5582022005876031</v>
      </c>
      <c r="F769" s="56">
        <v>9457.9597120475719</v>
      </c>
      <c r="G769" s="56">
        <v>10.330203588573781</v>
      </c>
      <c r="H769" s="56">
        <f t="shared" si="46"/>
        <v>2037.263679287933</v>
      </c>
      <c r="I769" s="56">
        <f t="shared" si="47"/>
        <v>-7.7720013879861778</v>
      </c>
      <c r="J769" s="56">
        <f t="shared" si="48"/>
        <v>94475.744565805362</v>
      </c>
      <c r="K769" s="56">
        <f t="shared" si="49"/>
        <v>418460.39374103269</v>
      </c>
      <c r="T769" s="83"/>
    </row>
    <row r="770" spans="2:20" x14ac:dyDescent="0.2">
      <c r="B770" s="83"/>
      <c r="C770" s="56">
        <v>731</v>
      </c>
      <c r="D770" s="56">
        <v>17226.92472569217</v>
      </c>
      <c r="E770" s="56">
        <v>4.155911328540796</v>
      </c>
      <c r="F770" s="56">
        <v>12147.74044172235</v>
      </c>
      <c r="G770" s="56">
        <v>13.092086669201695</v>
      </c>
      <c r="H770" s="56">
        <f t="shared" si="46"/>
        <v>5079.1842839698202</v>
      </c>
      <c r="I770" s="56">
        <f t="shared" si="47"/>
        <v>-8.936175340660899</v>
      </c>
      <c r="J770" s="56">
        <f t="shared" si="48"/>
        <v>154927.54614778177</v>
      </c>
      <c r="K770" s="56">
        <f t="shared" si="49"/>
        <v>530178.85774328874</v>
      </c>
      <c r="T770" s="83"/>
    </row>
    <row r="771" spans="2:20" x14ac:dyDescent="0.2">
      <c r="B771" s="83"/>
      <c r="C771" s="56">
        <v>732</v>
      </c>
      <c r="D771" s="56">
        <v>12427.916601523397</v>
      </c>
      <c r="E771" s="56">
        <v>2.6334664949771356</v>
      </c>
      <c r="F771" s="56">
        <v>15430.683543381125</v>
      </c>
      <c r="G771" s="56">
        <v>14.250786991775446</v>
      </c>
      <c r="H771" s="56">
        <f t="shared" si="46"/>
        <v>-3002.7669418577279</v>
      </c>
      <c r="I771" s="56">
        <f t="shared" si="47"/>
        <v>-11.61732049679831</v>
      </c>
      <c r="J771" s="56">
        <f t="shared" si="48"/>
        <v>96660.799486409465</v>
      </c>
      <c r="K771" s="56">
        <f t="shared" si="49"/>
        <v>574893.91680392483</v>
      </c>
      <c r="T771" s="83"/>
    </row>
    <row r="772" spans="2:20" x14ac:dyDescent="0.2">
      <c r="B772" s="83"/>
      <c r="C772" s="56">
        <v>733</v>
      </c>
      <c r="D772" s="56">
        <v>15123.123979451102</v>
      </c>
      <c r="E772" s="56">
        <v>3.291263918574403</v>
      </c>
      <c r="F772" s="56">
        <v>18836.68376563854</v>
      </c>
      <c r="G772" s="56">
        <v>19.510328474808816</v>
      </c>
      <c r="H772" s="56">
        <f t="shared" si="46"/>
        <v>-3713.5597861874376</v>
      </c>
      <c r="I772" s="56">
        <f t="shared" si="47"/>
        <v>-16.219064556234414</v>
      </c>
      <c r="J772" s="56">
        <f t="shared" si="48"/>
        <v>121214.19258357497</v>
      </c>
      <c r="K772" s="56">
        <f t="shared" si="49"/>
        <v>789359.16297484189</v>
      </c>
      <c r="T772" s="83"/>
    </row>
    <row r="773" spans="2:20" x14ac:dyDescent="0.2">
      <c r="B773" s="83"/>
      <c r="C773" s="56">
        <v>734</v>
      </c>
      <c r="D773" s="56">
        <v>21258.218195739995</v>
      </c>
      <c r="E773" s="56">
        <v>3.8445497340024968</v>
      </c>
      <c r="F773" s="56">
        <v>19526.386197692809</v>
      </c>
      <c r="G773" s="56">
        <v>19.685658022583755</v>
      </c>
      <c r="H773" s="56">
        <f t="shared" si="46"/>
        <v>1731.8319980471861</v>
      </c>
      <c r="I773" s="56">
        <f t="shared" si="47"/>
        <v>-15.841108288581259</v>
      </c>
      <c r="J773" s="56">
        <f t="shared" si="48"/>
        <v>137998.40998557943</v>
      </c>
      <c r="K773" s="56">
        <f t="shared" si="49"/>
        <v>795932.3117298166</v>
      </c>
      <c r="T773" s="83"/>
    </row>
    <row r="774" spans="2:20" x14ac:dyDescent="0.2">
      <c r="B774" s="83"/>
      <c r="C774" s="56">
        <v>735</v>
      </c>
      <c r="D774" s="56">
        <v>19512.392659994821</v>
      </c>
      <c r="E774" s="56">
        <v>3.9186044418135149</v>
      </c>
      <c r="F774" s="56">
        <v>21327.891612099462</v>
      </c>
      <c r="G774" s="56">
        <v>20.198941988383844</v>
      </c>
      <c r="H774" s="56">
        <f t="shared" si="46"/>
        <v>-1815.4989521046409</v>
      </c>
      <c r="I774" s="56">
        <f t="shared" si="47"/>
        <v>-16.28033754657033</v>
      </c>
      <c r="J774" s="56">
        <f t="shared" si="48"/>
        <v>142811.87773768822</v>
      </c>
      <c r="K774" s="56">
        <f t="shared" si="49"/>
        <v>815393.08131471288</v>
      </c>
      <c r="T774" s="83"/>
    </row>
    <row r="775" spans="2:20" x14ac:dyDescent="0.2">
      <c r="B775" s="83"/>
      <c r="C775" s="56">
        <v>736</v>
      </c>
      <c r="D775" s="56">
        <v>20057.043699506834</v>
      </c>
      <c r="E775" s="56">
        <v>4.0807616899893278</v>
      </c>
      <c r="F775" s="56">
        <v>20781.463582630451</v>
      </c>
      <c r="G775" s="56">
        <v>15.044548956312438</v>
      </c>
      <c r="H775" s="56">
        <f t="shared" si="46"/>
        <v>-724.41988312361718</v>
      </c>
      <c r="I775" s="56">
        <f t="shared" si="47"/>
        <v>-10.963787266323109</v>
      </c>
      <c r="J775" s="56">
        <f t="shared" si="48"/>
        <v>148984.42854661107</v>
      </c>
      <c r="K775" s="56">
        <f t="shared" si="49"/>
        <v>602423.93238365592</v>
      </c>
      <c r="T775" s="83"/>
    </row>
    <row r="776" spans="2:20" x14ac:dyDescent="0.2">
      <c r="B776" s="83"/>
      <c r="C776" s="56">
        <v>737</v>
      </c>
      <c r="D776" s="56">
        <v>13452.839665536239</v>
      </c>
      <c r="E776" s="56">
        <v>3.0896559034437696</v>
      </c>
      <c r="F776" s="56">
        <v>12943.41900375964</v>
      </c>
      <c r="G776" s="56">
        <v>15.021263243125338</v>
      </c>
      <c r="H776" s="56">
        <f t="shared" si="46"/>
        <v>509.42066177659945</v>
      </c>
      <c r="I776" s="56">
        <f t="shared" si="47"/>
        <v>-11.931607339681568</v>
      </c>
      <c r="J776" s="56">
        <f t="shared" si="48"/>
        <v>114533.06647871847</v>
      </c>
      <c r="K776" s="56">
        <f t="shared" si="49"/>
        <v>609297.38957946433</v>
      </c>
      <c r="T776" s="83"/>
    </row>
    <row r="777" spans="2:20" x14ac:dyDescent="0.2">
      <c r="B777" s="83"/>
      <c r="C777" s="56">
        <v>738</v>
      </c>
      <c r="D777" s="56">
        <v>13894.694735512025</v>
      </c>
      <c r="E777" s="56">
        <v>2.9320608190654398</v>
      </c>
      <c r="F777" s="56">
        <v>13487.38382047439</v>
      </c>
      <c r="G777" s="56">
        <v>16.387302967024166</v>
      </c>
      <c r="H777" s="56">
        <f t="shared" si="46"/>
        <v>407.31091503763491</v>
      </c>
      <c r="I777" s="56">
        <f t="shared" si="47"/>
        <v>-13.455242147958726</v>
      </c>
      <c r="J777" s="56">
        <f t="shared" si="48"/>
        <v>107562.99263345476</v>
      </c>
      <c r="K777" s="56">
        <f t="shared" si="49"/>
        <v>665340.25428553461</v>
      </c>
      <c r="T777" s="83"/>
    </row>
    <row r="778" spans="2:20" x14ac:dyDescent="0.2">
      <c r="B778" s="83"/>
      <c r="C778" s="56">
        <v>739</v>
      </c>
      <c r="D778" s="56">
        <v>14620.015269743246</v>
      </c>
      <c r="E778" s="56">
        <v>2.9952112511148159</v>
      </c>
      <c r="F778" s="56">
        <v>17013.347443615774</v>
      </c>
      <c r="G778" s="56">
        <v>17.553530414770769</v>
      </c>
      <c r="H778" s="56">
        <f t="shared" si="46"/>
        <v>-2393.3321738725281</v>
      </c>
      <c r="I778" s="56">
        <f t="shared" si="47"/>
        <v>-14.558319163655954</v>
      </c>
      <c r="J778" s="56">
        <f t="shared" si="48"/>
        <v>109453.61559643688</v>
      </c>
      <c r="K778" s="56">
        <f t="shared" si="49"/>
        <v>710124.09645784856</v>
      </c>
      <c r="T778" s="83"/>
    </row>
    <row r="779" spans="2:20" x14ac:dyDescent="0.2">
      <c r="B779" s="83"/>
      <c r="C779" s="56">
        <v>740</v>
      </c>
      <c r="D779" s="56">
        <v>22316.04774465946</v>
      </c>
      <c r="E779" s="56">
        <v>4.3436506180647543</v>
      </c>
      <c r="F779" s="56">
        <v>16492.264295546094</v>
      </c>
      <c r="G779" s="56">
        <v>15.777907590763943</v>
      </c>
      <c r="H779" s="56">
        <f t="shared" si="46"/>
        <v>5823.7834491133654</v>
      </c>
      <c r="I779" s="56">
        <f t="shared" si="47"/>
        <v>-11.434256972699188</v>
      </c>
      <c r="J779" s="56">
        <f t="shared" si="48"/>
        <v>157615.33545805491</v>
      </c>
      <c r="K779" s="56">
        <f t="shared" si="49"/>
        <v>637091.77974425943</v>
      </c>
      <c r="T779" s="83"/>
    </row>
    <row r="780" spans="2:20" x14ac:dyDescent="0.2">
      <c r="B780" s="83"/>
      <c r="C780" s="56">
        <v>741</v>
      </c>
      <c r="D780" s="56">
        <v>11718.976522865823</v>
      </c>
      <c r="E780" s="56">
        <v>1.842015808362516</v>
      </c>
      <c r="F780" s="56">
        <v>12796.033042424597</v>
      </c>
      <c r="G780" s="56">
        <v>10.30087649904274</v>
      </c>
      <c r="H780" s="56">
        <f t="shared" si="46"/>
        <v>-1077.0565195587733</v>
      </c>
      <c r="I780" s="56">
        <f t="shared" si="47"/>
        <v>-8.4588606906802237</v>
      </c>
      <c r="J780" s="56">
        <f t="shared" si="48"/>
        <v>64584.686322743044</v>
      </c>
      <c r="K780" s="56">
        <f t="shared" si="49"/>
        <v>413907.47505392187</v>
      </c>
      <c r="T780" s="83"/>
    </row>
    <row r="781" spans="2:20" x14ac:dyDescent="0.2">
      <c r="B781" s="83"/>
      <c r="C781" s="56">
        <v>742</v>
      </c>
      <c r="D781" s="56">
        <v>17689.513592914449</v>
      </c>
      <c r="E781" s="56">
        <v>3.9316259255114363</v>
      </c>
      <c r="F781" s="56">
        <v>12389.608715879416</v>
      </c>
      <c r="G781" s="56">
        <v>12.01450466517162</v>
      </c>
      <c r="H781" s="56">
        <f t="shared" si="46"/>
        <v>5299.9048770350328</v>
      </c>
      <c r="I781" s="56">
        <f t="shared" si="47"/>
        <v>-8.0828787396601829</v>
      </c>
      <c r="J781" s="56">
        <f t="shared" si="48"/>
        <v>145174.1587454713</v>
      </c>
      <c r="K781" s="56">
        <f t="shared" si="49"/>
        <v>485299.23253418971</v>
      </c>
      <c r="T781" s="83"/>
    </row>
    <row r="782" spans="2:20" x14ac:dyDescent="0.2">
      <c r="B782" s="83"/>
      <c r="C782" s="56">
        <v>743</v>
      </c>
      <c r="D782" s="56">
        <v>15911.595316697618</v>
      </c>
      <c r="E782" s="56">
        <v>3.7104759563857379</v>
      </c>
      <c r="F782" s="56">
        <v>15647.938933291005</v>
      </c>
      <c r="G782" s="56">
        <v>16.346244105557403</v>
      </c>
      <c r="H782" s="56">
        <f t="shared" si="46"/>
        <v>263.6563834066128</v>
      </c>
      <c r="I782" s="56">
        <f t="shared" si="47"/>
        <v>-12.635768149171666</v>
      </c>
      <c r="J782" s="56">
        <f t="shared" si="48"/>
        <v>137791.16070062519</v>
      </c>
      <c r="K782" s="56">
        <f t="shared" si="49"/>
        <v>661478.87689531886</v>
      </c>
      <c r="T782" s="83"/>
    </row>
    <row r="783" spans="2:20" x14ac:dyDescent="0.2">
      <c r="B783" s="83"/>
      <c r="C783" s="56">
        <v>744</v>
      </c>
      <c r="D783" s="56">
        <v>20183.045933989015</v>
      </c>
      <c r="E783" s="56">
        <v>4.3369807451757971</v>
      </c>
      <c r="F783" s="56">
        <v>15325.874824937904</v>
      </c>
      <c r="G783" s="56">
        <v>16.287113299584096</v>
      </c>
      <c r="H783" s="56">
        <f t="shared" si="46"/>
        <v>4857.1711090511108</v>
      </c>
      <c r="I783" s="56">
        <f t="shared" si="47"/>
        <v>-11.950132554408299</v>
      </c>
      <c r="J783" s="56">
        <f t="shared" si="48"/>
        <v>159472.04445417318</v>
      </c>
      <c r="K783" s="56">
        <f t="shared" si="49"/>
        <v>659351.50649703364</v>
      </c>
      <c r="T783" s="83"/>
    </row>
    <row r="784" spans="2:20" x14ac:dyDescent="0.2">
      <c r="B784" s="83"/>
      <c r="C784" s="56">
        <v>745</v>
      </c>
      <c r="D784" s="56">
        <v>14622.60295909657</v>
      </c>
      <c r="E784" s="56">
        <v>3.1366162632179062</v>
      </c>
      <c r="F784" s="56">
        <v>16760.82491235515</v>
      </c>
      <c r="G784" s="56">
        <v>18.928408906225659</v>
      </c>
      <c r="H784" s="56">
        <f t="shared" si="46"/>
        <v>-2138.2219532585805</v>
      </c>
      <c r="I784" s="56">
        <f t="shared" si="47"/>
        <v>-15.791792643007753</v>
      </c>
      <c r="J784" s="56">
        <f t="shared" si="48"/>
        <v>115308.58912844196</v>
      </c>
      <c r="K784" s="56">
        <f t="shared" si="49"/>
        <v>767329.58561913657</v>
      </c>
      <c r="T784" s="83"/>
    </row>
    <row r="785" spans="2:20" x14ac:dyDescent="0.2">
      <c r="B785" s="83"/>
      <c r="C785" s="56">
        <v>746</v>
      </c>
      <c r="D785" s="56">
        <v>17503.047378974694</v>
      </c>
      <c r="E785" s="56">
        <v>3.303598910977708</v>
      </c>
      <c r="F785" s="56">
        <v>20264.951172108376</v>
      </c>
      <c r="G785" s="56">
        <v>18.771721758396836</v>
      </c>
      <c r="H785" s="56">
        <f t="shared" si="46"/>
        <v>-2761.9037931336825</v>
      </c>
      <c r="I785" s="56">
        <f t="shared" si="47"/>
        <v>-15.468122847419128</v>
      </c>
      <c r="J785" s="56">
        <f t="shared" si="48"/>
        <v>119345.23390936588</v>
      </c>
      <c r="K785" s="56">
        <f t="shared" si="49"/>
        <v>757334.85094772209</v>
      </c>
      <c r="T785" s="83"/>
    </row>
    <row r="786" spans="2:20" x14ac:dyDescent="0.2">
      <c r="B786" s="83"/>
      <c r="C786" s="56">
        <v>747</v>
      </c>
      <c r="D786" s="56">
        <v>14552.906998792207</v>
      </c>
      <c r="E786" s="56">
        <v>3.2807063462837949</v>
      </c>
      <c r="F786" s="56">
        <v>20930.502965417323</v>
      </c>
      <c r="G786" s="56">
        <v>20.852773487747967</v>
      </c>
      <c r="H786" s="56">
        <f t="shared" si="46"/>
        <v>-6377.5959666251165</v>
      </c>
      <c r="I786" s="56">
        <f t="shared" si="47"/>
        <v>-17.572067141464174</v>
      </c>
      <c r="J786" s="56">
        <f t="shared" si="48"/>
        <v>121347.07268966771</v>
      </c>
      <c r="K786" s="56">
        <f t="shared" si="49"/>
        <v>842874.78599105449</v>
      </c>
      <c r="T786" s="83"/>
    </row>
    <row r="787" spans="2:20" x14ac:dyDescent="0.2">
      <c r="B787" s="83"/>
      <c r="C787" s="56">
        <v>748</v>
      </c>
      <c r="D787" s="56">
        <v>11112.208496631274</v>
      </c>
      <c r="E787" s="56">
        <v>2.778799244798269</v>
      </c>
      <c r="F787" s="56">
        <v>13361.358225838356</v>
      </c>
      <c r="G787" s="56">
        <v>12.853567987671717</v>
      </c>
      <c r="H787" s="56">
        <f t="shared" si="46"/>
        <v>-2249.1497292070817</v>
      </c>
      <c r="I787" s="56">
        <f t="shared" si="47"/>
        <v>-10.074768742873449</v>
      </c>
      <c r="J787" s="56">
        <f t="shared" si="48"/>
        <v>103996.77141989223</v>
      </c>
      <c r="K787" s="56">
        <f t="shared" si="49"/>
        <v>519084.84209547489</v>
      </c>
      <c r="T787" s="83"/>
    </row>
    <row r="788" spans="2:20" x14ac:dyDescent="0.2">
      <c r="B788" s="83"/>
      <c r="C788" s="56">
        <v>749</v>
      </c>
      <c r="D788" s="56">
        <v>14635.967100822225</v>
      </c>
      <c r="E788" s="56">
        <v>3.4201989348332908</v>
      </c>
      <c r="F788" s="56">
        <v>12887.712037415737</v>
      </c>
      <c r="G788" s="56">
        <v>14.665190252733796</v>
      </c>
      <c r="H788" s="56">
        <f t="shared" si="46"/>
        <v>1748.2550634064883</v>
      </c>
      <c r="I788" s="56">
        <f t="shared" si="47"/>
        <v>-11.244991317900505</v>
      </c>
      <c r="J788" s="56">
        <f t="shared" si="48"/>
        <v>127042.35357571201</v>
      </c>
      <c r="K788" s="56">
        <f t="shared" si="49"/>
        <v>594603.128991829</v>
      </c>
      <c r="T788" s="83"/>
    </row>
    <row r="789" spans="2:20" x14ac:dyDescent="0.2">
      <c r="B789" s="83"/>
      <c r="C789" s="56">
        <v>750</v>
      </c>
      <c r="D789" s="56">
        <v>12509.166974598731</v>
      </c>
      <c r="E789" s="56">
        <v>2.5933529089771783</v>
      </c>
      <c r="F789" s="56">
        <v>17104.810218961629</v>
      </c>
      <c r="G789" s="56">
        <v>19.421044340542</v>
      </c>
      <c r="H789" s="56">
        <f t="shared" si="46"/>
        <v>-4595.6432443628983</v>
      </c>
      <c r="I789" s="56">
        <f t="shared" si="47"/>
        <v>-16.827691431564823</v>
      </c>
      <c r="J789" s="56">
        <f t="shared" si="48"/>
        <v>94917.883926871902</v>
      </c>
      <c r="K789" s="56">
        <f t="shared" si="49"/>
        <v>787392.53054365015</v>
      </c>
      <c r="T789" s="83"/>
    </row>
    <row r="790" spans="2:20" x14ac:dyDescent="0.2">
      <c r="B790" s="83"/>
      <c r="C790" s="56">
        <v>751</v>
      </c>
      <c r="D790" s="56">
        <v>16152.192410649523</v>
      </c>
      <c r="E790" s="56">
        <v>3.2840264987074805</v>
      </c>
      <c r="F790" s="56">
        <v>21558.91970674917</v>
      </c>
      <c r="G790" s="56">
        <v>21.298437440532783</v>
      </c>
      <c r="H790" s="56">
        <f t="shared" si="46"/>
        <v>-5406.727296099647</v>
      </c>
      <c r="I790" s="56">
        <f t="shared" si="47"/>
        <v>-18.014410941825304</v>
      </c>
      <c r="J790" s="56">
        <f t="shared" si="48"/>
        <v>119885.32127180914</v>
      </c>
      <c r="K790" s="56">
        <f t="shared" si="49"/>
        <v>860707.55282988085</v>
      </c>
      <c r="T790" s="83"/>
    </row>
    <row r="791" spans="2:20" x14ac:dyDescent="0.2">
      <c r="B791" s="83"/>
      <c r="C791" s="56">
        <v>752</v>
      </c>
      <c r="D791" s="56">
        <v>11043.530009575792</v>
      </c>
      <c r="E791" s="56">
        <v>2.2890879181394546</v>
      </c>
      <c r="F791" s="56">
        <v>17679.001298765084</v>
      </c>
      <c r="G791" s="56">
        <v>17.993345247833133</v>
      </c>
      <c r="H791" s="56">
        <f t="shared" si="46"/>
        <v>-6635.4712891892923</v>
      </c>
      <c r="I791" s="56">
        <f t="shared" si="47"/>
        <v>-15.704257329693679</v>
      </c>
      <c r="J791" s="56">
        <f t="shared" si="48"/>
        <v>83779.647911432985</v>
      </c>
      <c r="K791" s="56">
        <f t="shared" si="49"/>
        <v>727677.3322474747</v>
      </c>
      <c r="T791" s="83"/>
    </row>
    <row r="792" spans="2:20" x14ac:dyDescent="0.2">
      <c r="B792" s="83"/>
      <c r="C792" s="56">
        <v>753</v>
      </c>
      <c r="D792" s="56">
        <v>11626.091640812372</v>
      </c>
      <c r="E792" s="56">
        <v>2.0462960196690605</v>
      </c>
      <c r="F792" s="56">
        <v>14984.152584437721</v>
      </c>
      <c r="G792" s="56">
        <v>14.9689592892541</v>
      </c>
      <c r="H792" s="56">
        <f t="shared" si="46"/>
        <v>-3358.060943625349</v>
      </c>
      <c r="I792" s="56">
        <f t="shared" si="47"/>
        <v>-12.922663269585039</v>
      </c>
      <c r="J792" s="56">
        <f t="shared" si="48"/>
        <v>73139.674677958785</v>
      </c>
      <c r="K792" s="56">
        <f t="shared" si="49"/>
        <v>605090.01701362408</v>
      </c>
      <c r="T792" s="83"/>
    </row>
    <row r="793" spans="2:20" x14ac:dyDescent="0.2">
      <c r="B793" s="83"/>
      <c r="C793" s="56">
        <v>754</v>
      </c>
      <c r="D793" s="56">
        <v>11055.170421149243</v>
      </c>
      <c r="E793" s="56">
        <v>2.8266671567100188</v>
      </c>
      <c r="F793" s="56">
        <v>11442.826435404271</v>
      </c>
      <c r="G793" s="56">
        <v>15.07719081870345</v>
      </c>
      <c r="H793" s="56">
        <f t="shared" si="46"/>
        <v>-387.65601425502791</v>
      </c>
      <c r="I793" s="56">
        <f t="shared" si="47"/>
        <v>-12.25052366199343</v>
      </c>
      <c r="J793" s="56">
        <f t="shared" si="48"/>
        <v>106036.68987840657</v>
      </c>
      <c r="K793" s="56">
        <f t="shared" si="49"/>
        <v>613114.72603856749</v>
      </c>
      <c r="T793" s="83"/>
    </row>
    <row r="794" spans="2:20" x14ac:dyDescent="0.2">
      <c r="B794" s="83"/>
      <c r="C794" s="56">
        <v>755</v>
      </c>
      <c r="D794" s="56">
        <v>23381.401697422789</v>
      </c>
      <c r="E794" s="56">
        <v>3.9936755176692871</v>
      </c>
      <c r="F794" s="56">
        <v>15355.92212154681</v>
      </c>
      <c r="G794" s="56">
        <v>12.667446422014017</v>
      </c>
      <c r="H794" s="56">
        <f t="shared" si="46"/>
        <v>8025.4795758759792</v>
      </c>
      <c r="I794" s="56">
        <f t="shared" si="47"/>
        <v>-8.67377090434473</v>
      </c>
      <c r="J794" s="56">
        <f t="shared" si="48"/>
        <v>142052.61294650976</v>
      </c>
      <c r="K794" s="56">
        <f t="shared" si="49"/>
        <v>509380.37846396177</v>
      </c>
      <c r="T794" s="83"/>
    </row>
    <row r="795" spans="2:20" x14ac:dyDescent="0.2">
      <c r="B795" s="83"/>
      <c r="C795" s="56">
        <v>756</v>
      </c>
      <c r="D795" s="56">
        <v>15760.389631418851</v>
      </c>
      <c r="E795" s="56">
        <v>2.8592414820956171</v>
      </c>
      <c r="F795" s="56">
        <v>13090.391049883383</v>
      </c>
      <c r="G795" s="56">
        <v>10.869389139097732</v>
      </c>
      <c r="H795" s="56">
        <f t="shared" si="46"/>
        <v>2669.9985815354685</v>
      </c>
      <c r="I795" s="56">
        <f t="shared" si="47"/>
        <v>-8.0101476570021148</v>
      </c>
      <c r="J795" s="56">
        <f t="shared" si="48"/>
        <v>102680.82952291</v>
      </c>
      <c r="K795" s="56">
        <f t="shared" si="49"/>
        <v>437163.1846481011</v>
      </c>
      <c r="T795" s="83"/>
    </row>
    <row r="796" spans="2:20" x14ac:dyDescent="0.2">
      <c r="B796" s="83"/>
      <c r="C796" s="56">
        <v>757</v>
      </c>
      <c r="D796" s="56">
        <v>12077.725230016442</v>
      </c>
      <c r="E796" s="56">
        <v>2.7046058178007764</v>
      </c>
      <c r="F796" s="56">
        <v>13378.545414472517</v>
      </c>
      <c r="G796" s="56">
        <v>14.347551302731841</v>
      </c>
      <c r="H796" s="56">
        <f t="shared" si="46"/>
        <v>-1300.8201844560754</v>
      </c>
      <c r="I796" s="56">
        <f t="shared" si="47"/>
        <v>-11.642945484931065</v>
      </c>
      <c r="J796" s="56">
        <f t="shared" si="48"/>
        <v>99957.866166562919</v>
      </c>
      <c r="K796" s="56">
        <f t="shared" si="49"/>
        <v>580954.41974989127</v>
      </c>
      <c r="T796" s="83"/>
    </row>
    <row r="797" spans="2:20" x14ac:dyDescent="0.2">
      <c r="B797" s="83"/>
      <c r="C797" s="56">
        <v>758</v>
      </c>
      <c r="D797" s="56">
        <v>12568.780026440958</v>
      </c>
      <c r="E797" s="56">
        <v>3.4973391970198571</v>
      </c>
      <c r="F797" s="56">
        <v>9641.3073912407799</v>
      </c>
      <c r="G797" s="56">
        <v>11.636449280362765</v>
      </c>
      <c r="H797" s="56">
        <f t="shared" si="46"/>
        <v>2927.472635200178</v>
      </c>
      <c r="I797" s="56">
        <f t="shared" si="47"/>
        <v>-8.1391100833429082</v>
      </c>
      <c r="J797" s="56">
        <f t="shared" si="48"/>
        <v>132304.99887090962</v>
      </c>
      <c r="K797" s="56">
        <f t="shared" si="49"/>
        <v>472386.96759850637</v>
      </c>
      <c r="T797" s="83"/>
    </row>
    <row r="798" spans="2:20" x14ac:dyDescent="0.2">
      <c r="B798" s="83"/>
      <c r="C798" s="56">
        <v>759</v>
      </c>
      <c r="D798" s="56">
        <v>19391.654165177581</v>
      </c>
      <c r="E798" s="56">
        <v>4.2936249917030622</v>
      </c>
      <c r="F798" s="56">
        <v>17385.727056161199</v>
      </c>
      <c r="G798" s="56">
        <v>16.718340077529753</v>
      </c>
      <c r="H798" s="56">
        <f t="shared" si="46"/>
        <v>2005.927109016382</v>
      </c>
      <c r="I798" s="56">
        <f t="shared" si="47"/>
        <v>-12.424715085826691</v>
      </c>
      <c r="J798" s="56">
        <f t="shared" si="48"/>
        <v>158467.46749113008</v>
      </c>
      <c r="K798" s="56">
        <f t="shared" si="49"/>
        <v>675154.79231543129</v>
      </c>
      <c r="T798" s="83"/>
    </row>
    <row r="799" spans="2:20" x14ac:dyDescent="0.2">
      <c r="B799" s="83"/>
      <c r="C799" s="56">
        <v>760</v>
      </c>
      <c r="D799" s="56">
        <v>12586.886532262648</v>
      </c>
      <c r="E799" s="56">
        <v>3.3194469853810449</v>
      </c>
      <c r="F799" s="56">
        <v>7807.8954447458937</v>
      </c>
      <c r="G799" s="56">
        <v>5.6936403693456494</v>
      </c>
      <c r="H799" s="56">
        <f t="shared" si="46"/>
        <v>4778.9910875167543</v>
      </c>
      <c r="I799" s="56">
        <f t="shared" si="47"/>
        <v>-2.3741933839646046</v>
      </c>
      <c r="J799" s="56">
        <f t="shared" si="48"/>
        <v>124917.88539016175</v>
      </c>
      <c r="K799" s="56">
        <f t="shared" si="49"/>
        <v>228045.46321502829</v>
      </c>
      <c r="T799" s="83"/>
    </row>
    <row r="800" spans="2:20" x14ac:dyDescent="0.2">
      <c r="B800" s="83"/>
      <c r="C800" s="56">
        <v>761</v>
      </c>
      <c r="D800" s="56">
        <v>18420.233401661902</v>
      </c>
      <c r="E800" s="56">
        <v>4.7503944748326887</v>
      </c>
      <c r="F800" s="56">
        <v>10554.852799951186</v>
      </c>
      <c r="G800" s="56">
        <v>11.396672582519228</v>
      </c>
      <c r="H800" s="56">
        <f t="shared" si="46"/>
        <v>7865.3806017107163</v>
      </c>
      <c r="I800" s="56">
        <f t="shared" si="47"/>
        <v>-6.6462781076865394</v>
      </c>
      <c r="J800" s="56">
        <f t="shared" si="48"/>
        <v>178360.10732380737</v>
      </c>
      <c r="K800" s="56">
        <f t="shared" si="49"/>
        <v>461540.91225832526</v>
      </c>
      <c r="T800" s="83"/>
    </row>
    <row r="801" spans="2:20" x14ac:dyDescent="0.2">
      <c r="B801" s="83"/>
      <c r="C801" s="56">
        <v>762</v>
      </c>
      <c r="D801" s="56">
        <v>13135.916978512845</v>
      </c>
      <c r="E801" s="56">
        <v>3.1471167942209659</v>
      </c>
      <c r="F801" s="56">
        <v>11018.851162425224</v>
      </c>
      <c r="G801" s="56">
        <v>10.689048151903584</v>
      </c>
      <c r="H801" s="56">
        <f t="shared" si="46"/>
        <v>2117.065816087621</v>
      </c>
      <c r="I801" s="56">
        <f t="shared" si="47"/>
        <v>-7.5419313576826186</v>
      </c>
      <c r="J801" s="56">
        <f t="shared" si="48"/>
        <v>117230.24910529645</v>
      </c>
      <c r="K801" s="56">
        <f t="shared" si="49"/>
        <v>431764.27948202885</v>
      </c>
      <c r="T801" s="83"/>
    </row>
    <row r="802" spans="2:20" x14ac:dyDescent="0.2">
      <c r="B802" s="83"/>
      <c r="C802" s="56">
        <v>763</v>
      </c>
      <c r="D802" s="56">
        <v>14672.871441444819</v>
      </c>
      <c r="E802" s="56">
        <v>2.698746740884955</v>
      </c>
      <c r="F802" s="56">
        <v>16610.51722938797</v>
      </c>
      <c r="G802" s="56">
        <v>13.655567529251652</v>
      </c>
      <c r="H802" s="56">
        <f t="shared" si="46"/>
        <v>-1937.6457879431509</v>
      </c>
      <c r="I802" s="56">
        <f t="shared" si="47"/>
        <v>-10.956820788366697</v>
      </c>
      <c r="J802" s="56">
        <f t="shared" si="48"/>
        <v>97120.013552973556</v>
      </c>
      <c r="K802" s="56">
        <f t="shared" si="49"/>
        <v>549057.71210233239</v>
      </c>
      <c r="T802" s="83"/>
    </row>
    <row r="803" spans="2:20" x14ac:dyDescent="0.2">
      <c r="B803" s="83"/>
      <c r="C803" s="56">
        <v>764</v>
      </c>
      <c r="D803" s="56">
        <v>12099.420759218492</v>
      </c>
      <c r="E803" s="56">
        <v>3.1808933254958918</v>
      </c>
      <c r="F803" s="56">
        <v>19237.489315423853</v>
      </c>
      <c r="G803" s="56">
        <v>22.232760811655474</v>
      </c>
      <c r="H803" s="56">
        <f t="shared" si="46"/>
        <v>-7138.0685562053604</v>
      </c>
      <c r="I803" s="56">
        <f t="shared" si="47"/>
        <v>-19.051867486159583</v>
      </c>
      <c r="J803" s="56">
        <f t="shared" si="48"/>
        <v>119665.90435612331</v>
      </c>
      <c r="K803" s="56">
        <f t="shared" si="49"/>
        <v>901732.39454659249</v>
      </c>
      <c r="T803" s="83"/>
    </row>
    <row r="804" spans="2:20" x14ac:dyDescent="0.2">
      <c r="B804" s="83"/>
      <c r="C804" s="56">
        <v>765</v>
      </c>
      <c r="D804" s="56">
        <v>15797.752508205851</v>
      </c>
      <c r="E804" s="56">
        <v>3.4736833286852646</v>
      </c>
      <c r="F804" s="56">
        <v>15012.979615773211</v>
      </c>
      <c r="G804" s="56">
        <v>15.97976205345002</v>
      </c>
      <c r="H804" s="56">
        <f t="shared" si="46"/>
        <v>784.77289243264022</v>
      </c>
      <c r="I804" s="56">
        <f t="shared" si="47"/>
        <v>-12.506078724764755</v>
      </c>
      <c r="J804" s="56">
        <f t="shared" si="48"/>
        <v>128096.10569925254</v>
      </c>
      <c r="K804" s="56">
        <f t="shared" si="49"/>
        <v>646932.68368634046</v>
      </c>
      <c r="T804" s="83"/>
    </row>
    <row r="805" spans="2:20" x14ac:dyDescent="0.2">
      <c r="B805" s="83"/>
      <c r="C805" s="56">
        <v>766</v>
      </c>
      <c r="D805" s="56">
        <v>16903.951756586124</v>
      </c>
      <c r="E805" s="56">
        <v>3.8660991908252109</v>
      </c>
      <c r="F805" s="56">
        <v>16838.364611318895</v>
      </c>
      <c r="G805" s="56">
        <v>19.06646681450238</v>
      </c>
      <c r="H805" s="56">
        <f t="shared" si="46"/>
        <v>65.587145267229062</v>
      </c>
      <c r="I805" s="56">
        <f t="shared" si="47"/>
        <v>-15.20036762367717</v>
      </c>
      <c r="J805" s="56">
        <f t="shared" si="48"/>
        <v>143245.34112415742</v>
      </c>
      <c r="K805" s="56">
        <f t="shared" si="49"/>
        <v>772970.95671262767</v>
      </c>
      <c r="T805" s="83"/>
    </row>
    <row r="806" spans="2:20" x14ac:dyDescent="0.2">
      <c r="B806" s="83"/>
      <c r="C806" s="56">
        <v>767</v>
      </c>
      <c r="D806" s="56">
        <v>9783.7081224435988</v>
      </c>
      <c r="E806" s="56">
        <v>1.7959167654139008</v>
      </c>
      <c r="F806" s="56">
        <v>14652.435601514742</v>
      </c>
      <c r="G806" s="56">
        <v>14.698041919440579</v>
      </c>
      <c r="H806" s="56">
        <f t="shared" si="46"/>
        <v>-4868.7274790711435</v>
      </c>
      <c r="I806" s="56">
        <f t="shared" si="47"/>
        <v>-12.902125154026677</v>
      </c>
      <c r="J806" s="56">
        <f t="shared" si="48"/>
        <v>64610.347968061833</v>
      </c>
      <c r="K806" s="56">
        <f t="shared" si="49"/>
        <v>594199.25286939181</v>
      </c>
      <c r="T806" s="83"/>
    </row>
    <row r="807" spans="2:20" x14ac:dyDescent="0.2">
      <c r="B807" s="83"/>
      <c r="C807" s="56">
        <v>768</v>
      </c>
      <c r="D807" s="56">
        <v>14520.723685476876</v>
      </c>
      <c r="E807" s="56">
        <v>2.9689423270854221</v>
      </c>
      <c r="F807" s="56">
        <v>12736.9461772661</v>
      </c>
      <c r="G807" s="56">
        <v>12.509877970183625</v>
      </c>
      <c r="H807" s="56">
        <f t="shared" si="46"/>
        <v>1783.7775082107764</v>
      </c>
      <c r="I807" s="56">
        <f t="shared" si="47"/>
        <v>-9.5409356430982033</v>
      </c>
      <c r="J807" s="56">
        <f t="shared" si="48"/>
        <v>108464.74327170965</v>
      </c>
      <c r="K807" s="56">
        <f t="shared" si="49"/>
        <v>505472.23885962041</v>
      </c>
      <c r="T807" s="83"/>
    </row>
    <row r="808" spans="2:20" x14ac:dyDescent="0.2">
      <c r="B808" s="83"/>
      <c r="C808" s="56">
        <v>769</v>
      </c>
      <c r="D808" s="56">
        <v>13079.678640821416</v>
      </c>
      <c r="E808" s="56">
        <v>2.8318315542017665</v>
      </c>
      <c r="F808" s="56">
        <v>14936.132253290416</v>
      </c>
      <c r="G808" s="56">
        <v>15.331407399041105</v>
      </c>
      <c r="H808" s="56">
        <f t="shared" ref="H808:H871" si="50">IF($C808&lt;=No_of_iterations_PSA,D808-$F808,"")</f>
        <v>-1856.4536124690003</v>
      </c>
      <c r="I808" s="56">
        <f t="shared" ref="I808:I871" si="51">IF($C808&lt;=No_of_iterations_PSA,E808-$G808,"")</f>
        <v>-12.499575844839338</v>
      </c>
      <c r="J808" s="56">
        <f t="shared" ref="J808:J871" si="52">IF($C808&lt;=No_of_iterations_PSA,E808*WTP-D808,"")</f>
        <v>104226.11166043257</v>
      </c>
      <c r="K808" s="56">
        <f t="shared" ref="K808:K871" si="53">IF($C808&lt;=No_of_iterations_PSA,G808*WTP-F808,"")</f>
        <v>620152.08784458833</v>
      </c>
      <c r="T808" s="83"/>
    </row>
    <row r="809" spans="2:20" x14ac:dyDescent="0.2">
      <c r="B809" s="83"/>
      <c r="C809" s="56">
        <v>770</v>
      </c>
      <c r="D809" s="56">
        <v>16617.00421814013</v>
      </c>
      <c r="E809" s="56">
        <v>3.9013902548912394</v>
      </c>
      <c r="F809" s="56">
        <v>18066.127259899171</v>
      </c>
      <c r="G809" s="56">
        <v>21.194806314922847</v>
      </c>
      <c r="H809" s="56">
        <f t="shared" si="50"/>
        <v>-1449.1230417590414</v>
      </c>
      <c r="I809" s="56">
        <f t="shared" si="51"/>
        <v>-17.293416060031607</v>
      </c>
      <c r="J809" s="56">
        <f t="shared" si="52"/>
        <v>144994.18570047457</v>
      </c>
      <c r="K809" s="56">
        <f t="shared" si="53"/>
        <v>859907.5295294649</v>
      </c>
      <c r="T809" s="83"/>
    </row>
    <row r="810" spans="2:20" x14ac:dyDescent="0.2">
      <c r="B810" s="83"/>
      <c r="C810" s="56">
        <v>771</v>
      </c>
      <c r="D810" s="56">
        <v>15066.475107263197</v>
      </c>
      <c r="E810" s="56">
        <v>3.0944066363203451</v>
      </c>
      <c r="F810" s="56">
        <v>21886.188821393287</v>
      </c>
      <c r="G810" s="56">
        <v>20.470494605325314</v>
      </c>
      <c r="H810" s="56">
        <f t="shared" si="50"/>
        <v>-6819.71371413009</v>
      </c>
      <c r="I810" s="56">
        <f t="shared" si="51"/>
        <v>-17.376087969004971</v>
      </c>
      <c r="J810" s="56">
        <f t="shared" si="52"/>
        <v>113116.22539567079</v>
      </c>
      <c r="K810" s="56">
        <f t="shared" si="53"/>
        <v>826083.57970960252</v>
      </c>
      <c r="T810" s="83"/>
    </row>
    <row r="811" spans="2:20" x14ac:dyDescent="0.2">
      <c r="B811" s="83"/>
      <c r="C811" s="56">
        <v>772</v>
      </c>
      <c r="D811" s="56">
        <v>16635.800233606231</v>
      </c>
      <c r="E811" s="56">
        <v>3.8263127035971412</v>
      </c>
      <c r="F811" s="56">
        <v>10148.703086537496</v>
      </c>
      <c r="G811" s="56">
        <v>8.7712949631321173</v>
      </c>
      <c r="H811" s="56">
        <f t="shared" si="50"/>
        <v>6487.0971470687346</v>
      </c>
      <c r="I811" s="56">
        <f t="shared" si="51"/>
        <v>-4.9449822595349762</v>
      </c>
      <c r="J811" s="56">
        <f t="shared" si="52"/>
        <v>141865.37720020176</v>
      </c>
      <c r="K811" s="56">
        <f t="shared" si="53"/>
        <v>353193.41946624732</v>
      </c>
      <c r="T811" s="83"/>
    </row>
    <row r="812" spans="2:20" x14ac:dyDescent="0.2">
      <c r="B812" s="83"/>
      <c r="C812" s="56">
        <v>773</v>
      </c>
      <c r="D812" s="56">
        <v>12284.630525385122</v>
      </c>
      <c r="E812" s="56">
        <v>2.2394626303081844</v>
      </c>
      <c r="F812" s="56">
        <v>19226.878923232372</v>
      </c>
      <c r="G812" s="56">
        <v>19.851710073771912</v>
      </c>
      <c r="H812" s="56">
        <f t="shared" si="50"/>
        <v>-6942.2483978472501</v>
      </c>
      <c r="I812" s="56">
        <f t="shared" si="51"/>
        <v>-17.612247443463726</v>
      </c>
      <c r="J812" s="56">
        <f t="shared" si="52"/>
        <v>80482.869472501116</v>
      </c>
      <c r="K812" s="56">
        <f t="shared" si="53"/>
        <v>803110.35917269532</v>
      </c>
      <c r="T812" s="83"/>
    </row>
    <row r="813" spans="2:20" x14ac:dyDescent="0.2">
      <c r="B813" s="83"/>
      <c r="C813" s="56">
        <v>774</v>
      </c>
      <c r="D813" s="56">
        <v>9536.8934075250199</v>
      </c>
      <c r="E813" s="56">
        <v>2.352635900493782</v>
      </c>
      <c r="F813" s="56">
        <v>12123.068731665844</v>
      </c>
      <c r="G813" s="56">
        <v>11.86898691457575</v>
      </c>
      <c r="H813" s="56">
        <f t="shared" si="50"/>
        <v>-2586.1753241408242</v>
      </c>
      <c r="I813" s="56">
        <f t="shared" si="51"/>
        <v>-9.5163510140819678</v>
      </c>
      <c r="J813" s="56">
        <f t="shared" si="52"/>
        <v>87918.696134529411</v>
      </c>
      <c r="K813" s="56">
        <f t="shared" si="53"/>
        <v>479537.84521772002</v>
      </c>
      <c r="T813" s="83"/>
    </row>
    <row r="814" spans="2:20" x14ac:dyDescent="0.2">
      <c r="B814" s="83"/>
      <c r="C814" s="56">
        <v>775</v>
      </c>
      <c r="D814" s="56">
        <v>11435.687439533631</v>
      </c>
      <c r="E814" s="56">
        <v>2.6692070468686544</v>
      </c>
      <c r="F814" s="56">
        <v>14362.855045513872</v>
      </c>
      <c r="G814" s="56">
        <v>15.115905287100547</v>
      </c>
      <c r="H814" s="56">
        <f t="shared" si="50"/>
        <v>-2927.1676059802412</v>
      </c>
      <c r="I814" s="56">
        <f t="shared" si="51"/>
        <v>-12.446698240231893</v>
      </c>
      <c r="J814" s="56">
        <f t="shared" si="52"/>
        <v>99133.545269953509</v>
      </c>
      <c r="K814" s="56">
        <f t="shared" si="53"/>
        <v>611798.40556733927</v>
      </c>
      <c r="T814" s="83"/>
    </row>
    <row r="815" spans="2:20" x14ac:dyDescent="0.2">
      <c r="B815" s="83"/>
      <c r="C815" s="56">
        <v>776</v>
      </c>
      <c r="D815" s="56">
        <v>15273.435628249974</v>
      </c>
      <c r="E815" s="56">
        <v>2.4001757384532079</v>
      </c>
      <c r="F815" s="56">
        <v>17139.435721428868</v>
      </c>
      <c r="G815" s="56">
        <v>15.135226509105191</v>
      </c>
      <c r="H815" s="56">
        <f t="shared" si="50"/>
        <v>-1866.0000931788945</v>
      </c>
      <c r="I815" s="56">
        <f t="shared" si="51"/>
        <v>-12.735050770651984</v>
      </c>
      <c r="J815" s="56">
        <f t="shared" si="52"/>
        <v>84151.444161435706</v>
      </c>
      <c r="K815" s="56">
        <f t="shared" si="53"/>
        <v>609822.18719174457</v>
      </c>
      <c r="T815" s="83"/>
    </row>
    <row r="816" spans="2:20" x14ac:dyDescent="0.2">
      <c r="B816" s="83"/>
      <c r="C816" s="56">
        <v>777</v>
      </c>
      <c r="D816" s="56">
        <v>19520.899769245916</v>
      </c>
      <c r="E816" s="56">
        <v>3.1648729329683745</v>
      </c>
      <c r="F816" s="56">
        <v>21350.32037903625</v>
      </c>
      <c r="G816" s="56">
        <v>21.449161581444162</v>
      </c>
      <c r="H816" s="56">
        <f t="shared" si="50"/>
        <v>-1829.4206097903334</v>
      </c>
      <c r="I816" s="56">
        <f t="shared" si="51"/>
        <v>-18.284288648475787</v>
      </c>
      <c r="J816" s="56">
        <f t="shared" si="52"/>
        <v>111580.79660603605</v>
      </c>
      <c r="K816" s="56">
        <f t="shared" si="53"/>
        <v>867159.74897070671</v>
      </c>
      <c r="T816" s="83"/>
    </row>
    <row r="817" spans="2:20" x14ac:dyDescent="0.2">
      <c r="B817" s="83"/>
      <c r="C817" s="56">
        <v>778</v>
      </c>
      <c r="D817" s="56">
        <v>15476.903832316808</v>
      </c>
      <c r="E817" s="56">
        <v>3.9416441205938528</v>
      </c>
      <c r="F817" s="56">
        <v>15634.531812144183</v>
      </c>
      <c r="G817" s="56">
        <v>16.007583995256802</v>
      </c>
      <c r="H817" s="56">
        <f t="shared" si="50"/>
        <v>-157.62797982737538</v>
      </c>
      <c r="I817" s="56">
        <f t="shared" si="51"/>
        <v>-12.065939874662948</v>
      </c>
      <c r="J817" s="56">
        <f t="shared" si="52"/>
        <v>147801.76221916295</v>
      </c>
      <c r="K817" s="56">
        <f t="shared" si="53"/>
        <v>647463.62760737352</v>
      </c>
      <c r="T817" s="83"/>
    </row>
    <row r="818" spans="2:20" x14ac:dyDescent="0.2">
      <c r="B818" s="83"/>
      <c r="C818" s="56">
        <v>779</v>
      </c>
      <c r="D818" s="56">
        <v>11319.904291257211</v>
      </c>
      <c r="E818" s="56">
        <v>2.0464938391746621</v>
      </c>
      <c r="F818" s="56">
        <v>17757.398009369885</v>
      </c>
      <c r="G818" s="56">
        <v>19.558765891620833</v>
      </c>
      <c r="H818" s="56">
        <f t="shared" si="50"/>
        <v>-6437.4937181126734</v>
      </c>
      <c r="I818" s="56">
        <f t="shared" si="51"/>
        <v>-17.512272052446171</v>
      </c>
      <c r="J818" s="56">
        <f t="shared" si="52"/>
        <v>73454.056502713996</v>
      </c>
      <c r="K818" s="56">
        <f t="shared" si="53"/>
        <v>792444.92028513155</v>
      </c>
      <c r="T818" s="83"/>
    </row>
    <row r="819" spans="2:20" x14ac:dyDescent="0.2">
      <c r="B819" s="83"/>
      <c r="C819" s="56">
        <v>780</v>
      </c>
      <c r="D819" s="56">
        <v>15545.319405802369</v>
      </c>
      <c r="E819" s="56">
        <v>3.258165154640206</v>
      </c>
      <c r="F819" s="56">
        <v>10711.193802393425</v>
      </c>
      <c r="G819" s="56">
        <v>9.3782421219642007</v>
      </c>
      <c r="H819" s="56">
        <f t="shared" si="50"/>
        <v>4834.1256034089438</v>
      </c>
      <c r="I819" s="56">
        <f t="shared" si="51"/>
        <v>-6.1200769673239943</v>
      </c>
      <c r="J819" s="56">
        <f t="shared" si="52"/>
        <v>119420.91396001352</v>
      </c>
      <c r="K819" s="56">
        <f t="shared" si="53"/>
        <v>377773.1078578516</v>
      </c>
      <c r="T819" s="83"/>
    </row>
    <row r="820" spans="2:20" x14ac:dyDescent="0.2">
      <c r="B820" s="83"/>
      <c r="C820" s="56">
        <v>781</v>
      </c>
      <c r="D820" s="56">
        <v>15657.364820928797</v>
      </c>
      <c r="E820" s="56">
        <v>3.9403205758251101</v>
      </c>
      <c r="F820" s="56">
        <v>9551.0848614685947</v>
      </c>
      <c r="G820" s="56">
        <v>7.9465550360150194</v>
      </c>
      <c r="H820" s="56">
        <f t="shared" si="50"/>
        <v>6106.279959460202</v>
      </c>
      <c r="I820" s="56">
        <f t="shared" si="51"/>
        <v>-4.0062344601899094</v>
      </c>
      <c r="J820" s="56">
        <f t="shared" si="52"/>
        <v>147566.47471205055</v>
      </c>
      <c r="K820" s="56">
        <f t="shared" si="53"/>
        <v>319627.01095041761</v>
      </c>
      <c r="T820" s="83"/>
    </row>
    <row r="821" spans="2:20" x14ac:dyDescent="0.2">
      <c r="B821" s="83"/>
      <c r="C821" s="56">
        <v>782</v>
      </c>
      <c r="D821" s="56">
        <v>17330.342652029391</v>
      </c>
      <c r="E821" s="56">
        <v>3.4794520448906989</v>
      </c>
      <c r="F821" s="56">
        <v>17743.166674368618</v>
      </c>
      <c r="G821" s="56">
        <v>17.005044553590892</v>
      </c>
      <c r="H821" s="56">
        <f t="shared" si="50"/>
        <v>-412.82402233922767</v>
      </c>
      <c r="I821" s="56">
        <f t="shared" si="51"/>
        <v>-13.525592508700193</v>
      </c>
      <c r="J821" s="56">
        <f t="shared" si="52"/>
        <v>126802.47885552293</v>
      </c>
      <c r="K821" s="56">
        <f t="shared" si="53"/>
        <v>686673.79891358048</v>
      </c>
      <c r="T821" s="83"/>
    </row>
    <row r="822" spans="2:20" x14ac:dyDescent="0.2">
      <c r="B822" s="83"/>
      <c r="C822" s="56">
        <v>783</v>
      </c>
      <c r="D822" s="56">
        <v>13045.263730733146</v>
      </c>
      <c r="E822" s="56">
        <v>3.2812297161507407</v>
      </c>
      <c r="F822" s="56">
        <v>8864.1962809873075</v>
      </c>
      <c r="G822" s="56">
        <v>9.6060563211178209</v>
      </c>
      <c r="H822" s="56">
        <f t="shared" si="50"/>
        <v>4181.0674497458385</v>
      </c>
      <c r="I822" s="56">
        <f t="shared" si="51"/>
        <v>-6.3248266049670807</v>
      </c>
      <c r="J822" s="56">
        <f t="shared" si="52"/>
        <v>122876.39603109514</v>
      </c>
      <c r="K822" s="56">
        <f t="shared" si="53"/>
        <v>389057.08076499734</v>
      </c>
      <c r="T822" s="83"/>
    </row>
    <row r="823" spans="2:20" x14ac:dyDescent="0.2">
      <c r="B823" s="83"/>
      <c r="C823" s="56">
        <v>784</v>
      </c>
      <c r="D823" s="56">
        <v>10684.384519177236</v>
      </c>
      <c r="E823" s="56">
        <v>2.4641537371948097</v>
      </c>
      <c r="F823" s="56">
        <v>19673.337097553544</v>
      </c>
      <c r="G823" s="56">
        <v>20.213127961926315</v>
      </c>
      <c r="H823" s="56">
        <f t="shared" si="50"/>
        <v>-8988.9525783763074</v>
      </c>
      <c r="I823" s="56">
        <f t="shared" si="51"/>
        <v>-17.748974224731505</v>
      </c>
      <c r="J823" s="56">
        <f t="shared" si="52"/>
        <v>91390.719890380555</v>
      </c>
      <c r="K823" s="56">
        <f t="shared" si="53"/>
        <v>817635.2755972821</v>
      </c>
      <c r="T823" s="83"/>
    </row>
    <row r="824" spans="2:20" x14ac:dyDescent="0.2">
      <c r="B824" s="83"/>
      <c r="C824" s="56">
        <v>785</v>
      </c>
      <c r="D824" s="56">
        <v>9969.5930132775939</v>
      </c>
      <c r="E824" s="56">
        <v>1.9357561729184183</v>
      </c>
      <c r="F824" s="56">
        <v>14173.385933666634</v>
      </c>
      <c r="G824" s="56">
        <v>14.278945081338662</v>
      </c>
      <c r="H824" s="56">
        <f t="shared" si="50"/>
        <v>-4203.7929203890399</v>
      </c>
      <c r="I824" s="56">
        <f t="shared" si="51"/>
        <v>-12.343188908420244</v>
      </c>
      <c r="J824" s="56">
        <f t="shared" si="52"/>
        <v>70217.170693694963</v>
      </c>
      <c r="K824" s="56">
        <f t="shared" si="53"/>
        <v>577317.63511570613</v>
      </c>
      <c r="T824" s="83"/>
    </row>
    <row r="825" spans="2:20" x14ac:dyDescent="0.2">
      <c r="B825" s="83"/>
      <c r="C825" s="56">
        <v>786</v>
      </c>
      <c r="D825" s="56">
        <v>7765.2179659519979</v>
      </c>
      <c r="E825" s="56">
        <v>1.1316970905435615</v>
      </c>
      <c r="F825" s="56">
        <v>11028.206618828148</v>
      </c>
      <c r="G825" s="56">
        <v>8.1630195699921639</v>
      </c>
      <c r="H825" s="56">
        <f t="shared" si="50"/>
        <v>-3262.9886528761499</v>
      </c>
      <c r="I825" s="56">
        <f t="shared" si="51"/>
        <v>-7.0313224794486029</v>
      </c>
      <c r="J825" s="56">
        <f t="shared" si="52"/>
        <v>39114.202312724497</v>
      </c>
      <c r="K825" s="56">
        <f t="shared" si="53"/>
        <v>327116.71604852722</v>
      </c>
      <c r="T825" s="83"/>
    </row>
    <row r="826" spans="2:20" x14ac:dyDescent="0.2">
      <c r="B826" s="83"/>
      <c r="C826" s="56">
        <v>787</v>
      </c>
      <c r="D826" s="56">
        <v>12690.685368233151</v>
      </c>
      <c r="E826" s="56">
        <v>2.6233277595397158</v>
      </c>
      <c r="F826" s="56">
        <v>19092.540502005111</v>
      </c>
      <c r="G826" s="56">
        <v>20.307211082800038</v>
      </c>
      <c r="H826" s="56">
        <f t="shared" si="50"/>
        <v>-6401.85513377196</v>
      </c>
      <c r="I826" s="56">
        <f t="shared" si="51"/>
        <v>-17.683883323260321</v>
      </c>
      <c r="J826" s="56">
        <f t="shared" si="52"/>
        <v>95978.043742940034</v>
      </c>
      <c r="K826" s="56">
        <f t="shared" si="53"/>
        <v>822113.37139190361</v>
      </c>
      <c r="T826" s="83"/>
    </row>
    <row r="827" spans="2:20" x14ac:dyDescent="0.2">
      <c r="B827" s="83"/>
      <c r="C827" s="56">
        <v>788</v>
      </c>
      <c r="D827" s="56">
        <v>18556.553215781078</v>
      </c>
      <c r="E827" s="56">
        <v>3.7428897692489516</v>
      </c>
      <c r="F827" s="56">
        <v>18437.434892967314</v>
      </c>
      <c r="G827" s="56">
        <v>15.911703078377808</v>
      </c>
      <c r="H827" s="56">
        <f t="shared" si="50"/>
        <v>119.11832281376337</v>
      </c>
      <c r="I827" s="56">
        <f t="shared" si="51"/>
        <v>-12.168813309128858</v>
      </c>
      <c r="J827" s="56">
        <f t="shared" si="52"/>
        <v>136488.9125855875</v>
      </c>
      <c r="K827" s="56">
        <f t="shared" si="53"/>
        <v>640688.95342575503</v>
      </c>
      <c r="T827" s="83"/>
    </row>
    <row r="828" spans="2:20" x14ac:dyDescent="0.2">
      <c r="B828" s="83"/>
      <c r="C828" s="56">
        <v>789</v>
      </c>
      <c r="D828" s="56">
        <v>7985.0416916324921</v>
      </c>
      <c r="E828" s="56">
        <v>1.5274855261146878</v>
      </c>
      <c r="F828" s="56">
        <v>16509.075550150792</v>
      </c>
      <c r="G828" s="56">
        <v>18.772612233068571</v>
      </c>
      <c r="H828" s="56">
        <f t="shared" si="50"/>
        <v>-8524.0338585182999</v>
      </c>
      <c r="I828" s="56">
        <f t="shared" si="51"/>
        <v>-17.245126706953883</v>
      </c>
      <c r="J828" s="56">
        <f t="shared" si="52"/>
        <v>55289.51874214234</v>
      </c>
      <c r="K828" s="56">
        <f t="shared" si="53"/>
        <v>761127.61359248171</v>
      </c>
      <c r="T828" s="83"/>
    </row>
    <row r="829" spans="2:20" x14ac:dyDescent="0.2">
      <c r="B829" s="83"/>
      <c r="C829" s="56">
        <v>790</v>
      </c>
      <c r="D829" s="56">
        <v>17396.435696044078</v>
      </c>
      <c r="E829" s="56">
        <v>2.8613654439157821</v>
      </c>
      <c r="F829" s="56">
        <v>14906.131157804753</v>
      </c>
      <c r="G829" s="56">
        <v>13.162083970520758</v>
      </c>
      <c r="H829" s="56">
        <f t="shared" si="50"/>
        <v>2490.3045382393248</v>
      </c>
      <c r="I829" s="56">
        <f t="shared" si="51"/>
        <v>-10.300718526604976</v>
      </c>
      <c r="J829" s="56">
        <f t="shared" si="52"/>
        <v>101132.76645272328</v>
      </c>
      <c r="K829" s="56">
        <f t="shared" si="53"/>
        <v>530320.03523704712</v>
      </c>
      <c r="T829" s="83"/>
    </row>
    <row r="830" spans="2:20" x14ac:dyDescent="0.2">
      <c r="B830" s="83"/>
      <c r="C830" s="56">
        <v>791</v>
      </c>
      <c r="D830" s="56">
        <v>18599.06593784126</v>
      </c>
      <c r="E830" s="56">
        <v>3.8227121473077279</v>
      </c>
      <c r="F830" s="56">
        <v>19077.927673132155</v>
      </c>
      <c r="G830" s="56">
        <v>22.213983452475613</v>
      </c>
      <c r="H830" s="56">
        <f t="shared" si="50"/>
        <v>-478.86173529089501</v>
      </c>
      <c r="I830" s="56">
        <f t="shared" si="51"/>
        <v>-18.391271305167884</v>
      </c>
      <c r="J830" s="56">
        <f t="shared" si="52"/>
        <v>139752.96205223407</v>
      </c>
      <c r="K830" s="56">
        <f t="shared" si="53"/>
        <v>901114.1228622176</v>
      </c>
      <c r="T830" s="83"/>
    </row>
    <row r="831" spans="2:20" x14ac:dyDescent="0.2">
      <c r="B831" s="83"/>
      <c r="C831" s="56">
        <v>792</v>
      </c>
      <c r="D831" s="56">
        <v>15977.583642884745</v>
      </c>
      <c r="E831" s="56">
        <v>3.8899918884948956</v>
      </c>
      <c r="F831" s="56">
        <v>21317.950757118662</v>
      </c>
      <c r="G831" s="56">
        <v>24.055920320251261</v>
      </c>
      <c r="H831" s="56">
        <f t="shared" si="50"/>
        <v>-5340.3671142339172</v>
      </c>
      <c r="I831" s="56">
        <f t="shared" si="51"/>
        <v>-20.165928431756363</v>
      </c>
      <c r="J831" s="56">
        <f t="shared" si="52"/>
        <v>145161.44034612781</v>
      </c>
      <c r="K831" s="56">
        <f t="shared" si="53"/>
        <v>975174.49258896953</v>
      </c>
      <c r="T831" s="83"/>
    </row>
    <row r="832" spans="2:20" x14ac:dyDescent="0.2">
      <c r="B832" s="83"/>
      <c r="C832" s="56">
        <v>793</v>
      </c>
      <c r="D832" s="56">
        <v>14794.74701690065</v>
      </c>
      <c r="E832" s="56">
        <v>3.6271764242792326</v>
      </c>
      <c r="F832" s="56">
        <v>15527.17218989201</v>
      </c>
      <c r="G832" s="56">
        <v>16.493526740298606</v>
      </c>
      <c r="H832" s="56">
        <f t="shared" si="50"/>
        <v>-732.42517299135943</v>
      </c>
      <c r="I832" s="56">
        <f t="shared" si="51"/>
        <v>-12.866350316019373</v>
      </c>
      <c r="J832" s="56">
        <f t="shared" si="52"/>
        <v>135457.40918244226</v>
      </c>
      <c r="K832" s="56">
        <f t="shared" si="53"/>
        <v>667700.67950023746</v>
      </c>
      <c r="T832" s="83"/>
    </row>
    <row r="833" spans="2:20" x14ac:dyDescent="0.2">
      <c r="B833" s="83"/>
      <c r="C833" s="56">
        <v>794</v>
      </c>
      <c r="D833" s="56">
        <v>16853.892714498266</v>
      </c>
      <c r="E833" s="56">
        <v>3.9837658189736427</v>
      </c>
      <c r="F833" s="56">
        <v>20040.904182997165</v>
      </c>
      <c r="G833" s="56">
        <v>22.050284945175203</v>
      </c>
      <c r="H833" s="56">
        <f t="shared" si="50"/>
        <v>-3187.0114684988985</v>
      </c>
      <c r="I833" s="56">
        <f t="shared" si="51"/>
        <v>-18.066519126201563</v>
      </c>
      <c r="J833" s="56">
        <f t="shared" si="52"/>
        <v>148169.6225706659</v>
      </c>
      <c r="K833" s="56">
        <f t="shared" si="53"/>
        <v>893370.09938594047</v>
      </c>
      <c r="T833" s="83"/>
    </row>
    <row r="834" spans="2:20" x14ac:dyDescent="0.2">
      <c r="B834" s="83"/>
      <c r="C834" s="56">
        <v>795</v>
      </c>
      <c r="D834" s="56">
        <v>10754.061685280754</v>
      </c>
      <c r="E834" s="56">
        <v>2.0805821123751445</v>
      </c>
      <c r="F834" s="56">
        <v>17707.904228539886</v>
      </c>
      <c r="G834" s="56">
        <v>21.501790013753702</v>
      </c>
      <c r="H834" s="56">
        <f t="shared" si="50"/>
        <v>-6953.8425432591321</v>
      </c>
      <c r="I834" s="56">
        <f t="shared" si="51"/>
        <v>-19.421207901378558</v>
      </c>
      <c r="J834" s="56">
        <f t="shared" si="52"/>
        <v>75431.971737747226</v>
      </c>
      <c r="K834" s="56">
        <f t="shared" si="53"/>
        <v>872982.24530119344</v>
      </c>
      <c r="T834" s="83"/>
    </row>
    <row r="835" spans="2:20" x14ac:dyDescent="0.2">
      <c r="B835" s="83"/>
      <c r="C835" s="56">
        <v>796</v>
      </c>
      <c r="D835" s="56">
        <v>12060.563105777619</v>
      </c>
      <c r="E835" s="56">
        <v>2.5620031406776649</v>
      </c>
      <c r="F835" s="56">
        <v>15391.534975292585</v>
      </c>
      <c r="G835" s="56">
        <v>14.562953853204592</v>
      </c>
      <c r="H835" s="56">
        <f t="shared" si="50"/>
        <v>-3330.9718695149659</v>
      </c>
      <c r="I835" s="56">
        <f t="shared" si="51"/>
        <v>-12.000950712526926</v>
      </c>
      <c r="J835" s="56">
        <f t="shared" si="52"/>
        <v>94067.854993653964</v>
      </c>
      <c r="K835" s="56">
        <f t="shared" si="53"/>
        <v>587864.26543985435</v>
      </c>
      <c r="T835" s="83"/>
    </row>
    <row r="836" spans="2:20" x14ac:dyDescent="0.2">
      <c r="B836" s="83"/>
      <c r="C836" s="56">
        <v>797</v>
      </c>
      <c r="D836" s="56">
        <v>12916.171916554224</v>
      </c>
      <c r="E836" s="56">
        <v>2.8944694236534936</v>
      </c>
      <c r="F836" s="56">
        <v>11732.43447282701</v>
      </c>
      <c r="G836" s="56">
        <v>10.725209293644783</v>
      </c>
      <c r="H836" s="56">
        <f t="shared" si="50"/>
        <v>1183.7374437272138</v>
      </c>
      <c r="I836" s="56">
        <f t="shared" si="51"/>
        <v>-7.8307398699912891</v>
      </c>
      <c r="J836" s="56">
        <f t="shared" si="52"/>
        <v>106984.3294888681</v>
      </c>
      <c r="K836" s="56">
        <f t="shared" si="53"/>
        <v>432548.63530711445</v>
      </c>
      <c r="T836" s="83"/>
    </row>
    <row r="837" spans="2:20" x14ac:dyDescent="0.2">
      <c r="B837" s="83"/>
      <c r="C837" s="56">
        <v>798</v>
      </c>
      <c r="D837" s="56">
        <v>14482.171436202434</v>
      </c>
      <c r="E837" s="56">
        <v>2.8961403357870967</v>
      </c>
      <c r="F837" s="56">
        <v>17353.422907716988</v>
      </c>
      <c r="G837" s="56">
        <v>16.397861700680647</v>
      </c>
      <c r="H837" s="56">
        <f t="shared" si="50"/>
        <v>-2871.2514715145535</v>
      </c>
      <c r="I837" s="56">
        <f t="shared" si="51"/>
        <v>-13.50172136489355</v>
      </c>
      <c r="J837" s="56">
        <f t="shared" si="52"/>
        <v>105487.54583344226</v>
      </c>
      <c r="K837" s="56">
        <f t="shared" si="53"/>
        <v>661911.60018127819</v>
      </c>
      <c r="T837" s="83"/>
    </row>
    <row r="838" spans="2:20" x14ac:dyDescent="0.2">
      <c r="B838" s="83"/>
      <c r="C838" s="56">
        <v>799</v>
      </c>
      <c r="D838" s="56">
        <v>19795.191457339337</v>
      </c>
      <c r="E838" s="56">
        <v>3.7028579500873424</v>
      </c>
      <c r="F838" s="56">
        <v>17318.429089993177</v>
      </c>
      <c r="G838" s="56">
        <v>17.040461884118066</v>
      </c>
      <c r="H838" s="56">
        <f t="shared" si="50"/>
        <v>2476.7623673461603</v>
      </c>
      <c r="I838" s="56">
        <f t="shared" si="51"/>
        <v>-13.337603934030724</v>
      </c>
      <c r="J838" s="56">
        <f t="shared" si="52"/>
        <v>133591.99626707874</v>
      </c>
      <c r="K838" s="56">
        <f t="shared" si="53"/>
        <v>688565.66399771371</v>
      </c>
      <c r="T838" s="83"/>
    </row>
    <row r="839" spans="2:20" x14ac:dyDescent="0.2">
      <c r="B839" s="83"/>
      <c r="C839" s="56">
        <v>800</v>
      </c>
      <c r="D839" s="56">
        <v>10937.52652823222</v>
      </c>
      <c r="E839" s="56">
        <v>2.3887947533883089</v>
      </c>
      <c r="F839" s="56">
        <v>11374.174877007918</v>
      </c>
      <c r="G839" s="56">
        <v>9.9034662361063237</v>
      </c>
      <c r="H839" s="56">
        <f t="shared" si="50"/>
        <v>-436.64834877569774</v>
      </c>
      <c r="I839" s="56">
        <f t="shared" si="51"/>
        <v>-7.5146714827180148</v>
      </c>
      <c r="J839" s="56">
        <f t="shared" si="52"/>
        <v>88015.907336125092</v>
      </c>
      <c r="K839" s="56">
        <f t="shared" si="53"/>
        <v>398867.01048746047</v>
      </c>
      <c r="T839" s="83"/>
    </row>
    <row r="840" spans="2:20" x14ac:dyDescent="0.2">
      <c r="B840" s="83"/>
      <c r="C840" s="56">
        <v>801</v>
      </c>
      <c r="D840" s="56">
        <v>12991.648686448569</v>
      </c>
      <c r="E840" s="56">
        <v>2.7190485611601383</v>
      </c>
      <c r="F840" s="56">
        <v>16997.544325800503</v>
      </c>
      <c r="G840" s="56">
        <v>18.824837884252897</v>
      </c>
      <c r="H840" s="56">
        <f t="shared" si="50"/>
        <v>-4005.8956393519347</v>
      </c>
      <c r="I840" s="56">
        <f t="shared" si="51"/>
        <v>-16.105789323092758</v>
      </c>
      <c r="J840" s="56">
        <f t="shared" si="52"/>
        <v>99642.218911049</v>
      </c>
      <c r="K840" s="56">
        <f t="shared" si="53"/>
        <v>762802.54019149148</v>
      </c>
      <c r="T840" s="83"/>
    </row>
    <row r="841" spans="2:20" x14ac:dyDescent="0.2">
      <c r="B841" s="83"/>
      <c r="C841" s="56">
        <v>802</v>
      </c>
      <c r="D841" s="56">
        <v>13758.439796292207</v>
      </c>
      <c r="E841" s="56">
        <v>3.5892105836758237</v>
      </c>
      <c r="F841" s="56">
        <v>10184.075539405176</v>
      </c>
      <c r="G841" s="56">
        <v>10.784878294791906</v>
      </c>
      <c r="H841" s="56">
        <f t="shared" si="50"/>
        <v>3574.3642568870309</v>
      </c>
      <c r="I841" s="56">
        <f t="shared" si="51"/>
        <v>-7.1956677111160818</v>
      </c>
      <c r="J841" s="56">
        <f t="shared" si="52"/>
        <v>134921.01942189512</v>
      </c>
      <c r="K841" s="56">
        <f t="shared" si="53"/>
        <v>436568.72294405475</v>
      </c>
      <c r="T841" s="83"/>
    </row>
    <row r="842" spans="2:20" x14ac:dyDescent="0.2">
      <c r="B842" s="83"/>
      <c r="C842" s="56">
        <v>803</v>
      </c>
      <c r="D842" s="56">
        <v>20242.918999539059</v>
      </c>
      <c r="E842" s="56">
        <v>3.4084658288860172</v>
      </c>
      <c r="F842" s="56">
        <v>21305.821441143307</v>
      </c>
      <c r="G842" s="56">
        <v>21.321753847140489</v>
      </c>
      <c r="H842" s="56">
        <f t="shared" si="50"/>
        <v>-1062.9024416042485</v>
      </c>
      <c r="I842" s="56">
        <f t="shared" si="51"/>
        <v>-17.91328801825447</v>
      </c>
      <c r="J842" s="56">
        <f t="shared" si="52"/>
        <v>120949.36949623532</v>
      </c>
      <c r="K842" s="56">
        <f t="shared" si="53"/>
        <v>861926.50992280431</v>
      </c>
      <c r="T842" s="83"/>
    </row>
    <row r="843" spans="2:20" x14ac:dyDescent="0.2">
      <c r="B843" s="83"/>
      <c r="C843" s="56">
        <v>804</v>
      </c>
      <c r="D843" s="56">
        <v>12974.678102623704</v>
      </c>
      <c r="E843" s="56">
        <v>1.9534777459172736</v>
      </c>
      <c r="F843" s="56">
        <v>21224.426003620258</v>
      </c>
      <c r="G843" s="56">
        <v>19.743947072388092</v>
      </c>
      <c r="H843" s="56">
        <f t="shared" si="50"/>
        <v>-8249.7479009965537</v>
      </c>
      <c r="I843" s="56">
        <f t="shared" si="51"/>
        <v>-17.79046932647082</v>
      </c>
      <c r="J843" s="56">
        <f t="shared" si="52"/>
        <v>67946.184044253445</v>
      </c>
      <c r="K843" s="56">
        <f t="shared" si="53"/>
        <v>796648.83752298413</v>
      </c>
      <c r="T843" s="83"/>
    </row>
    <row r="844" spans="2:20" x14ac:dyDescent="0.2">
      <c r="B844" s="83"/>
      <c r="C844" s="56">
        <v>805</v>
      </c>
      <c r="D844" s="56">
        <v>18182.954735757568</v>
      </c>
      <c r="E844" s="56">
        <v>3.463858045073589</v>
      </c>
      <c r="F844" s="56">
        <v>20008.116955610709</v>
      </c>
      <c r="G844" s="56">
        <v>20.534710049261999</v>
      </c>
      <c r="H844" s="56">
        <f t="shared" si="50"/>
        <v>-1825.1622198531404</v>
      </c>
      <c r="I844" s="56">
        <f t="shared" si="51"/>
        <v>-17.07085200418841</v>
      </c>
      <c r="J844" s="56">
        <f t="shared" si="52"/>
        <v>125303.90092337078</v>
      </c>
      <c r="K844" s="56">
        <f t="shared" si="53"/>
        <v>830621.71212501836</v>
      </c>
      <c r="T844" s="83"/>
    </row>
    <row r="845" spans="2:20" x14ac:dyDescent="0.2">
      <c r="B845" s="83"/>
      <c r="C845" s="56">
        <v>806</v>
      </c>
      <c r="D845" s="56">
        <v>9649.0807392027491</v>
      </c>
      <c r="E845" s="56">
        <v>1.6457033873468043</v>
      </c>
      <c r="F845" s="56">
        <v>21638.463582903962</v>
      </c>
      <c r="G845" s="56">
        <v>23.916358140498335</v>
      </c>
      <c r="H845" s="56">
        <f t="shared" si="50"/>
        <v>-11989.382843701213</v>
      </c>
      <c r="I845" s="56">
        <f t="shared" si="51"/>
        <v>-22.270654753151533</v>
      </c>
      <c r="J845" s="56">
        <f t="shared" si="52"/>
        <v>58522.536378251272</v>
      </c>
      <c r="K845" s="56">
        <f t="shared" si="53"/>
        <v>969072.75602909911</v>
      </c>
      <c r="T845" s="83"/>
    </row>
    <row r="846" spans="2:20" x14ac:dyDescent="0.2">
      <c r="B846" s="83"/>
      <c r="C846" s="56">
        <v>807</v>
      </c>
      <c r="D846" s="56">
        <v>20025.53430310142</v>
      </c>
      <c r="E846" s="56">
        <v>3.9904235576627771</v>
      </c>
      <c r="F846" s="56">
        <v>12403.540035308706</v>
      </c>
      <c r="G846" s="56">
        <v>10.357306415697401</v>
      </c>
      <c r="H846" s="56">
        <f t="shared" si="50"/>
        <v>7621.9942677927138</v>
      </c>
      <c r="I846" s="56">
        <f t="shared" si="51"/>
        <v>-6.3668828580346242</v>
      </c>
      <c r="J846" s="56">
        <f t="shared" si="52"/>
        <v>145273.77114952146</v>
      </c>
      <c r="K846" s="56">
        <f t="shared" si="53"/>
        <v>416637.52092854044</v>
      </c>
      <c r="T846" s="83"/>
    </row>
    <row r="847" spans="2:20" x14ac:dyDescent="0.2">
      <c r="B847" s="83"/>
      <c r="C847" s="56">
        <v>808</v>
      </c>
      <c r="D847" s="56">
        <v>10661.237820135162</v>
      </c>
      <c r="E847" s="56">
        <v>2.5051665416730695</v>
      </c>
      <c r="F847" s="56">
        <v>11668.968256980592</v>
      </c>
      <c r="G847" s="56">
        <v>11.558794077496266</v>
      </c>
      <c r="H847" s="56">
        <f t="shared" si="50"/>
        <v>-1007.7304368454297</v>
      </c>
      <c r="I847" s="56">
        <f t="shared" si="51"/>
        <v>-9.0536275358231961</v>
      </c>
      <c r="J847" s="56">
        <f t="shared" si="52"/>
        <v>93112.781002130068</v>
      </c>
      <c r="K847" s="56">
        <f t="shared" si="53"/>
        <v>467142.51760922471</v>
      </c>
      <c r="T847" s="83"/>
    </row>
    <row r="848" spans="2:20" x14ac:dyDescent="0.2">
      <c r="B848" s="83"/>
      <c r="C848" s="56">
        <v>809</v>
      </c>
      <c r="D848" s="56">
        <v>10006.553163491788</v>
      </c>
      <c r="E848" s="56">
        <v>1.9871832683763799</v>
      </c>
      <c r="F848" s="56">
        <v>13286.045024463041</v>
      </c>
      <c r="G848" s="56">
        <v>13.732264209731134</v>
      </c>
      <c r="H848" s="56">
        <f t="shared" si="50"/>
        <v>-3279.4918609712531</v>
      </c>
      <c r="I848" s="56">
        <f t="shared" si="51"/>
        <v>-11.745080941354754</v>
      </c>
      <c r="J848" s="56">
        <f t="shared" si="52"/>
        <v>72310.52654573138</v>
      </c>
      <c r="K848" s="56">
        <f t="shared" si="53"/>
        <v>555559.26759943936</v>
      </c>
      <c r="T848" s="83"/>
    </row>
    <row r="849" spans="2:20" x14ac:dyDescent="0.2">
      <c r="B849" s="83"/>
      <c r="C849" s="56">
        <v>810</v>
      </c>
      <c r="D849" s="56">
        <v>13816.214774271832</v>
      </c>
      <c r="E849" s="56">
        <v>2.8484838980271423</v>
      </c>
      <c r="F849" s="56">
        <v>5646.7072149066562</v>
      </c>
      <c r="G849" s="56">
        <v>6.0664852686353319</v>
      </c>
      <c r="H849" s="56">
        <f t="shared" si="50"/>
        <v>8169.5075593651754</v>
      </c>
      <c r="I849" s="56">
        <f t="shared" si="51"/>
        <v>-3.2180013706081896</v>
      </c>
      <c r="J849" s="56">
        <f t="shared" si="52"/>
        <v>104179.38221760451</v>
      </c>
      <c r="K849" s="56">
        <f t="shared" si="53"/>
        <v>245651.37855304332</v>
      </c>
      <c r="T849" s="83"/>
    </row>
    <row r="850" spans="2:20" x14ac:dyDescent="0.2">
      <c r="B850" s="83"/>
      <c r="C850" s="56">
        <v>811</v>
      </c>
      <c r="D850" s="56">
        <v>15083.294494399486</v>
      </c>
      <c r="E850" s="56">
        <v>3.8796214267454232</v>
      </c>
      <c r="F850" s="56">
        <v>17722.066383254241</v>
      </c>
      <c r="G850" s="56">
        <v>18.206965083941189</v>
      </c>
      <c r="H850" s="56">
        <f t="shared" si="50"/>
        <v>-2638.7718888547552</v>
      </c>
      <c r="I850" s="56">
        <f t="shared" si="51"/>
        <v>-14.327343657195765</v>
      </c>
      <c r="J850" s="56">
        <f t="shared" si="52"/>
        <v>145626.14348710293</v>
      </c>
      <c r="K850" s="56">
        <f t="shared" si="53"/>
        <v>736483.25525392557</v>
      </c>
      <c r="T850" s="83"/>
    </row>
    <row r="851" spans="2:20" x14ac:dyDescent="0.2">
      <c r="B851" s="83"/>
      <c r="C851" s="56">
        <v>812</v>
      </c>
      <c r="D851" s="56">
        <v>9750.4108135661681</v>
      </c>
      <c r="E851" s="56">
        <v>1.7918235585519997</v>
      </c>
      <c r="F851" s="56">
        <v>13709.261759430312</v>
      </c>
      <c r="G851" s="56">
        <v>13.712000659360793</v>
      </c>
      <c r="H851" s="56">
        <f t="shared" si="50"/>
        <v>-3958.8509458641438</v>
      </c>
      <c r="I851" s="56">
        <f t="shared" si="51"/>
        <v>-11.920177100808793</v>
      </c>
      <c r="J851" s="56">
        <f t="shared" si="52"/>
        <v>64474.088275891874</v>
      </c>
      <c r="K851" s="56">
        <f t="shared" si="53"/>
        <v>554296.65355393116</v>
      </c>
      <c r="T851" s="83"/>
    </row>
    <row r="852" spans="2:20" x14ac:dyDescent="0.2">
      <c r="B852" s="83"/>
      <c r="C852" s="56">
        <v>813</v>
      </c>
      <c r="D852" s="56">
        <v>12284.138464854959</v>
      </c>
      <c r="E852" s="56">
        <v>2.3596658676470375</v>
      </c>
      <c r="F852" s="56">
        <v>11834.744073253041</v>
      </c>
      <c r="G852" s="56">
        <v>11.220570162009576</v>
      </c>
      <c r="H852" s="56">
        <f t="shared" si="50"/>
        <v>449.39439160191796</v>
      </c>
      <c r="I852" s="56">
        <f t="shared" si="51"/>
        <v>-8.8609042943625376</v>
      </c>
      <c r="J852" s="56">
        <f t="shared" si="52"/>
        <v>85462.660436555918</v>
      </c>
      <c r="K852" s="56">
        <f t="shared" si="53"/>
        <v>452966.15431783162</v>
      </c>
      <c r="T852" s="83"/>
    </row>
    <row r="853" spans="2:20" x14ac:dyDescent="0.2">
      <c r="B853" s="83"/>
      <c r="C853" s="56">
        <v>814</v>
      </c>
      <c r="D853" s="56">
        <v>13601.807099656977</v>
      </c>
      <c r="E853" s="56">
        <v>3.1906496501661401</v>
      </c>
      <c r="F853" s="56">
        <v>15358.923511978277</v>
      </c>
      <c r="G853" s="56">
        <v>17.453871710755745</v>
      </c>
      <c r="H853" s="56">
        <f t="shared" si="50"/>
        <v>-1757.1164123213002</v>
      </c>
      <c r="I853" s="56">
        <f t="shared" si="51"/>
        <v>-14.263222060589605</v>
      </c>
      <c r="J853" s="56">
        <f t="shared" si="52"/>
        <v>118567.66400882522</v>
      </c>
      <c r="K853" s="56">
        <f t="shared" si="53"/>
        <v>707650.25823436771</v>
      </c>
      <c r="T853" s="83"/>
    </row>
    <row r="854" spans="2:20" x14ac:dyDescent="0.2">
      <c r="B854" s="83"/>
      <c r="C854" s="56">
        <v>815</v>
      </c>
      <c r="D854" s="56">
        <v>16359.69426959707</v>
      </c>
      <c r="E854" s="56">
        <v>3.2071589520108899</v>
      </c>
      <c r="F854" s="56">
        <v>12182.539232620498</v>
      </c>
      <c r="G854" s="56">
        <v>10.906073799705922</v>
      </c>
      <c r="H854" s="56">
        <f t="shared" si="50"/>
        <v>4177.1550369765719</v>
      </c>
      <c r="I854" s="56">
        <f t="shared" si="51"/>
        <v>-7.6989148476950326</v>
      </c>
      <c r="J854" s="56">
        <f t="shared" si="52"/>
        <v>116493.65815850205</v>
      </c>
      <c r="K854" s="56">
        <f t="shared" si="53"/>
        <v>439590.66184639762</v>
      </c>
      <c r="T854" s="83"/>
    </row>
    <row r="855" spans="2:20" x14ac:dyDescent="0.2">
      <c r="B855" s="83"/>
      <c r="C855" s="56">
        <v>816</v>
      </c>
      <c r="D855" s="56">
        <v>11875.869884112348</v>
      </c>
      <c r="E855" s="56">
        <v>1.9505547380525208</v>
      </c>
      <c r="F855" s="56">
        <v>11687.028349788958</v>
      </c>
      <c r="G855" s="56">
        <v>10.148328001491084</v>
      </c>
      <c r="H855" s="56">
        <f t="shared" si="50"/>
        <v>188.84153432339008</v>
      </c>
      <c r="I855" s="56">
        <f t="shared" si="51"/>
        <v>-8.1977732634385632</v>
      </c>
      <c r="J855" s="56">
        <f t="shared" si="52"/>
        <v>68923.909584975278</v>
      </c>
      <c r="K855" s="56">
        <f t="shared" si="53"/>
        <v>408697.31078397768</v>
      </c>
      <c r="T855" s="83"/>
    </row>
    <row r="856" spans="2:20" x14ac:dyDescent="0.2">
      <c r="B856" s="83"/>
      <c r="C856" s="56">
        <v>817</v>
      </c>
      <c r="D856" s="56">
        <v>12140.597107683685</v>
      </c>
      <c r="E856" s="56">
        <v>2.702341349432098</v>
      </c>
      <c r="F856" s="56">
        <v>8805.3695133821948</v>
      </c>
      <c r="G856" s="56">
        <v>7.144101883004498</v>
      </c>
      <c r="H856" s="56">
        <f t="shared" si="50"/>
        <v>3335.2275943014902</v>
      </c>
      <c r="I856" s="56">
        <f t="shared" si="51"/>
        <v>-4.4417605335724</v>
      </c>
      <c r="J856" s="56">
        <f t="shared" si="52"/>
        <v>99801.190951191544</v>
      </c>
      <c r="K856" s="56">
        <f t="shared" si="53"/>
        <v>287131.90688819613</v>
      </c>
      <c r="T856" s="83"/>
    </row>
    <row r="857" spans="2:20" x14ac:dyDescent="0.2">
      <c r="B857" s="83"/>
      <c r="C857" s="56">
        <v>818</v>
      </c>
      <c r="D857" s="56">
        <v>11284.757795026624</v>
      </c>
      <c r="E857" s="56">
        <v>3.0264064277838543</v>
      </c>
      <c r="F857" s="56">
        <v>12480.912524881149</v>
      </c>
      <c r="G857" s="56">
        <v>13.258552204648215</v>
      </c>
      <c r="H857" s="56">
        <f t="shared" si="50"/>
        <v>-1196.1547298545247</v>
      </c>
      <c r="I857" s="56">
        <f t="shared" si="51"/>
        <v>-10.23214577686436</v>
      </c>
      <c r="J857" s="56">
        <f t="shared" si="52"/>
        <v>114081.10206949175</v>
      </c>
      <c r="K857" s="56">
        <f t="shared" si="53"/>
        <v>536741.35400046641</v>
      </c>
      <c r="T857" s="83"/>
    </row>
    <row r="858" spans="2:20" x14ac:dyDescent="0.2">
      <c r="B858" s="83"/>
      <c r="C858" s="56">
        <v>819</v>
      </c>
      <c r="D858" s="56">
        <v>14580.758013351619</v>
      </c>
      <c r="E858" s="56">
        <v>3.8545745695954325</v>
      </c>
      <c r="F858" s="56">
        <v>19613.850698804341</v>
      </c>
      <c r="G858" s="56">
        <v>21.430708864232138</v>
      </c>
      <c r="H858" s="56">
        <f t="shared" si="50"/>
        <v>-5033.0926854527224</v>
      </c>
      <c r="I858" s="56">
        <f t="shared" si="51"/>
        <v>-17.576134294636706</v>
      </c>
      <c r="J858" s="56">
        <f t="shared" si="52"/>
        <v>145091.13895756958</v>
      </c>
      <c r="K858" s="56">
        <f t="shared" si="53"/>
        <v>868131.83329314773</v>
      </c>
      <c r="T858" s="83"/>
    </row>
    <row r="859" spans="2:20" x14ac:dyDescent="0.2">
      <c r="B859" s="83"/>
      <c r="C859" s="56">
        <v>820</v>
      </c>
      <c r="D859" s="56">
        <v>11604.83732356572</v>
      </c>
      <c r="E859" s="56">
        <v>2.0859655536854405</v>
      </c>
      <c r="F859" s="56">
        <v>17383.853494828571</v>
      </c>
      <c r="G859" s="56">
        <v>17.046919193152782</v>
      </c>
      <c r="H859" s="56">
        <f t="shared" si="50"/>
        <v>-5779.0161712628505</v>
      </c>
      <c r="I859" s="56">
        <f t="shared" si="51"/>
        <v>-14.960953639467341</v>
      </c>
      <c r="J859" s="56">
        <f t="shared" si="52"/>
        <v>74804.199772299966</v>
      </c>
      <c r="K859" s="56">
        <f t="shared" si="53"/>
        <v>688767.72716233227</v>
      </c>
      <c r="T859" s="83"/>
    </row>
    <row r="860" spans="2:20" x14ac:dyDescent="0.2">
      <c r="B860" s="83"/>
      <c r="C860" s="56">
        <v>821</v>
      </c>
      <c r="D860" s="56">
        <v>14740.509794510404</v>
      </c>
      <c r="E860" s="56">
        <v>2.5791911751479328</v>
      </c>
      <c r="F860" s="56">
        <v>19875.2515582257</v>
      </c>
      <c r="G860" s="56">
        <v>17.76759805837267</v>
      </c>
      <c r="H860" s="56">
        <f t="shared" si="50"/>
        <v>-5134.7417637152957</v>
      </c>
      <c r="I860" s="56">
        <f t="shared" si="51"/>
        <v>-15.188406883224737</v>
      </c>
      <c r="J860" s="56">
        <f t="shared" si="52"/>
        <v>92099.905444817559</v>
      </c>
      <c r="K860" s="56">
        <f t="shared" si="53"/>
        <v>716129.7304118037</v>
      </c>
      <c r="T860" s="83"/>
    </row>
    <row r="861" spans="2:20" x14ac:dyDescent="0.2">
      <c r="B861" s="83"/>
      <c r="C861" s="56">
        <v>822</v>
      </c>
      <c r="D861" s="56">
        <v>9209.7587968593161</v>
      </c>
      <c r="E861" s="56">
        <v>2.2288514749568793</v>
      </c>
      <c r="F861" s="56">
        <v>21191.835181044898</v>
      </c>
      <c r="G861" s="56">
        <v>27.299907010295541</v>
      </c>
      <c r="H861" s="56">
        <f t="shared" si="50"/>
        <v>-11982.076384185582</v>
      </c>
      <c r="I861" s="56">
        <f t="shared" si="51"/>
        <v>-25.071055535338662</v>
      </c>
      <c r="J861" s="56">
        <f t="shared" si="52"/>
        <v>83118.18470175445</v>
      </c>
      <c r="K861" s="56">
        <f t="shared" si="53"/>
        <v>1109679.5128134377</v>
      </c>
      <c r="T861" s="83"/>
    </row>
    <row r="862" spans="2:20" x14ac:dyDescent="0.2">
      <c r="B862" s="83"/>
      <c r="C862" s="56">
        <v>823</v>
      </c>
      <c r="D862" s="56">
        <v>15576.949421183948</v>
      </c>
      <c r="E862" s="56">
        <v>2.6918678014645243</v>
      </c>
      <c r="F862" s="56">
        <v>9900.5893460629195</v>
      </c>
      <c r="G862" s="56">
        <v>6.1518067096191329</v>
      </c>
      <c r="H862" s="56">
        <f t="shared" si="50"/>
        <v>5676.3600751210288</v>
      </c>
      <c r="I862" s="56">
        <f t="shared" si="51"/>
        <v>-3.4599389081546086</v>
      </c>
      <c r="J862" s="56">
        <f t="shared" si="52"/>
        <v>95930.982386682503</v>
      </c>
      <c r="K862" s="56">
        <f t="shared" si="53"/>
        <v>244931.85179320004</v>
      </c>
      <c r="T862" s="83"/>
    </row>
    <row r="863" spans="2:20" x14ac:dyDescent="0.2">
      <c r="B863" s="83"/>
      <c r="C863" s="56">
        <v>824</v>
      </c>
      <c r="D863" s="56">
        <v>18925.505215473473</v>
      </c>
      <c r="E863" s="56">
        <v>3.6081191242774606</v>
      </c>
      <c r="F863" s="56">
        <v>13808.140482799801</v>
      </c>
      <c r="G863" s="56">
        <v>12.749473186920707</v>
      </c>
      <c r="H863" s="56">
        <f t="shared" si="50"/>
        <v>5117.3647326736718</v>
      </c>
      <c r="I863" s="56">
        <f t="shared" si="51"/>
        <v>-9.141354062643245</v>
      </c>
      <c r="J863" s="56">
        <f t="shared" si="52"/>
        <v>130537.22138859605</v>
      </c>
      <c r="K863" s="56">
        <f t="shared" si="53"/>
        <v>514326.03681220353</v>
      </c>
      <c r="T863" s="83"/>
    </row>
    <row r="864" spans="2:20" x14ac:dyDescent="0.2">
      <c r="B864" s="83"/>
      <c r="C864" s="56">
        <v>825</v>
      </c>
      <c r="D864" s="56">
        <v>17175.851479382662</v>
      </c>
      <c r="E864" s="56">
        <v>3.0283812340815186</v>
      </c>
      <c r="F864" s="56">
        <v>13652.863567392145</v>
      </c>
      <c r="G864" s="56">
        <v>10.719743631494973</v>
      </c>
      <c r="H864" s="56">
        <f t="shared" si="50"/>
        <v>3522.9879119905163</v>
      </c>
      <c r="I864" s="56">
        <f t="shared" si="51"/>
        <v>-7.6913623974134548</v>
      </c>
      <c r="J864" s="56">
        <f t="shared" si="52"/>
        <v>108271.81276121017</v>
      </c>
      <c r="K864" s="56">
        <f t="shared" si="53"/>
        <v>430401.79662365559</v>
      </c>
      <c r="T864" s="83"/>
    </row>
    <row r="865" spans="2:20" x14ac:dyDescent="0.2">
      <c r="B865" s="83"/>
      <c r="C865" s="56">
        <v>826</v>
      </c>
      <c r="D865" s="56">
        <v>13230.14183241006</v>
      </c>
      <c r="E865" s="56">
        <v>2.9797282375214644</v>
      </c>
      <c r="F865" s="56">
        <v>14880.83335752528</v>
      </c>
      <c r="G865" s="56">
        <v>13.399695104046437</v>
      </c>
      <c r="H865" s="56">
        <f t="shared" si="50"/>
        <v>-1650.6915251152204</v>
      </c>
      <c r="I865" s="56">
        <f t="shared" si="51"/>
        <v>-10.419966866524973</v>
      </c>
      <c r="J865" s="56">
        <f t="shared" si="52"/>
        <v>110202.12067867909</v>
      </c>
      <c r="K865" s="56">
        <f t="shared" si="53"/>
        <v>540188.13663249428</v>
      </c>
      <c r="T865" s="83"/>
    </row>
    <row r="866" spans="2:20" x14ac:dyDescent="0.2">
      <c r="B866" s="83"/>
      <c r="C866" s="56">
        <v>827</v>
      </c>
      <c r="D866" s="56">
        <v>17732.501908038099</v>
      </c>
      <c r="E866" s="56">
        <v>3.8273614577447068</v>
      </c>
      <c r="F866" s="56">
        <v>19578.72355471112</v>
      </c>
      <c r="G866" s="56">
        <v>18.651447294750771</v>
      </c>
      <c r="H866" s="56">
        <f t="shared" si="50"/>
        <v>-1846.2216466730206</v>
      </c>
      <c r="I866" s="56">
        <f t="shared" si="51"/>
        <v>-14.824085837006063</v>
      </c>
      <c r="J866" s="56">
        <f t="shared" si="52"/>
        <v>140812.11911757864</v>
      </c>
      <c r="K866" s="56">
        <f t="shared" si="53"/>
        <v>753038.82918304484</v>
      </c>
      <c r="T866" s="83"/>
    </row>
    <row r="867" spans="2:20" x14ac:dyDescent="0.2">
      <c r="B867" s="83"/>
      <c r="C867" s="56">
        <v>828</v>
      </c>
      <c r="D867" s="56">
        <v>17509.466360004735</v>
      </c>
      <c r="E867" s="56">
        <v>4.2731115164222118</v>
      </c>
      <c r="F867" s="56">
        <v>15493.819557239089</v>
      </c>
      <c r="G867" s="56">
        <v>16.833212698825776</v>
      </c>
      <c r="H867" s="56">
        <f t="shared" si="50"/>
        <v>2015.6468027656465</v>
      </c>
      <c r="I867" s="56">
        <f t="shared" si="51"/>
        <v>-12.560101182403564</v>
      </c>
      <c r="J867" s="56">
        <f t="shared" si="52"/>
        <v>159499.90509626895</v>
      </c>
      <c r="K867" s="56">
        <f t="shared" si="53"/>
        <v>681805.1832789199</v>
      </c>
      <c r="T867" s="83"/>
    </row>
    <row r="868" spans="2:20" x14ac:dyDescent="0.2">
      <c r="B868" s="83"/>
      <c r="C868" s="56">
        <v>829</v>
      </c>
      <c r="D868" s="56">
        <v>15474.481151456244</v>
      </c>
      <c r="E868" s="56">
        <v>2.7078354936194677</v>
      </c>
      <c r="F868" s="56">
        <v>10115.682508290618</v>
      </c>
      <c r="G868" s="56">
        <v>8.291102663555229</v>
      </c>
      <c r="H868" s="56">
        <f t="shared" si="50"/>
        <v>5358.7986431656263</v>
      </c>
      <c r="I868" s="56">
        <f t="shared" si="51"/>
        <v>-5.5832671699357608</v>
      </c>
      <c r="J868" s="56">
        <f t="shared" si="52"/>
        <v>96694.89633623659</v>
      </c>
      <c r="K868" s="56">
        <f t="shared" si="53"/>
        <v>333334.9542268212</v>
      </c>
      <c r="T868" s="83"/>
    </row>
    <row r="869" spans="2:20" x14ac:dyDescent="0.2">
      <c r="B869" s="83"/>
      <c r="C869" s="56">
        <v>830</v>
      </c>
      <c r="D869" s="56">
        <v>9709.1473890649158</v>
      </c>
      <c r="E869" s="56">
        <v>2.2816689662853564</v>
      </c>
      <c r="F869" s="56">
        <v>12231.640257962255</v>
      </c>
      <c r="G869" s="56">
        <v>13.600991371147297</v>
      </c>
      <c r="H869" s="56">
        <f t="shared" si="50"/>
        <v>-2522.4928688973396</v>
      </c>
      <c r="I869" s="56">
        <f t="shared" si="51"/>
        <v>-11.319322404861939</v>
      </c>
      <c r="J869" s="56">
        <f t="shared" si="52"/>
        <v>84806.707870339684</v>
      </c>
      <c r="K869" s="56">
        <f t="shared" si="53"/>
        <v>551175.82630044338</v>
      </c>
      <c r="T869" s="83"/>
    </row>
    <row r="870" spans="2:20" x14ac:dyDescent="0.2">
      <c r="B870" s="83"/>
      <c r="C870" s="56">
        <v>831</v>
      </c>
      <c r="D870" s="56">
        <v>17525.909412768513</v>
      </c>
      <c r="E870" s="56">
        <v>3.3943072334803759</v>
      </c>
      <c r="F870" s="56">
        <v>12086.475133740088</v>
      </c>
      <c r="G870" s="56">
        <v>11.428876000093851</v>
      </c>
      <c r="H870" s="56">
        <f t="shared" si="50"/>
        <v>5439.4342790284245</v>
      </c>
      <c r="I870" s="56">
        <f t="shared" si="51"/>
        <v>-8.0345687666134751</v>
      </c>
      <c r="J870" s="56">
        <f t="shared" si="52"/>
        <v>123079.87342692258</v>
      </c>
      <c r="K870" s="56">
        <f t="shared" si="53"/>
        <v>461343.28429414757</v>
      </c>
      <c r="T870" s="83"/>
    </row>
    <row r="871" spans="2:20" x14ac:dyDescent="0.2">
      <c r="B871" s="83"/>
      <c r="C871" s="56">
        <v>832</v>
      </c>
      <c r="D871" s="56">
        <v>11547.589575144759</v>
      </c>
      <c r="E871" s="56">
        <v>2.636512535624091</v>
      </c>
      <c r="F871" s="56">
        <v>14589.064565752018</v>
      </c>
      <c r="G871" s="56">
        <v>13.530764371357163</v>
      </c>
      <c r="H871" s="56">
        <f t="shared" si="50"/>
        <v>-3041.4749906072593</v>
      </c>
      <c r="I871" s="56">
        <f t="shared" si="51"/>
        <v>-10.894251835733073</v>
      </c>
      <c r="J871" s="56">
        <f t="shared" si="52"/>
        <v>97667.3057005476</v>
      </c>
      <c r="K871" s="56">
        <f t="shared" si="53"/>
        <v>545909.31875334703</v>
      </c>
      <c r="T871" s="83"/>
    </row>
    <row r="872" spans="2:20" x14ac:dyDescent="0.2">
      <c r="B872" s="83"/>
      <c r="C872" s="56">
        <v>833</v>
      </c>
      <c r="D872" s="56">
        <v>6746.6013434962751</v>
      </c>
      <c r="E872" s="56">
        <v>1.4612784995738339</v>
      </c>
      <c r="F872" s="56">
        <v>17546.419879248537</v>
      </c>
      <c r="G872" s="56">
        <v>17.720416017572653</v>
      </c>
      <c r="H872" s="56">
        <f t="shared" ref="H872:H935" si="54">IF($C872&lt;=No_of_iterations_PSA,D872-$F872,"")</f>
        <v>-10799.818535752262</v>
      </c>
      <c r="I872" s="56">
        <f t="shared" ref="I872:I935" si="55">IF($C872&lt;=No_of_iterations_PSA,E872-$G872,"")</f>
        <v>-16.25913751799882</v>
      </c>
      <c r="J872" s="56">
        <f t="shared" ref="J872:J935" si="56">IF($C872&lt;=No_of_iterations_PSA,E872*WTP-D872,"")</f>
        <v>53785.399222850225</v>
      </c>
      <c r="K872" s="56">
        <f t="shared" ref="K872:K935" si="57">IF($C872&lt;=No_of_iterations_PSA,G872*WTP-F872,"")</f>
        <v>716504.09323268104</v>
      </c>
      <c r="T872" s="83"/>
    </row>
    <row r="873" spans="2:20" x14ac:dyDescent="0.2">
      <c r="B873" s="83"/>
      <c r="C873" s="56">
        <v>834</v>
      </c>
      <c r="D873" s="56">
        <v>19278.64557233901</v>
      </c>
      <c r="E873" s="56">
        <v>4.1384608790017667</v>
      </c>
      <c r="F873" s="56">
        <v>12332.740447319507</v>
      </c>
      <c r="G873" s="56">
        <v>12.435212880115959</v>
      </c>
      <c r="H873" s="56">
        <f t="shared" si="54"/>
        <v>6945.9051250195025</v>
      </c>
      <c r="I873" s="56">
        <f t="shared" si="55"/>
        <v>-8.2967520011141929</v>
      </c>
      <c r="J873" s="56">
        <f t="shared" si="56"/>
        <v>152152.95787943018</v>
      </c>
      <c r="K873" s="56">
        <f t="shared" si="57"/>
        <v>502783.51789860392</v>
      </c>
      <c r="T873" s="83"/>
    </row>
    <row r="874" spans="2:20" x14ac:dyDescent="0.2">
      <c r="B874" s="83"/>
      <c r="C874" s="56">
        <v>835</v>
      </c>
      <c r="D874" s="56">
        <v>9680.7968113461848</v>
      </c>
      <c r="E874" s="56">
        <v>1.776561980980724</v>
      </c>
      <c r="F874" s="56">
        <v>16583.802001158943</v>
      </c>
      <c r="G874" s="56">
        <v>17.257421673844647</v>
      </c>
      <c r="H874" s="56">
        <f t="shared" si="54"/>
        <v>-6903.0051898127585</v>
      </c>
      <c r="I874" s="56">
        <f t="shared" si="55"/>
        <v>-15.480859692863923</v>
      </c>
      <c r="J874" s="56">
        <f t="shared" si="56"/>
        <v>63911.506688799331</v>
      </c>
      <c r="K874" s="56">
        <f t="shared" si="57"/>
        <v>698287.63341618166</v>
      </c>
      <c r="T874" s="83"/>
    </row>
    <row r="875" spans="2:20" x14ac:dyDescent="0.2">
      <c r="B875" s="83"/>
      <c r="C875" s="56">
        <v>836</v>
      </c>
      <c r="D875" s="56">
        <v>16439.947812183851</v>
      </c>
      <c r="E875" s="56">
        <v>3.6421971253731718</v>
      </c>
      <c r="F875" s="56">
        <v>9365.549829615833</v>
      </c>
      <c r="G875" s="56">
        <v>7.3276962537458958</v>
      </c>
      <c r="H875" s="56">
        <f t="shared" si="54"/>
        <v>7074.3979825680181</v>
      </c>
      <c r="I875" s="56">
        <f t="shared" si="55"/>
        <v>-3.6854991283727241</v>
      </c>
      <c r="J875" s="56">
        <f t="shared" si="56"/>
        <v>134434.42590927443</v>
      </c>
      <c r="K875" s="56">
        <f t="shared" si="57"/>
        <v>294176.93978555419</v>
      </c>
      <c r="T875" s="83"/>
    </row>
    <row r="876" spans="2:20" x14ac:dyDescent="0.2">
      <c r="B876" s="83"/>
      <c r="C876" s="56">
        <v>837</v>
      </c>
      <c r="D876" s="56">
        <v>8497.1409722540211</v>
      </c>
      <c r="E876" s="56">
        <v>2.1136080022439505</v>
      </c>
      <c r="F876" s="56">
        <v>14177.938282802463</v>
      </c>
      <c r="G876" s="56">
        <v>13.762020991119718</v>
      </c>
      <c r="H876" s="56">
        <f t="shared" si="54"/>
        <v>-5680.7973105484416</v>
      </c>
      <c r="I876" s="56">
        <f t="shared" si="55"/>
        <v>-11.648412988875767</v>
      </c>
      <c r="J876" s="56">
        <f t="shared" si="56"/>
        <v>79056.956912699374</v>
      </c>
      <c r="K876" s="56">
        <f t="shared" si="57"/>
        <v>555900.01925334067</v>
      </c>
      <c r="T876" s="83"/>
    </row>
    <row r="877" spans="2:20" x14ac:dyDescent="0.2">
      <c r="B877" s="83"/>
      <c r="C877" s="56">
        <v>838</v>
      </c>
      <c r="D877" s="56">
        <v>12530.306066127834</v>
      </c>
      <c r="E877" s="56">
        <v>2.6801601705178792</v>
      </c>
      <c r="F877" s="56">
        <v>13700.061840467941</v>
      </c>
      <c r="G877" s="56">
        <v>13.042692260288241</v>
      </c>
      <c r="H877" s="56">
        <f t="shared" si="54"/>
        <v>-1169.7557743401067</v>
      </c>
      <c r="I877" s="56">
        <f t="shared" si="55"/>
        <v>-10.362532089770362</v>
      </c>
      <c r="J877" s="56">
        <f t="shared" si="56"/>
        <v>98492.648837404806</v>
      </c>
      <c r="K877" s="56">
        <f t="shared" si="57"/>
        <v>526580.42234971211</v>
      </c>
      <c r="T877" s="83"/>
    </row>
    <row r="878" spans="2:20" x14ac:dyDescent="0.2">
      <c r="B878" s="83"/>
      <c r="C878" s="56">
        <v>839</v>
      </c>
      <c r="D878" s="56">
        <v>20186.373264567126</v>
      </c>
      <c r="E878" s="56">
        <v>4.4208275631557763</v>
      </c>
      <c r="F878" s="56">
        <v>22440.913453082128</v>
      </c>
      <c r="G878" s="56">
        <v>24.157210301292551</v>
      </c>
      <c r="H878" s="56">
        <f t="shared" si="54"/>
        <v>-2254.5401885150022</v>
      </c>
      <c r="I878" s="56">
        <f t="shared" si="55"/>
        <v>-19.736382738136776</v>
      </c>
      <c r="J878" s="56">
        <f t="shared" si="56"/>
        <v>162941.98771159776</v>
      </c>
      <c r="K878" s="56">
        <f t="shared" si="57"/>
        <v>978247.36606766051</v>
      </c>
      <c r="T878" s="83"/>
    </row>
    <row r="879" spans="2:20" x14ac:dyDescent="0.2">
      <c r="B879" s="83"/>
      <c r="C879" s="56">
        <v>840</v>
      </c>
      <c r="D879" s="56">
        <v>6626.0682064016555</v>
      </c>
      <c r="E879" s="56">
        <v>1.3130155486473165</v>
      </c>
      <c r="F879" s="56">
        <v>11808.051169581471</v>
      </c>
      <c r="G879" s="56">
        <v>10.822874857985367</v>
      </c>
      <c r="H879" s="56">
        <f t="shared" si="54"/>
        <v>-5181.9829631798157</v>
      </c>
      <c r="I879" s="56">
        <f t="shared" si="55"/>
        <v>-9.5098593093380508</v>
      </c>
      <c r="J879" s="56">
        <f t="shared" si="56"/>
        <v>47764.287880764779</v>
      </c>
      <c r="K879" s="56">
        <f t="shared" si="57"/>
        <v>436518.71694760438</v>
      </c>
      <c r="T879" s="83"/>
    </row>
    <row r="880" spans="2:20" x14ac:dyDescent="0.2">
      <c r="B880" s="83"/>
      <c r="C880" s="56">
        <v>841</v>
      </c>
      <c r="D880" s="56">
        <v>15020.766162005892</v>
      </c>
      <c r="E880" s="56">
        <v>3.1360647874509167</v>
      </c>
      <c r="F880" s="56">
        <v>12221.062811637346</v>
      </c>
      <c r="G880" s="56">
        <v>11.228803459870655</v>
      </c>
      <c r="H880" s="56">
        <f t="shared" si="54"/>
        <v>2799.7033503685452</v>
      </c>
      <c r="I880" s="56">
        <f t="shared" si="55"/>
        <v>-8.0927386724197383</v>
      </c>
      <c r="J880" s="56">
        <f t="shared" si="56"/>
        <v>114887.58159336088</v>
      </c>
      <c r="K880" s="56">
        <f t="shared" si="57"/>
        <v>452920.89171004464</v>
      </c>
      <c r="T880" s="83"/>
    </row>
    <row r="881" spans="2:20" x14ac:dyDescent="0.2">
      <c r="B881" s="83"/>
      <c r="C881" s="56">
        <v>842</v>
      </c>
      <c r="D881" s="56">
        <v>15384.218848341565</v>
      </c>
      <c r="E881" s="56">
        <v>4.1980462345384488</v>
      </c>
      <c r="F881" s="56">
        <v>14341.617606983978</v>
      </c>
      <c r="G881" s="56">
        <v>13.909680817251292</v>
      </c>
      <c r="H881" s="56">
        <f t="shared" si="54"/>
        <v>1042.6012413575863</v>
      </c>
      <c r="I881" s="56">
        <f t="shared" si="55"/>
        <v>-9.7116345827128434</v>
      </c>
      <c r="J881" s="56">
        <f t="shared" si="56"/>
        <v>158515.64837117915</v>
      </c>
      <c r="K881" s="56">
        <f t="shared" si="57"/>
        <v>561853.00056683354</v>
      </c>
      <c r="T881" s="83"/>
    </row>
    <row r="882" spans="2:20" x14ac:dyDescent="0.2">
      <c r="B882" s="83"/>
      <c r="C882" s="56">
        <v>843</v>
      </c>
      <c r="D882" s="56">
        <v>9990.8661319281437</v>
      </c>
      <c r="E882" s="56">
        <v>2.0950294110351457</v>
      </c>
      <c r="F882" s="56">
        <v>20332.081993270403</v>
      </c>
      <c r="G882" s="56">
        <v>21.444901920993818</v>
      </c>
      <c r="H882" s="56">
        <f t="shared" si="54"/>
        <v>-10341.21586134226</v>
      </c>
      <c r="I882" s="56">
        <f t="shared" si="55"/>
        <v>-19.349872509958672</v>
      </c>
      <c r="J882" s="56">
        <f t="shared" si="56"/>
        <v>76793.632190791745</v>
      </c>
      <c r="K882" s="56">
        <f t="shared" si="57"/>
        <v>868001.53518197744</v>
      </c>
      <c r="T882" s="83"/>
    </row>
    <row r="883" spans="2:20" x14ac:dyDescent="0.2">
      <c r="B883" s="83"/>
      <c r="C883" s="56">
        <v>844</v>
      </c>
      <c r="D883" s="56">
        <v>17046.329911844379</v>
      </c>
      <c r="E883" s="56">
        <v>3.0164096041996302</v>
      </c>
      <c r="F883" s="56">
        <v>17582.566651922112</v>
      </c>
      <c r="G883" s="56">
        <v>17.28317566780537</v>
      </c>
      <c r="H883" s="56">
        <f t="shared" si="54"/>
        <v>-536.23674007773297</v>
      </c>
      <c r="I883" s="56">
        <f t="shared" si="55"/>
        <v>-14.26676606360574</v>
      </c>
      <c r="J883" s="56">
        <f t="shared" si="56"/>
        <v>107905.4215325211</v>
      </c>
      <c r="K883" s="56">
        <f t="shared" si="57"/>
        <v>698355.70221124752</v>
      </c>
      <c r="T883" s="83"/>
    </row>
    <row r="884" spans="2:20" x14ac:dyDescent="0.2">
      <c r="B884" s="83"/>
      <c r="C884" s="56">
        <v>845</v>
      </c>
      <c r="D884" s="56">
        <v>7981.0419563460864</v>
      </c>
      <c r="E884" s="56">
        <v>1.5798150100230273</v>
      </c>
      <c r="F884" s="56">
        <v>17262.67391829523</v>
      </c>
      <c r="G884" s="56">
        <v>15.942421185821422</v>
      </c>
      <c r="H884" s="56">
        <f t="shared" si="54"/>
        <v>-9281.6319619491442</v>
      </c>
      <c r="I884" s="56">
        <f t="shared" si="55"/>
        <v>-14.362606175798394</v>
      </c>
      <c r="J884" s="56">
        <f t="shared" si="56"/>
        <v>57461.21501884779</v>
      </c>
      <c r="K884" s="56">
        <f t="shared" si="57"/>
        <v>643136.18128317141</v>
      </c>
      <c r="T884" s="83"/>
    </row>
    <row r="885" spans="2:20" x14ac:dyDescent="0.2">
      <c r="B885" s="83"/>
      <c r="C885" s="56">
        <v>846</v>
      </c>
      <c r="D885" s="56">
        <v>15371.643272834926</v>
      </c>
      <c r="E885" s="56">
        <v>2.9302179152207026</v>
      </c>
      <c r="F885" s="56">
        <v>10505.833405836967</v>
      </c>
      <c r="G885" s="56">
        <v>10.088363831415437</v>
      </c>
      <c r="H885" s="56">
        <f t="shared" si="54"/>
        <v>4865.809866997959</v>
      </c>
      <c r="I885" s="56">
        <f t="shared" si="55"/>
        <v>-7.1581459161947345</v>
      </c>
      <c r="J885" s="56">
        <f t="shared" si="56"/>
        <v>106009.70364726745</v>
      </c>
      <c r="K885" s="56">
        <f t="shared" si="57"/>
        <v>407394.54994671611</v>
      </c>
      <c r="T885" s="83"/>
    </row>
    <row r="886" spans="2:20" x14ac:dyDescent="0.2">
      <c r="B886" s="83"/>
      <c r="C886" s="56">
        <v>847</v>
      </c>
      <c r="D886" s="56">
        <v>15325.664582493149</v>
      </c>
      <c r="E886" s="56">
        <v>2.5036016244876738</v>
      </c>
      <c r="F886" s="56">
        <v>11582.665492191722</v>
      </c>
      <c r="G886" s="56">
        <v>10.625974538022998</v>
      </c>
      <c r="H886" s="56">
        <f t="shared" si="54"/>
        <v>3742.9990903014277</v>
      </c>
      <c r="I886" s="56">
        <f t="shared" si="55"/>
        <v>-8.1223729135353242</v>
      </c>
      <c r="J886" s="56">
        <f t="shared" si="56"/>
        <v>88383.529110284246</v>
      </c>
      <c r="K886" s="56">
        <f t="shared" si="57"/>
        <v>428587.7037708729</v>
      </c>
      <c r="T886" s="83"/>
    </row>
    <row r="887" spans="2:20" x14ac:dyDescent="0.2">
      <c r="B887" s="83"/>
      <c r="C887" s="56">
        <v>848</v>
      </c>
      <c r="D887" s="56">
        <v>12593.248919737085</v>
      </c>
      <c r="E887" s="56">
        <v>3.2119411024703908</v>
      </c>
      <c r="F887" s="56">
        <v>8776.661884562589</v>
      </c>
      <c r="G887" s="56">
        <v>8.2178316061295522</v>
      </c>
      <c r="H887" s="56">
        <f t="shared" si="54"/>
        <v>3816.5870351744961</v>
      </c>
      <c r="I887" s="56">
        <f t="shared" si="55"/>
        <v>-5.0058905036591614</v>
      </c>
      <c r="J887" s="56">
        <f t="shared" si="56"/>
        <v>120458.19930899638</v>
      </c>
      <c r="K887" s="56">
        <f t="shared" si="57"/>
        <v>331638.79456774797</v>
      </c>
      <c r="T887" s="83"/>
    </row>
    <row r="888" spans="2:20" x14ac:dyDescent="0.2">
      <c r="B888" s="83"/>
      <c r="C888" s="56">
        <v>849</v>
      </c>
      <c r="D888" s="56">
        <v>14576.690128711272</v>
      </c>
      <c r="E888" s="56">
        <v>2.9839470473560432</v>
      </c>
      <c r="F888" s="56">
        <v>14364.087293576369</v>
      </c>
      <c r="G888" s="56">
        <v>14.786811252802073</v>
      </c>
      <c r="H888" s="56">
        <f t="shared" si="54"/>
        <v>212.60283513490322</v>
      </c>
      <c r="I888" s="56">
        <f t="shared" si="55"/>
        <v>-11.80286420544603</v>
      </c>
      <c r="J888" s="56">
        <f t="shared" si="56"/>
        <v>109030.33236096546</v>
      </c>
      <c r="K888" s="56">
        <f t="shared" si="57"/>
        <v>598164.78204249672</v>
      </c>
      <c r="T888" s="83"/>
    </row>
    <row r="889" spans="2:20" x14ac:dyDescent="0.2">
      <c r="B889" s="83"/>
      <c r="C889" s="56">
        <v>850</v>
      </c>
      <c r="D889" s="56">
        <v>18426.628195555713</v>
      </c>
      <c r="E889" s="56">
        <v>3.6631888791366838</v>
      </c>
      <c r="F889" s="56">
        <v>12813.779644211845</v>
      </c>
      <c r="G889" s="56">
        <v>12.20715799330249</v>
      </c>
      <c r="H889" s="56">
        <f t="shared" si="54"/>
        <v>5612.8485513438682</v>
      </c>
      <c r="I889" s="56">
        <f t="shared" si="55"/>
        <v>-8.5439691141658063</v>
      </c>
      <c r="J889" s="56">
        <f t="shared" si="56"/>
        <v>133317.30793380228</v>
      </c>
      <c r="K889" s="56">
        <f t="shared" si="57"/>
        <v>492855.53307035047</v>
      </c>
      <c r="T889" s="83"/>
    </row>
    <row r="890" spans="2:20" x14ac:dyDescent="0.2">
      <c r="B890" s="83"/>
      <c r="C890" s="56">
        <v>851</v>
      </c>
      <c r="D890" s="56">
        <v>10745.80936988133</v>
      </c>
      <c r="E890" s="56">
        <v>2.3468985479308913</v>
      </c>
      <c r="F890" s="56">
        <v>11062.981769211343</v>
      </c>
      <c r="G890" s="56">
        <v>13.52847170610063</v>
      </c>
      <c r="H890" s="56">
        <f t="shared" si="54"/>
        <v>-317.17239933001292</v>
      </c>
      <c r="I890" s="56">
        <f t="shared" si="55"/>
        <v>-11.181573158169739</v>
      </c>
      <c r="J890" s="56">
        <f t="shared" si="56"/>
        <v>86472.116079607906</v>
      </c>
      <c r="K890" s="56">
        <f t="shared" si="57"/>
        <v>549340.43018430111</v>
      </c>
      <c r="T890" s="83"/>
    </row>
    <row r="891" spans="2:20" x14ac:dyDescent="0.2">
      <c r="B891" s="83"/>
      <c r="C891" s="56">
        <v>852</v>
      </c>
      <c r="D891" s="56">
        <v>14690.074807311063</v>
      </c>
      <c r="E891" s="56">
        <v>3.0015702998058895</v>
      </c>
      <c r="F891" s="56">
        <v>14591.855886631762</v>
      </c>
      <c r="G891" s="56">
        <v>12.846166102845025</v>
      </c>
      <c r="H891" s="56">
        <f t="shared" si="54"/>
        <v>98.218920679300936</v>
      </c>
      <c r="I891" s="56">
        <f t="shared" si="55"/>
        <v>-9.8445958030391356</v>
      </c>
      <c r="J891" s="56">
        <f t="shared" si="56"/>
        <v>109646.9732918481</v>
      </c>
      <c r="K891" s="56">
        <f t="shared" si="57"/>
        <v>517547.72875762056</v>
      </c>
      <c r="T891" s="83"/>
    </row>
    <row r="892" spans="2:20" x14ac:dyDescent="0.2">
      <c r="B892" s="83"/>
      <c r="C892" s="56">
        <v>853</v>
      </c>
      <c r="D892" s="56">
        <v>16287.066538949322</v>
      </c>
      <c r="E892" s="56">
        <v>2.6807667859541211</v>
      </c>
      <c r="F892" s="56">
        <v>15665.90042793182</v>
      </c>
      <c r="G892" s="56">
        <v>13.786808042881599</v>
      </c>
      <c r="H892" s="56">
        <f t="shared" si="54"/>
        <v>621.16611101750277</v>
      </c>
      <c r="I892" s="56">
        <f t="shared" si="55"/>
        <v>-11.106041256927478</v>
      </c>
      <c r="J892" s="56">
        <f t="shared" si="56"/>
        <v>94761.016802414189</v>
      </c>
      <c r="K892" s="56">
        <f t="shared" si="57"/>
        <v>555438.8359403956</v>
      </c>
      <c r="T892" s="83"/>
    </row>
    <row r="893" spans="2:20" x14ac:dyDescent="0.2">
      <c r="B893" s="83"/>
      <c r="C893" s="56">
        <v>854</v>
      </c>
      <c r="D893" s="56">
        <v>20385.923127851445</v>
      </c>
      <c r="E893" s="56">
        <v>4.6096985957630707</v>
      </c>
      <c r="F893" s="56">
        <v>18734.03352041863</v>
      </c>
      <c r="G893" s="56">
        <v>20.798980493604411</v>
      </c>
      <c r="H893" s="56">
        <f t="shared" si="54"/>
        <v>1651.889607432815</v>
      </c>
      <c r="I893" s="56">
        <f t="shared" si="55"/>
        <v>-16.18928189784134</v>
      </c>
      <c r="J893" s="56">
        <f t="shared" si="56"/>
        <v>170566.231503038</v>
      </c>
      <c r="K893" s="56">
        <f t="shared" si="57"/>
        <v>842842.93444665044</v>
      </c>
      <c r="T893" s="83"/>
    </row>
    <row r="894" spans="2:20" x14ac:dyDescent="0.2">
      <c r="B894" s="83"/>
      <c r="C894" s="56">
        <v>855</v>
      </c>
      <c r="D894" s="56">
        <v>16993.001264726343</v>
      </c>
      <c r="E894" s="56">
        <v>2.6644008564705115</v>
      </c>
      <c r="F894" s="56">
        <v>23121.816388472464</v>
      </c>
      <c r="G894" s="56">
        <v>19.4874508585246</v>
      </c>
      <c r="H894" s="56">
        <f t="shared" si="54"/>
        <v>-6128.8151237461207</v>
      </c>
      <c r="I894" s="56">
        <f t="shared" si="55"/>
        <v>-16.823050002054089</v>
      </c>
      <c r="J894" s="56">
        <f t="shared" si="56"/>
        <v>93377.139813708112</v>
      </c>
      <c r="K894" s="56">
        <f t="shared" si="57"/>
        <v>784126.34797505056</v>
      </c>
      <c r="T894" s="83"/>
    </row>
    <row r="895" spans="2:20" x14ac:dyDescent="0.2">
      <c r="B895" s="83"/>
      <c r="C895" s="56">
        <v>856</v>
      </c>
      <c r="D895" s="56">
        <v>12251.051003455637</v>
      </c>
      <c r="E895" s="56">
        <v>1.7664390077362286</v>
      </c>
      <c r="F895" s="56">
        <v>16676.796064484464</v>
      </c>
      <c r="G895" s="56">
        <v>13.967173105898922</v>
      </c>
      <c r="H895" s="56">
        <f t="shared" si="54"/>
        <v>-4425.745061028827</v>
      </c>
      <c r="I895" s="56">
        <f t="shared" si="55"/>
        <v>-12.200734098162695</v>
      </c>
      <c r="J895" s="56">
        <f t="shared" si="56"/>
        <v>60921.918453009901</v>
      </c>
      <c r="K895" s="56">
        <f t="shared" si="57"/>
        <v>561899.3826742724</v>
      </c>
      <c r="T895" s="83"/>
    </row>
    <row r="896" spans="2:20" x14ac:dyDescent="0.2">
      <c r="B896" s="83"/>
      <c r="C896" s="56">
        <v>857</v>
      </c>
      <c r="D896" s="56">
        <v>15242.847594478317</v>
      </c>
      <c r="E896" s="56">
        <v>2.5245109029925077</v>
      </c>
      <c r="F896" s="56">
        <v>18089.191243676592</v>
      </c>
      <c r="G896" s="56">
        <v>15.983996349152097</v>
      </c>
      <c r="H896" s="56">
        <f t="shared" si="54"/>
        <v>-2846.3436491982757</v>
      </c>
      <c r="I896" s="56">
        <f t="shared" si="55"/>
        <v>-13.45948544615959</v>
      </c>
      <c r="J896" s="56">
        <f t="shared" si="56"/>
        <v>89332.492051083333</v>
      </c>
      <c r="K896" s="56">
        <f t="shared" si="57"/>
        <v>644031.87352359993</v>
      </c>
      <c r="T896" s="83"/>
    </row>
    <row r="897" spans="2:20" x14ac:dyDescent="0.2">
      <c r="B897" s="83"/>
      <c r="C897" s="56">
        <v>858</v>
      </c>
      <c r="D897" s="56">
        <v>19105.371698842875</v>
      </c>
      <c r="E897" s="56">
        <v>3.9465948822964649</v>
      </c>
      <c r="F897" s="56">
        <v>13647.44071243245</v>
      </c>
      <c r="G897" s="56">
        <v>13.73910333535715</v>
      </c>
      <c r="H897" s="56">
        <f t="shared" si="54"/>
        <v>5457.9309864104252</v>
      </c>
      <c r="I897" s="56">
        <f t="shared" si="55"/>
        <v>-9.7925084530606856</v>
      </c>
      <c r="J897" s="56">
        <f t="shared" si="56"/>
        <v>144378.37470540588</v>
      </c>
      <c r="K897" s="56">
        <f t="shared" si="57"/>
        <v>555481.17585140211</v>
      </c>
      <c r="T897" s="83"/>
    </row>
    <row r="898" spans="2:20" x14ac:dyDescent="0.2">
      <c r="B898" s="83"/>
      <c r="C898" s="56">
        <v>859</v>
      </c>
      <c r="D898" s="56">
        <v>9988.1058931903153</v>
      </c>
      <c r="E898" s="56">
        <v>1.9512933902829128</v>
      </c>
      <c r="F898" s="56">
        <v>18329.335329815116</v>
      </c>
      <c r="G898" s="56">
        <v>20.973074052807444</v>
      </c>
      <c r="H898" s="56">
        <f t="shared" si="54"/>
        <v>-8341.2294366248007</v>
      </c>
      <c r="I898" s="56">
        <f t="shared" si="55"/>
        <v>-19.021780662524531</v>
      </c>
      <c r="J898" s="56">
        <f t="shared" si="56"/>
        <v>70842.271505889075</v>
      </c>
      <c r="K898" s="56">
        <f t="shared" si="57"/>
        <v>850459.28423368046</v>
      </c>
      <c r="T898" s="83"/>
    </row>
    <row r="899" spans="2:20" x14ac:dyDescent="0.2">
      <c r="B899" s="83"/>
      <c r="C899" s="56">
        <v>860</v>
      </c>
      <c r="D899" s="56">
        <v>16417.686491176879</v>
      </c>
      <c r="E899" s="56">
        <v>4.145221927694247</v>
      </c>
      <c r="F899" s="56">
        <v>13166.139036576529</v>
      </c>
      <c r="G899" s="56">
        <v>14.572548958202551</v>
      </c>
      <c r="H899" s="56">
        <f t="shared" si="54"/>
        <v>3251.5474546003497</v>
      </c>
      <c r="I899" s="56">
        <f t="shared" si="55"/>
        <v>-10.427327030508305</v>
      </c>
      <c r="J899" s="56">
        <f t="shared" si="56"/>
        <v>155293.9866416296</v>
      </c>
      <c r="K899" s="56">
        <f t="shared" si="57"/>
        <v>590487.12900800596</v>
      </c>
      <c r="T899" s="83"/>
    </row>
    <row r="900" spans="2:20" x14ac:dyDescent="0.2">
      <c r="B900" s="83"/>
      <c r="C900" s="56">
        <v>861</v>
      </c>
      <c r="D900" s="56">
        <v>18511.201103297703</v>
      </c>
      <c r="E900" s="56">
        <v>4.0085216765993721</v>
      </c>
      <c r="F900" s="56">
        <v>7819.836152027623</v>
      </c>
      <c r="G900" s="56">
        <v>6.7913742373149546</v>
      </c>
      <c r="H900" s="56">
        <f t="shared" si="54"/>
        <v>10691.364951270079</v>
      </c>
      <c r="I900" s="56">
        <f t="shared" si="55"/>
        <v>-2.7828525607155825</v>
      </c>
      <c r="J900" s="56">
        <f t="shared" si="56"/>
        <v>147537.80082815469</v>
      </c>
      <c r="K900" s="56">
        <f t="shared" si="57"/>
        <v>273506.05025450711</v>
      </c>
      <c r="T900" s="83"/>
    </row>
    <row r="901" spans="2:20" x14ac:dyDescent="0.2">
      <c r="B901" s="83"/>
      <c r="C901" s="56">
        <v>862</v>
      </c>
      <c r="D901" s="56">
        <v>21987.178443213623</v>
      </c>
      <c r="E901" s="56">
        <v>5.0049275844496313</v>
      </c>
      <c r="F901" s="56">
        <v>811.32676602284164</v>
      </c>
      <c r="G901" s="56">
        <v>0.80673769490261393</v>
      </c>
      <c r="H901" s="56">
        <f t="shared" si="54"/>
        <v>21175.851677190782</v>
      </c>
      <c r="I901" s="56">
        <f t="shared" si="55"/>
        <v>4.1981898895470176</v>
      </c>
      <c r="J901" s="56">
        <f t="shared" si="56"/>
        <v>185336.94181502788</v>
      </c>
      <c r="K901" s="56">
        <f t="shared" si="57"/>
        <v>32606.975507623039</v>
      </c>
      <c r="T901" s="83"/>
    </row>
    <row r="902" spans="2:20" x14ac:dyDescent="0.2">
      <c r="B902" s="83"/>
      <c r="C902" s="56">
        <v>863</v>
      </c>
      <c r="D902" s="56">
        <v>19063.664101734823</v>
      </c>
      <c r="E902" s="56">
        <v>4.7613925522548293</v>
      </c>
      <c r="F902" s="56">
        <v>9499.229794289291</v>
      </c>
      <c r="G902" s="56">
        <v>11.98220455549153</v>
      </c>
      <c r="H902" s="56">
        <f t="shared" si="54"/>
        <v>9564.4343074455319</v>
      </c>
      <c r="I902" s="56">
        <f t="shared" si="55"/>
        <v>-7.2208120032367002</v>
      </c>
      <c r="J902" s="56">
        <f t="shared" si="56"/>
        <v>178172.26098286922</v>
      </c>
      <c r="K902" s="56">
        <f t="shared" si="57"/>
        <v>486851.61171239184</v>
      </c>
      <c r="T902" s="83"/>
    </row>
    <row r="903" spans="2:20" x14ac:dyDescent="0.2">
      <c r="B903" s="83"/>
      <c r="C903" s="56">
        <v>864</v>
      </c>
      <c r="D903" s="56">
        <v>17278.126086616114</v>
      </c>
      <c r="E903" s="56">
        <v>3.1776726289469748</v>
      </c>
      <c r="F903" s="56">
        <v>18613.042288989716</v>
      </c>
      <c r="G903" s="56">
        <v>17.255948607454304</v>
      </c>
      <c r="H903" s="56">
        <f t="shared" si="54"/>
        <v>-1334.9162023736026</v>
      </c>
      <c r="I903" s="56">
        <f t="shared" si="55"/>
        <v>-14.078275978507328</v>
      </c>
      <c r="J903" s="56">
        <f t="shared" si="56"/>
        <v>114353.78489488336</v>
      </c>
      <c r="K903" s="56">
        <f t="shared" si="57"/>
        <v>696197.3728261973</v>
      </c>
      <c r="T903" s="83"/>
    </row>
    <row r="904" spans="2:20" x14ac:dyDescent="0.2">
      <c r="B904" s="83"/>
      <c r="C904" s="56">
        <v>865</v>
      </c>
      <c r="D904" s="56">
        <v>19920.538362473486</v>
      </c>
      <c r="E904" s="56">
        <v>3.6579097097021167</v>
      </c>
      <c r="F904" s="56">
        <v>10648.237503363567</v>
      </c>
      <c r="G904" s="56">
        <v>10.346362050433269</v>
      </c>
      <c r="H904" s="56">
        <f t="shared" si="54"/>
        <v>9272.3008591099187</v>
      </c>
      <c r="I904" s="56">
        <f t="shared" si="55"/>
        <v>-6.6884523407311525</v>
      </c>
      <c r="J904" s="56">
        <f t="shared" si="56"/>
        <v>131604.71345222701</v>
      </c>
      <c r="K904" s="56">
        <f t="shared" si="57"/>
        <v>417939.46407378418</v>
      </c>
      <c r="T904" s="83"/>
    </row>
    <row r="905" spans="2:20" x14ac:dyDescent="0.2">
      <c r="B905" s="83"/>
      <c r="C905" s="56">
        <v>866</v>
      </c>
      <c r="D905" s="56">
        <v>17139.985475301841</v>
      </c>
      <c r="E905" s="56">
        <v>3.2085333721333926</v>
      </c>
      <c r="F905" s="56">
        <v>13536.793873651499</v>
      </c>
      <c r="G905" s="56">
        <v>12.490312464948449</v>
      </c>
      <c r="H905" s="56">
        <f t="shared" si="54"/>
        <v>3603.1916016503419</v>
      </c>
      <c r="I905" s="56">
        <f t="shared" si="55"/>
        <v>-9.2817790928150572</v>
      </c>
      <c r="J905" s="56">
        <f t="shared" si="56"/>
        <v>115770.3009319518</v>
      </c>
      <c r="K905" s="56">
        <f t="shared" si="57"/>
        <v>503861.90967437305</v>
      </c>
      <c r="T905" s="83"/>
    </row>
    <row r="906" spans="2:20" x14ac:dyDescent="0.2">
      <c r="B906" s="83"/>
      <c r="C906" s="56">
        <v>867</v>
      </c>
      <c r="D906" s="56">
        <v>8718.630317848585</v>
      </c>
      <c r="E906" s="56">
        <v>1.3763720611559165</v>
      </c>
      <c r="F906" s="56">
        <v>18338.740111468021</v>
      </c>
      <c r="G906" s="56">
        <v>19.294580028647424</v>
      </c>
      <c r="H906" s="56">
        <f t="shared" si="54"/>
        <v>-9620.1097936194365</v>
      </c>
      <c r="I906" s="56">
        <f t="shared" si="55"/>
        <v>-17.918207967491508</v>
      </c>
      <c r="J906" s="56">
        <f t="shared" si="56"/>
        <v>48296.205943474102</v>
      </c>
      <c r="K906" s="56">
        <f t="shared" si="57"/>
        <v>780919.94299522287</v>
      </c>
      <c r="T906" s="83"/>
    </row>
    <row r="907" spans="2:20" x14ac:dyDescent="0.2">
      <c r="B907" s="83"/>
      <c r="C907" s="56">
        <v>868</v>
      </c>
      <c r="D907" s="56">
        <v>20363.009519327199</v>
      </c>
      <c r="E907" s="56">
        <v>4.7517964151166199</v>
      </c>
      <c r="F907" s="56">
        <v>15504.88844095029</v>
      </c>
      <c r="G907" s="56">
        <v>14.821304155407852</v>
      </c>
      <c r="H907" s="56">
        <f t="shared" si="54"/>
        <v>4858.1210783769093</v>
      </c>
      <c r="I907" s="56">
        <f t="shared" si="55"/>
        <v>-10.069507740291233</v>
      </c>
      <c r="J907" s="56">
        <f t="shared" si="56"/>
        <v>176475.40518046365</v>
      </c>
      <c r="K907" s="56">
        <f t="shared" si="57"/>
        <v>598452.81489266455</v>
      </c>
      <c r="T907" s="83"/>
    </row>
    <row r="908" spans="2:20" x14ac:dyDescent="0.2">
      <c r="B908" s="83"/>
      <c r="C908" s="56">
        <v>869</v>
      </c>
      <c r="D908" s="56">
        <v>15833.406196928401</v>
      </c>
      <c r="E908" s="56">
        <v>4.1827059714349577</v>
      </c>
      <c r="F908" s="56">
        <v>13156.866346344681</v>
      </c>
      <c r="G908" s="56">
        <v>11.978352236829533</v>
      </c>
      <c r="H908" s="56">
        <f t="shared" si="54"/>
        <v>2676.5398505837202</v>
      </c>
      <c r="I908" s="56">
        <f t="shared" si="55"/>
        <v>-7.7956462653945753</v>
      </c>
      <c r="J908" s="56">
        <f t="shared" si="56"/>
        <v>157431.00596379329</v>
      </c>
      <c r="K908" s="56">
        <f t="shared" si="57"/>
        <v>483034.39671208186</v>
      </c>
      <c r="T908" s="83"/>
    </row>
    <row r="909" spans="2:20" x14ac:dyDescent="0.2">
      <c r="B909" s="83"/>
      <c r="C909" s="56">
        <v>870</v>
      </c>
      <c r="D909" s="56">
        <v>12335.400355453616</v>
      </c>
      <c r="E909" s="56">
        <v>2.1272422637145705</v>
      </c>
      <c r="F909" s="56">
        <v>18190.809434240167</v>
      </c>
      <c r="G909" s="56">
        <v>17.044119857580995</v>
      </c>
      <c r="H909" s="56">
        <f t="shared" si="54"/>
        <v>-5855.4090787865516</v>
      </c>
      <c r="I909" s="56">
        <f t="shared" si="55"/>
        <v>-14.916877593866424</v>
      </c>
      <c r="J909" s="56">
        <f t="shared" si="56"/>
        <v>75783.483176658745</v>
      </c>
      <c r="K909" s="56">
        <f t="shared" si="57"/>
        <v>687844.81154619495</v>
      </c>
      <c r="T909" s="83"/>
    </row>
    <row r="910" spans="2:20" x14ac:dyDescent="0.2">
      <c r="B910" s="83"/>
      <c r="C910" s="56">
        <v>871</v>
      </c>
      <c r="D910" s="56">
        <v>18184.628564714978</v>
      </c>
      <c r="E910" s="56">
        <v>3.1938432046827594</v>
      </c>
      <c r="F910" s="56">
        <v>19851.304715206148</v>
      </c>
      <c r="G910" s="56">
        <v>19.367975070497675</v>
      </c>
      <c r="H910" s="56">
        <f t="shared" si="54"/>
        <v>-1666.6761504911701</v>
      </c>
      <c r="I910" s="56">
        <f t="shared" si="55"/>
        <v>-16.174131865814914</v>
      </c>
      <c r="J910" s="56">
        <f t="shared" si="56"/>
        <v>114117.13234606365</v>
      </c>
      <c r="K910" s="56">
        <f t="shared" si="57"/>
        <v>782447.69460508949</v>
      </c>
      <c r="T910" s="83"/>
    </row>
    <row r="911" spans="2:20" x14ac:dyDescent="0.2">
      <c r="B911" s="83"/>
      <c r="C911" s="56">
        <v>872</v>
      </c>
      <c r="D911" s="56">
        <v>15152.3304045642</v>
      </c>
      <c r="E911" s="56">
        <v>2.433042508282333</v>
      </c>
      <c r="F911" s="56">
        <v>14682.317217629188</v>
      </c>
      <c r="G911" s="56">
        <v>13.871904111489247</v>
      </c>
      <c r="H911" s="56">
        <f t="shared" si="54"/>
        <v>470.01318693501162</v>
      </c>
      <c r="I911" s="56">
        <f t="shared" si="55"/>
        <v>-11.438861603206913</v>
      </c>
      <c r="J911" s="56">
        <f t="shared" si="56"/>
        <v>85634.022458523163</v>
      </c>
      <c r="K911" s="56">
        <f t="shared" si="57"/>
        <v>559947.43869670143</v>
      </c>
      <c r="T911" s="83"/>
    </row>
    <row r="912" spans="2:20" x14ac:dyDescent="0.2">
      <c r="B912" s="83"/>
      <c r="C912" s="56">
        <v>873</v>
      </c>
      <c r="D912" s="56">
        <v>14055.129537305369</v>
      </c>
      <c r="E912" s="56">
        <v>2.8909055739019527</v>
      </c>
      <c r="F912" s="56">
        <v>29865.814262245447</v>
      </c>
      <c r="G912" s="56">
        <v>28.241154884955435</v>
      </c>
      <c r="H912" s="56">
        <f t="shared" si="54"/>
        <v>-15810.684724940078</v>
      </c>
      <c r="I912" s="56">
        <f t="shared" si="55"/>
        <v>-25.350249311053481</v>
      </c>
      <c r="J912" s="56">
        <f t="shared" si="56"/>
        <v>105697.74295600911</v>
      </c>
      <c r="K912" s="56">
        <f t="shared" si="57"/>
        <v>1139995.7856921484</v>
      </c>
      <c r="T912" s="83"/>
    </row>
    <row r="913" spans="2:20" x14ac:dyDescent="0.2">
      <c r="B913" s="83"/>
      <c r="C913" s="56">
        <v>874</v>
      </c>
      <c r="D913" s="56">
        <v>13131.701196259684</v>
      </c>
      <c r="E913" s="56">
        <v>2.6216986858637155</v>
      </c>
      <c r="F913" s="56">
        <v>12757.335903679643</v>
      </c>
      <c r="G913" s="56">
        <v>12.96718427738829</v>
      </c>
      <c r="H913" s="56">
        <f t="shared" si="54"/>
        <v>374.36529258004157</v>
      </c>
      <c r="I913" s="56">
        <f t="shared" si="55"/>
        <v>-10.345485591524575</v>
      </c>
      <c r="J913" s="56">
        <f t="shared" si="56"/>
        <v>95469.545166958866</v>
      </c>
      <c r="K913" s="56">
        <f t="shared" si="57"/>
        <v>524395.30560285295</v>
      </c>
      <c r="T913" s="83"/>
    </row>
    <row r="914" spans="2:20" x14ac:dyDescent="0.2">
      <c r="B914" s="83"/>
      <c r="C914" s="56">
        <v>875</v>
      </c>
      <c r="D914" s="56">
        <v>15585.004522542093</v>
      </c>
      <c r="E914" s="56">
        <v>3.2893525934221097</v>
      </c>
      <c r="F914" s="56">
        <v>10818.738171160685</v>
      </c>
      <c r="G914" s="56">
        <v>9.3571936345616216</v>
      </c>
      <c r="H914" s="56">
        <f t="shared" si="54"/>
        <v>4766.2663513814077</v>
      </c>
      <c r="I914" s="56">
        <f t="shared" si="55"/>
        <v>-6.0678410411395118</v>
      </c>
      <c r="J914" s="56">
        <f t="shared" si="56"/>
        <v>120673.13730737538</v>
      </c>
      <c r="K914" s="56">
        <f t="shared" si="57"/>
        <v>376793.65094691992</v>
      </c>
      <c r="T914" s="83"/>
    </row>
    <row r="915" spans="2:20" x14ac:dyDescent="0.2">
      <c r="B915" s="83"/>
      <c r="C915" s="56">
        <v>876</v>
      </c>
      <c r="D915" s="56">
        <v>11531.576135260608</v>
      </c>
      <c r="E915" s="56">
        <v>2.6585150796823021</v>
      </c>
      <c r="F915" s="56">
        <v>19226.818139438801</v>
      </c>
      <c r="G915" s="56">
        <v>21.440755942085744</v>
      </c>
      <c r="H915" s="56">
        <f t="shared" si="54"/>
        <v>-7695.2420041781934</v>
      </c>
      <c r="I915" s="56">
        <f t="shared" si="55"/>
        <v>-18.782240862403441</v>
      </c>
      <c r="J915" s="56">
        <f t="shared" si="56"/>
        <v>98594.752525499076</v>
      </c>
      <c r="K915" s="56">
        <f t="shared" si="57"/>
        <v>868935.0560055211</v>
      </c>
      <c r="T915" s="83"/>
    </row>
    <row r="916" spans="2:20" x14ac:dyDescent="0.2">
      <c r="B916" s="83"/>
      <c r="C916" s="56">
        <v>877</v>
      </c>
      <c r="D916" s="56">
        <v>10528.906020705776</v>
      </c>
      <c r="E916" s="56">
        <v>2.8418178912428593</v>
      </c>
      <c r="F916" s="56">
        <v>9940.5912652423503</v>
      </c>
      <c r="G916" s="56">
        <v>10.585976983997462</v>
      </c>
      <c r="H916" s="56">
        <f t="shared" si="54"/>
        <v>588.31475546342517</v>
      </c>
      <c r="I916" s="56">
        <f t="shared" si="55"/>
        <v>-7.744159092754602</v>
      </c>
      <c r="J916" s="56">
        <f t="shared" si="56"/>
        <v>107190.55830613842</v>
      </c>
      <c r="K916" s="56">
        <f t="shared" si="57"/>
        <v>428572.9193198685</v>
      </c>
      <c r="T916" s="83"/>
    </row>
    <row r="917" spans="2:20" x14ac:dyDescent="0.2">
      <c r="B917" s="83"/>
      <c r="C917" s="56">
        <v>878</v>
      </c>
      <c r="D917" s="56">
        <v>22749.87257356181</v>
      </c>
      <c r="E917" s="56">
        <v>4.1846778584125737</v>
      </c>
      <c r="F917" s="56">
        <v>17266.074203237935</v>
      </c>
      <c r="G917" s="56">
        <v>14.66202850504539</v>
      </c>
      <c r="H917" s="56">
        <f t="shared" si="54"/>
        <v>5483.7983703238751</v>
      </c>
      <c r="I917" s="56">
        <f t="shared" si="55"/>
        <v>-10.477350646632816</v>
      </c>
      <c r="J917" s="56">
        <f t="shared" si="56"/>
        <v>150596.22303332062</v>
      </c>
      <c r="K917" s="56">
        <f t="shared" si="57"/>
        <v>590093.79458976234</v>
      </c>
      <c r="T917" s="83"/>
    </row>
    <row r="918" spans="2:20" x14ac:dyDescent="0.2">
      <c r="B918" s="83"/>
      <c r="C918" s="56">
        <v>879</v>
      </c>
      <c r="D918" s="56">
        <v>28638.117977674345</v>
      </c>
      <c r="E918" s="56">
        <v>4.5970965003925635</v>
      </c>
      <c r="F918" s="56">
        <v>20413.074329768067</v>
      </c>
      <c r="G918" s="56">
        <v>14.680288113408764</v>
      </c>
      <c r="H918" s="56">
        <f t="shared" si="54"/>
        <v>8225.0436479062773</v>
      </c>
      <c r="I918" s="56">
        <f t="shared" si="55"/>
        <v>-10.083191613016201</v>
      </c>
      <c r="J918" s="56">
        <f t="shared" si="56"/>
        <v>161792.0074545872</v>
      </c>
      <c r="K918" s="56">
        <f t="shared" si="57"/>
        <v>587703.18048007658</v>
      </c>
      <c r="T918" s="83"/>
    </row>
    <row r="919" spans="2:20" x14ac:dyDescent="0.2">
      <c r="B919" s="83"/>
      <c r="C919" s="56">
        <v>880</v>
      </c>
      <c r="D919" s="56">
        <v>8826.1110201207248</v>
      </c>
      <c r="E919" s="56">
        <v>2.4079533393757075</v>
      </c>
      <c r="F919" s="56">
        <v>9975.6383191872083</v>
      </c>
      <c r="G919" s="56">
        <v>11.065796027324165</v>
      </c>
      <c r="H919" s="56">
        <f t="shared" si="54"/>
        <v>-1149.5272990664835</v>
      </c>
      <c r="I919" s="56">
        <f t="shared" si="55"/>
        <v>-8.6578426879484578</v>
      </c>
      <c r="J919" s="56">
        <f t="shared" si="56"/>
        <v>90920.948110178593</v>
      </c>
      <c r="K919" s="56">
        <f t="shared" si="57"/>
        <v>448413.89631668897</v>
      </c>
      <c r="T919" s="83"/>
    </row>
    <row r="920" spans="2:20" x14ac:dyDescent="0.2">
      <c r="B920" s="83"/>
      <c r="C920" s="56">
        <v>881</v>
      </c>
      <c r="D920" s="56">
        <v>9104.6009703122381</v>
      </c>
      <c r="E920" s="56">
        <v>1.431219298927668</v>
      </c>
      <c r="F920" s="56">
        <v>24016.83672020911</v>
      </c>
      <c r="G920" s="56">
        <v>21.916858891000317</v>
      </c>
      <c r="H920" s="56">
        <f t="shared" si="54"/>
        <v>-14912.235749896872</v>
      </c>
      <c r="I920" s="56">
        <f t="shared" si="55"/>
        <v>-20.485639592072648</v>
      </c>
      <c r="J920" s="56">
        <f t="shared" si="56"/>
        <v>50182.227268467475</v>
      </c>
      <c r="K920" s="56">
        <f t="shared" si="57"/>
        <v>883867.12598058803</v>
      </c>
      <c r="T920" s="83"/>
    </row>
    <row r="921" spans="2:20" x14ac:dyDescent="0.2">
      <c r="B921" s="83"/>
      <c r="C921" s="56">
        <v>882</v>
      </c>
      <c r="D921" s="56">
        <v>17237.604498412657</v>
      </c>
      <c r="E921" s="56">
        <v>3.0209616942866981</v>
      </c>
      <c r="F921" s="56">
        <v>15361.987412239954</v>
      </c>
      <c r="G921" s="56">
        <v>15.708558374609604</v>
      </c>
      <c r="H921" s="56">
        <f t="shared" si="54"/>
        <v>1875.6170861727023</v>
      </c>
      <c r="I921" s="56">
        <f t="shared" si="55"/>
        <v>-12.687596680322905</v>
      </c>
      <c r="J921" s="56">
        <f t="shared" si="56"/>
        <v>107902.71272571952</v>
      </c>
      <c r="K921" s="56">
        <f t="shared" si="57"/>
        <v>635349.33469758823</v>
      </c>
      <c r="T921" s="83"/>
    </row>
    <row r="922" spans="2:20" x14ac:dyDescent="0.2">
      <c r="B922" s="83"/>
      <c r="C922" s="56">
        <v>883</v>
      </c>
      <c r="D922" s="56">
        <v>16626.172566187823</v>
      </c>
      <c r="E922" s="56">
        <v>4.604402189069587</v>
      </c>
      <c r="F922" s="56">
        <v>15888.43714379019</v>
      </c>
      <c r="G922" s="56">
        <v>18.392281532567484</v>
      </c>
      <c r="H922" s="56">
        <f t="shared" si="54"/>
        <v>737.73542239763265</v>
      </c>
      <c r="I922" s="56">
        <f t="shared" si="55"/>
        <v>-13.787879343497897</v>
      </c>
      <c r="J922" s="56">
        <f t="shared" si="56"/>
        <v>174106.58371383074</v>
      </c>
      <c r="K922" s="56">
        <f t="shared" si="57"/>
        <v>745993.43306128529</v>
      </c>
      <c r="T922" s="83"/>
    </row>
    <row r="923" spans="2:20" x14ac:dyDescent="0.2">
      <c r="B923" s="83"/>
      <c r="C923" s="56">
        <v>884</v>
      </c>
      <c r="D923" s="56">
        <v>18433.386479283377</v>
      </c>
      <c r="E923" s="56">
        <v>3.1053702748868401</v>
      </c>
      <c r="F923" s="56">
        <v>20463.560926635677</v>
      </c>
      <c r="G923" s="56">
        <v>19.302773089800667</v>
      </c>
      <c r="H923" s="56">
        <f t="shared" si="54"/>
        <v>-2030.1744473522995</v>
      </c>
      <c r="I923" s="56">
        <f t="shared" si="55"/>
        <v>-16.197402814913826</v>
      </c>
      <c r="J923" s="56">
        <f t="shared" si="56"/>
        <v>110203.47178762908</v>
      </c>
      <c r="K923" s="56">
        <f t="shared" si="57"/>
        <v>779134.51154526719</v>
      </c>
      <c r="T923" s="83"/>
    </row>
    <row r="924" spans="2:20" x14ac:dyDescent="0.2">
      <c r="B924" s="83"/>
      <c r="C924" s="56">
        <v>885</v>
      </c>
      <c r="D924" s="56">
        <v>14245.052663336242</v>
      </c>
      <c r="E924" s="56">
        <v>2.9174657634185026</v>
      </c>
      <c r="F924" s="56">
        <v>17038.429200299663</v>
      </c>
      <c r="G924" s="56">
        <v>16.910707645350627</v>
      </c>
      <c r="H924" s="56">
        <f t="shared" si="54"/>
        <v>-2793.3765369634202</v>
      </c>
      <c r="I924" s="56">
        <f t="shared" si="55"/>
        <v>-13.993241881932125</v>
      </c>
      <c r="J924" s="56">
        <f t="shared" si="56"/>
        <v>106608.0491205118</v>
      </c>
      <c r="K924" s="56">
        <f t="shared" si="57"/>
        <v>683470.72430070466</v>
      </c>
      <c r="T924" s="83"/>
    </row>
    <row r="925" spans="2:20" x14ac:dyDescent="0.2">
      <c r="B925" s="83"/>
      <c r="C925" s="56">
        <v>886</v>
      </c>
      <c r="D925" s="56">
        <v>13757.129771007221</v>
      </c>
      <c r="E925" s="56">
        <v>2.8238698578844157</v>
      </c>
      <c r="F925" s="56">
        <v>11911.561813006383</v>
      </c>
      <c r="G925" s="56">
        <v>9.7827603922608173</v>
      </c>
      <c r="H925" s="56">
        <f t="shared" si="54"/>
        <v>1845.5679580008382</v>
      </c>
      <c r="I925" s="56">
        <f t="shared" si="55"/>
        <v>-6.9588905343764011</v>
      </c>
      <c r="J925" s="56">
        <f t="shared" si="56"/>
        <v>103218.85522199681</v>
      </c>
      <c r="K925" s="56">
        <f t="shared" si="57"/>
        <v>393329.50467600569</v>
      </c>
      <c r="T925" s="83"/>
    </row>
    <row r="926" spans="2:20" x14ac:dyDescent="0.2">
      <c r="B926" s="83"/>
      <c r="C926" s="56">
        <v>887</v>
      </c>
      <c r="D926" s="56">
        <v>23225.140445081415</v>
      </c>
      <c r="E926" s="56">
        <v>4.0358126157775445</v>
      </c>
      <c r="F926" s="56">
        <v>29058.711895787834</v>
      </c>
      <c r="G926" s="56">
        <v>26.075876153268663</v>
      </c>
      <c r="H926" s="56">
        <f t="shared" si="54"/>
        <v>-5833.5714507064185</v>
      </c>
      <c r="I926" s="56">
        <f t="shared" si="55"/>
        <v>-22.040063537491118</v>
      </c>
      <c r="J926" s="56">
        <f t="shared" si="56"/>
        <v>143954.36135088757</v>
      </c>
      <c r="K926" s="56">
        <f t="shared" si="57"/>
        <v>1051108.3818772133</v>
      </c>
      <c r="T926" s="83"/>
    </row>
    <row r="927" spans="2:20" x14ac:dyDescent="0.2">
      <c r="B927" s="83"/>
      <c r="C927" s="56">
        <v>888</v>
      </c>
      <c r="D927" s="56">
        <v>22572.970111284769</v>
      </c>
      <c r="E927" s="56">
        <v>3.7946573786822175</v>
      </c>
      <c r="F927" s="56">
        <v>12289.675950152461</v>
      </c>
      <c r="G927" s="56">
        <v>9.5148541880857866</v>
      </c>
      <c r="H927" s="56">
        <f t="shared" si="54"/>
        <v>10283.294161132308</v>
      </c>
      <c r="I927" s="56">
        <f t="shared" si="55"/>
        <v>-5.7201968094035696</v>
      </c>
      <c r="J927" s="56">
        <f t="shared" si="56"/>
        <v>134616.91714324738</v>
      </c>
      <c r="K927" s="56">
        <f t="shared" si="57"/>
        <v>381853.64393711317</v>
      </c>
      <c r="T927" s="83"/>
    </row>
    <row r="928" spans="2:20" x14ac:dyDescent="0.2">
      <c r="B928" s="83"/>
      <c r="C928" s="56">
        <v>889</v>
      </c>
      <c r="D928" s="56">
        <v>16825.28683779397</v>
      </c>
      <c r="E928" s="56">
        <v>4.3480598877285743</v>
      </c>
      <c r="F928" s="56">
        <v>14196.94296349491</v>
      </c>
      <c r="G928" s="56">
        <v>16.559922174227086</v>
      </c>
      <c r="H928" s="56">
        <f t="shared" si="54"/>
        <v>2628.3438742990602</v>
      </c>
      <c r="I928" s="56">
        <f t="shared" si="55"/>
        <v>-12.211862286498512</v>
      </c>
      <c r="J928" s="56">
        <f t="shared" si="56"/>
        <v>163288.7459514745</v>
      </c>
      <c r="K928" s="56">
        <f t="shared" si="57"/>
        <v>671781.27318168792</v>
      </c>
      <c r="T928" s="83"/>
    </row>
    <row r="929" spans="2:20" x14ac:dyDescent="0.2">
      <c r="B929" s="83"/>
      <c r="C929" s="56">
        <v>890</v>
      </c>
      <c r="D929" s="56">
        <v>21241.517687858748</v>
      </c>
      <c r="E929" s="56">
        <v>4.4422790938457961</v>
      </c>
      <c r="F929" s="56">
        <v>16040.814338896414</v>
      </c>
      <c r="G929" s="56">
        <v>18.401901370991244</v>
      </c>
      <c r="H929" s="56">
        <f t="shared" si="54"/>
        <v>5200.7033489623336</v>
      </c>
      <c r="I929" s="56">
        <f t="shared" si="55"/>
        <v>-13.959622277145447</v>
      </c>
      <c r="J929" s="56">
        <f t="shared" si="56"/>
        <v>162775.45149560951</v>
      </c>
      <c r="K929" s="56">
        <f t="shared" si="57"/>
        <v>746239.54805304483</v>
      </c>
      <c r="T929" s="83"/>
    </row>
    <row r="930" spans="2:20" x14ac:dyDescent="0.2">
      <c r="B930" s="83"/>
      <c r="C930" s="56">
        <v>891</v>
      </c>
      <c r="D930" s="56">
        <v>12102.462167497082</v>
      </c>
      <c r="E930" s="56">
        <v>3.1661954369082399</v>
      </c>
      <c r="F930" s="56">
        <v>12427.17857482852</v>
      </c>
      <c r="G930" s="56">
        <v>15.086828356173063</v>
      </c>
      <c r="H930" s="56">
        <f t="shared" si="54"/>
        <v>-324.71640733143795</v>
      </c>
      <c r="I930" s="56">
        <f t="shared" si="55"/>
        <v>-11.920632919264824</v>
      </c>
      <c r="J930" s="56">
        <f t="shared" si="56"/>
        <v>119054.01761098983</v>
      </c>
      <c r="K930" s="56">
        <f t="shared" si="57"/>
        <v>612529.59925128438</v>
      </c>
      <c r="T930" s="83"/>
    </row>
    <row r="931" spans="2:20" x14ac:dyDescent="0.2">
      <c r="B931" s="83"/>
      <c r="C931" s="56">
        <v>892</v>
      </c>
      <c r="D931" s="56">
        <v>18983.660798840876</v>
      </c>
      <c r="E931" s="56">
        <v>4.289085958714252</v>
      </c>
      <c r="F931" s="56">
        <v>10551.905161631485</v>
      </c>
      <c r="G931" s="56">
        <v>9.8256635123191849</v>
      </c>
      <c r="H931" s="56">
        <f t="shared" si="54"/>
        <v>8431.7556372093914</v>
      </c>
      <c r="I931" s="56">
        <f t="shared" si="55"/>
        <v>-5.5365775536049329</v>
      </c>
      <c r="J931" s="56">
        <f t="shared" si="56"/>
        <v>158687.43595493832</v>
      </c>
      <c r="K931" s="56">
        <f t="shared" si="57"/>
        <v>396466.38017267844</v>
      </c>
      <c r="T931" s="83"/>
    </row>
    <row r="932" spans="2:20" x14ac:dyDescent="0.2">
      <c r="B932" s="83"/>
      <c r="C932" s="56">
        <v>893</v>
      </c>
      <c r="D932" s="56">
        <v>13802.894216211616</v>
      </c>
      <c r="E932" s="56">
        <v>2.9186770135911173</v>
      </c>
      <c r="F932" s="56">
        <v>10531.021767016968</v>
      </c>
      <c r="G932" s="56">
        <v>13.53652358040142</v>
      </c>
      <c r="H932" s="56">
        <f t="shared" si="54"/>
        <v>3271.8724491946487</v>
      </c>
      <c r="I932" s="56">
        <f t="shared" si="55"/>
        <v>-10.617846566810304</v>
      </c>
      <c r="J932" s="56">
        <f t="shared" si="56"/>
        <v>107100.38239478682</v>
      </c>
      <c r="K932" s="56">
        <f t="shared" si="57"/>
        <v>550205.93102753151</v>
      </c>
      <c r="T932" s="83"/>
    </row>
    <row r="933" spans="2:20" x14ac:dyDescent="0.2">
      <c r="B933" s="83"/>
      <c r="C933" s="56">
        <v>894</v>
      </c>
      <c r="D933" s="56">
        <v>14467.565406997815</v>
      </c>
      <c r="E933" s="56">
        <v>3.067006020928817</v>
      </c>
      <c r="F933" s="56">
        <v>15204.820653364546</v>
      </c>
      <c r="G933" s="56">
        <v>17.28363363424819</v>
      </c>
      <c r="H933" s="56">
        <f t="shared" si="54"/>
        <v>-737.25524636673072</v>
      </c>
      <c r="I933" s="56">
        <f t="shared" si="55"/>
        <v>-14.216627613319373</v>
      </c>
      <c r="J933" s="56">
        <f t="shared" si="56"/>
        <v>112580.0920039575</v>
      </c>
      <c r="K933" s="56">
        <f t="shared" si="57"/>
        <v>700752.41901173245</v>
      </c>
      <c r="T933" s="83"/>
    </row>
    <row r="934" spans="2:20" x14ac:dyDescent="0.2">
      <c r="B934" s="83"/>
      <c r="C934" s="56">
        <v>895</v>
      </c>
      <c r="D934" s="56">
        <v>18221.47176861863</v>
      </c>
      <c r="E934" s="56">
        <v>4.6127510477799998</v>
      </c>
      <c r="F934" s="56">
        <v>12860.703165271654</v>
      </c>
      <c r="G934" s="56">
        <v>15.684296292978154</v>
      </c>
      <c r="H934" s="56">
        <f t="shared" si="54"/>
        <v>5360.7686033469763</v>
      </c>
      <c r="I934" s="56">
        <f t="shared" si="55"/>
        <v>-11.071545245198154</v>
      </c>
      <c r="J934" s="56">
        <f t="shared" si="56"/>
        <v>172857.12763462009</v>
      </c>
      <c r="K934" s="56">
        <f t="shared" si="57"/>
        <v>636845.58647505532</v>
      </c>
      <c r="T934" s="83"/>
    </row>
    <row r="935" spans="2:20" x14ac:dyDescent="0.2">
      <c r="B935" s="83"/>
      <c r="C935" s="56">
        <v>896</v>
      </c>
      <c r="D935" s="56">
        <v>10464.554402215364</v>
      </c>
      <c r="E935" s="56">
        <v>1.9969549074478086</v>
      </c>
      <c r="F935" s="56">
        <v>12704.997439434639</v>
      </c>
      <c r="G935" s="56">
        <v>10.791126921351392</v>
      </c>
      <c r="H935" s="56">
        <f t="shared" si="54"/>
        <v>-2240.4430372192746</v>
      </c>
      <c r="I935" s="56">
        <f t="shared" si="55"/>
        <v>-8.7941720139035837</v>
      </c>
      <c r="J935" s="56">
        <f t="shared" si="56"/>
        <v>72257.305683902654</v>
      </c>
      <c r="K935" s="56">
        <f t="shared" si="57"/>
        <v>434306.64415062545</v>
      </c>
      <c r="T935" s="83"/>
    </row>
    <row r="936" spans="2:20" x14ac:dyDescent="0.2">
      <c r="B936" s="83"/>
      <c r="C936" s="56">
        <v>897</v>
      </c>
      <c r="D936" s="56">
        <v>5027.2832283448934</v>
      </c>
      <c r="E936" s="56">
        <v>0.99309311448691195</v>
      </c>
      <c r="F936" s="56">
        <v>17950.124231259855</v>
      </c>
      <c r="G936" s="56">
        <v>18.188520918904242</v>
      </c>
      <c r="H936" s="56">
        <f t="shared" ref="H936:H999" si="58">IF($C936&lt;=No_of_iterations_PSA,D936-$F936,"")</f>
        <v>-12922.841002914962</v>
      </c>
      <c r="I936" s="56">
        <f t="shared" ref="I936:I999" si="59">IF($C936&lt;=No_of_iterations_PSA,E936-$G936,"")</f>
        <v>-17.195427804417331</v>
      </c>
      <c r="J936" s="56">
        <f t="shared" ref="J936:J999" si="60">IF($C936&lt;=No_of_iterations_PSA,E936*WTP-D936,"")</f>
        <v>36110.605946160947</v>
      </c>
      <c r="K936" s="56">
        <f t="shared" ref="K936:K999" si="61">IF($C936&lt;=No_of_iterations_PSA,G936*WTP-F936,"")</f>
        <v>735491.16631342948</v>
      </c>
      <c r="T936" s="83"/>
    </row>
    <row r="937" spans="2:20" x14ac:dyDescent="0.2">
      <c r="B937" s="83"/>
      <c r="C937" s="56">
        <v>898</v>
      </c>
      <c r="D937" s="56">
        <v>12321.188343537719</v>
      </c>
      <c r="E937" s="56">
        <v>3.930657110384999</v>
      </c>
      <c r="F937" s="56">
        <v>11291.092114462886</v>
      </c>
      <c r="G937" s="56">
        <v>13.934431869930998</v>
      </c>
      <c r="H937" s="56">
        <f t="shared" si="58"/>
        <v>1030.0962290748321</v>
      </c>
      <c r="I937" s="56">
        <f t="shared" si="59"/>
        <v>-10.003774759545999</v>
      </c>
      <c r="J937" s="56">
        <f t="shared" si="60"/>
        <v>150502.35179705048</v>
      </c>
      <c r="K937" s="56">
        <f t="shared" si="61"/>
        <v>565928.81366555882</v>
      </c>
      <c r="T937" s="83"/>
    </row>
    <row r="938" spans="2:20" x14ac:dyDescent="0.2">
      <c r="B938" s="83"/>
      <c r="C938" s="56">
        <v>899</v>
      </c>
      <c r="D938" s="56">
        <v>10286.881742290894</v>
      </c>
      <c r="E938" s="56">
        <v>1.9469896456492208</v>
      </c>
      <c r="F938" s="56">
        <v>14989.078208272014</v>
      </c>
      <c r="G938" s="56">
        <v>12.304998085009242</v>
      </c>
      <c r="H938" s="56">
        <f t="shared" si="58"/>
        <v>-4702.1964659811201</v>
      </c>
      <c r="I938" s="56">
        <f t="shared" si="59"/>
        <v>-10.35800843936002</v>
      </c>
      <c r="J938" s="56">
        <f t="shared" si="60"/>
        <v>70365.217339082432</v>
      </c>
      <c r="K938" s="56">
        <f t="shared" si="61"/>
        <v>494733.16246515082</v>
      </c>
      <c r="T938" s="83"/>
    </row>
    <row r="939" spans="2:20" x14ac:dyDescent="0.2">
      <c r="B939" s="83"/>
      <c r="C939" s="56">
        <v>900</v>
      </c>
      <c r="D939" s="56">
        <v>8959.9694953952458</v>
      </c>
      <c r="E939" s="56">
        <v>1.8264730800496254</v>
      </c>
      <c r="F939" s="56">
        <v>15622.519514558415</v>
      </c>
      <c r="G939" s="56">
        <v>15.657952280797344</v>
      </c>
      <c r="H939" s="56">
        <f t="shared" si="58"/>
        <v>-6662.5500191631691</v>
      </c>
      <c r="I939" s="56">
        <f t="shared" si="59"/>
        <v>-13.831479200747719</v>
      </c>
      <c r="J939" s="56">
        <f t="shared" si="60"/>
        <v>66699.851372580437</v>
      </c>
      <c r="K939" s="56">
        <f t="shared" si="61"/>
        <v>632992.4957651908</v>
      </c>
      <c r="T939" s="83"/>
    </row>
    <row r="940" spans="2:20" x14ac:dyDescent="0.2">
      <c r="B940" s="83"/>
      <c r="C940" s="56">
        <v>901</v>
      </c>
      <c r="D940" s="56">
        <v>17833.48851759655</v>
      </c>
      <c r="E940" s="56">
        <v>4.593520073835121</v>
      </c>
      <c r="F940" s="56">
        <v>15414.216512539255</v>
      </c>
      <c r="G940" s="56">
        <v>17.749682148231475</v>
      </c>
      <c r="H940" s="56">
        <f t="shared" si="58"/>
        <v>2419.2720050572952</v>
      </c>
      <c r="I940" s="56">
        <f t="shared" si="59"/>
        <v>-13.156162074396354</v>
      </c>
      <c r="J940" s="56">
        <f t="shared" si="60"/>
        <v>172448.48702094948</v>
      </c>
      <c r="K940" s="56">
        <f t="shared" si="61"/>
        <v>719848.61679580132</v>
      </c>
      <c r="T940" s="83"/>
    </row>
    <row r="941" spans="2:20" x14ac:dyDescent="0.2">
      <c r="B941" s="83"/>
      <c r="C941" s="56">
        <v>902</v>
      </c>
      <c r="D941" s="56">
        <v>19216.348851699262</v>
      </c>
      <c r="E941" s="56">
        <v>3.3422311362651795</v>
      </c>
      <c r="F941" s="56">
        <v>18302.956671010841</v>
      </c>
      <c r="G941" s="56">
        <v>13.970219299840231</v>
      </c>
      <c r="H941" s="56">
        <f t="shared" si="58"/>
        <v>913.39218068842092</v>
      </c>
      <c r="I941" s="56">
        <f t="shared" si="59"/>
        <v>-10.627988163575051</v>
      </c>
      <c r="J941" s="56">
        <f t="shared" si="60"/>
        <v>119232.23373694954</v>
      </c>
      <c r="K941" s="56">
        <f t="shared" si="61"/>
        <v>560399.40760557086</v>
      </c>
      <c r="T941" s="83"/>
    </row>
    <row r="942" spans="2:20" x14ac:dyDescent="0.2">
      <c r="B942" s="83"/>
      <c r="C942" s="56">
        <v>903</v>
      </c>
      <c r="D942" s="56">
        <v>15456.754770038904</v>
      </c>
      <c r="E942" s="56">
        <v>2.8551500455846162</v>
      </c>
      <c r="F942" s="56">
        <v>17783.877600780765</v>
      </c>
      <c r="G942" s="56">
        <v>19.886459769216419</v>
      </c>
      <c r="H942" s="56">
        <f t="shared" si="58"/>
        <v>-2327.1228307418605</v>
      </c>
      <c r="I942" s="56">
        <f t="shared" si="59"/>
        <v>-17.031309723631804</v>
      </c>
      <c r="J942" s="56">
        <f t="shared" si="60"/>
        <v>102814.98071825824</v>
      </c>
      <c r="K942" s="56">
        <f t="shared" si="61"/>
        <v>805992.83187924011</v>
      </c>
      <c r="T942" s="83"/>
    </row>
    <row r="943" spans="2:20" x14ac:dyDescent="0.2">
      <c r="B943" s="83"/>
      <c r="C943" s="56">
        <v>904</v>
      </c>
      <c r="D943" s="56">
        <v>21212.345305409784</v>
      </c>
      <c r="E943" s="56">
        <v>4.389110840652422</v>
      </c>
      <c r="F943" s="56">
        <v>16478.747069136771</v>
      </c>
      <c r="G943" s="56">
        <v>15.490811958275655</v>
      </c>
      <c r="H943" s="56">
        <f t="shared" si="58"/>
        <v>4733.5982362730138</v>
      </c>
      <c r="I943" s="56">
        <f t="shared" si="59"/>
        <v>-11.101701117623232</v>
      </c>
      <c r="J943" s="56">
        <f t="shared" si="60"/>
        <v>160602.18215777614</v>
      </c>
      <c r="K943" s="56">
        <f t="shared" si="61"/>
        <v>625212.64749047393</v>
      </c>
      <c r="T943" s="83"/>
    </row>
    <row r="944" spans="2:20" x14ac:dyDescent="0.2">
      <c r="B944" s="83"/>
      <c r="C944" s="56">
        <v>905</v>
      </c>
      <c r="D944" s="56">
        <v>11844.3523616285</v>
      </c>
      <c r="E944" s="56">
        <v>2.4977804994398958</v>
      </c>
      <c r="F944" s="56">
        <v>11012.862146820056</v>
      </c>
      <c r="G944" s="56">
        <v>10.991866153793479</v>
      </c>
      <c r="H944" s="56">
        <f t="shared" si="58"/>
        <v>831.49021480844385</v>
      </c>
      <c r="I944" s="56">
        <f t="shared" si="59"/>
        <v>-8.494085654353583</v>
      </c>
      <c r="J944" s="56">
        <f t="shared" si="60"/>
        <v>91623.707047169752</v>
      </c>
      <c r="K944" s="56">
        <f t="shared" si="61"/>
        <v>444314.20140792103</v>
      </c>
      <c r="T944" s="83"/>
    </row>
    <row r="945" spans="2:20" x14ac:dyDescent="0.2">
      <c r="B945" s="83"/>
      <c r="C945" s="56">
        <v>906</v>
      </c>
      <c r="D945" s="56">
        <v>8883.829623005111</v>
      </c>
      <c r="E945" s="56">
        <v>2.1840296890418629</v>
      </c>
      <c r="F945" s="56">
        <v>7723.5350956444354</v>
      </c>
      <c r="G945" s="56">
        <v>8.8487135328984152</v>
      </c>
      <c r="H945" s="56">
        <f t="shared" si="58"/>
        <v>1160.2945273606756</v>
      </c>
      <c r="I945" s="56">
        <f t="shared" si="59"/>
        <v>-6.6646838438565528</v>
      </c>
      <c r="J945" s="56">
        <f t="shared" si="60"/>
        <v>81587.416215865029</v>
      </c>
      <c r="K945" s="56">
        <f t="shared" si="61"/>
        <v>358825.57429113955</v>
      </c>
      <c r="T945" s="83"/>
    </row>
    <row r="946" spans="2:20" x14ac:dyDescent="0.2">
      <c r="B946" s="83"/>
      <c r="C946" s="56">
        <v>907</v>
      </c>
      <c r="D946" s="56">
        <v>18871.59621729752</v>
      </c>
      <c r="E946" s="56">
        <v>3.7074713673831887</v>
      </c>
      <c r="F946" s="56">
        <v>17713.248285521335</v>
      </c>
      <c r="G946" s="56">
        <v>17.05551940645552</v>
      </c>
      <c r="H946" s="56">
        <f t="shared" si="58"/>
        <v>1158.3479317761849</v>
      </c>
      <c r="I946" s="56">
        <f t="shared" si="59"/>
        <v>-13.348048039072332</v>
      </c>
      <c r="J946" s="56">
        <f t="shared" si="60"/>
        <v>134706.6977051837</v>
      </c>
      <c r="K946" s="56">
        <f t="shared" si="61"/>
        <v>688794.58760749223</v>
      </c>
      <c r="T946" s="83"/>
    </row>
    <row r="947" spans="2:20" x14ac:dyDescent="0.2">
      <c r="B947" s="83"/>
      <c r="C947" s="56">
        <v>908</v>
      </c>
      <c r="D947" s="56">
        <v>18834.72326006263</v>
      </c>
      <c r="E947" s="56">
        <v>4.1858487005787888</v>
      </c>
      <c r="F947" s="56">
        <v>19546.281802220979</v>
      </c>
      <c r="G947" s="56">
        <v>20.60009707072652</v>
      </c>
      <c r="H947" s="56">
        <f t="shared" si="58"/>
        <v>-711.55854215834916</v>
      </c>
      <c r="I947" s="56">
        <f t="shared" si="59"/>
        <v>-16.414248370147732</v>
      </c>
      <c r="J947" s="56">
        <f t="shared" si="60"/>
        <v>154559.87331271311</v>
      </c>
      <c r="K947" s="56">
        <f t="shared" si="61"/>
        <v>833792.13925555442</v>
      </c>
      <c r="T947" s="83"/>
    </row>
    <row r="948" spans="2:20" x14ac:dyDescent="0.2">
      <c r="B948" s="83"/>
      <c r="C948" s="56">
        <v>909</v>
      </c>
      <c r="D948" s="56">
        <v>17056.493655827217</v>
      </c>
      <c r="E948" s="56">
        <v>4.1996629027687655</v>
      </c>
      <c r="F948" s="56">
        <v>22243.376848470823</v>
      </c>
      <c r="G948" s="56">
        <v>25.945264428771434</v>
      </c>
      <c r="H948" s="56">
        <f t="shared" si="58"/>
        <v>-5186.8831926436069</v>
      </c>
      <c r="I948" s="56">
        <f t="shared" si="59"/>
        <v>-21.74560152600267</v>
      </c>
      <c r="J948" s="56">
        <f t="shared" si="60"/>
        <v>156910.34242846613</v>
      </c>
      <c r="K948" s="56">
        <f t="shared" si="61"/>
        <v>1052513.2568489569</v>
      </c>
      <c r="T948" s="83"/>
    </row>
    <row r="949" spans="2:20" x14ac:dyDescent="0.2">
      <c r="B949" s="83"/>
      <c r="C949" s="56">
        <v>910</v>
      </c>
      <c r="D949" s="56">
        <v>10350.057627794235</v>
      </c>
      <c r="E949" s="56">
        <v>2.1901587796165738</v>
      </c>
      <c r="F949" s="56">
        <v>14312.481917357562</v>
      </c>
      <c r="G949" s="56">
        <v>17.617621403221818</v>
      </c>
      <c r="H949" s="56">
        <f t="shared" si="58"/>
        <v>-3962.424289563327</v>
      </c>
      <c r="I949" s="56">
        <f t="shared" si="59"/>
        <v>-15.427462623605244</v>
      </c>
      <c r="J949" s="56">
        <f t="shared" si="60"/>
        <v>80375.07965904272</v>
      </c>
      <c r="K949" s="56">
        <f t="shared" si="61"/>
        <v>715479.8670897031</v>
      </c>
      <c r="T949" s="83"/>
    </row>
    <row r="950" spans="2:20" x14ac:dyDescent="0.2">
      <c r="B950" s="83"/>
      <c r="C950" s="56">
        <v>911</v>
      </c>
      <c r="D950" s="56">
        <v>13448.665019331487</v>
      </c>
      <c r="E950" s="56">
        <v>2.7255928879079128</v>
      </c>
      <c r="F950" s="56">
        <v>12944.475555361802</v>
      </c>
      <c r="G950" s="56">
        <v>14.367716416177498</v>
      </c>
      <c r="H950" s="56">
        <f t="shared" si="58"/>
        <v>504.18946396968568</v>
      </c>
      <c r="I950" s="56">
        <f t="shared" si="59"/>
        <v>-11.642123528269584</v>
      </c>
      <c r="J950" s="56">
        <f t="shared" si="60"/>
        <v>99456.294769365893</v>
      </c>
      <c r="K950" s="56">
        <f t="shared" si="61"/>
        <v>582223.80926837481</v>
      </c>
      <c r="T950" s="83"/>
    </row>
    <row r="951" spans="2:20" x14ac:dyDescent="0.2">
      <c r="B951" s="83"/>
      <c r="C951" s="56">
        <v>912</v>
      </c>
      <c r="D951" s="56">
        <v>12311.373822392628</v>
      </c>
      <c r="E951" s="56">
        <v>2.7670571035706004</v>
      </c>
      <c r="F951" s="56">
        <v>10628.243377241568</v>
      </c>
      <c r="G951" s="56">
        <v>12.126042691173305</v>
      </c>
      <c r="H951" s="56">
        <f t="shared" si="58"/>
        <v>1683.1304451510605</v>
      </c>
      <c r="I951" s="56">
        <f t="shared" si="59"/>
        <v>-9.3589855876027048</v>
      </c>
      <c r="J951" s="56">
        <f t="shared" si="60"/>
        <v>102311.19963591592</v>
      </c>
      <c r="K951" s="56">
        <f t="shared" si="61"/>
        <v>491680.94906192145</v>
      </c>
      <c r="T951" s="83"/>
    </row>
    <row r="952" spans="2:20" x14ac:dyDescent="0.2">
      <c r="B952" s="83"/>
      <c r="C952" s="56">
        <v>913</v>
      </c>
      <c r="D952" s="56">
        <v>21529.020562485384</v>
      </c>
      <c r="E952" s="56">
        <v>4.3958950952371083</v>
      </c>
      <c r="F952" s="56">
        <v>21304.681448886608</v>
      </c>
      <c r="G952" s="56">
        <v>18.722280331797251</v>
      </c>
      <c r="H952" s="56">
        <f t="shared" si="58"/>
        <v>224.33911359877675</v>
      </c>
      <c r="I952" s="56">
        <f t="shared" si="59"/>
        <v>-14.326385236560142</v>
      </c>
      <c r="J952" s="56">
        <f t="shared" si="60"/>
        <v>160566.53786261659</v>
      </c>
      <c r="K952" s="56">
        <f t="shared" si="61"/>
        <v>754247.05901548266</v>
      </c>
      <c r="T952" s="83"/>
    </row>
    <row r="953" spans="2:20" x14ac:dyDescent="0.2">
      <c r="B953" s="83"/>
      <c r="C953" s="56">
        <v>914</v>
      </c>
      <c r="D953" s="56">
        <v>16817.272155768231</v>
      </c>
      <c r="E953" s="56">
        <v>3.5929074520246598</v>
      </c>
      <c r="F953" s="56">
        <v>14604.201952960229</v>
      </c>
      <c r="G953" s="56">
        <v>11.588164578800853</v>
      </c>
      <c r="H953" s="56">
        <f t="shared" si="58"/>
        <v>2213.0702028080013</v>
      </c>
      <c r="I953" s="56">
        <f t="shared" si="59"/>
        <v>-7.9952571267761936</v>
      </c>
      <c r="J953" s="56">
        <f t="shared" si="60"/>
        <v>132015.32613690128</v>
      </c>
      <c r="K953" s="56">
        <f t="shared" si="61"/>
        <v>465423.9275592863</v>
      </c>
      <c r="T953" s="83"/>
    </row>
    <row r="954" spans="2:20" x14ac:dyDescent="0.2">
      <c r="B954" s="83"/>
      <c r="C954" s="56">
        <v>915</v>
      </c>
      <c r="D954" s="56">
        <v>17404.566492713147</v>
      </c>
      <c r="E954" s="56">
        <v>4.1342129675694803</v>
      </c>
      <c r="F954" s="56">
        <v>20238.895952136489</v>
      </c>
      <c r="G954" s="56">
        <v>19.397649889685045</v>
      </c>
      <c r="H954" s="56">
        <f t="shared" si="58"/>
        <v>-2834.3294594233412</v>
      </c>
      <c r="I954" s="56">
        <f t="shared" si="59"/>
        <v>-15.263436922115565</v>
      </c>
      <c r="J954" s="56">
        <f t="shared" si="60"/>
        <v>153851.07147588502</v>
      </c>
      <c r="K954" s="56">
        <f t="shared" si="61"/>
        <v>783289.35307817685</v>
      </c>
      <c r="T954" s="83"/>
    </row>
    <row r="955" spans="2:20" x14ac:dyDescent="0.2">
      <c r="B955" s="83"/>
      <c r="C955" s="56">
        <v>916</v>
      </c>
      <c r="D955" s="56">
        <v>11598.164789053246</v>
      </c>
      <c r="E955" s="56">
        <v>2.7181035815442995</v>
      </c>
      <c r="F955" s="56">
        <v>12545.478035597807</v>
      </c>
      <c r="G955" s="56">
        <v>11.442282750609644</v>
      </c>
      <c r="H955" s="56">
        <f t="shared" si="58"/>
        <v>-947.31324654456148</v>
      </c>
      <c r="I955" s="56">
        <f t="shared" si="59"/>
        <v>-8.7241791690653443</v>
      </c>
      <c r="J955" s="56">
        <f t="shared" si="60"/>
        <v>100996.55797283782</v>
      </c>
      <c r="K955" s="56">
        <f t="shared" si="61"/>
        <v>461439.6426256561</v>
      </c>
      <c r="T955" s="83"/>
    </row>
    <row r="956" spans="2:20" x14ac:dyDescent="0.2">
      <c r="B956" s="83"/>
      <c r="C956" s="56">
        <v>917</v>
      </c>
      <c r="D956" s="56">
        <v>23266.342845054081</v>
      </c>
      <c r="E956" s="56">
        <v>5.235995161563932</v>
      </c>
      <c r="F956" s="56">
        <v>14257.609946285011</v>
      </c>
      <c r="G956" s="56">
        <v>13.517853510848004</v>
      </c>
      <c r="H956" s="56">
        <f t="shared" si="58"/>
        <v>9008.7328987690707</v>
      </c>
      <c r="I956" s="56">
        <f t="shared" si="59"/>
        <v>-8.2818583492840716</v>
      </c>
      <c r="J956" s="56">
        <f t="shared" si="60"/>
        <v>193629.52072757023</v>
      </c>
      <c r="K956" s="56">
        <f t="shared" si="61"/>
        <v>545705.95388708275</v>
      </c>
      <c r="T956" s="83"/>
    </row>
    <row r="957" spans="2:20" x14ac:dyDescent="0.2">
      <c r="B957" s="83"/>
      <c r="C957" s="56">
        <v>918</v>
      </c>
      <c r="D957" s="56">
        <v>13799.529347975074</v>
      </c>
      <c r="E957" s="56">
        <v>3.0245293567793099</v>
      </c>
      <c r="F957" s="56">
        <v>15671.671645687691</v>
      </c>
      <c r="G957" s="56">
        <v>17.004361042716475</v>
      </c>
      <c r="H957" s="56">
        <f t="shared" si="58"/>
        <v>-1872.1422977126167</v>
      </c>
      <c r="I957" s="56">
        <f t="shared" si="59"/>
        <v>-13.979831685937166</v>
      </c>
      <c r="J957" s="56">
        <f t="shared" si="60"/>
        <v>111488.57472725106</v>
      </c>
      <c r="K957" s="56">
        <f t="shared" si="61"/>
        <v>688716.98018779955</v>
      </c>
      <c r="T957" s="83"/>
    </row>
    <row r="958" spans="2:20" x14ac:dyDescent="0.2">
      <c r="B958" s="83"/>
      <c r="C958" s="56">
        <v>919</v>
      </c>
      <c r="D958" s="56">
        <v>8347.9412942356157</v>
      </c>
      <c r="E958" s="56">
        <v>1.4665550621615338</v>
      </c>
      <c r="F958" s="56">
        <v>17441.240735156414</v>
      </c>
      <c r="G958" s="56">
        <v>18.223285594713388</v>
      </c>
      <c r="H958" s="56">
        <f t="shared" si="58"/>
        <v>-9093.2994409207986</v>
      </c>
      <c r="I958" s="56">
        <f t="shared" si="59"/>
        <v>-16.756730532551856</v>
      </c>
      <c r="J958" s="56">
        <f t="shared" si="60"/>
        <v>52402.635600743757</v>
      </c>
      <c r="K958" s="56">
        <f t="shared" si="61"/>
        <v>737440.14174025098</v>
      </c>
      <c r="T958" s="83"/>
    </row>
    <row r="959" spans="2:20" x14ac:dyDescent="0.2">
      <c r="B959" s="83"/>
      <c r="C959" s="56">
        <v>920</v>
      </c>
      <c r="D959" s="56">
        <v>10178.88347559949</v>
      </c>
      <c r="E959" s="56">
        <v>1.7314815778962425</v>
      </c>
      <c r="F959" s="56">
        <v>22470.431593435998</v>
      </c>
      <c r="G959" s="56">
        <v>23.849302921733653</v>
      </c>
      <c r="H959" s="56">
        <f t="shared" si="58"/>
        <v>-12291.548117836508</v>
      </c>
      <c r="I959" s="56">
        <f t="shared" si="59"/>
        <v>-22.117821343837409</v>
      </c>
      <c r="J959" s="56">
        <f t="shared" si="60"/>
        <v>61546.009407174453</v>
      </c>
      <c r="K959" s="56">
        <f t="shared" si="61"/>
        <v>965463.09263645881</v>
      </c>
      <c r="T959" s="83"/>
    </row>
    <row r="960" spans="2:20" x14ac:dyDescent="0.2">
      <c r="B960" s="83"/>
      <c r="C960" s="56">
        <v>921</v>
      </c>
      <c r="D960" s="56">
        <v>12883.778672791714</v>
      </c>
      <c r="E960" s="56">
        <v>2.2809063626542221</v>
      </c>
      <c r="F960" s="56">
        <v>14778.455535239802</v>
      </c>
      <c r="G960" s="56">
        <v>13.817907113860137</v>
      </c>
      <c r="H960" s="56">
        <f t="shared" si="58"/>
        <v>-1894.6768624480883</v>
      </c>
      <c r="I960" s="56">
        <f t="shared" si="59"/>
        <v>-11.537000751205916</v>
      </c>
      <c r="J960" s="56">
        <f t="shared" si="60"/>
        <v>81600.48649379678</v>
      </c>
      <c r="K960" s="56">
        <f t="shared" si="61"/>
        <v>557614.5287493025</v>
      </c>
      <c r="T960" s="83"/>
    </row>
    <row r="961" spans="2:20" x14ac:dyDescent="0.2">
      <c r="B961" s="83"/>
      <c r="C961" s="56">
        <v>922</v>
      </c>
      <c r="D961" s="56">
        <v>21257.489825482739</v>
      </c>
      <c r="E961" s="56">
        <v>3.5079342154589028</v>
      </c>
      <c r="F961" s="56">
        <v>15841.925799569923</v>
      </c>
      <c r="G961" s="56">
        <v>14.060878982631424</v>
      </c>
      <c r="H961" s="56">
        <f t="shared" si="58"/>
        <v>5415.5640259128159</v>
      </c>
      <c r="I961" s="56">
        <f t="shared" si="59"/>
        <v>-10.552944767172521</v>
      </c>
      <c r="J961" s="56">
        <f t="shared" si="60"/>
        <v>124055.17711568685</v>
      </c>
      <c r="K961" s="56">
        <f t="shared" si="61"/>
        <v>566615.92517695413</v>
      </c>
      <c r="T961" s="83"/>
    </row>
    <row r="962" spans="2:20" x14ac:dyDescent="0.2">
      <c r="B962" s="83"/>
      <c r="C962" s="56">
        <v>923</v>
      </c>
      <c r="D962" s="56">
        <v>14149.010541894531</v>
      </c>
      <c r="E962" s="56">
        <v>2.2869831726150309</v>
      </c>
      <c r="F962" s="56">
        <v>17112.375051820265</v>
      </c>
      <c r="G962" s="56">
        <v>17.904043377356185</v>
      </c>
      <c r="H962" s="56">
        <f t="shared" si="58"/>
        <v>-2963.3645099257337</v>
      </c>
      <c r="I962" s="56">
        <f t="shared" si="59"/>
        <v>-15.617060204741154</v>
      </c>
      <c r="J962" s="56">
        <f t="shared" si="60"/>
        <v>80586.980400510511</v>
      </c>
      <c r="K962" s="56">
        <f t="shared" si="61"/>
        <v>724544.71781178226</v>
      </c>
      <c r="T962" s="83"/>
    </row>
    <row r="963" spans="2:20" x14ac:dyDescent="0.2">
      <c r="B963" s="83"/>
      <c r="C963" s="56">
        <v>924</v>
      </c>
      <c r="D963" s="56">
        <v>10104.966805545842</v>
      </c>
      <c r="E963" s="56">
        <v>2.5890644641830614</v>
      </c>
      <c r="F963" s="56">
        <v>13119.882081417085</v>
      </c>
      <c r="G963" s="56">
        <v>16.871852415479228</v>
      </c>
      <c r="H963" s="56">
        <f t="shared" si="58"/>
        <v>-3014.9152758712426</v>
      </c>
      <c r="I963" s="56">
        <f t="shared" si="59"/>
        <v>-14.282787951296168</v>
      </c>
      <c r="J963" s="56">
        <f t="shared" si="60"/>
        <v>97144.439558773287</v>
      </c>
      <c r="K963" s="56">
        <f t="shared" si="61"/>
        <v>685779.73237739445</v>
      </c>
      <c r="T963" s="83"/>
    </row>
    <row r="964" spans="2:20" x14ac:dyDescent="0.2">
      <c r="B964" s="83"/>
      <c r="C964" s="56">
        <v>925</v>
      </c>
      <c r="D964" s="56">
        <v>14617.978696810278</v>
      </c>
      <c r="E964" s="56">
        <v>2.8528427031889043</v>
      </c>
      <c r="F964" s="56">
        <v>16888.996520440778</v>
      </c>
      <c r="G964" s="56">
        <v>16.972722531834979</v>
      </c>
      <c r="H964" s="56">
        <f t="shared" si="58"/>
        <v>-2271.0178236305001</v>
      </c>
      <c r="I964" s="56">
        <f t="shared" si="59"/>
        <v>-14.119879828646074</v>
      </c>
      <c r="J964" s="56">
        <f t="shared" si="60"/>
        <v>103558.1774400869</v>
      </c>
      <c r="K964" s="56">
        <f t="shared" si="61"/>
        <v>686189.06163829134</v>
      </c>
      <c r="T964" s="83"/>
    </row>
    <row r="965" spans="2:20" x14ac:dyDescent="0.2">
      <c r="B965" s="83"/>
      <c r="C965" s="56">
        <v>926</v>
      </c>
      <c r="D965" s="56">
        <v>16680.1100016282</v>
      </c>
      <c r="E965" s="56">
        <v>3.2580152814586745</v>
      </c>
      <c r="F965" s="56">
        <v>20330.275860865819</v>
      </c>
      <c r="G965" s="56">
        <v>19.542875377739154</v>
      </c>
      <c r="H965" s="56">
        <f t="shared" si="58"/>
        <v>-3650.1658592376189</v>
      </c>
      <c r="I965" s="56">
        <f t="shared" si="59"/>
        <v>-16.284860096280479</v>
      </c>
      <c r="J965" s="56">
        <f t="shared" si="60"/>
        <v>118279.91501751594</v>
      </c>
      <c r="K965" s="56">
        <f t="shared" si="61"/>
        <v>789213.79378660093</v>
      </c>
      <c r="T965" s="83"/>
    </row>
    <row r="966" spans="2:20" x14ac:dyDescent="0.2">
      <c r="B966" s="83"/>
      <c r="C966" s="56">
        <v>927</v>
      </c>
      <c r="D966" s="56">
        <v>13584.943834265363</v>
      </c>
      <c r="E966" s="56">
        <v>2.3297151586862239</v>
      </c>
      <c r="F966" s="56">
        <v>16063.60622749458</v>
      </c>
      <c r="G966" s="56">
        <v>15.540810548512567</v>
      </c>
      <c r="H966" s="56">
        <f t="shared" si="58"/>
        <v>-2478.6623932292168</v>
      </c>
      <c r="I966" s="56">
        <f t="shared" si="59"/>
        <v>-13.211095389826344</v>
      </c>
      <c r="J966" s="56">
        <f t="shared" si="60"/>
        <v>82921.176899152779</v>
      </c>
      <c r="K966" s="56">
        <f t="shared" si="61"/>
        <v>627698.92993409</v>
      </c>
      <c r="T966" s="83"/>
    </row>
    <row r="967" spans="2:20" x14ac:dyDescent="0.2">
      <c r="B967" s="83"/>
      <c r="C967" s="56">
        <v>928</v>
      </c>
      <c r="D967" s="56">
        <v>15660.40664000053</v>
      </c>
      <c r="E967" s="56">
        <v>3.4514823378836064</v>
      </c>
      <c r="F967" s="56">
        <v>19361.494934355502</v>
      </c>
      <c r="G967" s="56">
        <v>19.595960854920815</v>
      </c>
      <c r="H967" s="56">
        <f t="shared" si="58"/>
        <v>-3701.0882943549714</v>
      </c>
      <c r="I967" s="56">
        <f t="shared" si="59"/>
        <v>-16.144478517037207</v>
      </c>
      <c r="J967" s="56">
        <f t="shared" si="60"/>
        <v>127313.79772449</v>
      </c>
      <c r="K967" s="56">
        <f t="shared" si="61"/>
        <v>792381.58751988434</v>
      </c>
      <c r="T967" s="83"/>
    </row>
    <row r="968" spans="2:20" x14ac:dyDescent="0.2">
      <c r="B968" s="83"/>
      <c r="C968" s="56">
        <v>929</v>
      </c>
      <c r="D968" s="56">
        <v>19852.081864068961</v>
      </c>
      <c r="E968" s="56">
        <v>3.928984412644855</v>
      </c>
      <c r="F968" s="56">
        <v>12099.138656087984</v>
      </c>
      <c r="G968" s="56">
        <v>10.076271161032892</v>
      </c>
      <c r="H968" s="56">
        <f t="shared" si="58"/>
        <v>7752.9432079809776</v>
      </c>
      <c r="I968" s="56">
        <f t="shared" si="59"/>
        <v>-6.1472867483880371</v>
      </c>
      <c r="J968" s="56">
        <f t="shared" si="60"/>
        <v>142902.16844533151</v>
      </c>
      <c r="K968" s="56">
        <f t="shared" si="61"/>
        <v>405300.31791853852</v>
      </c>
      <c r="T968" s="83"/>
    </row>
    <row r="969" spans="2:20" x14ac:dyDescent="0.2">
      <c r="B969" s="83"/>
      <c r="C969" s="56">
        <v>930</v>
      </c>
      <c r="D969" s="56">
        <v>9012.2058426711301</v>
      </c>
      <c r="E969" s="56">
        <v>2.2039089246459116</v>
      </c>
      <c r="F969" s="56">
        <v>12396.209916072123</v>
      </c>
      <c r="G969" s="56">
        <v>15.847701916459597</v>
      </c>
      <c r="H969" s="56">
        <f t="shared" si="58"/>
        <v>-3384.0040734009926</v>
      </c>
      <c r="I969" s="56">
        <f t="shared" si="59"/>
        <v>-13.643792991813685</v>
      </c>
      <c r="J969" s="56">
        <f t="shared" si="60"/>
        <v>82282.517451861117</v>
      </c>
      <c r="K969" s="56">
        <f t="shared" si="61"/>
        <v>644078.99427135021</v>
      </c>
      <c r="T969" s="83"/>
    </row>
    <row r="970" spans="2:20" x14ac:dyDescent="0.2">
      <c r="B970" s="83"/>
      <c r="C970" s="56">
        <v>931</v>
      </c>
      <c r="D970" s="56">
        <v>12101.881071189136</v>
      </c>
      <c r="E970" s="56">
        <v>2.9736879116544332</v>
      </c>
      <c r="F970" s="56">
        <v>14645.857705728566</v>
      </c>
      <c r="G970" s="56">
        <v>15.70284703351129</v>
      </c>
      <c r="H970" s="56">
        <f t="shared" si="58"/>
        <v>-2543.9766345394291</v>
      </c>
      <c r="I970" s="56">
        <f t="shared" si="59"/>
        <v>-12.729159121856856</v>
      </c>
      <c r="J970" s="56">
        <f t="shared" si="60"/>
        <v>111080.1669811841</v>
      </c>
      <c r="K970" s="56">
        <f t="shared" si="61"/>
        <v>635828.87781044305</v>
      </c>
      <c r="T970" s="83"/>
    </row>
    <row r="971" spans="2:20" x14ac:dyDescent="0.2">
      <c r="B971" s="83"/>
      <c r="C971" s="56">
        <v>932</v>
      </c>
      <c r="D971" s="56">
        <v>18267.612846682507</v>
      </c>
      <c r="E971" s="56">
        <v>3.1787356326217884</v>
      </c>
      <c r="F971" s="56">
        <v>18603.967864366787</v>
      </c>
      <c r="G971" s="56">
        <v>17.140480266765316</v>
      </c>
      <c r="H971" s="56">
        <f t="shared" si="58"/>
        <v>-336.35501768428003</v>
      </c>
      <c r="I971" s="56">
        <f t="shared" si="59"/>
        <v>-13.961744634143528</v>
      </c>
      <c r="J971" s="56">
        <f t="shared" si="60"/>
        <v>113408.33199904246</v>
      </c>
      <c r="K971" s="56">
        <f t="shared" si="61"/>
        <v>691423.28670611966</v>
      </c>
      <c r="T971" s="83"/>
    </row>
    <row r="972" spans="2:20" x14ac:dyDescent="0.2">
      <c r="B972" s="83"/>
      <c r="C972" s="56">
        <v>933</v>
      </c>
      <c r="D972" s="56">
        <v>7514.0385347238953</v>
      </c>
      <c r="E972" s="56">
        <v>1.9717149329747936</v>
      </c>
      <c r="F972" s="56">
        <v>8642.782134385192</v>
      </c>
      <c r="G972" s="56">
        <v>9.1617741136392361</v>
      </c>
      <c r="H972" s="56">
        <f t="shared" si="58"/>
        <v>-1128.7435996612967</v>
      </c>
      <c r="I972" s="56">
        <f t="shared" si="59"/>
        <v>-7.1900591806644423</v>
      </c>
      <c r="J972" s="56">
        <f t="shared" si="60"/>
        <v>74162.280848823953</v>
      </c>
      <c r="K972" s="56">
        <f t="shared" si="61"/>
        <v>370874.54874900653</v>
      </c>
      <c r="T972" s="83"/>
    </row>
    <row r="973" spans="2:20" x14ac:dyDescent="0.2">
      <c r="B973" s="83"/>
      <c r="C973" s="56">
        <v>934</v>
      </c>
      <c r="D973" s="56">
        <v>13607.143321557978</v>
      </c>
      <c r="E973" s="56">
        <v>2.6614331721961184</v>
      </c>
      <c r="F973" s="56">
        <v>6466.7631159203465</v>
      </c>
      <c r="G973" s="56">
        <v>6.1030441119130066</v>
      </c>
      <c r="H973" s="56">
        <f t="shared" si="58"/>
        <v>7140.3802056376317</v>
      </c>
      <c r="I973" s="56">
        <f t="shared" si="59"/>
        <v>-3.4416109397168881</v>
      </c>
      <c r="J973" s="56">
        <f t="shared" si="60"/>
        <v>96640.064403494034</v>
      </c>
      <c r="K973" s="56">
        <f t="shared" si="61"/>
        <v>246345.73617596403</v>
      </c>
      <c r="T973" s="83"/>
    </row>
    <row r="974" spans="2:20" x14ac:dyDescent="0.2">
      <c r="B974" s="83"/>
      <c r="C974" s="56">
        <v>935</v>
      </c>
      <c r="D974" s="56">
        <v>18402.520467912287</v>
      </c>
      <c r="E974" s="56">
        <v>5.0048224167205069</v>
      </c>
      <c r="F974" s="56">
        <v>9972.6870858828861</v>
      </c>
      <c r="G974" s="56">
        <v>7.5715156486200961</v>
      </c>
      <c r="H974" s="56">
        <f t="shared" si="58"/>
        <v>8429.833382029401</v>
      </c>
      <c r="I974" s="56">
        <f t="shared" si="59"/>
        <v>-2.5666932318995892</v>
      </c>
      <c r="J974" s="56">
        <f t="shared" si="60"/>
        <v>188917.24332231798</v>
      </c>
      <c r="K974" s="56">
        <f t="shared" si="61"/>
        <v>303669.77714255598</v>
      </c>
      <c r="T974" s="83"/>
    </row>
    <row r="975" spans="2:20" x14ac:dyDescent="0.2">
      <c r="B975" s="83"/>
      <c r="C975" s="56">
        <v>936</v>
      </c>
      <c r="D975" s="56">
        <v>11121.918190807204</v>
      </c>
      <c r="E975" s="56">
        <v>2.811347971025794</v>
      </c>
      <c r="F975" s="56">
        <v>16576.78916454452</v>
      </c>
      <c r="G975" s="56">
        <v>22.248938671409267</v>
      </c>
      <c r="H975" s="56">
        <f t="shared" si="58"/>
        <v>-5454.8709737373156</v>
      </c>
      <c r="I975" s="56">
        <f t="shared" si="59"/>
        <v>-19.437590700383474</v>
      </c>
      <c r="J975" s="56">
        <f t="shared" si="60"/>
        <v>105335.36016096528</v>
      </c>
      <c r="K975" s="56">
        <f t="shared" si="61"/>
        <v>905063.24635991291</v>
      </c>
      <c r="T975" s="83"/>
    </row>
    <row r="976" spans="2:20" x14ac:dyDescent="0.2">
      <c r="B976" s="83"/>
      <c r="C976" s="56">
        <v>937</v>
      </c>
      <c r="D976" s="56">
        <v>13771.404778747859</v>
      </c>
      <c r="E976" s="56">
        <v>3.1296227165612502</v>
      </c>
      <c r="F976" s="56">
        <v>11879.256312767833</v>
      </c>
      <c r="G976" s="56">
        <v>11.890027054987549</v>
      </c>
      <c r="H976" s="56">
        <f t="shared" si="58"/>
        <v>1892.1484659800262</v>
      </c>
      <c r="I976" s="56">
        <f t="shared" si="59"/>
        <v>-8.760404338426298</v>
      </c>
      <c r="J976" s="56">
        <f t="shared" si="60"/>
        <v>115870.08663208537</v>
      </c>
      <c r="K976" s="56">
        <f t="shared" si="61"/>
        <v>480653.22441303637</v>
      </c>
      <c r="T976" s="83"/>
    </row>
    <row r="977" spans="2:20" x14ac:dyDescent="0.2">
      <c r="B977" s="83"/>
      <c r="C977" s="56">
        <v>938</v>
      </c>
      <c r="D977" s="56">
        <v>12791.618803074009</v>
      </c>
      <c r="E977" s="56">
        <v>3.2951963186817519</v>
      </c>
      <c r="F977" s="56">
        <v>16734.546417599675</v>
      </c>
      <c r="G977" s="56">
        <v>19.745198050534263</v>
      </c>
      <c r="H977" s="56">
        <f t="shared" si="58"/>
        <v>-3942.9276145256663</v>
      </c>
      <c r="I977" s="56">
        <f t="shared" si="59"/>
        <v>-16.45000173185251</v>
      </c>
      <c r="J977" s="56">
        <f t="shared" si="60"/>
        <v>123708.5935019989</v>
      </c>
      <c r="K977" s="56">
        <f t="shared" si="61"/>
        <v>801190.53762773168</v>
      </c>
      <c r="T977" s="83"/>
    </row>
    <row r="978" spans="2:20" x14ac:dyDescent="0.2">
      <c r="B978" s="83"/>
      <c r="C978" s="56">
        <v>939</v>
      </c>
      <c r="D978" s="56">
        <v>18803.431023878595</v>
      </c>
      <c r="E978" s="56">
        <v>3.6930000671394323</v>
      </c>
      <c r="F978" s="56">
        <v>21322.040787914764</v>
      </c>
      <c r="G978" s="56">
        <v>20.568059121805781</v>
      </c>
      <c r="H978" s="56">
        <f t="shared" si="58"/>
        <v>-2518.6097640361695</v>
      </c>
      <c r="I978" s="56">
        <f t="shared" si="59"/>
        <v>-16.875059054666348</v>
      </c>
      <c r="J978" s="56">
        <f t="shared" si="60"/>
        <v>134175.40375730523</v>
      </c>
      <c r="K978" s="56">
        <f t="shared" si="61"/>
        <v>830689.24027376797</v>
      </c>
      <c r="T978" s="83"/>
    </row>
    <row r="979" spans="2:20" x14ac:dyDescent="0.2">
      <c r="B979" s="83"/>
      <c r="C979" s="56">
        <v>940</v>
      </c>
      <c r="D979" s="56">
        <v>14444.595514631143</v>
      </c>
      <c r="E979" s="56">
        <v>3.6548251260769096</v>
      </c>
      <c r="F979" s="56">
        <v>14091.971456143217</v>
      </c>
      <c r="G979" s="56">
        <v>16.301995172288628</v>
      </c>
      <c r="H979" s="56">
        <f t="shared" si="58"/>
        <v>352.62405848792514</v>
      </c>
      <c r="I979" s="56">
        <f t="shared" si="59"/>
        <v>-12.647170046211718</v>
      </c>
      <c r="J979" s="56">
        <f t="shared" si="60"/>
        <v>136952.88050797876</v>
      </c>
      <c r="K979" s="56">
        <f t="shared" si="61"/>
        <v>661201.87656074087</v>
      </c>
      <c r="T979" s="83"/>
    </row>
    <row r="980" spans="2:20" x14ac:dyDescent="0.2">
      <c r="B980" s="83"/>
      <c r="C980" s="56">
        <v>941</v>
      </c>
      <c r="D980" s="56">
        <v>23390.538213782173</v>
      </c>
      <c r="E980" s="56">
        <v>4.522023053910317</v>
      </c>
      <c r="F980" s="56">
        <v>17378.546957834886</v>
      </c>
      <c r="G980" s="56">
        <v>16.123653214439422</v>
      </c>
      <c r="H980" s="56">
        <f t="shared" si="58"/>
        <v>6011.9912559472868</v>
      </c>
      <c r="I980" s="56">
        <f t="shared" si="59"/>
        <v>-11.601630160529105</v>
      </c>
      <c r="J980" s="56">
        <f t="shared" si="60"/>
        <v>163929.74477139878</v>
      </c>
      <c r="K980" s="56">
        <f t="shared" si="61"/>
        <v>650527.6637971038</v>
      </c>
      <c r="T980" s="83"/>
    </row>
    <row r="981" spans="2:20" x14ac:dyDescent="0.2">
      <c r="B981" s="83"/>
      <c r="C981" s="56">
        <v>942</v>
      </c>
      <c r="D981" s="56">
        <v>19674.11646951177</v>
      </c>
      <c r="E981" s="56">
        <v>4.9362586331769638</v>
      </c>
      <c r="F981" s="56">
        <v>20369.013965306611</v>
      </c>
      <c r="G981" s="56">
        <v>20.961903744862688</v>
      </c>
      <c r="H981" s="56">
        <f t="shared" si="58"/>
        <v>-694.89749579484123</v>
      </c>
      <c r="I981" s="56">
        <f t="shared" si="59"/>
        <v>-16.025645111685726</v>
      </c>
      <c r="J981" s="56">
        <f t="shared" si="60"/>
        <v>184805.46115121079</v>
      </c>
      <c r="K981" s="56">
        <f t="shared" si="61"/>
        <v>847956.88676188549</v>
      </c>
      <c r="T981" s="83"/>
    </row>
    <row r="982" spans="2:20" x14ac:dyDescent="0.2">
      <c r="B982" s="83"/>
      <c r="C982" s="56">
        <v>943</v>
      </c>
      <c r="D982" s="56">
        <v>12781.542841785395</v>
      </c>
      <c r="E982" s="56">
        <v>2.3744744638752913</v>
      </c>
      <c r="F982" s="56">
        <v>17297.900875652558</v>
      </c>
      <c r="G982" s="56">
        <v>18.964022509864066</v>
      </c>
      <c r="H982" s="56">
        <f t="shared" si="58"/>
        <v>-4516.3580338671636</v>
      </c>
      <c r="I982" s="56">
        <f t="shared" si="59"/>
        <v>-16.589548045988774</v>
      </c>
      <c r="J982" s="56">
        <f t="shared" si="60"/>
        <v>85578.687349784668</v>
      </c>
      <c r="K982" s="56">
        <f t="shared" si="61"/>
        <v>768267.76757295651</v>
      </c>
      <c r="T982" s="83"/>
    </row>
    <row r="983" spans="2:20" x14ac:dyDescent="0.2">
      <c r="B983" s="83"/>
      <c r="C983" s="56">
        <v>944</v>
      </c>
      <c r="D983" s="56">
        <v>11453.282824709811</v>
      </c>
      <c r="E983" s="56">
        <v>1.9937594166118964</v>
      </c>
      <c r="F983" s="56">
        <v>12011.806036626944</v>
      </c>
      <c r="G983" s="56">
        <v>11.71303589658546</v>
      </c>
      <c r="H983" s="56">
        <f t="shared" si="58"/>
        <v>-558.52321191713236</v>
      </c>
      <c r="I983" s="56">
        <f t="shared" si="59"/>
        <v>-9.7192764799735638</v>
      </c>
      <c r="J983" s="56">
        <f t="shared" si="60"/>
        <v>71136.20724902139</v>
      </c>
      <c r="K983" s="56">
        <f t="shared" si="61"/>
        <v>473188.99294352916</v>
      </c>
      <c r="T983" s="83"/>
    </row>
    <row r="984" spans="2:20" x14ac:dyDescent="0.2">
      <c r="B984" s="83"/>
      <c r="C984" s="56">
        <v>945</v>
      </c>
      <c r="D984" s="56">
        <v>12567.634073225616</v>
      </c>
      <c r="E984" s="56">
        <v>2.8753706175056646</v>
      </c>
      <c r="F984" s="56">
        <v>15572.63120864017</v>
      </c>
      <c r="G984" s="56">
        <v>16.601419352278167</v>
      </c>
      <c r="H984" s="56">
        <f t="shared" si="58"/>
        <v>-3004.9971354145546</v>
      </c>
      <c r="I984" s="56">
        <f t="shared" si="59"/>
        <v>-13.726048734772503</v>
      </c>
      <c r="J984" s="56">
        <f t="shared" si="60"/>
        <v>106541.71838632903</v>
      </c>
      <c r="K984" s="56">
        <f t="shared" si="61"/>
        <v>672124.56404013059</v>
      </c>
      <c r="T984" s="83"/>
    </row>
    <row r="985" spans="2:20" x14ac:dyDescent="0.2">
      <c r="B985" s="83"/>
      <c r="C985" s="56">
        <v>946</v>
      </c>
      <c r="D985" s="56">
        <v>14648.381633190258</v>
      </c>
      <c r="E985" s="56">
        <v>3.0678135474028623</v>
      </c>
      <c r="F985" s="56">
        <v>19362.222291780283</v>
      </c>
      <c r="G985" s="56">
        <v>21.654160803714404</v>
      </c>
      <c r="H985" s="56">
        <f t="shared" si="58"/>
        <v>-4713.8406585900248</v>
      </c>
      <c r="I985" s="56">
        <f t="shared" si="59"/>
        <v>-18.586347256311541</v>
      </c>
      <c r="J985" s="56">
        <f t="shared" si="60"/>
        <v>112432.72675442591</v>
      </c>
      <c r="K985" s="56">
        <f t="shared" si="61"/>
        <v>877639.73484128516</v>
      </c>
      <c r="T985" s="83"/>
    </row>
    <row r="986" spans="2:20" x14ac:dyDescent="0.2">
      <c r="B986" s="83"/>
      <c r="C986" s="56">
        <v>947</v>
      </c>
      <c r="D986" s="56">
        <v>18924.200531066614</v>
      </c>
      <c r="E986" s="56">
        <v>3.7085657291093024</v>
      </c>
      <c r="F986" s="56">
        <v>13206.084276703934</v>
      </c>
      <c r="G986" s="56">
        <v>14.118939246900814</v>
      </c>
      <c r="H986" s="56">
        <f t="shared" si="58"/>
        <v>5718.1162543626797</v>
      </c>
      <c r="I986" s="56">
        <f t="shared" si="59"/>
        <v>-10.410373517791511</v>
      </c>
      <c r="J986" s="56">
        <f t="shared" si="60"/>
        <v>134699.42623155715</v>
      </c>
      <c r="K986" s="56">
        <f t="shared" si="61"/>
        <v>571656.85508691543</v>
      </c>
      <c r="T986" s="83"/>
    </row>
    <row r="987" spans="2:20" x14ac:dyDescent="0.2">
      <c r="B987" s="83"/>
      <c r="C987" s="56">
        <v>948</v>
      </c>
      <c r="D987" s="56">
        <v>17406.077062324435</v>
      </c>
      <c r="E987" s="56">
        <v>3.5002626936427443</v>
      </c>
      <c r="F987" s="56">
        <v>14743.791760079333</v>
      </c>
      <c r="G987" s="56">
        <v>14.53837602153825</v>
      </c>
      <c r="H987" s="56">
        <f t="shared" si="58"/>
        <v>2662.2853022451018</v>
      </c>
      <c r="I987" s="56">
        <f t="shared" si="59"/>
        <v>-11.038113327895505</v>
      </c>
      <c r="J987" s="56">
        <f t="shared" si="60"/>
        <v>127588.8047591326</v>
      </c>
      <c r="K987" s="56">
        <f t="shared" si="61"/>
        <v>587493.89655612118</v>
      </c>
      <c r="T987" s="83"/>
    </row>
    <row r="988" spans="2:20" x14ac:dyDescent="0.2">
      <c r="B988" s="83"/>
      <c r="C988" s="56">
        <v>949</v>
      </c>
      <c r="D988" s="56">
        <v>16949.796661702785</v>
      </c>
      <c r="E988" s="56">
        <v>3.6794183177665301</v>
      </c>
      <c r="F988" s="56">
        <v>13913.036890644064</v>
      </c>
      <c r="G988" s="56">
        <v>14.969676948051465</v>
      </c>
      <c r="H988" s="56">
        <f t="shared" si="58"/>
        <v>3036.7597710587215</v>
      </c>
      <c r="I988" s="56">
        <f t="shared" si="59"/>
        <v>-11.290258630284935</v>
      </c>
      <c r="J988" s="56">
        <f t="shared" si="60"/>
        <v>135466.42773345794</v>
      </c>
      <c r="K988" s="56">
        <f t="shared" si="61"/>
        <v>606190.86100543977</v>
      </c>
      <c r="T988" s="83"/>
    </row>
    <row r="989" spans="2:20" x14ac:dyDescent="0.2">
      <c r="B989" s="83"/>
      <c r="C989" s="56">
        <v>950</v>
      </c>
      <c r="D989" s="56">
        <v>11573.223201789739</v>
      </c>
      <c r="E989" s="56">
        <v>2.1388541341288487</v>
      </c>
      <c r="F989" s="56">
        <v>11625.774964144754</v>
      </c>
      <c r="G989" s="56">
        <v>9.9687654709347626</v>
      </c>
      <c r="H989" s="56">
        <f t="shared" si="58"/>
        <v>-52.551762355014944</v>
      </c>
      <c r="I989" s="56">
        <f t="shared" si="59"/>
        <v>-7.8299113368059139</v>
      </c>
      <c r="J989" s="56">
        <f t="shared" si="60"/>
        <v>77026.670450363701</v>
      </c>
      <c r="K989" s="56">
        <f t="shared" si="61"/>
        <v>401320.36590385687</v>
      </c>
      <c r="T989" s="83"/>
    </row>
    <row r="990" spans="2:20" x14ac:dyDescent="0.2">
      <c r="B990" s="83"/>
      <c r="C990" s="56">
        <v>951</v>
      </c>
      <c r="D990" s="56">
        <v>26097.936218911495</v>
      </c>
      <c r="E990" s="56">
        <v>4.6636387376481956</v>
      </c>
      <c r="F990" s="56">
        <v>14674.253384885971</v>
      </c>
      <c r="G990" s="56">
        <v>11.679996761126452</v>
      </c>
      <c r="H990" s="56">
        <f t="shared" si="58"/>
        <v>11423.682834025523</v>
      </c>
      <c r="I990" s="56">
        <f t="shared" si="59"/>
        <v>-7.0163580234782561</v>
      </c>
      <c r="J990" s="56">
        <f t="shared" si="60"/>
        <v>167088.63484942736</v>
      </c>
      <c r="K990" s="56">
        <f t="shared" si="61"/>
        <v>469157.93244801619</v>
      </c>
      <c r="T990" s="83"/>
    </row>
    <row r="991" spans="2:20" x14ac:dyDescent="0.2">
      <c r="B991" s="83"/>
      <c r="C991" s="56">
        <v>952</v>
      </c>
      <c r="D991" s="56">
        <v>15537.264030633562</v>
      </c>
      <c r="E991" s="56">
        <v>2.8564243658421593</v>
      </c>
      <c r="F991" s="56">
        <v>18608.304233287981</v>
      </c>
      <c r="G991" s="56">
        <v>21.346407543986697</v>
      </c>
      <c r="H991" s="56">
        <f t="shared" si="58"/>
        <v>-3071.0402026544198</v>
      </c>
      <c r="I991" s="56">
        <f t="shared" si="59"/>
        <v>-18.489983178144538</v>
      </c>
      <c r="J991" s="56">
        <f t="shared" si="60"/>
        <v>102787.25890001204</v>
      </c>
      <c r="K991" s="56">
        <f t="shared" si="61"/>
        <v>865645.28186881705</v>
      </c>
      <c r="T991" s="83"/>
    </row>
    <row r="992" spans="2:20" x14ac:dyDescent="0.2">
      <c r="B992" s="83"/>
      <c r="C992" s="56">
        <v>953</v>
      </c>
      <c r="D992" s="56">
        <v>16836.473556522047</v>
      </c>
      <c r="E992" s="56">
        <v>4.3087146684514979</v>
      </c>
      <c r="F992" s="56">
        <v>14519.757148595696</v>
      </c>
      <c r="G992" s="56">
        <v>19.219372294645471</v>
      </c>
      <c r="H992" s="56">
        <f t="shared" si="58"/>
        <v>2316.7164079263512</v>
      </c>
      <c r="I992" s="56">
        <f t="shared" si="59"/>
        <v>-14.910657626193974</v>
      </c>
      <c r="J992" s="56">
        <f t="shared" si="60"/>
        <v>161647.7228694128</v>
      </c>
      <c r="K992" s="56">
        <f t="shared" si="61"/>
        <v>781623.52078479831</v>
      </c>
      <c r="T992" s="83"/>
    </row>
    <row r="993" spans="2:20" x14ac:dyDescent="0.2">
      <c r="B993" s="83"/>
      <c r="C993" s="56">
        <v>954</v>
      </c>
      <c r="D993" s="56">
        <v>16639.364422822717</v>
      </c>
      <c r="E993" s="56">
        <v>3.35369256506536</v>
      </c>
      <c r="F993" s="56">
        <v>12414.821433999703</v>
      </c>
      <c r="G993" s="56">
        <v>9.7140879433291971</v>
      </c>
      <c r="H993" s="56">
        <f t="shared" si="58"/>
        <v>4224.5429888230137</v>
      </c>
      <c r="I993" s="56">
        <f t="shared" si="59"/>
        <v>-6.3603953782638367</v>
      </c>
      <c r="J993" s="56">
        <f t="shared" si="60"/>
        <v>122283.99639244474</v>
      </c>
      <c r="K993" s="56">
        <f t="shared" si="61"/>
        <v>389981.55753046897</v>
      </c>
      <c r="T993" s="83"/>
    </row>
    <row r="994" spans="2:20" x14ac:dyDescent="0.2">
      <c r="B994" s="83"/>
      <c r="C994" s="56">
        <v>955</v>
      </c>
      <c r="D994" s="56">
        <v>10437.498564838148</v>
      </c>
      <c r="E994" s="56">
        <v>2.1096986581880239</v>
      </c>
      <c r="F994" s="56">
        <v>11247.853440783969</v>
      </c>
      <c r="G994" s="56">
        <v>12.397309852769915</v>
      </c>
      <c r="H994" s="56">
        <f t="shared" si="58"/>
        <v>-810.35487594582082</v>
      </c>
      <c r="I994" s="56">
        <f t="shared" si="59"/>
        <v>-10.287611194581892</v>
      </c>
      <c r="J994" s="56">
        <f t="shared" si="60"/>
        <v>76954.658651942562</v>
      </c>
      <c r="K994" s="56">
        <f t="shared" si="61"/>
        <v>502298.30990035698</v>
      </c>
      <c r="T994" s="83"/>
    </row>
    <row r="995" spans="2:20" x14ac:dyDescent="0.2">
      <c r="B995" s="83"/>
      <c r="C995" s="56">
        <v>956</v>
      </c>
      <c r="D995" s="56">
        <v>14353.164999315317</v>
      </c>
      <c r="E995" s="56">
        <v>3.2259402751311725</v>
      </c>
      <c r="F995" s="56">
        <v>10522.332711026897</v>
      </c>
      <c r="G995" s="56">
        <v>11.321181674887994</v>
      </c>
      <c r="H995" s="56">
        <f t="shared" si="58"/>
        <v>3830.8322882884204</v>
      </c>
      <c r="I995" s="56">
        <f t="shared" si="59"/>
        <v>-8.0952413997568211</v>
      </c>
      <c r="J995" s="56">
        <f t="shared" si="60"/>
        <v>119278.18495771839</v>
      </c>
      <c r="K995" s="56">
        <f t="shared" si="61"/>
        <v>458446.29698953335</v>
      </c>
      <c r="T995" s="83"/>
    </row>
    <row r="996" spans="2:20" x14ac:dyDescent="0.2">
      <c r="B996" s="83"/>
      <c r="C996" s="56">
        <v>957</v>
      </c>
      <c r="D996" s="56">
        <v>11024.927411237917</v>
      </c>
      <c r="E996" s="56">
        <v>2.5805163738866423</v>
      </c>
      <c r="F996" s="56">
        <v>11367.084633351691</v>
      </c>
      <c r="G996" s="56">
        <v>14.408707639440763</v>
      </c>
      <c r="H996" s="56">
        <f t="shared" si="58"/>
        <v>-342.15722211377397</v>
      </c>
      <c r="I996" s="56">
        <f t="shared" si="59"/>
        <v>-11.828191265554121</v>
      </c>
      <c r="J996" s="56">
        <f t="shared" si="60"/>
        <v>95870.382860642349</v>
      </c>
      <c r="K996" s="56">
        <f t="shared" si="61"/>
        <v>585499.22062284255</v>
      </c>
      <c r="T996" s="83"/>
    </row>
    <row r="997" spans="2:20" x14ac:dyDescent="0.2">
      <c r="B997" s="83"/>
      <c r="C997" s="56">
        <v>958</v>
      </c>
      <c r="D997" s="56">
        <v>14121.149642155588</v>
      </c>
      <c r="E997" s="56">
        <v>3.0021796397703837</v>
      </c>
      <c r="F997" s="56">
        <v>16341.986856716128</v>
      </c>
      <c r="G997" s="56">
        <v>15.906505185059256</v>
      </c>
      <c r="H997" s="56">
        <f t="shared" si="58"/>
        <v>-2220.8372145605408</v>
      </c>
      <c r="I997" s="56">
        <f t="shared" si="59"/>
        <v>-12.904325545288872</v>
      </c>
      <c r="J997" s="56">
        <f t="shared" si="60"/>
        <v>110241.13975569278</v>
      </c>
      <c r="K997" s="56">
        <f t="shared" si="61"/>
        <v>642569.08392917854</v>
      </c>
      <c r="T997" s="83"/>
    </row>
    <row r="998" spans="2:20" x14ac:dyDescent="0.2">
      <c r="B998" s="83"/>
      <c r="C998" s="56">
        <v>959</v>
      </c>
      <c r="D998" s="56">
        <v>9095.0370513310791</v>
      </c>
      <c r="E998" s="56">
        <v>1.4017465893381473</v>
      </c>
      <c r="F998" s="56">
        <v>11605.642742758262</v>
      </c>
      <c r="G998" s="56">
        <v>10.235351773976799</v>
      </c>
      <c r="H998" s="56">
        <f t="shared" si="58"/>
        <v>-2510.605691427183</v>
      </c>
      <c r="I998" s="56">
        <f t="shared" si="59"/>
        <v>-8.8336051846386514</v>
      </c>
      <c r="J998" s="56">
        <f t="shared" si="60"/>
        <v>48970.913665412336</v>
      </c>
      <c r="K998" s="56">
        <f t="shared" si="61"/>
        <v>412383.56914245663</v>
      </c>
      <c r="T998" s="83"/>
    </row>
    <row r="999" spans="2:20" x14ac:dyDescent="0.2">
      <c r="B999" s="83"/>
      <c r="C999" s="56">
        <v>960</v>
      </c>
      <c r="D999" s="56">
        <v>12717.448633527601</v>
      </c>
      <c r="E999" s="56">
        <v>2.5650652857529157</v>
      </c>
      <c r="F999" s="56">
        <v>12317.461301573307</v>
      </c>
      <c r="G999" s="56">
        <v>11.183157477683583</v>
      </c>
      <c r="H999" s="56">
        <f t="shared" si="58"/>
        <v>399.98733195429486</v>
      </c>
      <c r="I999" s="56">
        <f t="shared" si="59"/>
        <v>-8.6180921919306677</v>
      </c>
      <c r="J999" s="56">
        <f t="shared" si="60"/>
        <v>93537.815763501174</v>
      </c>
      <c r="K999" s="56">
        <f t="shared" si="61"/>
        <v>450933.65405399143</v>
      </c>
      <c r="T999" s="83"/>
    </row>
    <row r="1000" spans="2:20" x14ac:dyDescent="0.2">
      <c r="B1000" s="83"/>
      <c r="C1000" s="56">
        <v>961</v>
      </c>
      <c r="D1000" s="56">
        <v>14520.788150509465</v>
      </c>
      <c r="E1000" s="56">
        <v>2.4041458485045042</v>
      </c>
      <c r="F1000" s="56">
        <v>18331.142682953337</v>
      </c>
      <c r="G1000" s="56">
        <v>19.181400130024738</v>
      </c>
      <c r="H1000" s="56">
        <f t="shared" ref="H1000:H1039" si="62">IF($C1000&lt;=No_of_iterations_PSA,D1000-$F1000,"")</f>
        <v>-3810.3545324438728</v>
      </c>
      <c r="I1000" s="56">
        <f t="shared" ref="I1000:I1039" si="63">IF($C1000&lt;=No_of_iterations_PSA,E1000-$G1000,"")</f>
        <v>-16.777254281520232</v>
      </c>
      <c r="J1000" s="56">
        <f t="shared" ref="J1000:J1039" si="64">IF($C1000&lt;=No_of_iterations_PSA,E1000*WTP-D1000,"")</f>
        <v>85068.549477941109</v>
      </c>
      <c r="K1000" s="56">
        <f t="shared" ref="K1000:K1039" si="65">IF($C1000&lt;=No_of_iterations_PSA,G1000*WTP-F1000,"")</f>
        <v>776239.17630319134</v>
      </c>
      <c r="T1000" s="83"/>
    </row>
    <row r="1001" spans="2:20" x14ac:dyDescent="0.2">
      <c r="B1001" s="83"/>
      <c r="C1001" s="56">
        <v>962</v>
      </c>
      <c r="D1001" s="56">
        <v>16606.284228300017</v>
      </c>
      <c r="E1001" s="56">
        <v>2.9646481044337185</v>
      </c>
      <c r="F1001" s="56">
        <v>17746.337197115699</v>
      </c>
      <c r="G1001" s="56">
        <v>14.544813675904184</v>
      </c>
      <c r="H1001" s="56">
        <f t="shared" si="62"/>
        <v>-1140.0529688156821</v>
      </c>
      <c r="I1001" s="56">
        <f t="shared" si="63"/>
        <v>-11.580165571470465</v>
      </c>
      <c r="J1001" s="56">
        <f t="shared" si="64"/>
        <v>106201.29884976233</v>
      </c>
      <c r="K1001" s="56">
        <f t="shared" si="65"/>
        <v>584758.02451353928</v>
      </c>
      <c r="T1001" s="83"/>
    </row>
    <row r="1002" spans="2:20" x14ac:dyDescent="0.2">
      <c r="B1002" s="83"/>
      <c r="C1002" s="56">
        <v>963</v>
      </c>
      <c r="D1002" s="56">
        <v>23403.772421501704</v>
      </c>
      <c r="E1002" s="56">
        <v>4.2887072311143672</v>
      </c>
      <c r="F1002" s="56">
        <v>17989.528955310627</v>
      </c>
      <c r="G1002" s="56">
        <v>17.605872066375127</v>
      </c>
      <c r="H1002" s="56">
        <f t="shared" si="62"/>
        <v>5414.2434661910775</v>
      </c>
      <c r="I1002" s="56">
        <f t="shared" si="63"/>
        <v>-13.31716483526076</v>
      </c>
      <c r="J1002" s="56">
        <f t="shared" si="64"/>
        <v>154251.63592017986</v>
      </c>
      <c r="K1002" s="56">
        <f t="shared" si="65"/>
        <v>711316.1155222127</v>
      </c>
      <c r="T1002" s="83"/>
    </row>
    <row r="1003" spans="2:20" x14ac:dyDescent="0.2">
      <c r="B1003" s="83"/>
      <c r="C1003" s="56">
        <v>964</v>
      </c>
      <c r="D1003" s="56">
        <v>13198.24029938555</v>
      </c>
      <c r="E1003" s="56">
        <v>2.666585603663556</v>
      </c>
      <c r="F1003" s="56">
        <v>11938.365579902973</v>
      </c>
      <c r="G1003" s="56">
        <v>9.3896380731335665</v>
      </c>
      <c r="H1003" s="56">
        <f t="shared" si="62"/>
        <v>1259.8747194825773</v>
      </c>
      <c r="I1003" s="56">
        <f t="shared" si="63"/>
        <v>-6.7230524694700105</v>
      </c>
      <c r="J1003" s="56">
        <f t="shared" si="64"/>
        <v>97262.401746773598</v>
      </c>
      <c r="K1003" s="56">
        <f t="shared" si="65"/>
        <v>377018.00196158193</v>
      </c>
      <c r="T1003" s="83"/>
    </row>
    <row r="1004" spans="2:20" x14ac:dyDescent="0.2">
      <c r="B1004" s="83"/>
      <c r="C1004" s="56">
        <v>965</v>
      </c>
      <c r="D1004" s="56">
        <v>19989.57386430827</v>
      </c>
      <c r="E1004" s="56">
        <v>4.7435544408608603</v>
      </c>
      <c r="F1004" s="56">
        <v>13899.061613700973</v>
      </c>
      <c r="G1004" s="56">
        <v>13.715576143042327</v>
      </c>
      <c r="H1004" s="56">
        <f t="shared" si="62"/>
        <v>6090.5122506072967</v>
      </c>
      <c r="I1004" s="56">
        <f t="shared" si="63"/>
        <v>-8.9720217021814666</v>
      </c>
      <c r="J1004" s="56">
        <f t="shared" si="64"/>
        <v>176507.42529391201</v>
      </c>
      <c r="K1004" s="56">
        <f t="shared" si="65"/>
        <v>554254.96453568444</v>
      </c>
      <c r="T1004" s="83"/>
    </row>
    <row r="1005" spans="2:20" x14ac:dyDescent="0.2">
      <c r="B1005" s="83"/>
      <c r="C1005" s="56">
        <v>966</v>
      </c>
      <c r="D1005" s="56">
        <v>10752.451195824367</v>
      </c>
      <c r="E1005" s="56">
        <v>2.4129282811160873</v>
      </c>
      <c r="F1005" s="56">
        <v>16896.684857390246</v>
      </c>
      <c r="G1005" s="56">
        <v>18.35886606438681</v>
      </c>
      <c r="H1005" s="56">
        <f t="shared" si="62"/>
        <v>-6144.2336615658787</v>
      </c>
      <c r="I1005" s="56">
        <f t="shared" si="63"/>
        <v>-15.945937783270722</v>
      </c>
      <c r="J1005" s="56">
        <f t="shared" si="64"/>
        <v>89200.689921128433</v>
      </c>
      <c r="K1005" s="56">
        <f t="shared" si="65"/>
        <v>743600.98299376899</v>
      </c>
      <c r="T1005" s="83"/>
    </row>
    <row r="1006" spans="2:20" x14ac:dyDescent="0.2">
      <c r="B1006" s="83"/>
      <c r="C1006" s="56">
        <v>967</v>
      </c>
      <c r="D1006" s="56">
        <v>16413.666875672687</v>
      </c>
      <c r="E1006" s="56">
        <v>3.5733804760467969</v>
      </c>
      <c r="F1006" s="56">
        <v>14716.965330921597</v>
      </c>
      <c r="G1006" s="56">
        <v>15.130223176390965</v>
      </c>
      <c r="H1006" s="56">
        <f t="shared" si="62"/>
        <v>1696.7015447510894</v>
      </c>
      <c r="I1006" s="56">
        <f t="shared" si="63"/>
        <v>-11.556842700344168</v>
      </c>
      <c r="J1006" s="56">
        <f t="shared" si="64"/>
        <v>131610.0459640898</v>
      </c>
      <c r="K1006" s="56">
        <f t="shared" si="65"/>
        <v>612037.39952789771</v>
      </c>
      <c r="T1006" s="83"/>
    </row>
    <row r="1007" spans="2:20" x14ac:dyDescent="0.2">
      <c r="B1007" s="83"/>
      <c r="C1007" s="56">
        <v>968</v>
      </c>
      <c r="D1007" s="56">
        <v>12535.09491522079</v>
      </c>
      <c r="E1007" s="56">
        <v>2.8949916257031836</v>
      </c>
      <c r="F1007" s="56">
        <v>16675.830439727495</v>
      </c>
      <c r="G1007" s="56">
        <v>20.931623907217926</v>
      </c>
      <c r="H1007" s="56">
        <f t="shared" si="62"/>
        <v>-4140.7355245067047</v>
      </c>
      <c r="I1007" s="56">
        <f t="shared" si="63"/>
        <v>-18.036632281514741</v>
      </c>
      <c r="J1007" s="56">
        <f t="shared" si="64"/>
        <v>107387.03818790789</v>
      </c>
      <c r="K1007" s="56">
        <f t="shared" si="65"/>
        <v>850395.7582928678</v>
      </c>
      <c r="T1007" s="83"/>
    </row>
    <row r="1008" spans="2:20" x14ac:dyDescent="0.2">
      <c r="B1008" s="83"/>
      <c r="C1008" s="56">
        <v>969</v>
      </c>
      <c r="D1008" s="56">
        <v>15057.113168277076</v>
      </c>
      <c r="E1008" s="56">
        <v>3.5603436441292313</v>
      </c>
      <c r="F1008" s="56">
        <v>11161.977376214765</v>
      </c>
      <c r="G1008" s="56">
        <v>8.8657970171421727</v>
      </c>
      <c r="H1008" s="56">
        <f t="shared" si="62"/>
        <v>3895.1357920623104</v>
      </c>
      <c r="I1008" s="56">
        <f t="shared" si="63"/>
        <v>-5.3054533730129414</v>
      </c>
      <c r="J1008" s="56">
        <f t="shared" si="64"/>
        <v>132426.56194613219</v>
      </c>
      <c r="K1008" s="56">
        <f t="shared" si="65"/>
        <v>356094.79826188262</v>
      </c>
      <c r="T1008" s="83"/>
    </row>
    <row r="1009" spans="2:20" x14ac:dyDescent="0.2">
      <c r="B1009" s="83"/>
      <c r="C1009" s="56">
        <v>970</v>
      </c>
      <c r="D1009" s="56">
        <v>10308.679881160577</v>
      </c>
      <c r="E1009" s="56">
        <v>2.2187730470541136</v>
      </c>
      <c r="F1009" s="56">
        <v>20725.226143425683</v>
      </c>
      <c r="G1009" s="56">
        <v>22.639473183437339</v>
      </c>
      <c r="H1009" s="56">
        <f t="shared" si="62"/>
        <v>-10416.546262265107</v>
      </c>
      <c r="I1009" s="56">
        <f t="shared" si="63"/>
        <v>-20.420700136383225</v>
      </c>
      <c r="J1009" s="56">
        <f t="shared" si="64"/>
        <v>81601.774820009014</v>
      </c>
      <c r="K1009" s="56">
        <f t="shared" si="65"/>
        <v>917092.3110072827</v>
      </c>
      <c r="T1009" s="83"/>
    </row>
    <row r="1010" spans="2:20" x14ac:dyDescent="0.2">
      <c r="B1010" s="83"/>
      <c r="C1010" s="56">
        <v>971</v>
      </c>
      <c r="D1010" s="56">
        <v>9680.3798927525004</v>
      </c>
      <c r="E1010" s="56">
        <v>1.5515780370428429</v>
      </c>
      <c r="F1010" s="56">
        <v>18018.320512308281</v>
      </c>
      <c r="G1010" s="56">
        <v>19.485846056548262</v>
      </c>
      <c r="H1010" s="56">
        <f t="shared" si="62"/>
        <v>-8337.9406195557804</v>
      </c>
      <c r="I1010" s="56">
        <f t="shared" si="63"/>
        <v>-17.934268019505417</v>
      </c>
      <c r="J1010" s="56">
        <f t="shared" si="64"/>
        <v>54592.188713710224</v>
      </c>
      <c r="K1010" s="56">
        <f t="shared" si="65"/>
        <v>789163.36653414695</v>
      </c>
      <c r="T1010" s="83"/>
    </row>
    <row r="1011" spans="2:20" x14ac:dyDescent="0.2">
      <c r="B1011" s="83"/>
      <c r="C1011" s="56">
        <v>972</v>
      </c>
      <c r="D1011" s="56">
        <v>14885.044726899887</v>
      </c>
      <c r="E1011" s="56">
        <v>2.9574284941658449</v>
      </c>
      <c r="F1011" s="56">
        <v>18295.537630214414</v>
      </c>
      <c r="G1011" s="56">
        <v>15.910608542191605</v>
      </c>
      <c r="H1011" s="56">
        <f t="shared" si="62"/>
        <v>-3410.4929033145272</v>
      </c>
      <c r="I1011" s="56">
        <f t="shared" si="63"/>
        <v>-12.953180048025761</v>
      </c>
      <c r="J1011" s="56">
        <f t="shared" si="64"/>
        <v>107623.47321542607</v>
      </c>
      <c r="K1011" s="56">
        <f t="shared" si="65"/>
        <v>640785.5106215307</v>
      </c>
      <c r="T1011" s="83"/>
    </row>
    <row r="1012" spans="2:20" x14ac:dyDescent="0.2">
      <c r="B1012" s="83"/>
      <c r="C1012" s="56">
        <v>973</v>
      </c>
      <c r="D1012" s="56">
        <v>20516.116598587054</v>
      </c>
      <c r="E1012" s="56">
        <v>3.9324995025726976</v>
      </c>
      <c r="F1012" s="56">
        <v>16261.410043295693</v>
      </c>
      <c r="G1012" s="56">
        <v>14.333523747041037</v>
      </c>
      <c r="H1012" s="56">
        <f t="shared" si="62"/>
        <v>4254.7065552913609</v>
      </c>
      <c r="I1012" s="56">
        <f t="shared" si="63"/>
        <v>-10.401024244468339</v>
      </c>
      <c r="J1012" s="56">
        <f t="shared" si="64"/>
        <v>142383.74279598438</v>
      </c>
      <c r="K1012" s="56">
        <f t="shared" si="65"/>
        <v>577490.47765413218</v>
      </c>
      <c r="T1012" s="83"/>
    </row>
    <row r="1013" spans="2:20" x14ac:dyDescent="0.2">
      <c r="B1013" s="83"/>
      <c r="C1013" s="56">
        <v>974</v>
      </c>
      <c r="D1013" s="56">
        <v>11499.795353027073</v>
      </c>
      <c r="E1013" s="56">
        <v>2.4858497867891072</v>
      </c>
      <c r="F1013" s="56">
        <v>14185.488838281437</v>
      </c>
      <c r="G1013" s="56">
        <v>13.179650990401088</v>
      </c>
      <c r="H1013" s="56">
        <f t="shared" si="62"/>
        <v>-2685.6934852543636</v>
      </c>
      <c r="I1013" s="56">
        <f t="shared" si="63"/>
        <v>-10.693801203611981</v>
      </c>
      <c r="J1013" s="56">
        <f t="shared" si="64"/>
        <v>91474.046214924907</v>
      </c>
      <c r="K1013" s="56">
        <f t="shared" si="65"/>
        <v>531768.37378809322</v>
      </c>
      <c r="T1013" s="83"/>
    </row>
    <row r="1014" spans="2:20" x14ac:dyDescent="0.2">
      <c r="B1014" s="83"/>
      <c r="C1014" s="56">
        <v>975</v>
      </c>
      <c r="D1014" s="56">
        <v>17938.836871355179</v>
      </c>
      <c r="E1014" s="56">
        <v>3.6375620089378629</v>
      </c>
      <c r="F1014" s="56">
        <v>14962.078153562794</v>
      </c>
      <c r="G1014" s="56">
        <v>15.81555731792235</v>
      </c>
      <c r="H1014" s="56">
        <f t="shared" si="62"/>
        <v>2976.7587177923851</v>
      </c>
      <c r="I1014" s="56">
        <f t="shared" si="63"/>
        <v>-12.177995308984487</v>
      </c>
      <c r="J1014" s="56">
        <f t="shared" si="64"/>
        <v>132743.53178688683</v>
      </c>
      <c r="K1014" s="56">
        <f t="shared" si="65"/>
        <v>640181.56818405259</v>
      </c>
      <c r="T1014" s="83"/>
    </row>
    <row r="1015" spans="2:20" x14ac:dyDescent="0.2">
      <c r="B1015" s="83"/>
      <c r="C1015" s="56">
        <v>976</v>
      </c>
      <c r="D1015" s="56">
        <v>12970.052008632198</v>
      </c>
      <c r="E1015" s="56">
        <v>2.3868454033645294</v>
      </c>
      <c r="F1015" s="56">
        <v>13486.894597179398</v>
      </c>
      <c r="G1015" s="56">
        <v>11.070449765981389</v>
      </c>
      <c r="H1015" s="56">
        <f t="shared" si="62"/>
        <v>-516.84258854720065</v>
      </c>
      <c r="I1015" s="56">
        <f t="shared" si="63"/>
        <v>-8.6836043626168582</v>
      </c>
      <c r="J1015" s="56">
        <f t="shared" si="64"/>
        <v>85902.631980340069</v>
      </c>
      <c r="K1015" s="56">
        <f t="shared" si="65"/>
        <v>445095.41650883364</v>
      </c>
      <c r="T1015" s="83"/>
    </row>
    <row r="1016" spans="2:20" x14ac:dyDescent="0.2">
      <c r="B1016" s="83"/>
      <c r="C1016" s="56">
        <v>977</v>
      </c>
      <c r="D1016" s="56">
        <v>13725.207303275547</v>
      </c>
      <c r="E1016" s="56">
        <v>2.2213516990910422</v>
      </c>
      <c r="F1016" s="56">
        <v>16144.749897827578</v>
      </c>
      <c r="G1016" s="56">
        <v>12.622036557332981</v>
      </c>
      <c r="H1016" s="56">
        <f t="shared" si="62"/>
        <v>-2419.542594552031</v>
      </c>
      <c r="I1016" s="56">
        <f t="shared" si="63"/>
        <v>-10.400684858241938</v>
      </c>
      <c r="J1016" s="56">
        <f t="shared" si="64"/>
        <v>78292.065479871788</v>
      </c>
      <c r="K1016" s="56">
        <f t="shared" si="65"/>
        <v>506710.49245313386</v>
      </c>
      <c r="T1016" s="83"/>
    </row>
    <row r="1017" spans="2:20" x14ac:dyDescent="0.2">
      <c r="B1017" s="83"/>
      <c r="C1017" s="56">
        <v>978</v>
      </c>
      <c r="D1017" s="56">
        <v>20784.908809638651</v>
      </c>
      <c r="E1017" s="56">
        <v>3.9819749909290456</v>
      </c>
      <c r="F1017" s="56">
        <v>12647.703568587489</v>
      </c>
      <c r="G1017" s="56">
        <v>12.706095241122682</v>
      </c>
      <c r="H1017" s="56">
        <f t="shared" si="62"/>
        <v>8137.2052410511624</v>
      </c>
      <c r="I1017" s="56">
        <f t="shared" si="63"/>
        <v>-8.7241202501936357</v>
      </c>
      <c r="J1017" s="56">
        <f t="shared" si="64"/>
        <v>144164.42321460615</v>
      </c>
      <c r="K1017" s="56">
        <f t="shared" si="65"/>
        <v>513689.58569967846</v>
      </c>
      <c r="T1017" s="83"/>
    </row>
    <row r="1018" spans="2:20" x14ac:dyDescent="0.2">
      <c r="B1018" s="83"/>
      <c r="C1018" s="56">
        <v>979</v>
      </c>
      <c r="D1018" s="56">
        <v>16354.597985387312</v>
      </c>
      <c r="E1018" s="56">
        <v>2.4355611907262684</v>
      </c>
      <c r="F1018" s="56">
        <v>15151.565319749265</v>
      </c>
      <c r="G1018" s="56">
        <v>10.863250313847498</v>
      </c>
      <c r="H1018" s="56">
        <f t="shared" si="62"/>
        <v>1203.0326656380475</v>
      </c>
      <c r="I1018" s="56">
        <f t="shared" si="63"/>
        <v>-8.4276891231212296</v>
      </c>
      <c r="J1018" s="56">
        <f t="shared" si="64"/>
        <v>84536.088779257625</v>
      </c>
      <c r="K1018" s="56">
        <f t="shared" si="65"/>
        <v>434847.71568106953</v>
      </c>
      <c r="T1018" s="83"/>
    </row>
    <row r="1019" spans="2:20" x14ac:dyDescent="0.2">
      <c r="B1019" s="83"/>
      <c r="C1019" s="56">
        <v>980</v>
      </c>
      <c r="D1019" s="56">
        <v>14107.663018598445</v>
      </c>
      <c r="E1019" s="56">
        <v>3.4549184591583266</v>
      </c>
      <c r="F1019" s="56">
        <v>18250.29913453084</v>
      </c>
      <c r="G1019" s="56">
        <v>20.389869626785728</v>
      </c>
      <c r="H1019" s="56">
        <f t="shared" si="62"/>
        <v>-4142.6361159323951</v>
      </c>
      <c r="I1019" s="56">
        <f t="shared" si="63"/>
        <v>-16.934951167627403</v>
      </c>
      <c r="J1019" s="56">
        <f t="shared" si="64"/>
        <v>129008.87923357608</v>
      </c>
      <c r="K1019" s="56">
        <f t="shared" si="65"/>
        <v>826379.6602854412</v>
      </c>
      <c r="T1019" s="83"/>
    </row>
    <row r="1020" spans="2:20" x14ac:dyDescent="0.2">
      <c r="B1020" s="83"/>
      <c r="C1020" s="56">
        <v>981</v>
      </c>
      <c r="D1020" s="56">
        <v>16089.947146021959</v>
      </c>
      <c r="E1020" s="56">
        <v>3.0446095939802493</v>
      </c>
      <c r="F1020" s="56">
        <v>18388.733929931943</v>
      </c>
      <c r="G1020" s="56">
        <v>18.988939461385652</v>
      </c>
      <c r="H1020" s="56">
        <f t="shared" si="62"/>
        <v>-2298.7867839099836</v>
      </c>
      <c r="I1020" s="56">
        <f t="shared" si="63"/>
        <v>-15.944329867405402</v>
      </c>
      <c r="J1020" s="56">
        <f t="shared" si="64"/>
        <v>110029.96067501589</v>
      </c>
      <c r="K1020" s="56">
        <f t="shared" si="65"/>
        <v>768209.09431850724</v>
      </c>
      <c r="T1020" s="83"/>
    </row>
    <row r="1021" spans="2:20" x14ac:dyDescent="0.2">
      <c r="B1021" s="83"/>
      <c r="C1021" s="56">
        <v>982</v>
      </c>
      <c r="D1021" s="56">
        <v>17813.786049728627</v>
      </c>
      <c r="E1021" s="56">
        <v>3.8928453392768767</v>
      </c>
      <c r="F1021" s="56">
        <v>12190.587353230454</v>
      </c>
      <c r="G1021" s="56">
        <v>13.350347587364313</v>
      </c>
      <c r="H1021" s="56">
        <f t="shared" si="62"/>
        <v>5623.1986964981734</v>
      </c>
      <c r="I1021" s="56">
        <f t="shared" si="63"/>
        <v>-9.4575022480874367</v>
      </c>
      <c r="J1021" s="56">
        <f t="shared" si="64"/>
        <v>143443.43928447671</v>
      </c>
      <c r="K1021" s="56">
        <f t="shared" si="65"/>
        <v>540834.21110574889</v>
      </c>
      <c r="T1021" s="83"/>
    </row>
    <row r="1022" spans="2:20" x14ac:dyDescent="0.2">
      <c r="B1022" s="83"/>
      <c r="C1022" s="56">
        <v>983</v>
      </c>
      <c r="D1022" s="56">
        <v>11448.35061399772</v>
      </c>
      <c r="E1022" s="56">
        <v>2.0899408839921509</v>
      </c>
      <c r="F1022" s="56">
        <v>12384.362310147724</v>
      </c>
      <c r="G1022" s="56">
        <v>13.41387991164919</v>
      </c>
      <c r="H1022" s="56">
        <f t="shared" si="62"/>
        <v>-936.01169615000435</v>
      </c>
      <c r="I1022" s="56">
        <f t="shared" si="63"/>
        <v>-11.323939027657039</v>
      </c>
      <c r="J1022" s="56">
        <f t="shared" si="64"/>
        <v>75125.360564493138</v>
      </c>
      <c r="K1022" s="56">
        <f t="shared" si="65"/>
        <v>543272.19915000827</v>
      </c>
      <c r="T1022" s="83"/>
    </row>
    <row r="1023" spans="2:20" x14ac:dyDescent="0.2">
      <c r="B1023" s="83"/>
      <c r="C1023" s="56">
        <v>984</v>
      </c>
      <c r="D1023" s="56">
        <v>10624.544700327839</v>
      </c>
      <c r="E1023" s="56">
        <v>2.5332989947251017</v>
      </c>
      <c r="F1023" s="56">
        <v>12984.890553854058</v>
      </c>
      <c r="G1023" s="56">
        <v>13.202129226800814</v>
      </c>
      <c r="H1023" s="56">
        <f t="shared" si="62"/>
        <v>-2360.3458535262198</v>
      </c>
      <c r="I1023" s="56">
        <f t="shared" si="63"/>
        <v>-10.668830232075713</v>
      </c>
      <c r="J1023" s="56">
        <f t="shared" si="64"/>
        <v>94314.832857164773</v>
      </c>
      <c r="K1023" s="56">
        <f t="shared" si="65"/>
        <v>533900.11053714284</v>
      </c>
      <c r="T1023" s="83"/>
    </row>
    <row r="1024" spans="2:20" x14ac:dyDescent="0.2">
      <c r="B1024" s="83"/>
      <c r="C1024" s="56">
        <v>985</v>
      </c>
      <c r="D1024" s="56">
        <v>15071.760226332179</v>
      </c>
      <c r="E1024" s="56">
        <v>3.7332246501269331</v>
      </c>
      <c r="F1024" s="56">
        <v>18116.221480728236</v>
      </c>
      <c r="G1024" s="56">
        <v>20.901890574238095</v>
      </c>
      <c r="H1024" s="56">
        <f t="shared" si="62"/>
        <v>-3044.4612543960575</v>
      </c>
      <c r="I1024" s="56">
        <f t="shared" si="63"/>
        <v>-17.168665924111163</v>
      </c>
      <c r="J1024" s="56">
        <f t="shared" si="64"/>
        <v>139573.3376805259</v>
      </c>
      <c r="K1024" s="56">
        <f t="shared" si="65"/>
        <v>847723.69366651063</v>
      </c>
      <c r="T1024" s="83"/>
    </row>
    <row r="1025" spans="2:20" x14ac:dyDescent="0.2">
      <c r="B1025" s="83"/>
      <c r="C1025" s="56">
        <v>986</v>
      </c>
      <c r="D1025" s="56">
        <v>8475.0218721925357</v>
      </c>
      <c r="E1025" s="56">
        <v>1.6014282466728236</v>
      </c>
      <c r="F1025" s="56">
        <v>18448.288900970176</v>
      </c>
      <c r="G1025" s="56">
        <v>19.326695156055003</v>
      </c>
      <c r="H1025" s="56">
        <f t="shared" si="62"/>
        <v>-9973.26702877764</v>
      </c>
      <c r="I1025" s="56">
        <f t="shared" si="63"/>
        <v>-17.725266909382178</v>
      </c>
      <c r="J1025" s="56">
        <f t="shared" si="64"/>
        <v>57862.541817982506</v>
      </c>
      <c r="K1025" s="56">
        <f t="shared" si="65"/>
        <v>782140.73124345229</v>
      </c>
      <c r="T1025" s="83"/>
    </row>
    <row r="1026" spans="2:20" x14ac:dyDescent="0.2">
      <c r="B1026" s="83"/>
      <c r="C1026" s="56">
        <v>987</v>
      </c>
      <c r="D1026" s="56">
        <v>11790.238903134734</v>
      </c>
      <c r="E1026" s="56">
        <v>3.4192635796103623</v>
      </c>
      <c r="F1026" s="56">
        <v>10514.487126593031</v>
      </c>
      <c r="G1026" s="56">
        <v>11.022561640617727</v>
      </c>
      <c r="H1026" s="56">
        <f t="shared" si="62"/>
        <v>1275.7517765417033</v>
      </c>
      <c r="I1026" s="56">
        <f t="shared" si="63"/>
        <v>-7.603298061007365</v>
      </c>
      <c r="J1026" s="56">
        <f t="shared" si="64"/>
        <v>129849.33561864489</v>
      </c>
      <c r="K1026" s="56">
        <f t="shared" si="65"/>
        <v>446084.10627435573</v>
      </c>
      <c r="T1026" s="83"/>
    </row>
    <row r="1027" spans="2:20" x14ac:dyDescent="0.2">
      <c r="B1027" s="83"/>
      <c r="C1027" s="56">
        <v>988</v>
      </c>
      <c r="D1027" s="56">
        <v>19610.438063649082</v>
      </c>
      <c r="E1027" s="56">
        <v>4.6071987788756541</v>
      </c>
      <c r="F1027" s="56">
        <v>18287.891820526547</v>
      </c>
      <c r="G1027" s="56">
        <v>18.210084925294908</v>
      </c>
      <c r="H1027" s="56">
        <f t="shared" si="62"/>
        <v>1322.5462431225351</v>
      </c>
      <c r="I1027" s="56">
        <f t="shared" si="63"/>
        <v>-13.602886146419253</v>
      </c>
      <c r="J1027" s="56">
        <f t="shared" si="64"/>
        <v>171238.164152496</v>
      </c>
      <c r="K1027" s="56">
        <f t="shared" si="65"/>
        <v>736046.66612488963</v>
      </c>
      <c r="T1027" s="83"/>
    </row>
    <row r="1028" spans="2:20" x14ac:dyDescent="0.2">
      <c r="B1028" s="83"/>
      <c r="C1028" s="56">
        <v>989</v>
      </c>
      <c r="D1028" s="56">
        <v>16797.598107385787</v>
      </c>
      <c r="E1028" s="56">
        <v>3.45753658417956</v>
      </c>
      <c r="F1028" s="56">
        <v>8819.764111908109</v>
      </c>
      <c r="G1028" s="56">
        <v>6.8235926310405839</v>
      </c>
      <c r="H1028" s="56">
        <f t="shared" si="62"/>
        <v>7977.8339954776784</v>
      </c>
      <c r="I1028" s="56">
        <f t="shared" si="63"/>
        <v>-3.3660560468610239</v>
      </c>
      <c r="J1028" s="56">
        <f t="shared" si="64"/>
        <v>126427.39735566832</v>
      </c>
      <c r="K1028" s="56">
        <f t="shared" si="65"/>
        <v>273840.73703631706</v>
      </c>
      <c r="T1028" s="83"/>
    </row>
    <row r="1029" spans="2:20" x14ac:dyDescent="0.2">
      <c r="B1029" s="83"/>
      <c r="C1029" s="56">
        <v>990</v>
      </c>
      <c r="D1029" s="56">
        <v>9384.9149235012173</v>
      </c>
      <c r="E1029" s="56">
        <v>3.0233513037551072</v>
      </c>
      <c r="F1029" s="56">
        <v>10670.196041583507</v>
      </c>
      <c r="G1029" s="56">
        <v>12.457493379751622</v>
      </c>
      <c r="H1029" s="56">
        <f t="shared" si="62"/>
        <v>-1285.28111808229</v>
      </c>
      <c r="I1029" s="56">
        <f t="shared" si="63"/>
        <v>-9.4341420759965153</v>
      </c>
      <c r="J1029" s="56">
        <f t="shared" si="64"/>
        <v>115854.38948325034</v>
      </c>
      <c r="K1029" s="56">
        <f t="shared" si="65"/>
        <v>505369.00972124771</v>
      </c>
      <c r="T1029" s="83"/>
    </row>
    <row r="1030" spans="2:20" x14ac:dyDescent="0.2">
      <c r="B1030" s="83"/>
      <c r="C1030" s="56">
        <v>991</v>
      </c>
      <c r="D1030" s="56">
        <v>13224.048895328433</v>
      </c>
      <c r="E1030" s="56">
        <v>4.0668695194230864</v>
      </c>
      <c r="F1030" s="56">
        <v>8566.5234595456877</v>
      </c>
      <c r="G1030" s="56">
        <v>8.5286270820557899</v>
      </c>
      <c r="H1030" s="56">
        <f t="shared" si="62"/>
        <v>4657.5254357827453</v>
      </c>
      <c r="I1030" s="56">
        <f t="shared" si="63"/>
        <v>-4.4617575626327035</v>
      </c>
      <c r="J1030" s="56">
        <f t="shared" si="64"/>
        <v>155241.9540772535</v>
      </c>
      <c r="K1030" s="56">
        <f t="shared" si="65"/>
        <v>344723.32478753338</v>
      </c>
      <c r="T1030" s="83"/>
    </row>
    <row r="1031" spans="2:20" x14ac:dyDescent="0.2">
      <c r="B1031" s="83"/>
      <c r="C1031" s="56">
        <v>992</v>
      </c>
      <c r="D1031" s="56">
        <v>15514.859836691705</v>
      </c>
      <c r="E1031" s="56">
        <v>3.3470569148988289</v>
      </c>
      <c r="F1031" s="56">
        <v>16624.672641522408</v>
      </c>
      <c r="G1031" s="56">
        <v>14.128888612629746</v>
      </c>
      <c r="H1031" s="56">
        <f t="shared" si="62"/>
        <v>-1109.8128048307026</v>
      </c>
      <c r="I1031" s="56">
        <f t="shared" si="63"/>
        <v>-10.781831697730917</v>
      </c>
      <c r="J1031" s="56">
        <f t="shared" si="64"/>
        <v>123133.62580607738</v>
      </c>
      <c r="K1031" s="56">
        <f t="shared" si="65"/>
        <v>568650.40924805228</v>
      </c>
      <c r="T1031" s="83"/>
    </row>
    <row r="1032" spans="2:20" x14ac:dyDescent="0.2">
      <c r="B1032" s="83"/>
      <c r="C1032" s="56">
        <v>993</v>
      </c>
      <c r="D1032" s="56">
        <v>9211.5500565190232</v>
      </c>
      <c r="E1032" s="56">
        <v>2.1831839343990884</v>
      </c>
      <c r="F1032" s="56">
        <v>13789.539169487522</v>
      </c>
      <c r="G1032" s="56">
        <v>16.954609059240894</v>
      </c>
      <c r="H1032" s="56">
        <f t="shared" si="62"/>
        <v>-4577.9891129684984</v>
      </c>
      <c r="I1032" s="56">
        <f t="shared" si="63"/>
        <v>-14.771425124841805</v>
      </c>
      <c r="J1032" s="56">
        <f t="shared" si="64"/>
        <v>81224.661242028815</v>
      </c>
      <c r="K1032" s="56">
        <f t="shared" si="65"/>
        <v>688538.18650050729</v>
      </c>
      <c r="T1032" s="83"/>
    </row>
    <row r="1033" spans="2:20" x14ac:dyDescent="0.2">
      <c r="B1033" s="83"/>
      <c r="C1033" s="56">
        <v>994</v>
      </c>
      <c r="D1033" s="56">
        <v>10181.74291612351</v>
      </c>
      <c r="E1033" s="56">
        <v>1.6056507432114728</v>
      </c>
      <c r="F1033" s="56">
        <v>21399.176389853554</v>
      </c>
      <c r="G1033" s="56">
        <v>21.52044696496181</v>
      </c>
      <c r="H1033" s="56">
        <f t="shared" si="62"/>
        <v>-11217.433473730043</v>
      </c>
      <c r="I1033" s="56">
        <f t="shared" si="63"/>
        <v>-19.914796221750336</v>
      </c>
      <c r="J1033" s="56">
        <f t="shared" si="64"/>
        <v>56330.733470668543</v>
      </c>
      <c r="K1033" s="56">
        <f t="shared" si="65"/>
        <v>870063.81868672441</v>
      </c>
      <c r="T1033" s="83"/>
    </row>
    <row r="1034" spans="2:20" x14ac:dyDescent="0.2">
      <c r="B1034" s="83"/>
      <c r="C1034" s="56">
        <v>995</v>
      </c>
      <c r="D1034" s="56">
        <v>17892.181843996732</v>
      </c>
      <c r="E1034" s="56">
        <v>4.5994050801706035</v>
      </c>
      <c r="F1034" s="56">
        <v>11540.53121791169</v>
      </c>
      <c r="G1034" s="56">
        <v>11.308035763635012</v>
      </c>
      <c r="H1034" s="56">
        <f t="shared" si="62"/>
        <v>6351.6506260850419</v>
      </c>
      <c r="I1034" s="56">
        <f t="shared" si="63"/>
        <v>-6.7086306834644081</v>
      </c>
      <c r="J1034" s="56">
        <f t="shared" si="64"/>
        <v>172633.57419699035</v>
      </c>
      <c r="K1034" s="56">
        <f t="shared" si="65"/>
        <v>456883.54225490504</v>
      </c>
      <c r="T1034" s="83"/>
    </row>
    <row r="1035" spans="2:20" x14ac:dyDescent="0.2">
      <c r="B1035" s="83"/>
      <c r="C1035" s="56">
        <v>996</v>
      </c>
      <c r="D1035" s="56">
        <v>18922.690599413036</v>
      </c>
      <c r="E1035" s="56">
        <v>3.5577438462144206</v>
      </c>
      <c r="F1035" s="56">
        <v>13589.209941012748</v>
      </c>
      <c r="G1035" s="56">
        <v>11.061425046281798</v>
      </c>
      <c r="H1035" s="56">
        <f t="shared" si="62"/>
        <v>5333.4806584002872</v>
      </c>
      <c r="I1035" s="56">
        <f t="shared" si="63"/>
        <v>-7.5036812000673772</v>
      </c>
      <c r="J1035" s="56">
        <f t="shared" si="64"/>
        <v>128453.29048617312</v>
      </c>
      <c r="K1035" s="56">
        <f t="shared" si="65"/>
        <v>444619.26117616444</v>
      </c>
      <c r="T1035" s="83"/>
    </row>
    <row r="1036" spans="2:20" x14ac:dyDescent="0.2">
      <c r="B1036" s="83"/>
      <c r="C1036" s="56">
        <v>997</v>
      </c>
      <c r="D1036" s="56">
        <v>10534.834011539093</v>
      </c>
      <c r="E1036" s="56">
        <v>1.8879933829167301</v>
      </c>
      <c r="F1036" s="56">
        <v>18403.798367359639</v>
      </c>
      <c r="G1036" s="56">
        <v>18.472488945281711</v>
      </c>
      <c r="H1036" s="56">
        <f t="shared" si="62"/>
        <v>-7868.9643558205462</v>
      </c>
      <c r="I1036" s="56">
        <f t="shared" si="63"/>
        <v>-16.584495562364982</v>
      </c>
      <c r="J1036" s="56">
        <f t="shared" si="64"/>
        <v>67673.403882403538</v>
      </c>
      <c r="K1036" s="56">
        <f t="shared" si="65"/>
        <v>746800.58370198996</v>
      </c>
      <c r="T1036" s="83"/>
    </row>
    <row r="1037" spans="2:20" x14ac:dyDescent="0.2">
      <c r="B1037" s="83"/>
      <c r="C1037" s="56">
        <v>998</v>
      </c>
      <c r="D1037" s="56">
        <v>18433.318833249297</v>
      </c>
      <c r="E1037" s="56">
        <v>4.0185468117677248</v>
      </c>
      <c r="F1037" s="56">
        <v>13790.86564212128</v>
      </c>
      <c r="G1037" s="56">
        <v>11.839093736292929</v>
      </c>
      <c r="H1037" s="56">
        <f t="shared" si="62"/>
        <v>4642.4531911280174</v>
      </c>
      <c r="I1037" s="56">
        <f t="shared" si="63"/>
        <v>-7.8205469245252042</v>
      </c>
      <c r="J1037" s="56">
        <f t="shared" si="64"/>
        <v>148030.96429741694</v>
      </c>
      <c r="K1037" s="56">
        <f t="shared" si="65"/>
        <v>476631.75329007697</v>
      </c>
      <c r="T1037" s="83"/>
    </row>
    <row r="1038" spans="2:20" x14ac:dyDescent="0.2">
      <c r="B1038" s="83"/>
      <c r="C1038" s="56">
        <v>999</v>
      </c>
      <c r="D1038" s="56">
        <v>19278.867212059416</v>
      </c>
      <c r="E1038" s="56">
        <v>4.7132859027730492</v>
      </c>
      <c r="F1038" s="56">
        <v>16732.59833734484</v>
      </c>
      <c r="G1038" s="56">
        <v>15.739238055821449</v>
      </c>
      <c r="H1038" s="56">
        <f t="shared" si="62"/>
        <v>2546.2688747145767</v>
      </c>
      <c r="I1038" s="56">
        <f t="shared" si="63"/>
        <v>-11.025952153048401</v>
      </c>
      <c r="J1038" s="56">
        <f t="shared" si="64"/>
        <v>175964.28802441136</v>
      </c>
      <c r="K1038" s="56">
        <f t="shared" si="65"/>
        <v>635249.59888700291</v>
      </c>
      <c r="T1038" s="83"/>
    </row>
    <row r="1039" spans="2:20" x14ac:dyDescent="0.2">
      <c r="B1039" s="83"/>
      <c r="C1039" s="56">
        <v>1000</v>
      </c>
      <c r="D1039" s="56">
        <v>14365.599717432126</v>
      </c>
      <c r="E1039" s="56">
        <v>2.4860298686509901</v>
      </c>
      <c r="F1039" s="56">
        <v>16128.20930597285</v>
      </c>
      <c r="G1039" s="56">
        <v>15.592027129376762</v>
      </c>
      <c r="H1039" s="56">
        <f t="shared" si="62"/>
        <v>-1762.6095885407249</v>
      </c>
      <c r="I1039" s="56">
        <f t="shared" si="63"/>
        <v>-13.105997260725772</v>
      </c>
      <c r="J1039" s="56">
        <f t="shared" si="64"/>
        <v>88615.701561566486</v>
      </c>
      <c r="K1039" s="56">
        <f t="shared" si="65"/>
        <v>629755.92250133003</v>
      </c>
      <c r="T1039" s="83"/>
    </row>
    <row r="1040" spans="2:20" x14ac:dyDescent="0.2">
      <c r="B1040" s="83"/>
      <c r="T1040" s="83"/>
    </row>
    <row r="1041" spans="1:20" ht="16" thickBot="1" x14ac:dyDescent="0.25">
      <c r="A1041" s="82"/>
      <c r="B1041" s="87"/>
      <c r="C1041" s="84"/>
      <c r="D1041" s="84"/>
      <c r="E1041" s="84"/>
      <c r="F1041" s="84"/>
      <c r="G1041" s="84"/>
      <c r="H1041" s="84"/>
      <c r="I1041" s="84"/>
      <c r="J1041" s="84"/>
      <c r="K1041" s="84"/>
      <c r="L1041" s="84"/>
      <c r="M1041" s="84"/>
      <c r="N1041" s="84"/>
      <c r="O1041" s="84"/>
      <c r="P1041" s="84"/>
      <c r="Q1041" s="84"/>
      <c r="R1041" s="84"/>
      <c r="S1041" s="84"/>
      <c r="T1041" s="83"/>
    </row>
  </sheetData>
  <mergeCells count="4">
    <mergeCell ref="J35:K35"/>
    <mergeCell ref="D36:E36"/>
    <mergeCell ref="F36:G36"/>
    <mergeCell ref="H36:I36"/>
  </mergeCells>
  <dataValidations count="1">
    <dataValidation type="list" allowBlank="1" showInputMessage="1" showErrorMessage="1" sqref="D32" xr:uid="{677A9387-2A2E-48DB-9108-78B34F032DDC}">
      <formula1>"1,2,3"</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PSA">
                <anchor moveWithCells="1" sizeWithCells="1">
                  <from>
                    <xdr:col>2</xdr:col>
                    <xdr:colOff>101600</xdr:colOff>
                    <xdr:row>6</xdr:row>
                    <xdr:rowOff>76200</xdr:rowOff>
                  </from>
                  <to>
                    <xdr:col>4</xdr:col>
                    <xdr:colOff>533400</xdr:colOff>
                    <xdr:row>8</xdr:row>
                    <xdr:rowOff>88900</xdr:rowOff>
                  </to>
                </anchor>
              </controlPr>
            </control>
          </mc:Choice>
        </mc:AlternateContent>
        <mc:AlternateContent xmlns:mc="http://schemas.openxmlformats.org/markup-compatibility/2006">
          <mc:Choice Requires="x14">
            <control shapeId="24580" r:id="rId5" name="Button 4">
              <controlPr defaultSize="0" print="0" autoFill="0" autoPict="0" macro="[0]!PSA_Copy">
                <anchor moveWithCells="1" sizeWithCells="1">
                  <from>
                    <xdr:col>2</xdr:col>
                    <xdr:colOff>114300</xdr:colOff>
                    <xdr:row>8</xdr:row>
                    <xdr:rowOff>177800</xdr:rowOff>
                  </from>
                  <to>
                    <xdr:col>4</xdr:col>
                    <xdr:colOff>533400</xdr:colOff>
                    <xdr:row>10</xdr:row>
                    <xdr:rowOff>139700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338F9-590C-421F-BF54-C1F6302C9C58}">
  <sheetPr codeName="Sheet20">
    <tabColor rgb="FFCC6600"/>
  </sheetPr>
  <dimension ref="A3:N33"/>
  <sheetViews>
    <sheetView showGridLines="0" workbookViewId="0"/>
  </sheetViews>
  <sheetFormatPr baseColWidth="10" defaultColWidth="8.83203125" defaultRowHeight="15" x14ac:dyDescent="0.2"/>
  <cols>
    <col min="3" max="3" width="13.83203125" customWidth="1"/>
    <col min="4" max="4" width="11.83203125" bestFit="1" customWidth="1"/>
    <col min="5" max="5" width="11.1640625" bestFit="1" customWidth="1"/>
    <col min="6" max="6" width="11.83203125" bestFit="1" customWidth="1"/>
    <col min="7" max="7" width="11.1640625" bestFit="1" customWidth="1"/>
    <col min="8" max="8" width="11.83203125" bestFit="1" customWidth="1"/>
    <col min="9" max="9" width="11.1640625" bestFit="1" customWidth="1"/>
    <col min="10" max="10" width="11.83203125" bestFit="1" customWidth="1"/>
    <col min="11" max="11" width="10.1640625" bestFit="1" customWidth="1"/>
    <col min="12" max="12" width="15.1640625" customWidth="1"/>
    <col min="18" max="18" width="17.1640625" bestFit="1" customWidth="1"/>
    <col min="19" max="19" width="17.5" customWidth="1"/>
  </cols>
  <sheetData>
    <row r="3" spans="2:14" ht="26" x14ac:dyDescent="0.3">
      <c r="G3" s="85" t="s">
        <v>135</v>
      </c>
    </row>
    <row r="4" spans="2:14" ht="16" thickBot="1" x14ac:dyDescent="0.25"/>
    <row r="5" spans="2:14" ht="16" thickBot="1" x14ac:dyDescent="0.25">
      <c r="B5" s="79"/>
      <c r="C5" s="80"/>
      <c r="D5" s="80"/>
      <c r="E5" s="80"/>
      <c r="F5" s="80"/>
      <c r="G5" s="80"/>
      <c r="H5" s="80"/>
      <c r="I5" s="80"/>
      <c r="J5" s="80"/>
      <c r="K5" s="80"/>
      <c r="L5" s="80"/>
      <c r="M5" s="81"/>
    </row>
    <row r="6" spans="2:14" x14ac:dyDescent="0.2">
      <c r="B6" s="83"/>
      <c r="N6" s="83"/>
    </row>
    <row r="7" spans="2:14" x14ac:dyDescent="0.2">
      <c r="B7" s="83"/>
      <c r="N7" s="83"/>
    </row>
    <row r="8" spans="2:14" x14ac:dyDescent="0.2">
      <c r="B8" s="83"/>
      <c r="N8" s="83"/>
    </row>
    <row r="9" spans="2:14" x14ac:dyDescent="0.2">
      <c r="B9" s="83"/>
      <c r="N9" s="83"/>
    </row>
    <row r="10" spans="2:14" x14ac:dyDescent="0.2">
      <c r="B10" s="83"/>
      <c r="N10" s="83"/>
    </row>
    <row r="11" spans="2:14" x14ac:dyDescent="0.2">
      <c r="B11" s="83"/>
      <c r="N11" s="83"/>
    </row>
    <row r="12" spans="2:14" x14ac:dyDescent="0.2">
      <c r="B12" s="83"/>
      <c r="N12" s="83"/>
    </row>
    <row r="13" spans="2:14" x14ac:dyDescent="0.2">
      <c r="B13" s="83"/>
      <c r="N13" s="83"/>
    </row>
    <row r="14" spans="2:14" x14ac:dyDescent="0.2">
      <c r="B14" s="83"/>
      <c r="N14" s="83"/>
    </row>
    <row r="15" spans="2:14" x14ac:dyDescent="0.2">
      <c r="B15" s="83"/>
      <c r="N15" s="83"/>
    </row>
    <row r="16" spans="2:14" x14ac:dyDescent="0.2">
      <c r="B16" s="83"/>
      <c r="N16" s="83"/>
    </row>
    <row r="17" spans="2:14" x14ac:dyDescent="0.2">
      <c r="B17" s="83"/>
      <c r="N17" s="83"/>
    </row>
    <row r="18" spans="2:14" x14ac:dyDescent="0.2">
      <c r="B18" s="83"/>
      <c r="N18" s="83"/>
    </row>
    <row r="19" spans="2:14" x14ac:dyDescent="0.2">
      <c r="B19" s="83"/>
      <c r="N19" s="83"/>
    </row>
    <row r="20" spans="2:14" x14ac:dyDescent="0.2">
      <c r="B20" s="83"/>
      <c r="N20" s="83"/>
    </row>
    <row r="21" spans="2:14" x14ac:dyDescent="0.2">
      <c r="B21" s="83"/>
      <c r="N21" s="83"/>
    </row>
    <row r="22" spans="2:14" x14ac:dyDescent="0.2">
      <c r="B22" s="83"/>
      <c r="N22" s="83"/>
    </row>
    <row r="23" spans="2:14" x14ac:dyDescent="0.2">
      <c r="B23" s="83"/>
      <c r="N23" s="83"/>
    </row>
    <row r="24" spans="2:14" x14ac:dyDescent="0.2">
      <c r="B24" s="83"/>
      <c r="N24" s="83"/>
    </row>
    <row r="25" spans="2:14" x14ac:dyDescent="0.2">
      <c r="B25" s="83"/>
      <c r="N25" s="83"/>
    </row>
    <row r="26" spans="2:14" x14ac:dyDescent="0.2">
      <c r="B26" s="83"/>
      <c r="N26" s="83"/>
    </row>
    <row r="27" spans="2:14" x14ac:dyDescent="0.2">
      <c r="B27" s="83"/>
      <c r="N27" s="83"/>
    </row>
    <row r="28" spans="2:14" x14ac:dyDescent="0.2">
      <c r="B28" s="83"/>
      <c r="N28" s="83"/>
    </row>
    <row r="29" spans="2:14" x14ac:dyDescent="0.2">
      <c r="B29" s="83"/>
      <c r="N29" s="83"/>
    </row>
    <row r="30" spans="2:14" x14ac:dyDescent="0.2">
      <c r="B30" s="83"/>
      <c r="N30" s="83"/>
    </row>
    <row r="31" spans="2:14" x14ac:dyDescent="0.2">
      <c r="B31" s="83"/>
      <c r="N31" s="83"/>
    </row>
    <row r="32" spans="2:14" x14ac:dyDescent="0.2">
      <c r="B32" s="83"/>
      <c r="N32" s="83"/>
    </row>
    <row r="33" spans="1:14" ht="16" thickBot="1" x14ac:dyDescent="0.25">
      <c r="A33" s="82"/>
      <c r="B33" s="87"/>
      <c r="C33" s="84"/>
      <c r="D33" s="84"/>
      <c r="E33" s="84"/>
      <c r="F33" s="84"/>
      <c r="G33" s="84"/>
      <c r="H33" s="84"/>
      <c r="I33" s="84"/>
      <c r="J33" s="84"/>
      <c r="K33" s="84"/>
      <c r="L33" s="84"/>
      <c r="M33" s="84"/>
      <c r="N33" s="83"/>
    </row>
  </sheetData>
  <dataValidations count="1">
    <dataValidation type="list" allowBlank="1" showInputMessage="1" showErrorMessage="1" sqref="D30" xr:uid="{09B339DE-161B-467A-ADD2-B0B48811A0C3}">
      <formula1>"1,2,3"</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424049-585C-4A34-86FD-4E30BDADE746}">
  <sheetPr codeName="Sheet7">
    <tabColor theme="2" tint="-0.499984740745262"/>
  </sheetPr>
  <dimension ref="A1:ER2421"/>
  <sheetViews>
    <sheetView showGridLines="0" zoomScaleNormal="100" workbookViewId="0"/>
  </sheetViews>
  <sheetFormatPr baseColWidth="10" defaultColWidth="9.1640625" defaultRowHeight="14" x14ac:dyDescent="0.15"/>
  <cols>
    <col min="1" max="1" width="17.1640625" style="5" customWidth="1"/>
    <col min="2" max="2" width="8.83203125" style="5" customWidth="1"/>
    <col min="3" max="3" width="12.6640625" style="6" customWidth="1"/>
    <col min="4" max="4" width="9.1640625" style="6"/>
    <col min="5" max="5" width="56.5" style="28" customWidth="1"/>
    <col min="6" max="6" width="18.83203125" style="4" customWidth="1"/>
    <col min="7" max="7" width="10" style="4" customWidth="1"/>
    <col min="8" max="8" width="13.33203125" style="4" customWidth="1"/>
    <col min="9" max="11" width="10" style="4" customWidth="1"/>
    <col min="12" max="12" width="11" style="4" customWidth="1"/>
    <col min="13" max="13" width="11.6640625" style="4" customWidth="1"/>
    <col min="14" max="14" width="13" style="4" customWidth="1"/>
    <col min="15" max="15" width="10" style="4" customWidth="1"/>
    <col min="16" max="16" width="9.83203125" style="4" bestFit="1" customWidth="1"/>
    <col min="17" max="17" width="20.6640625" style="4" customWidth="1"/>
    <col min="18" max="18" width="7.33203125" style="4" bestFit="1" customWidth="1"/>
    <col min="19" max="19" width="9.1640625" style="5"/>
    <col min="20" max="20" width="26.6640625" style="5" bestFit="1" customWidth="1"/>
    <col min="21" max="21" width="56.5" style="5" customWidth="1"/>
    <col min="22" max="16384" width="9.1640625" style="5"/>
  </cols>
  <sheetData>
    <row r="1" spans="1:20" x14ac:dyDescent="0.15">
      <c r="C1" s="5"/>
      <c r="D1" s="5"/>
      <c r="E1" s="166"/>
      <c r="F1" s="5"/>
      <c r="G1" s="5"/>
      <c r="H1" s="5"/>
      <c r="I1" s="5"/>
      <c r="J1" s="5"/>
      <c r="K1" s="5"/>
      <c r="L1" s="5"/>
      <c r="M1" s="5"/>
      <c r="N1" s="5"/>
      <c r="O1" s="5"/>
      <c r="P1" s="5"/>
      <c r="Q1" s="5"/>
      <c r="R1" s="5"/>
    </row>
    <row r="2" spans="1:20" x14ac:dyDescent="0.15">
      <c r="C2" s="5"/>
      <c r="D2" s="5"/>
      <c r="E2" s="166"/>
      <c r="F2" s="5"/>
      <c r="G2" s="5"/>
      <c r="H2" s="5"/>
      <c r="I2" s="5"/>
      <c r="J2" s="5"/>
      <c r="K2" s="5"/>
      <c r="L2" s="5"/>
      <c r="M2" s="5"/>
      <c r="N2" s="5"/>
      <c r="O2" s="5"/>
      <c r="P2" s="5"/>
      <c r="Q2" s="5"/>
      <c r="R2" s="5"/>
    </row>
    <row r="3" spans="1:20" ht="27" customHeight="1" x14ac:dyDescent="0.3">
      <c r="C3" s="5"/>
      <c r="D3" s="5"/>
      <c r="E3" s="166"/>
      <c r="F3" s="104" t="s">
        <v>44</v>
      </c>
      <c r="G3" s="5"/>
      <c r="H3" s="5"/>
      <c r="I3" s="5"/>
      <c r="J3" s="5"/>
      <c r="K3" s="5"/>
      <c r="L3" s="5"/>
      <c r="M3" s="5"/>
      <c r="N3" s="5"/>
      <c r="O3" s="5"/>
      <c r="P3" s="5"/>
      <c r="Q3" s="5"/>
      <c r="R3" s="5"/>
    </row>
    <row r="4" spans="1:20" ht="17.25" customHeight="1" thickBot="1" x14ac:dyDescent="0.2">
      <c r="C4" s="5"/>
      <c r="D4" s="5"/>
      <c r="E4" s="166"/>
      <c r="F4" s="5"/>
      <c r="G4" s="5"/>
      <c r="H4" s="5"/>
      <c r="I4" s="5"/>
      <c r="J4" s="5"/>
      <c r="K4" s="5"/>
      <c r="L4" s="5"/>
      <c r="M4" s="5"/>
      <c r="N4" s="5"/>
      <c r="O4" s="5"/>
      <c r="P4" s="5"/>
      <c r="Q4" s="5"/>
      <c r="R4" s="5"/>
    </row>
    <row r="5" spans="1:20" customFormat="1" ht="14.5" customHeight="1" thickBot="1" x14ac:dyDescent="0.25">
      <c r="B5" s="79"/>
      <c r="C5" s="80"/>
      <c r="D5" s="80"/>
      <c r="E5" s="80"/>
      <c r="F5" s="80"/>
      <c r="G5" s="80"/>
      <c r="H5" s="80"/>
      <c r="I5" s="80"/>
      <c r="J5" s="80"/>
      <c r="K5" s="80"/>
      <c r="L5" s="80"/>
      <c r="M5" s="80"/>
      <c r="N5" s="80"/>
      <c r="O5" s="80"/>
      <c r="P5" s="80"/>
      <c r="Q5" s="80"/>
      <c r="R5" s="80"/>
      <c r="S5" s="81"/>
    </row>
    <row r="6" spans="1:20" s="1" customFormat="1" ht="15" x14ac:dyDescent="0.2">
      <c r="A6"/>
      <c r="B6" s="83"/>
      <c r="C6" s="102"/>
      <c r="D6" s="102"/>
      <c r="E6" s="102"/>
      <c r="F6" s="102"/>
      <c r="G6" s="102"/>
      <c r="H6" s="102"/>
      <c r="I6" s="102"/>
      <c r="J6" s="102"/>
      <c r="K6" s="102"/>
      <c r="L6" s="102"/>
      <c r="M6" s="102"/>
      <c r="N6" s="102"/>
      <c r="O6" s="102"/>
      <c r="P6" s="102"/>
      <c r="Q6" s="102"/>
      <c r="R6" s="102"/>
      <c r="S6"/>
      <c r="T6" s="83"/>
    </row>
    <row r="7" spans="1:20" ht="20" x14ac:dyDescent="0.2">
      <c r="A7"/>
      <c r="B7" s="103"/>
      <c r="C7" s="5"/>
      <c r="D7" s="27"/>
      <c r="F7" s="29"/>
      <c r="G7" s="29"/>
      <c r="H7" s="29"/>
      <c r="I7" s="29"/>
      <c r="J7" s="29"/>
      <c r="K7" s="29"/>
      <c r="L7" s="29"/>
      <c r="M7" s="29"/>
      <c r="N7" s="29"/>
      <c r="O7" s="29"/>
      <c r="Q7" s="105" t="s">
        <v>48</v>
      </c>
      <c r="R7" s="36">
        <f>MAX(D:D)</f>
        <v>2166</v>
      </c>
      <c r="S7"/>
      <c r="T7" s="83"/>
    </row>
    <row r="8" spans="1:20" ht="15" x14ac:dyDescent="0.2">
      <c r="A8"/>
      <c r="B8" s="103"/>
      <c r="C8" s="30"/>
      <c r="D8" s="30"/>
      <c r="E8" s="31"/>
      <c r="F8" s="32"/>
      <c r="G8" s="32"/>
      <c r="H8" s="32"/>
      <c r="I8" s="32"/>
      <c r="J8" s="32"/>
      <c r="K8" s="32"/>
      <c r="L8" s="32"/>
      <c r="M8" s="32"/>
      <c r="N8" s="32"/>
      <c r="O8" s="29"/>
      <c r="P8" s="29"/>
      <c r="Q8" s="112" t="s">
        <v>147</v>
      </c>
      <c r="R8" s="36">
        <f>COUNTIF(I:I,"=Yes")</f>
        <v>11</v>
      </c>
      <c r="S8"/>
      <c r="T8" s="83"/>
    </row>
    <row r="9" spans="1:20" ht="15" x14ac:dyDescent="0.2">
      <c r="A9"/>
      <c r="B9" s="103"/>
      <c r="C9" s="30" t="s">
        <v>45</v>
      </c>
      <c r="D9" s="30"/>
      <c r="E9" s="31"/>
      <c r="F9" s="32"/>
      <c r="G9" s="32"/>
      <c r="H9" s="32"/>
      <c r="I9" s="32"/>
      <c r="J9" s="32"/>
      <c r="K9" s="32"/>
      <c r="L9" s="32"/>
      <c r="M9" s="32"/>
      <c r="N9" s="32"/>
      <c r="O9" s="29"/>
      <c r="P9" s="29"/>
      <c r="Q9" s="105" t="s">
        <v>146</v>
      </c>
      <c r="R9" s="36">
        <f>COUNTIF(L:L,"=Yes")</f>
        <v>343</v>
      </c>
      <c r="S9"/>
      <c r="T9" s="83"/>
    </row>
    <row r="10" spans="1:20" ht="16" thickBot="1" x14ac:dyDescent="0.25">
      <c r="A10"/>
      <c r="B10" s="103"/>
      <c r="C10" s="30"/>
      <c r="D10" s="30"/>
      <c r="E10" s="31"/>
      <c r="F10" s="32"/>
      <c r="G10" s="32"/>
      <c r="H10" s="32"/>
      <c r="I10" s="32"/>
      <c r="J10" s="32"/>
      <c r="K10" s="32"/>
      <c r="L10" s="32"/>
      <c r="M10" s="32"/>
      <c r="N10" s="32"/>
      <c r="O10" s="29"/>
      <c r="P10" s="29"/>
      <c r="Q10" s="29"/>
      <c r="R10" s="29"/>
      <c r="S10"/>
      <c r="T10" s="83"/>
    </row>
    <row r="11" spans="1:20" ht="17" thickTop="1" thickBot="1" x14ac:dyDescent="0.25">
      <c r="A11"/>
      <c r="B11" s="103"/>
      <c r="C11" s="33" t="s">
        <v>46</v>
      </c>
      <c r="D11" s="33"/>
      <c r="E11" s="33"/>
      <c r="F11" s="77">
        <v>0.1</v>
      </c>
      <c r="G11" s="34" t="s">
        <v>47</v>
      </c>
      <c r="H11" s="35"/>
      <c r="K11" s="32"/>
      <c r="L11" s="32"/>
      <c r="S11"/>
      <c r="T11" s="83"/>
    </row>
    <row r="12" spans="1:20" ht="16" thickTop="1" x14ac:dyDescent="0.2">
      <c r="A12"/>
      <c r="B12" s="103"/>
      <c r="C12" s="30"/>
      <c r="D12" s="30"/>
      <c r="E12" s="37"/>
      <c r="F12" s="37"/>
      <c r="G12" s="32"/>
      <c r="H12" s="32"/>
      <c r="I12" s="32"/>
      <c r="J12" s="32"/>
      <c r="K12" s="32"/>
      <c r="L12" s="32"/>
      <c r="M12" s="32"/>
      <c r="N12" s="32"/>
      <c r="O12" s="29"/>
      <c r="P12" s="29"/>
      <c r="Q12" s="29"/>
      <c r="R12" s="29"/>
      <c r="S12"/>
      <c r="T12" s="83"/>
    </row>
    <row r="13" spans="1:20" ht="43.5" customHeight="1" x14ac:dyDescent="0.2">
      <c r="A13"/>
      <c r="B13" s="103"/>
      <c r="C13" s="38"/>
      <c r="D13" s="39"/>
      <c r="E13" s="88" t="s">
        <v>49</v>
      </c>
      <c r="F13" s="99" t="s">
        <v>163</v>
      </c>
      <c r="G13" s="99" t="s">
        <v>55</v>
      </c>
      <c r="H13" s="99" t="s">
        <v>171</v>
      </c>
      <c r="I13" s="99" t="s">
        <v>56</v>
      </c>
      <c r="J13" s="99" t="s">
        <v>53</v>
      </c>
      <c r="K13" s="99" t="s">
        <v>54</v>
      </c>
      <c r="L13" s="99" t="s">
        <v>134</v>
      </c>
      <c r="M13" s="99" t="s">
        <v>52</v>
      </c>
      <c r="N13" s="99" t="s">
        <v>135</v>
      </c>
      <c r="O13" s="99" t="s">
        <v>51</v>
      </c>
      <c r="P13" s="99" t="s">
        <v>144</v>
      </c>
      <c r="Q13" s="99" t="s">
        <v>145</v>
      </c>
      <c r="R13" s="99" t="s">
        <v>50</v>
      </c>
      <c r="S13"/>
      <c r="T13" s="83"/>
    </row>
    <row r="14" spans="1:20" ht="68" x14ac:dyDescent="0.2">
      <c r="A14"/>
      <c r="B14" s="103"/>
      <c r="C14" s="100" t="s">
        <v>57</v>
      </c>
      <c r="D14" s="119">
        <v>1</v>
      </c>
      <c r="E14" s="25" t="s">
        <v>25</v>
      </c>
      <c r="F14" s="40">
        <f>IFERROR(CHOOSE(G14,H14,J14,K14,N14),0)</f>
        <v>62.03</v>
      </c>
      <c r="G14" s="156">
        <v>1</v>
      </c>
      <c r="H14" s="50">
        <f>con_age</f>
        <v>62.03</v>
      </c>
      <c r="I14" s="40" t="s">
        <v>58</v>
      </c>
      <c r="J14" s="40">
        <v>18</v>
      </c>
      <c r="K14" s="40">
        <v>93</v>
      </c>
      <c r="L14" s="40" t="s">
        <v>58</v>
      </c>
      <c r="M14" s="40" t="s">
        <v>223</v>
      </c>
      <c r="N14" s="40">
        <f ca="1">ROUND(NORMINV(O14,H14,R14),0)</f>
        <v>69</v>
      </c>
      <c r="O14" s="40">
        <f ca="1">RAND()</f>
        <v>0.88548126066481081</v>
      </c>
      <c r="P14" s="51"/>
      <c r="Q14" s="51"/>
      <c r="R14" s="51">
        <f>assumedSE*H14</f>
        <v>6.2030000000000003</v>
      </c>
      <c r="S14"/>
      <c r="T14" s="83"/>
    </row>
    <row r="15" spans="1:20" ht="16" x14ac:dyDescent="0.2">
      <c r="A15"/>
      <c r="B15" s="103"/>
      <c r="C15" s="243" t="s">
        <v>264</v>
      </c>
      <c r="D15" s="119">
        <v>2</v>
      </c>
      <c r="E15" s="25" t="str">
        <f>Tp_CHG!D11</f>
        <v>Transition Probability from state 1 to state 1 on day 1 (CHG)</v>
      </c>
      <c r="F15" s="40">
        <f t="shared" ref="F15:F78" si="0">IFERROR(CHOOSE(G15,H15,J15,K15,N15),0)</f>
        <v>0.97858672376873657</v>
      </c>
      <c r="G15" s="156">
        <v>1</v>
      </c>
      <c r="H15" s="147">
        <f>Tp_CHG!G11</f>
        <v>0.97858672376873657</v>
      </c>
      <c r="I15" s="40" t="s">
        <v>58</v>
      </c>
      <c r="J15" s="40">
        <f t="shared" ref="J15" si="1">IF(H15=0,0,_xlfn.NORM.INV(0.025,H15,R15))</f>
        <v>0.78678725033515962</v>
      </c>
      <c r="K15" s="40">
        <f t="shared" ref="K15" si="2">IF(H15=0,0,_xlfn.NORM.INV(0.975,H15,R15))</f>
        <v>1.1703861972023135</v>
      </c>
      <c r="L15" s="40" t="s">
        <v>26</v>
      </c>
      <c r="M15" s="50" t="s">
        <v>266</v>
      </c>
      <c r="N15" s="190">
        <f ca="1">_xlfn.BETA.INV(O15,P15,Q15)</f>
        <v>0.99999999999999989</v>
      </c>
      <c r="O15" s="40">
        <f t="shared" ref="O15" ca="1" si="3">RAND()</f>
        <v>0.60649816021913849</v>
      </c>
      <c r="P15" s="51">
        <f>IFERROR(H15*((H15*(1-H15)/(R15^2))-1),0)</f>
        <v>1.1627408993576063</v>
      </c>
      <c r="Q15" s="51">
        <f>IFERROR((1-H15)*((H15*(1-H15))/(R15^2)-1),0)</f>
        <v>2.5442908082223395E-2</v>
      </c>
      <c r="R15" s="51">
        <f t="shared" ref="R15" si="4">assumedSE*H15</f>
        <v>9.7858672376873665E-2</v>
      </c>
      <c r="S15"/>
      <c r="T15" s="191"/>
    </row>
    <row r="16" spans="1:20" ht="16" x14ac:dyDescent="0.2">
      <c r="A16"/>
      <c r="B16" s="103"/>
      <c r="C16" s="243"/>
      <c r="D16" s="119">
        <v>3</v>
      </c>
      <c r="E16" s="25" t="str">
        <f>Tp_CHG!D43</f>
        <v>Transition Probability from state 1 to state 2 on day 1 (CHG)</v>
      </c>
      <c r="F16" s="40">
        <f t="shared" si="0"/>
        <v>3.2119914346895075E-3</v>
      </c>
      <c r="G16" s="156">
        <v>1</v>
      </c>
      <c r="H16" s="120">
        <f>Tp_CHG!G43</f>
        <v>3.2119914346895075E-3</v>
      </c>
      <c r="I16" s="40" t="s">
        <v>58</v>
      </c>
      <c r="J16" s="40">
        <f t="shared" ref="J16:J22" si="5">IF(H16=0,0,_xlfn.NORM.INV(0.025,H16,R16))</f>
        <v>2.58245268162525E-3</v>
      </c>
      <c r="K16" s="40">
        <f t="shared" ref="K16:K22" si="6">IF(H16=0,0,_xlfn.NORM.INV(0.975,H16,R16))</f>
        <v>3.8415301877537645E-3</v>
      </c>
      <c r="L16" s="40" t="s">
        <v>26</v>
      </c>
      <c r="M16" s="50" t="s">
        <v>266</v>
      </c>
      <c r="N16" s="190">
        <f ca="1">_xlfn.BETA.INV(O16,P16,Q16)</f>
        <v>3.1911741789558642E-3</v>
      </c>
      <c r="O16" s="40">
        <f t="shared" ref="O16:O22" ca="1" si="7">RAND()</f>
        <v>0.48735678337695476</v>
      </c>
      <c r="P16" s="51">
        <f>IFERROR(H16*((H16*(1-H16)/(R16^2))-1),0)</f>
        <v>99.67558886509633</v>
      </c>
      <c r="Q16" s="51">
        <f>IFERROR((1-H16)*((H16*(1-H16))/(R16^2)-1),0)</f>
        <v>30932.657744468226</v>
      </c>
      <c r="R16" s="51">
        <f t="shared" ref="R16:R22" si="8">assumedSE*H16</f>
        <v>3.2119914346895079E-4</v>
      </c>
      <c r="S16"/>
      <c r="T16" s="189"/>
    </row>
    <row r="17" spans="1:20" ht="16" x14ac:dyDescent="0.2">
      <c r="A17"/>
      <c r="B17" s="103"/>
      <c r="C17" s="243"/>
      <c r="D17" s="119">
        <v>4</v>
      </c>
      <c r="E17" s="25" t="str">
        <f>Tp_CHG!D204</f>
        <v>Transition Probability from state 1 to state 7 on day 1 (CHG)</v>
      </c>
      <c r="F17" s="40">
        <f t="shared" si="0"/>
        <v>3.2119914346895075E-3</v>
      </c>
      <c r="G17" s="156">
        <v>1</v>
      </c>
      <c r="H17" s="120">
        <f>Tp_CHG!G204</f>
        <v>3.2119914346895075E-3</v>
      </c>
      <c r="I17" s="40" t="s">
        <v>58</v>
      </c>
      <c r="J17" s="40">
        <f t="shared" si="5"/>
        <v>2.58245268162525E-3</v>
      </c>
      <c r="K17" s="40">
        <f t="shared" si="6"/>
        <v>3.8415301877537645E-3</v>
      </c>
      <c r="L17" s="40" t="s">
        <v>26</v>
      </c>
      <c r="M17" s="50" t="s">
        <v>266</v>
      </c>
      <c r="N17" s="190">
        <f t="shared" ref="N17:N80" ca="1" si="9">_xlfn.BETA.INV(O17,P17,Q17)</f>
        <v>3.1552416725059624E-3</v>
      </c>
      <c r="O17" s="40">
        <f t="shared" ca="1" si="7"/>
        <v>0.44257606343064204</v>
      </c>
      <c r="P17" s="51">
        <f t="shared" ref="P17:P80" si="10">IFERROR(H17*((H17*(1-H17)/(R17^2))-1),0)</f>
        <v>99.67558886509633</v>
      </c>
      <c r="Q17" s="51">
        <f t="shared" ref="Q17:Q80" si="11">IFERROR((1-H17)*((H17*(1-H17))/(R17^2)-1),0)</f>
        <v>30932.657744468226</v>
      </c>
      <c r="R17" s="51">
        <f t="shared" si="8"/>
        <v>3.2119914346895079E-4</v>
      </c>
      <c r="S17"/>
      <c r="T17" s="189"/>
    </row>
    <row r="18" spans="1:20" ht="16" x14ac:dyDescent="0.2">
      <c r="A18"/>
      <c r="B18" s="103"/>
      <c r="C18" s="243"/>
      <c r="D18" s="119">
        <v>5</v>
      </c>
      <c r="E18" s="25" t="str">
        <f>Tp_CHG!D236</f>
        <v>Transition Probability from state 1 to state 8 on day 1 (CHG)</v>
      </c>
      <c r="F18" s="40">
        <f t="shared" si="0"/>
        <v>1.4989293361884369E-2</v>
      </c>
      <c r="G18" s="156">
        <v>1</v>
      </c>
      <c r="H18" s="120">
        <f>Tp_CHG!G236</f>
        <v>1.4989293361884369E-2</v>
      </c>
      <c r="I18" s="40" t="s">
        <v>58</v>
      </c>
      <c r="J18" s="40">
        <f t="shared" si="5"/>
        <v>1.2051445847584502E-2</v>
      </c>
      <c r="K18" s="40">
        <f t="shared" si="6"/>
        <v>1.7927140876184234E-2</v>
      </c>
      <c r="L18" s="40" t="s">
        <v>26</v>
      </c>
      <c r="M18" s="50" t="s">
        <v>266</v>
      </c>
      <c r="N18" s="190">
        <f t="shared" ca="1" si="9"/>
        <v>1.5849715652750285E-2</v>
      </c>
      <c r="O18" s="40">
        <f t="shared" ca="1" si="7"/>
        <v>0.72447215130917009</v>
      </c>
      <c r="P18" s="51">
        <f t="shared" si="10"/>
        <v>98.486081370449696</v>
      </c>
      <c r="Q18" s="51">
        <f t="shared" si="11"/>
        <v>6471.9424900581225</v>
      </c>
      <c r="R18" s="51">
        <f t="shared" si="8"/>
        <v>1.4989293361884369E-3</v>
      </c>
      <c r="S18"/>
      <c r="T18" s="189"/>
    </row>
    <row r="19" spans="1:20" ht="14.5" customHeight="1" x14ac:dyDescent="0.2">
      <c r="A19"/>
      <c r="B19" s="103"/>
      <c r="C19" s="243"/>
      <c r="D19" s="119">
        <v>6</v>
      </c>
      <c r="E19" s="25" t="str">
        <f>Tp_CHG!D12</f>
        <v>Transition Probability from state 1 to state 1 on day 2 (CHG)</v>
      </c>
      <c r="F19" s="40">
        <f t="shared" si="0"/>
        <v>0.92997811816192555</v>
      </c>
      <c r="G19" s="156">
        <v>1</v>
      </c>
      <c r="H19" s="147">
        <f>Tp_CHG!G12</f>
        <v>0.92997811816192555</v>
      </c>
      <c r="I19" s="40" t="s">
        <v>58</v>
      </c>
      <c r="J19" s="40">
        <f t="shared" si="5"/>
        <v>0.74770575636115466</v>
      </c>
      <c r="K19" s="40">
        <f t="shared" si="6"/>
        <v>1.1122504799626964</v>
      </c>
      <c r="L19" s="40" t="s">
        <v>26</v>
      </c>
      <c r="M19" s="50" t="s">
        <v>266</v>
      </c>
      <c r="N19" s="190">
        <f t="shared" ca="1" si="9"/>
        <v>0.69808350618379478</v>
      </c>
      <c r="O19" s="40">
        <f t="shared" ca="1" si="7"/>
        <v>3.5790863833646824E-2</v>
      </c>
      <c r="P19" s="51">
        <f t="shared" si="10"/>
        <v>6.0722100656455185</v>
      </c>
      <c r="Q19" s="51">
        <f t="shared" si="11"/>
        <v>0.45720169906036884</v>
      </c>
      <c r="R19" s="51">
        <f t="shared" si="8"/>
        <v>9.2997811816192558E-2</v>
      </c>
      <c r="S19"/>
      <c r="T19" s="83"/>
    </row>
    <row r="20" spans="1:20" ht="14.5" customHeight="1" x14ac:dyDescent="0.2">
      <c r="A20"/>
      <c r="B20" s="103"/>
      <c r="C20" s="243"/>
      <c r="D20" s="119">
        <v>7</v>
      </c>
      <c r="E20" s="25" t="str">
        <f>Tp_CHG!D44</f>
        <v>Transition Probability from state 1 to state 2 on day 2 (CHG)</v>
      </c>
      <c r="F20" s="40">
        <f t="shared" si="0"/>
        <v>2.6258205689277898E-2</v>
      </c>
      <c r="G20" s="156">
        <v>1</v>
      </c>
      <c r="H20" s="120">
        <f>Tp_CHG!G44</f>
        <v>2.6258205689277898E-2</v>
      </c>
      <c r="I20" s="40" t="s">
        <v>58</v>
      </c>
      <c r="J20" s="40">
        <f t="shared" si="5"/>
        <v>2.1111691944314954E-2</v>
      </c>
      <c r="K20" s="40">
        <f t="shared" si="6"/>
        <v>3.1404719434240842E-2</v>
      </c>
      <c r="L20" s="40" t="s">
        <v>26</v>
      </c>
      <c r="M20" s="50" t="s">
        <v>266</v>
      </c>
      <c r="N20" s="190">
        <f t="shared" ca="1" si="9"/>
        <v>2.3930863747276834E-2</v>
      </c>
      <c r="O20" s="40">
        <f t="shared" ca="1" si="7"/>
        <v>0.18933356708437432</v>
      </c>
      <c r="P20" s="51">
        <f t="shared" si="10"/>
        <v>97.347921225382919</v>
      </c>
      <c r="Q20" s="51">
        <f t="shared" si="11"/>
        <v>3609.9854121079497</v>
      </c>
      <c r="R20" s="51">
        <f t="shared" si="8"/>
        <v>2.6258205689277899E-3</v>
      </c>
      <c r="S20"/>
      <c r="T20" s="83"/>
    </row>
    <row r="21" spans="1:20" ht="14.5" customHeight="1" x14ac:dyDescent="0.2">
      <c r="A21"/>
      <c r="B21" s="103"/>
      <c r="C21" s="243"/>
      <c r="D21" s="119">
        <v>8</v>
      </c>
      <c r="E21" s="25" t="str">
        <f>Tp_CHG!D205</f>
        <v>Transition Probability from state 1 to state 7 on day 2 (CHG)</v>
      </c>
      <c r="F21" s="40">
        <f t="shared" si="0"/>
        <v>1.3129102844638949E-2</v>
      </c>
      <c r="G21" s="156">
        <v>1</v>
      </c>
      <c r="H21" s="120">
        <f>Tp_CHG!G205</f>
        <v>1.3129102844638949E-2</v>
      </c>
      <c r="I21" s="40" t="s">
        <v>58</v>
      </c>
      <c r="J21" s="40">
        <f t="shared" si="5"/>
        <v>1.0555845972157477E-2</v>
      </c>
      <c r="K21" s="40">
        <f t="shared" si="6"/>
        <v>1.5702359717120421E-2</v>
      </c>
      <c r="L21" s="40" t="s">
        <v>26</v>
      </c>
      <c r="M21" s="50" t="s">
        <v>266</v>
      </c>
      <c r="N21" s="190">
        <f t="shared" ca="1" si="9"/>
        <v>1.3316104626759695E-2</v>
      </c>
      <c r="O21" s="40">
        <f t="shared" ca="1" si="7"/>
        <v>0.56931057871553481</v>
      </c>
      <c r="P21" s="51">
        <f t="shared" si="10"/>
        <v>98.673960612691459</v>
      </c>
      <c r="Q21" s="51">
        <f t="shared" si="11"/>
        <v>7416.9927060539749</v>
      </c>
      <c r="R21" s="51">
        <f t="shared" si="8"/>
        <v>1.312910284463895E-3</v>
      </c>
      <c r="S21"/>
      <c r="T21" s="83"/>
    </row>
    <row r="22" spans="1:20" ht="14.5" customHeight="1" x14ac:dyDescent="0.2">
      <c r="A22"/>
      <c r="B22" s="103"/>
      <c r="C22" s="243"/>
      <c r="D22" s="119">
        <v>9</v>
      </c>
      <c r="E22" s="25" t="str">
        <f>Tp_CHG!D237</f>
        <v>Transition Probability from state 1 to state 8 on day 2 (CHG)</v>
      </c>
      <c r="F22" s="40">
        <f t="shared" si="0"/>
        <v>3.0634573304157548E-2</v>
      </c>
      <c r="G22" s="156">
        <v>1</v>
      </c>
      <c r="H22" s="120">
        <f>Tp_CHG!G237</f>
        <v>3.0634573304157548E-2</v>
      </c>
      <c r="I22" s="40" t="s">
        <v>58</v>
      </c>
      <c r="J22" s="40">
        <f t="shared" si="5"/>
        <v>2.463030726836745E-2</v>
      </c>
      <c r="K22" s="40">
        <f t="shared" si="6"/>
        <v>3.6638839339947646E-2</v>
      </c>
      <c r="L22" s="40" t="s">
        <v>26</v>
      </c>
      <c r="M22" s="50" t="s">
        <v>266</v>
      </c>
      <c r="N22" s="190">
        <f t="shared" ca="1" si="9"/>
        <v>3.0269878432663051E-2</v>
      </c>
      <c r="O22" s="40">
        <f t="shared" ca="1" si="7"/>
        <v>0.46527441713964335</v>
      </c>
      <c r="P22" s="51">
        <f t="shared" si="10"/>
        <v>96.905908096280086</v>
      </c>
      <c r="Q22" s="51">
        <f t="shared" si="11"/>
        <v>3066.379806189434</v>
      </c>
      <c r="R22" s="51">
        <f t="shared" si="8"/>
        <v>3.063457330415755E-3</v>
      </c>
      <c r="S22"/>
      <c r="T22" s="83"/>
    </row>
    <row r="23" spans="1:20" ht="16" x14ac:dyDescent="0.2">
      <c r="A23"/>
      <c r="B23" s="103"/>
      <c r="C23" s="243"/>
      <c r="D23" s="119">
        <v>10</v>
      </c>
      <c r="E23" s="25" t="str">
        <f>Tp_CHG!D13</f>
        <v>Transition Probability from state 1 to state 1 on day 3 (CHG)</v>
      </c>
      <c r="F23" s="40">
        <f t="shared" si="0"/>
        <v>0.89214536928487687</v>
      </c>
      <c r="G23" s="156">
        <v>1</v>
      </c>
      <c r="H23" s="147">
        <f>Tp_CHG!G13</f>
        <v>0.89214536928487687</v>
      </c>
      <c r="I23" s="40" t="s">
        <v>58</v>
      </c>
      <c r="J23" s="40">
        <f t="shared" ref="J23:J154" si="12">IF(H23=0,0,_xlfn.NORM.INV(0.025,H23,R23))</f>
        <v>0.71728809000762239</v>
      </c>
      <c r="K23" s="40">
        <f t="shared" ref="K23:K154" si="13">IF(H23=0,0,_xlfn.NORM.INV(0.975,H23,R23))</f>
        <v>1.0670026485621313</v>
      </c>
      <c r="L23" s="40" t="s">
        <v>26</v>
      </c>
      <c r="M23" s="50" t="s">
        <v>266</v>
      </c>
      <c r="N23" s="190">
        <f t="shared" ca="1" si="9"/>
        <v>0.96760506725387274</v>
      </c>
      <c r="O23" s="40">
        <f t="shared" ref="O23:O154" ca="1" si="14">RAND()</f>
        <v>0.79800734949354335</v>
      </c>
      <c r="P23" s="51">
        <f t="shared" si="10"/>
        <v>9.8933177022274368</v>
      </c>
      <c r="Q23" s="51">
        <f t="shared" si="11"/>
        <v>1.1960384081536459</v>
      </c>
      <c r="R23" s="51">
        <f t="shared" ref="R23:R154" si="15">assumedSE*H23</f>
        <v>8.9214536928487687E-2</v>
      </c>
      <c r="S23"/>
      <c r="T23" s="83"/>
    </row>
    <row r="24" spans="1:20" ht="16" x14ac:dyDescent="0.2">
      <c r="A24"/>
      <c r="B24" s="103"/>
      <c r="C24" s="243"/>
      <c r="D24" s="119">
        <v>11</v>
      </c>
      <c r="E24" s="25" t="str">
        <f>Tp_CHG!D45</f>
        <v>Transition Probability from state 1 to state 2 on day 3 (CHG)</v>
      </c>
      <c r="F24" s="40">
        <f t="shared" si="0"/>
        <v>1.992966002344666E-2</v>
      </c>
      <c r="G24" s="156">
        <v>1</v>
      </c>
      <c r="H24" s="120">
        <f>Tp_CHG!G45</f>
        <v>1.992966002344666E-2</v>
      </c>
      <c r="I24" s="40" t="s">
        <v>58</v>
      </c>
      <c r="J24" s="40">
        <f>IF(H24=0,0,_xlfn.NORM.INV(0.025,H24,R24))</f>
        <v>1.6023518436438344E-2</v>
      </c>
      <c r="K24" s="40">
        <f>IF(H24=0,0,_xlfn.NORM.INV(0.975,H24,R24))</f>
        <v>2.3835801610454975E-2</v>
      </c>
      <c r="L24" s="40" t="s">
        <v>26</v>
      </c>
      <c r="M24" s="50" t="s">
        <v>266</v>
      </c>
      <c r="N24" s="190">
        <f t="shared" ca="1" si="9"/>
        <v>1.8485196176108155E-2</v>
      </c>
      <c r="O24" s="40">
        <f ca="1">RAND()</f>
        <v>0.23893697955771642</v>
      </c>
      <c r="P24" s="51">
        <f t="shared" si="10"/>
        <v>97.987104337631862</v>
      </c>
      <c r="Q24" s="51">
        <f t="shared" si="11"/>
        <v>4818.6599544858964</v>
      </c>
      <c r="R24" s="51">
        <f>assumedSE*H24</f>
        <v>1.9929660023446662E-3</v>
      </c>
      <c r="S24"/>
      <c r="T24" s="83"/>
    </row>
    <row r="25" spans="1:20" ht="16" x14ac:dyDescent="0.2">
      <c r="A25"/>
      <c r="B25" s="103"/>
      <c r="C25" s="243"/>
      <c r="D25" s="119">
        <v>12</v>
      </c>
      <c r="E25" s="25" t="str">
        <f>Tp_CHG!D206</f>
        <v>Transition Probability from state 1 to state 7 on day 3 (CHG)</v>
      </c>
      <c r="F25" s="40">
        <f t="shared" si="0"/>
        <v>6.2133645955451351E-2</v>
      </c>
      <c r="G25" s="156">
        <v>1</v>
      </c>
      <c r="H25" s="120">
        <f>Tp_CHG!G206</f>
        <v>6.2133645955451351E-2</v>
      </c>
      <c r="I25" s="40" t="s">
        <v>58</v>
      </c>
      <c r="J25" s="40">
        <f>IF(H25=0,0,_xlfn.NORM.INV(0.025,H25,R25))</f>
        <v>4.9955675125366611E-2</v>
      </c>
      <c r="K25" s="40">
        <f>IF(H25=0,0,_xlfn.NORM.INV(0.975,H25,R25))</f>
        <v>7.4311616785536092E-2</v>
      </c>
      <c r="L25" s="40" t="s">
        <v>26</v>
      </c>
      <c r="M25" s="50" t="s">
        <v>266</v>
      </c>
      <c r="N25" s="190">
        <f t="shared" ca="1" si="9"/>
        <v>6.1255777042151377E-2</v>
      </c>
      <c r="O25" s="40">
        <f ca="1">RAND()</f>
        <v>0.4559413595037255</v>
      </c>
      <c r="P25" s="51">
        <f t="shared" si="10"/>
        <v>93.7245017584994</v>
      </c>
      <c r="Q25" s="51">
        <f t="shared" si="11"/>
        <v>1414.7094605056514</v>
      </c>
      <c r="R25" s="51">
        <f>assumedSE*H25</f>
        <v>6.2133645955451356E-3</v>
      </c>
      <c r="S25"/>
      <c r="T25" s="83"/>
    </row>
    <row r="26" spans="1:20" ht="16" x14ac:dyDescent="0.2">
      <c r="A26"/>
      <c r="B26" s="103"/>
      <c r="C26" s="243"/>
      <c r="D26" s="119">
        <v>13</v>
      </c>
      <c r="E26" s="25" t="str">
        <f>Tp_CHG!D238</f>
        <v>Transition Probability from state 1 to state 8 on day 3 (CHG)</v>
      </c>
      <c r="F26" s="40">
        <f t="shared" si="0"/>
        <v>2.5791324736225089E-2</v>
      </c>
      <c r="G26" s="156">
        <v>1</v>
      </c>
      <c r="H26" s="120">
        <f>Tp_CHG!G238</f>
        <v>2.5791324736225089E-2</v>
      </c>
      <c r="I26" s="40" t="s">
        <v>58</v>
      </c>
      <c r="J26" s="40">
        <f>IF(H26=0,0,_xlfn.NORM.INV(0.025,H26,R26))</f>
        <v>2.0736317976567272E-2</v>
      </c>
      <c r="K26" s="40">
        <f>IF(H26=0,0,_xlfn.NORM.INV(0.975,H26,R26))</f>
        <v>3.0846331495882905E-2</v>
      </c>
      <c r="L26" s="40" t="s">
        <v>26</v>
      </c>
      <c r="M26" s="50" t="s">
        <v>266</v>
      </c>
      <c r="N26" s="190">
        <f t="shared" ca="1" si="9"/>
        <v>2.5374786754374171E-2</v>
      </c>
      <c r="O26" s="40">
        <f ca="1">RAND()</f>
        <v>0.448354825819827</v>
      </c>
      <c r="P26" s="51">
        <f t="shared" si="10"/>
        <v>97.395076201641274</v>
      </c>
      <c r="Q26" s="51">
        <f t="shared" si="11"/>
        <v>3678.8776510710859</v>
      </c>
      <c r="R26" s="51">
        <f>assumedSE*H26</f>
        <v>2.5791324736225089E-3</v>
      </c>
      <c r="S26"/>
      <c r="T26" s="83"/>
    </row>
    <row r="27" spans="1:20" ht="16" x14ac:dyDescent="0.2">
      <c r="A27"/>
      <c r="B27" s="103"/>
      <c r="C27" s="243"/>
      <c r="D27" s="119">
        <v>14</v>
      </c>
      <c r="E27" s="25" t="str">
        <f>Tp_CHG!D14</f>
        <v>Transition Probability from state 1 to state 1 on day 4 (CHG)</v>
      </c>
      <c r="F27" s="40">
        <f t="shared" si="0"/>
        <v>0.90792838874680304</v>
      </c>
      <c r="G27" s="156">
        <v>1</v>
      </c>
      <c r="H27" s="147">
        <f>Tp_CHG!G14</f>
        <v>0.90792838874680304</v>
      </c>
      <c r="I27" s="40" t="s">
        <v>58</v>
      </c>
      <c r="J27" s="40">
        <f t="shared" si="12"/>
        <v>0.72997769449828154</v>
      </c>
      <c r="K27" s="40">
        <f t="shared" si="13"/>
        <v>1.0858790829953247</v>
      </c>
      <c r="L27" s="40" t="s">
        <v>26</v>
      </c>
      <c r="M27" s="50" t="s">
        <v>266</v>
      </c>
      <c r="N27" s="190">
        <f t="shared" ca="1" si="9"/>
        <v>0.9468701338755483</v>
      </c>
      <c r="O27" s="40">
        <f t="shared" ca="1" si="14"/>
        <v>0.55602257552056766</v>
      </c>
      <c r="P27" s="51">
        <f t="shared" si="10"/>
        <v>8.2992327365728897</v>
      </c>
      <c r="Q27" s="51">
        <f t="shared" si="11"/>
        <v>0.84161233384964551</v>
      </c>
      <c r="R27" s="51">
        <f t="shared" si="15"/>
        <v>9.0792838874680315E-2</v>
      </c>
      <c r="S27"/>
      <c r="T27" s="83"/>
    </row>
    <row r="28" spans="1:20" ht="16" x14ac:dyDescent="0.2">
      <c r="A28"/>
      <c r="B28" s="103"/>
      <c r="C28" s="243"/>
      <c r="D28" s="119">
        <v>15</v>
      </c>
      <c r="E28" s="25" t="str">
        <f>Tp_CHG!D46</f>
        <v>Transition Probability from state 1 to state 2 on day 4 (CHG)</v>
      </c>
      <c r="F28" s="40">
        <f t="shared" si="0"/>
        <v>2.4296675191815855E-2</v>
      </c>
      <c r="G28" s="156">
        <v>1</v>
      </c>
      <c r="H28" s="120">
        <f>Tp_CHG!G46</f>
        <v>2.4296675191815855E-2</v>
      </c>
      <c r="I28" s="40" t="s">
        <v>58</v>
      </c>
      <c r="J28" s="40">
        <f>IF(H28=0,0,_xlfn.NORM.INV(0.025,H28,R28))</f>
        <v>1.9534614359813168E-2</v>
      </c>
      <c r="K28" s="40">
        <f>IF(H28=0,0,_xlfn.NORM.INV(0.975,H28,R28))</f>
        <v>2.9058736023818543E-2</v>
      </c>
      <c r="L28" s="40" t="s">
        <v>26</v>
      </c>
      <c r="M28" s="50" t="s">
        <v>266</v>
      </c>
      <c r="N28" s="190">
        <f t="shared" ca="1" si="9"/>
        <v>2.2605221748471415E-2</v>
      </c>
      <c r="O28" s="40">
        <f ca="1">RAND()</f>
        <v>0.24832803703287953</v>
      </c>
      <c r="P28" s="51">
        <f t="shared" si="10"/>
        <v>97.546035805626587</v>
      </c>
      <c r="Q28" s="51">
        <f t="shared" si="11"/>
        <v>3917.2434378785838</v>
      </c>
      <c r="R28" s="51">
        <f>assumedSE*H28</f>
        <v>2.4296675191815857E-3</v>
      </c>
      <c r="S28"/>
      <c r="T28" s="83"/>
    </row>
    <row r="29" spans="1:20" ht="16" x14ac:dyDescent="0.2">
      <c r="A29"/>
      <c r="B29" s="103"/>
      <c r="C29" s="243"/>
      <c r="D29" s="119">
        <v>16</v>
      </c>
      <c r="E29" s="25" t="str">
        <f>Tp_CHG!D207</f>
        <v>Transition Probability from state 1 to state 7 on day 4 (CHG)</v>
      </c>
      <c r="F29" s="40">
        <f t="shared" si="0"/>
        <v>3.7084398976982097E-2</v>
      </c>
      <c r="G29" s="156">
        <v>1</v>
      </c>
      <c r="H29" s="120">
        <f>Tp_CHG!G207</f>
        <v>3.7084398976982097E-2</v>
      </c>
      <c r="I29" s="40" t="s">
        <v>58</v>
      </c>
      <c r="J29" s="40">
        <f>IF(H29=0,0,_xlfn.NORM.INV(0.025,H29,R29))</f>
        <v>2.9815990338662203E-2</v>
      </c>
      <c r="K29" s="40">
        <f>IF(H29=0,0,_xlfn.NORM.INV(0.975,H29,R29))</f>
        <v>4.4352807615301991E-2</v>
      </c>
      <c r="L29" s="40" t="s">
        <v>26</v>
      </c>
      <c r="M29" s="50" t="s">
        <v>266</v>
      </c>
      <c r="N29" s="190">
        <f t="shared" ca="1" si="9"/>
        <v>3.5978270553252534E-2</v>
      </c>
      <c r="O29" s="40">
        <f ca="1">RAND()</f>
        <v>0.39398520131247083</v>
      </c>
      <c r="P29" s="51">
        <f t="shared" si="10"/>
        <v>96.254475703324772</v>
      </c>
      <c r="Q29" s="51">
        <f t="shared" si="11"/>
        <v>2499.2972484346055</v>
      </c>
      <c r="R29" s="51">
        <f>assumedSE*H29</f>
        <v>3.70843989769821E-3</v>
      </c>
      <c r="S29"/>
      <c r="T29" s="83"/>
    </row>
    <row r="30" spans="1:20" ht="16" x14ac:dyDescent="0.2">
      <c r="A30"/>
      <c r="B30" s="103"/>
      <c r="C30" s="243"/>
      <c r="D30" s="119">
        <v>17</v>
      </c>
      <c r="E30" s="25" t="str">
        <f>Tp_CHG!D239</f>
        <v>Transition Probability from state 1 to state 8 on day 4 (CHG)</v>
      </c>
      <c r="F30" s="40">
        <f t="shared" si="0"/>
        <v>3.0690537084398978E-2</v>
      </c>
      <c r="G30" s="156">
        <v>1</v>
      </c>
      <c r="H30" s="120">
        <f>Tp_CHG!G239</f>
        <v>3.0690537084398978E-2</v>
      </c>
      <c r="I30" s="40" t="s">
        <v>58</v>
      </c>
      <c r="J30" s="40">
        <f>IF(H30=0,0,_xlfn.NORM.INV(0.025,H30,R30))</f>
        <v>2.4675302349237687E-2</v>
      </c>
      <c r="K30" s="40">
        <f>IF(H30=0,0,_xlfn.NORM.INV(0.975,H30,R30))</f>
        <v>3.6705771819560265E-2</v>
      </c>
      <c r="L30" s="40" t="s">
        <v>26</v>
      </c>
      <c r="M30" s="50" t="s">
        <v>266</v>
      </c>
      <c r="N30" s="190">
        <f t="shared" ca="1" si="9"/>
        <v>3.2761404649629844E-2</v>
      </c>
      <c r="O30" s="40">
        <f ca="1">RAND()</f>
        <v>0.75571422019802337</v>
      </c>
      <c r="P30" s="51">
        <f t="shared" si="10"/>
        <v>96.900255754475708</v>
      </c>
      <c r="Q30" s="51">
        <f t="shared" si="11"/>
        <v>3060.433077578858</v>
      </c>
      <c r="R30" s="51">
        <f>assumedSE*H30</f>
        <v>3.0690537084398979E-3</v>
      </c>
      <c r="S30"/>
      <c r="T30" s="83"/>
    </row>
    <row r="31" spans="1:20" ht="16" x14ac:dyDescent="0.2">
      <c r="A31"/>
      <c r="B31" s="103"/>
      <c r="C31" s="243"/>
      <c r="D31" s="119">
        <v>18</v>
      </c>
      <c r="E31" s="25" t="str">
        <f>Tp_CHG!D15</f>
        <v>Transition Probability from state 1 to state 1 on day 5 (CHG)</v>
      </c>
      <c r="F31" s="40">
        <f t="shared" si="0"/>
        <v>0.87362637362637363</v>
      </c>
      <c r="G31" s="156">
        <v>1</v>
      </c>
      <c r="H31" s="147">
        <f>Tp_CHG!G15</f>
        <v>0.87362637362637363</v>
      </c>
      <c r="I31" s="40" t="s">
        <v>58</v>
      </c>
      <c r="J31" s="40">
        <f t="shared" si="12"/>
        <v>0.70239875080117109</v>
      </c>
      <c r="K31" s="40">
        <f t="shared" si="13"/>
        <v>1.0448539964515762</v>
      </c>
      <c r="L31" s="40" t="s">
        <v>26</v>
      </c>
      <c r="M31" s="50" t="s">
        <v>266</v>
      </c>
      <c r="N31" s="190">
        <f t="shared" ca="1" si="9"/>
        <v>0.92147781015481134</v>
      </c>
      <c r="O31" s="40">
        <f t="shared" ca="1" si="14"/>
        <v>0.64831456241392582</v>
      </c>
      <c r="P31" s="51">
        <f t="shared" si="10"/>
        <v>11.763736263736261</v>
      </c>
      <c r="Q31" s="51">
        <f t="shared" si="11"/>
        <v>1.7016725412951825</v>
      </c>
      <c r="R31" s="51">
        <f t="shared" si="15"/>
        <v>8.7362637362637371E-2</v>
      </c>
      <c r="S31"/>
      <c r="T31" s="83"/>
    </row>
    <row r="32" spans="1:20" ht="16" x14ac:dyDescent="0.2">
      <c r="A32"/>
      <c r="B32" s="103"/>
      <c r="C32" s="243"/>
      <c r="D32" s="119">
        <v>19</v>
      </c>
      <c r="E32" s="25" t="str">
        <f>Tp_CHG!D47</f>
        <v>Transition Probability from state 1 to state 2 on day 5 (CHG)</v>
      </c>
      <c r="F32" s="40">
        <f t="shared" si="0"/>
        <v>1.510989010989011E-2</v>
      </c>
      <c r="G32" s="156">
        <v>1</v>
      </c>
      <c r="H32" s="120">
        <f>Tp_CHG!G47</f>
        <v>1.510989010989011E-2</v>
      </c>
      <c r="I32" s="40" t="s">
        <v>58</v>
      </c>
      <c r="J32" s="40">
        <f>IF(H32=0,0,_xlfn.NORM.INV(0.025,H32,R32))</f>
        <v>1.2148406067315853E-2</v>
      </c>
      <c r="K32" s="40">
        <f>IF(H32=0,0,_xlfn.NORM.INV(0.975,H32,R32))</f>
        <v>1.8071374152464369E-2</v>
      </c>
      <c r="L32" s="40" t="s">
        <v>26</v>
      </c>
      <c r="M32" s="50" t="s">
        <v>266</v>
      </c>
      <c r="N32" s="190">
        <f t="shared" ca="1" si="9"/>
        <v>1.4555773325268839E-2</v>
      </c>
      <c r="O32" s="40">
        <f ca="1">RAND()</f>
        <v>0.36758335180092772</v>
      </c>
      <c r="P32" s="51">
        <f t="shared" si="10"/>
        <v>98.473901098901095</v>
      </c>
      <c r="Q32" s="51">
        <f t="shared" si="11"/>
        <v>6418.7079170829174</v>
      </c>
      <c r="R32" s="51">
        <f>assumedSE*H32</f>
        <v>1.510989010989011E-3</v>
      </c>
      <c r="S32"/>
      <c r="T32" s="83"/>
    </row>
    <row r="33" spans="1:20" ht="16" x14ac:dyDescent="0.2">
      <c r="A33"/>
      <c r="B33" s="103"/>
      <c r="C33" s="243"/>
      <c r="D33" s="119">
        <v>20</v>
      </c>
      <c r="E33" s="25" t="str">
        <f>Tp_CHG!D143</f>
        <v>Transition Probability from state 1 to state 5 on day 5 (CHG)</v>
      </c>
      <c r="F33" s="40">
        <f t="shared" si="0"/>
        <v>1.3736263736263737E-3</v>
      </c>
      <c r="G33" s="156">
        <v>1</v>
      </c>
      <c r="H33" s="120">
        <f>Tp_CHG!G143</f>
        <v>1.3736263736263737E-3</v>
      </c>
      <c r="I33" s="40" t="s">
        <v>58</v>
      </c>
      <c r="J33" s="40">
        <f>IF(H33=0,0,_xlfn.NORM.INV(0.025,H33,R33))</f>
        <v>1.1044005515741685E-3</v>
      </c>
      <c r="K33" s="40">
        <f>IF(H33=0,0,_xlfn.NORM.INV(0.975,H33,R33))</f>
        <v>1.642852195678579E-3</v>
      </c>
      <c r="L33" s="40" t="s">
        <v>26</v>
      </c>
      <c r="M33" s="50" t="s">
        <v>266</v>
      </c>
      <c r="N33" s="190">
        <f t="shared" ca="1" si="9"/>
        <v>1.3860957803845109E-3</v>
      </c>
      <c r="O33" s="40">
        <f ca="1">RAND()</f>
        <v>0.54925295851371647</v>
      </c>
      <c r="P33" s="51">
        <f t="shared" si="10"/>
        <v>99.861263736263709</v>
      </c>
      <c r="Q33" s="51">
        <f t="shared" si="11"/>
        <v>72599.138736263703</v>
      </c>
      <c r="R33" s="51">
        <f>assumedSE*H33</f>
        <v>1.3736263736263739E-4</v>
      </c>
      <c r="S33"/>
      <c r="T33" s="83"/>
    </row>
    <row r="34" spans="1:20" ht="16" x14ac:dyDescent="0.2">
      <c r="A34"/>
      <c r="B34" s="103"/>
      <c r="C34" s="243"/>
      <c r="D34" s="119">
        <v>21</v>
      </c>
      <c r="E34" s="25" t="str">
        <f>Tp_CHG!D208</f>
        <v>Transition Probability from state 1 to state 7 on day 5 (CHG)</v>
      </c>
      <c r="F34" s="40">
        <f t="shared" si="0"/>
        <v>8.2417582417582416E-2</v>
      </c>
      <c r="G34" s="156">
        <v>1</v>
      </c>
      <c r="H34" s="120">
        <f>Tp_CHG!G208</f>
        <v>8.2417582417582416E-2</v>
      </c>
      <c r="I34" s="40" t="s">
        <v>58</v>
      </c>
      <c r="J34" s="40">
        <f>IF(H34=0,0,_xlfn.NORM.INV(0.025,H34,R34))</f>
        <v>6.62640330944501E-2</v>
      </c>
      <c r="K34" s="40">
        <f>IF(H34=0,0,_xlfn.NORM.INV(0.975,H34,R34))</f>
        <v>9.8571131740714718E-2</v>
      </c>
      <c r="L34" s="40" t="s">
        <v>26</v>
      </c>
      <c r="M34" s="50" t="s">
        <v>266</v>
      </c>
      <c r="N34" s="190">
        <f t="shared" ca="1" si="9"/>
        <v>9.8397679524992343E-2</v>
      </c>
      <c r="O34" s="40">
        <f ca="1">RAND()</f>
        <v>0.96893462462389668</v>
      </c>
      <c r="P34" s="51">
        <f t="shared" si="10"/>
        <v>91.675824175824161</v>
      </c>
      <c r="Q34" s="51">
        <f t="shared" si="11"/>
        <v>1020.657509157509</v>
      </c>
      <c r="R34" s="51">
        <f>assumedSE*H34</f>
        <v>8.241758241758242E-3</v>
      </c>
      <c r="S34"/>
      <c r="T34" s="83"/>
    </row>
    <row r="35" spans="1:20" ht="16" x14ac:dyDescent="0.2">
      <c r="A35"/>
      <c r="B35" s="103"/>
      <c r="C35" s="243"/>
      <c r="D35" s="119">
        <v>22</v>
      </c>
      <c r="E35" s="25" t="str">
        <f>Tp_CHG!D240</f>
        <v>Transition Probability from state 1 to state 8 on day 5 (CHG)</v>
      </c>
      <c r="F35" s="40">
        <f t="shared" si="0"/>
        <v>2.7472527472527472E-2</v>
      </c>
      <c r="G35" s="156">
        <v>1</v>
      </c>
      <c r="H35" s="120">
        <f>Tp_CHG!G240</f>
        <v>2.7472527472527472E-2</v>
      </c>
      <c r="I35" s="40" t="s">
        <v>58</v>
      </c>
      <c r="J35" s="40">
        <f>IF(H35=0,0,_xlfn.NORM.INV(0.025,H35,R35))</f>
        <v>2.2088011031483369E-2</v>
      </c>
      <c r="K35" s="40">
        <f>IF(H35=0,0,_xlfn.NORM.INV(0.975,H35,R35))</f>
        <v>3.2857043913571575E-2</v>
      </c>
      <c r="L35" s="40" t="s">
        <v>26</v>
      </c>
      <c r="M35" s="50" t="s">
        <v>266</v>
      </c>
      <c r="N35" s="190">
        <f t="shared" ca="1" si="9"/>
        <v>2.7763714109707349E-2</v>
      </c>
      <c r="O35" s="40">
        <f ca="1">RAND()</f>
        <v>0.55487394759859843</v>
      </c>
      <c r="P35" s="51">
        <f t="shared" si="10"/>
        <v>97.225274725274701</v>
      </c>
      <c r="Q35" s="51">
        <f t="shared" si="11"/>
        <v>3441.7747252747245</v>
      </c>
      <c r="R35" s="51">
        <f>assumedSE*H35</f>
        <v>2.7472527472527475E-3</v>
      </c>
      <c r="S35"/>
      <c r="T35" s="83"/>
    </row>
    <row r="36" spans="1:20" ht="16" x14ac:dyDescent="0.2">
      <c r="A36"/>
      <c r="B36" s="103"/>
      <c r="C36" s="243"/>
      <c r="D36" s="119">
        <v>23</v>
      </c>
      <c r="E36" s="25" t="str">
        <f>Tp_CHG!D16</f>
        <v>Transition Probability from state 1 to state 1 on day 6 (CHG)</v>
      </c>
      <c r="F36" s="40">
        <f t="shared" si="0"/>
        <v>0.87308868501529047</v>
      </c>
      <c r="G36" s="156">
        <v>1</v>
      </c>
      <c r="H36" s="147">
        <f>Tp_CHG!G16</f>
        <v>0.87308868501529047</v>
      </c>
      <c r="I36" s="40" t="s">
        <v>58</v>
      </c>
      <c r="J36" s="40">
        <f t="shared" si="12"/>
        <v>0.70196644722135004</v>
      </c>
      <c r="K36" s="40">
        <f t="shared" si="13"/>
        <v>1.0442109228092309</v>
      </c>
      <c r="L36" s="40" t="s">
        <v>26</v>
      </c>
      <c r="M36" s="50" t="s">
        <v>266</v>
      </c>
      <c r="N36" s="190">
        <f t="shared" ca="1" si="9"/>
        <v>0.93359027376433834</v>
      </c>
      <c r="O36" s="40">
        <f t="shared" ca="1" si="14"/>
        <v>0.71705868181639809</v>
      </c>
      <c r="P36" s="51">
        <f t="shared" si="10"/>
        <v>11.818042813455662</v>
      </c>
      <c r="Q36" s="51">
        <f t="shared" si="11"/>
        <v>1.7178591129891776</v>
      </c>
      <c r="R36" s="51">
        <f t="shared" si="15"/>
        <v>8.7308868501529052E-2</v>
      </c>
      <c r="S36"/>
      <c r="T36" s="83"/>
    </row>
    <row r="37" spans="1:20" ht="16" x14ac:dyDescent="0.2">
      <c r="A37"/>
      <c r="B37" s="103"/>
      <c r="C37" s="243"/>
      <c r="D37" s="119">
        <v>24</v>
      </c>
      <c r="E37" s="25" t="str">
        <f>Tp_CHG!D48</f>
        <v>Transition Probability from state 1 to state 2 on day 6 (CHG)</v>
      </c>
      <c r="F37" s="40">
        <f t="shared" si="0"/>
        <v>2.1406727828746176E-2</v>
      </c>
      <c r="G37" s="156">
        <v>1</v>
      </c>
      <c r="H37" s="120">
        <f>Tp_CHG!G48</f>
        <v>2.1406727828746176E-2</v>
      </c>
      <c r="I37" s="40" t="s">
        <v>58</v>
      </c>
      <c r="J37" s="40">
        <f>IF(H37=0,0,_xlfn.NORM.INV(0.025,H37,R37))</f>
        <v>1.7211086271626794E-2</v>
      </c>
      <c r="K37" s="40">
        <f>IF(H37=0,0,_xlfn.NORM.INV(0.975,H37,R37))</f>
        <v>2.5602369385865558E-2</v>
      </c>
      <c r="L37" s="40" t="s">
        <v>26</v>
      </c>
      <c r="M37" s="50" t="s">
        <v>266</v>
      </c>
      <c r="N37" s="190">
        <f t="shared" ca="1" si="9"/>
        <v>2.1397267325280689E-2</v>
      </c>
      <c r="O37" s="40">
        <f ca="1">RAND()</f>
        <v>0.51124793563898907</v>
      </c>
      <c r="P37" s="51">
        <f t="shared" si="10"/>
        <v>97.837920489296636</v>
      </c>
      <c r="Q37" s="51">
        <f t="shared" si="11"/>
        <v>4472.5906509392744</v>
      </c>
      <c r="R37" s="51">
        <f>assumedSE*H37</f>
        <v>2.1406727828746177E-3</v>
      </c>
      <c r="S37"/>
      <c r="T37" s="83"/>
    </row>
    <row r="38" spans="1:20" ht="16" x14ac:dyDescent="0.2">
      <c r="A38"/>
      <c r="B38" s="103"/>
      <c r="C38" s="243"/>
      <c r="D38" s="119">
        <v>25</v>
      </c>
      <c r="E38" s="25" t="str">
        <f>Tp_CHG!D144</f>
        <v>Transition Probability from state 1 to state 5 on day 6 (CHG)</v>
      </c>
      <c r="F38" s="40">
        <f t="shared" si="0"/>
        <v>3.0581039755351682E-3</v>
      </c>
      <c r="G38" s="156">
        <v>1</v>
      </c>
      <c r="H38" s="120">
        <f>Tp_CHG!G144</f>
        <v>3.0581039755351682E-3</v>
      </c>
      <c r="I38" s="40" t="s">
        <v>58</v>
      </c>
      <c r="J38" s="40">
        <f>IF(H38=0,0,_xlfn.NORM.INV(0.025,H38,R38))</f>
        <v>2.4587266102323994E-3</v>
      </c>
      <c r="K38" s="40">
        <f>IF(H38=0,0,_xlfn.NORM.INV(0.975,H38,R38))</f>
        <v>3.6574813408379371E-3</v>
      </c>
      <c r="L38" s="40" t="s">
        <v>26</v>
      </c>
      <c r="M38" s="50" t="s">
        <v>266</v>
      </c>
      <c r="N38" s="190">
        <f t="shared" ca="1" si="9"/>
        <v>2.437557589431193E-3</v>
      </c>
      <c r="O38" s="40">
        <f ca="1">RAND()</f>
        <v>1.5736080009626785E-2</v>
      </c>
      <c r="P38" s="51">
        <f t="shared" si="10"/>
        <v>99.691131498470924</v>
      </c>
      <c r="Q38" s="51">
        <f t="shared" si="11"/>
        <v>32499.308868501521</v>
      </c>
      <c r="R38" s="51">
        <f>assumedSE*H38</f>
        <v>3.0581039755351685E-4</v>
      </c>
      <c r="S38"/>
      <c r="T38" s="83"/>
    </row>
    <row r="39" spans="1:20" ht="16" x14ac:dyDescent="0.2">
      <c r="A39"/>
      <c r="B39" s="103"/>
      <c r="C39" s="243"/>
      <c r="D39" s="119">
        <v>26</v>
      </c>
      <c r="E39" s="25" t="str">
        <f>Tp_CHG!D209</f>
        <v>Transition Probability from state 1 to state 7 on day 6 (CHG)</v>
      </c>
      <c r="F39" s="40">
        <f t="shared" si="0"/>
        <v>6.7278287461773695E-2</v>
      </c>
      <c r="G39" s="156">
        <v>1</v>
      </c>
      <c r="H39" s="120">
        <f>Tp_CHG!G209</f>
        <v>6.7278287461773695E-2</v>
      </c>
      <c r="I39" s="40" t="s">
        <v>58</v>
      </c>
      <c r="J39" s="40">
        <f>IF(H39=0,0,_xlfn.NORM.INV(0.025,H39,R39))</f>
        <v>5.409198542511278E-2</v>
      </c>
      <c r="K39" s="40">
        <f>IF(H39=0,0,_xlfn.NORM.INV(0.975,H39,R39))</f>
        <v>8.0464589498434602E-2</v>
      </c>
      <c r="L39" s="40" t="s">
        <v>26</v>
      </c>
      <c r="M39" s="50" t="s">
        <v>266</v>
      </c>
      <c r="N39" s="190">
        <f t="shared" ca="1" si="9"/>
        <v>6.636908287958404E-2</v>
      </c>
      <c r="O39" s="40">
        <f ca="1">RAND()</f>
        <v>0.45832491266835629</v>
      </c>
      <c r="P39" s="51">
        <f t="shared" si="10"/>
        <v>93.204892966360859</v>
      </c>
      <c r="Q39" s="51">
        <f t="shared" si="11"/>
        <v>1292.1587433972757</v>
      </c>
      <c r="R39" s="51">
        <f>assumedSE*H39</f>
        <v>6.7278287461773698E-3</v>
      </c>
      <c r="S39"/>
      <c r="T39" s="83"/>
    </row>
    <row r="40" spans="1:20" ht="16" x14ac:dyDescent="0.2">
      <c r="A40"/>
      <c r="B40" s="103"/>
      <c r="C40" s="243"/>
      <c r="D40" s="119">
        <v>27</v>
      </c>
      <c r="E40" s="25" t="str">
        <f>Tp_CHG!D241</f>
        <v>Transition Probability from state 1 to state 8 on day 6 (CHG)</v>
      </c>
      <c r="F40" s="40">
        <f t="shared" si="0"/>
        <v>3.5168195718654434E-2</v>
      </c>
      <c r="G40" s="156">
        <v>1</v>
      </c>
      <c r="H40" s="120">
        <f>Tp_CHG!G241</f>
        <v>3.5168195718654434E-2</v>
      </c>
      <c r="I40" s="40" t="s">
        <v>58</v>
      </c>
      <c r="J40" s="40">
        <f>IF(H40=0,0,_xlfn.NORM.INV(0.025,H40,R40))</f>
        <v>2.8275356017672594E-2</v>
      </c>
      <c r="K40" s="40">
        <f>IF(H40=0,0,_xlfn.NORM.INV(0.975,H40,R40))</f>
        <v>4.2061035419636274E-2</v>
      </c>
      <c r="L40" s="40" t="s">
        <v>26</v>
      </c>
      <c r="M40" s="50" t="s">
        <v>266</v>
      </c>
      <c r="N40" s="190">
        <f t="shared" ca="1" si="9"/>
        <v>3.5831424427116398E-2</v>
      </c>
      <c r="O40" s="40">
        <f ca="1">RAND()</f>
        <v>0.58686636131968384</v>
      </c>
      <c r="P40" s="51">
        <f t="shared" si="10"/>
        <v>96.448012232415905</v>
      </c>
      <c r="Q40" s="51">
        <f t="shared" si="11"/>
        <v>2646.0302486371493</v>
      </c>
      <c r="R40" s="51">
        <f>assumedSE*H40</f>
        <v>3.5168195718654435E-3</v>
      </c>
      <c r="S40"/>
      <c r="T40" s="83"/>
    </row>
    <row r="41" spans="1:20" ht="16" x14ac:dyDescent="0.2">
      <c r="A41"/>
      <c r="B41" s="103"/>
      <c r="C41" s="243"/>
      <c r="D41" s="119">
        <v>28</v>
      </c>
      <c r="E41" s="25" t="str">
        <f>Tp_CHG!D17</f>
        <v>Transition Probability from state 1 to state 1 on day 7 (CHG)</v>
      </c>
      <c r="F41" s="40">
        <f t="shared" si="0"/>
        <v>0.88507718696397941</v>
      </c>
      <c r="G41" s="156">
        <v>1</v>
      </c>
      <c r="H41" s="147">
        <f>Tp_CHG!G17</f>
        <v>0.88507718696397941</v>
      </c>
      <c r="I41" s="40" t="s">
        <v>58</v>
      </c>
      <c r="J41" s="40">
        <f t="shared" si="12"/>
        <v>0.71160524596523711</v>
      </c>
      <c r="K41" s="40">
        <f t="shared" si="13"/>
        <v>1.0585491279627217</v>
      </c>
      <c r="L41" s="40" t="s">
        <v>26</v>
      </c>
      <c r="M41" s="50" t="s">
        <v>266</v>
      </c>
      <c r="N41" s="190">
        <f t="shared" ca="1" si="9"/>
        <v>0.78990632734467858</v>
      </c>
      <c r="O41" s="40">
        <f t="shared" ca="1" si="14"/>
        <v>0.14130185063191791</v>
      </c>
      <c r="P41" s="51">
        <f t="shared" si="10"/>
        <v>10.607204116638076</v>
      </c>
      <c r="Q41" s="51">
        <f t="shared" si="11"/>
        <v>1.3772920073929285</v>
      </c>
      <c r="R41" s="51">
        <f t="shared" si="15"/>
        <v>8.8507718696397952E-2</v>
      </c>
      <c r="S41"/>
      <c r="T41" s="83"/>
    </row>
    <row r="42" spans="1:20" ht="16" x14ac:dyDescent="0.2">
      <c r="A42"/>
      <c r="B42" s="103"/>
      <c r="C42" s="243"/>
      <c r="D42" s="119">
        <v>29</v>
      </c>
      <c r="E42" s="25" t="str">
        <f>Tp_CHG!D49</f>
        <v>Transition Probability from state 1 to state 2 on day 7 (CHG)</v>
      </c>
      <c r="F42" s="40">
        <f t="shared" si="0"/>
        <v>2.4013722126929673E-2</v>
      </c>
      <c r="G42" s="156">
        <v>1</v>
      </c>
      <c r="H42" s="120">
        <f>Tp_CHG!G49</f>
        <v>2.4013722126929673E-2</v>
      </c>
      <c r="I42" s="40" t="s">
        <v>58</v>
      </c>
      <c r="J42" s="40">
        <f>IF(H42=0,0,_xlfn.NORM.INV(0.025,H42,R42))</f>
        <v>1.9307119076576198E-2</v>
      </c>
      <c r="K42" s="40">
        <f>IF(H42=0,0,_xlfn.NORM.INV(0.975,H42,R42))</f>
        <v>2.8720325177283148E-2</v>
      </c>
      <c r="L42" s="40" t="s">
        <v>26</v>
      </c>
      <c r="M42" s="50" t="s">
        <v>266</v>
      </c>
      <c r="N42" s="190">
        <f t="shared" ca="1" si="9"/>
        <v>2.4549570151486844E-2</v>
      </c>
      <c r="O42" s="40">
        <f ca="1">RAND()</f>
        <v>0.60024094259705629</v>
      </c>
      <c r="P42" s="51">
        <f t="shared" si="10"/>
        <v>97.574614065180086</v>
      </c>
      <c r="Q42" s="51">
        <f t="shared" si="11"/>
        <v>3965.7111002205338</v>
      </c>
      <c r="R42" s="51">
        <f>assumedSE*H42</f>
        <v>2.4013722126929675E-3</v>
      </c>
      <c r="S42"/>
      <c r="T42" s="83"/>
    </row>
    <row r="43" spans="1:20" ht="16" x14ac:dyDescent="0.2">
      <c r="A43"/>
      <c r="B43" s="103"/>
      <c r="C43" s="243"/>
      <c r="D43" s="119">
        <v>30</v>
      </c>
      <c r="E43" s="25" t="str">
        <f>Tp_CHG!D113</f>
        <v>Transition Probability from state 1 to state 4 on day 7 (CHG)</v>
      </c>
      <c r="F43" s="40">
        <f t="shared" si="0"/>
        <v>1.7152658662092624E-3</v>
      </c>
      <c r="G43" s="156">
        <v>1</v>
      </c>
      <c r="H43" s="186">
        <f>Tp_CHG!G113</f>
        <v>1.7152658662092624E-3</v>
      </c>
      <c r="I43" s="40" t="s">
        <v>58</v>
      </c>
      <c r="J43" s="40">
        <f>IF(H43=0,0,_xlfn.NORM.INV(0.025,H43,R43))</f>
        <v>1.379079934041157E-3</v>
      </c>
      <c r="K43" s="40">
        <f>IF(H43=0,0,_xlfn.NORM.INV(0.975,H43,R43))</f>
        <v>2.0514517983773678E-3</v>
      </c>
      <c r="L43" s="40" t="s">
        <v>26</v>
      </c>
      <c r="M43" s="50" t="s">
        <v>266</v>
      </c>
      <c r="N43" s="190">
        <f t="shared" ca="1" si="9"/>
        <v>1.733587499145095E-3</v>
      </c>
      <c r="O43" s="40">
        <f ca="1">RAND()</f>
        <v>0.55554807854451327</v>
      </c>
      <c r="P43" s="51">
        <f t="shared" si="10"/>
        <v>99.826758147512834</v>
      </c>
      <c r="Q43" s="51">
        <f t="shared" si="11"/>
        <v>58099.17324185247</v>
      </c>
      <c r="R43" s="51">
        <f>assumedSE*H43</f>
        <v>1.7152658662092626E-4</v>
      </c>
      <c r="S43"/>
      <c r="T43" s="83"/>
    </row>
    <row r="44" spans="1:20" ht="16" x14ac:dyDescent="0.2">
      <c r="A44"/>
      <c r="B44" s="103"/>
      <c r="C44" s="243"/>
      <c r="D44" s="119">
        <v>31</v>
      </c>
      <c r="E44" s="25" t="str">
        <f>Tp_CHG!D210</f>
        <v>Transition Probability from state 1 to state 7 on day 7 (CHG)</v>
      </c>
      <c r="F44" s="40">
        <f t="shared" si="0"/>
        <v>7.2041166380789029E-2</v>
      </c>
      <c r="G44" s="156">
        <v>1</v>
      </c>
      <c r="H44" s="120">
        <f>Tp_CHG!G210</f>
        <v>7.2041166380789029E-2</v>
      </c>
      <c r="I44" s="40" t="s">
        <v>58</v>
      </c>
      <c r="J44" s="40">
        <f>IF(H44=0,0,_xlfn.NORM.INV(0.025,H44,R44))</f>
        <v>5.7921357229728604E-2</v>
      </c>
      <c r="K44" s="40">
        <f>IF(H44=0,0,_xlfn.NORM.INV(0.975,H44,R44))</f>
        <v>8.6160975531849454E-2</v>
      </c>
      <c r="L44" s="40" t="s">
        <v>26</v>
      </c>
      <c r="M44" s="50" t="s">
        <v>266</v>
      </c>
      <c r="N44" s="190">
        <f t="shared" ca="1" si="9"/>
        <v>7.1960930442843241E-2</v>
      </c>
      <c r="O44" s="40">
        <f ca="1">RAND()</f>
        <v>0.50783277048288267</v>
      </c>
      <c r="P44" s="51">
        <f t="shared" si="10"/>
        <v>92.723842195540314</v>
      </c>
      <c r="Q44" s="51">
        <f t="shared" si="11"/>
        <v>1194.3713958996977</v>
      </c>
      <c r="R44" s="51">
        <f>assumedSE*H44</f>
        <v>7.2041166380789031E-3</v>
      </c>
      <c r="S44"/>
      <c r="T44" s="83"/>
    </row>
    <row r="45" spans="1:20" ht="16" x14ac:dyDescent="0.2">
      <c r="A45"/>
      <c r="B45" s="103"/>
      <c r="C45" s="243"/>
      <c r="D45" s="119">
        <v>32</v>
      </c>
      <c r="E45" s="25" t="str">
        <f>Tp_CHG!D242</f>
        <v>Transition Probability from state 1 to state 8 on day 7 (CHG)</v>
      </c>
      <c r="F45" s="40">
        <f t="shared" si="0"/>
        <v>1.7152658662092625E-2</v>
      </c>
      <c r="G45" s="156">
        <v>1</v>
      </c>
      <c r="H45" s="120">
        <f>Tp_CHG!G242</f>
        <v>1.7152658662092625E-2</v>
      </c>
      <c r="I45" s="40" t="s">
        <v>58</v>
      </c>
      <c r="J45" s="40">
        <f>IF(H45=0,0,_xlfn.NORM.INV(0.025,H45,R45))</f>
        <v>1.3790799340411572E-2</v>
      </c>
      <c r="K45" s="40">
        <f>IF(H45=0,0,_xlfn.NORM.INV(0.975,H45,R45))</f>
        <v>2.0514517983773677E-2</v>
      </c>
      <c r="L45" s="40" t="s">
        <v>26</v>
      </c>
      <c r="M45" s="50" t="s">
        <v>266</v>
      </c>
      <c r="N45" s="190">
        <f t="shared" ca="1" si="9"/>
        <v>1.2450515919718241E-2</v>
      </c>
      <c r="O45" s="40">
        <f ca="1">RAND()</f>
        <v>1.3381737545752337E-3</v>
      </c>
      <c r="P45" s="51">
        <f t="shared" si="10"/>
        <v>98.267581475128623</v>
      </c>
      <c r="Q45" s="51">
        <f t="shared" si="11"/>
        <v>5630.7324185248699</v>
      </c>
      <c r="R45" s="51">
        <f>assumedSE*H45</f>
        <v>1.7152658662092626E-3</v>
      </c>
      <c r="S45"/>
      <c r="T45" s="83"/>
    </row>
    <row r="46" spans="1:20" ht="16" x14ac:dyDescent="0.2">
      <c r="A46"/>
      <c r="B46" s="103"/>
      <c r="C46" s="243"/>
      <c r="D46" s="119">
        <v>33</v>
      </c>
      <c r="E46" s="25" t="str">
        <f>Tp_CHG!D18</f>
        <v>Transition Probability from state 1 to state 1 on day 8 (CHG)</v>
      </c>
      <c r="F46" s="40">
        <f t="shared" si="0"/>
        <v>0.87547169811320757</v>
      </c>
      <c r="G46" s="156">
        <v>1</v>
      </c>
      <c r="H46" s="147">
        <f>Tp_CHG!G18</f>
        <v>0.87547169811320757</v>
      </c>
      <c r="I46" s="40" t="s">
        <v>58</v>
      </c>
      <c r="J46" s="40">
        <f t="shared" si="12"/>
        <v>0.70388239833460664</v>
      </c>
      <c r="K46" s="40">
        <f t="shared" si="13"/>
        <v>1.0470609978918084</v>
      </c>
      <c r="L46" s="40" t="s">
        <v>26</v>
      </c>
      <c r="M46" s="50" t="s">
        <v>266</v>
      </c>
      <c r="N46" s="190">
        <f t="shared" ca="1" si="9"/>
        <v>0.97432905424212191</v>
      </c>
      <c r="O46" s="40">
        <f t="shared" ca="1" si="14"/>
        <v>0.91911217213904073</v>
      </c>
      <c r="P46" s="51">
        <f t="shared" si="10"/>
        <v>11.577358490566033</v>
      </c>
      <c r="Q46" s="51">
        <f t="shared" si="11"/>
        <v>1.6467794404684439</v>
      </c>
      <c r="R46" s="51">
        <f t="shared" si="15"/>
        <v>8.7547169811320769E-2</v>
      </c>
      <c r="S46"/>
      <c r="T46" s="83"/>
    </row>
    <row r="47" spans="1:20" ht="16" x14ac:dyDescent="0.2">
      <c r="A47"/>
      <c r="B47" s="103"/>
      <c r="C47" s="243"/>
      <c r="D47" s="119">
        <v>34</v>
      </c>
      <c r="E47" s="25" t="str">
        <f>Tp_CHG!D50</f>
        <v>Transition Probability from state 1 to state 2 on day 8 (CHG)</v>
      </c>
      <c r="F47" s="40">
        <f t="shared" si="0"/>
        <v>3.2075471698113207E-2</v>
      </c>
      <c r="G47" s="156">
        <v>1</v>
      </c>
      <c r="H47" s="120">
        <f>Tp_CHG!G50</f>
        <v>3.2075471698113207E-2</v>
      </c>
      <c r="I47" s="40" t="s">
        <v>58</v>
      </c>
      <c r="J47" s="40">
        <f>IF(H47=0,0,_xlfn.NORM.INV(0.025,H47,R47))</f>
        <v>2.5788794766569638E-2</v>
      </c>
      <c r="K47" s="40">
        <f>IF(H47=0,0,_xlfn.NORM.INV(0.975,H47,R47))</f>
        <v>3.8362148629656777E-2</v>
      </c>
      <c r="L47" s="40" t="s">
        <v>26</v>
      </c>
      <c r="M47" s="50" t="s">
        <v>266</v>
      </c>
      <c r="N47" s="190">
        <f t="shared" ca="1" si="9"/>
        <v>3.6506010606345729E-2</v>
      </c>
      <c r="O47" s="40">
        <f ca="1">RAND()</f>
        <v>0.91244023250272743</v>
      </c>
      <c r="P47" s="51">
        <f t="shared" si="10"/>
        <v>96.760377358490544</v>
      </c>
      <c r="Q47" s="51">
        <f t="shared" si="11"/>
        <v>2919.8866814650382</v>
      </c>
      <c r="R47" s="51">
        <f>assumedSE*H47</f>
        <v>3.2075471698113211E-3</v>
      </c>
      <c r="S47"/>
      <c r="T47" s="83"/>
    </row>
    <row r="48" spans="1:20" ht="16" x14ac:dyDescent="0.2">
      <c r="A48"/>
      <c r="B48" s="103"/>
      <c r="C48" s="243"/>
      <c r="D48" s="119">
        <v>35</v>
      </c>
      <c r="E48" s="25" t="str">
        <f>Tp_CHG!D114</f>
        <v>Transition Probability from state 1 to state 4 on day 8 (CHG)</v>
      </c>
      <c r="F48" s="40">
        <f t="shared" si="0"/>
        <v>1.8867924528301887E-3</v>
      </c>
      <c r="G48" s="156">
        <v>1</v>
      </c>
      <c r="H48" s="120">
        <f>Tp_CHG!G114</f>
        <v>1.8867924528301887E-3</v>
      </c>
      <c r="I48" s="40" t="s">
        <v>58</v>
      </c>
      <c r="J48" s="40">
        <f>IF(H48=0,0,_xlfn.NORM.INV(0.025,H48,R48))</f>
        <v>1.5169879274452729E-3</v>
      </c>
      <c r="K48" s="40">
        <f>IF(H48=0,0,_xlfn.NORM.INV(0.975,H48,R48))</f>
        <v>2.2565969782151044E-3</v>
      </c>
      <c r="L48" s="40" t="s">
        <v>26</v>
      </c>
      <c r="M48" s="50" t="s">
        <v>266</v>
      </c>
      <c r="N48" s="190">
        <f t="shared" ca="1" si="9"/>
        <v>1.8667224986587644E-3</v>
      </c>
      <c r="O48" s="40">
        <f ca="1">RAND()</f>
        <v>0.47072804520499734</v>
      </c>
      <c r="P48" s="51">
        <f t="shared" si="10"/>
        <v>99.809433962264137</v>
      </c>
      <c r="Q48" s="51">
        <f t="shared" si="11"/>
        <v>52799.190566037731</v>
      </c>
      <c r="R48" s="51">
        <f>assumedSE*H48</f>
        <v>1.8867924528301889E-4</v>
      </c>
      <c r="S48"/>
      <c r="T48" s="83"/>
    </row>
    <row r="49" spans="1:20" ht="16" x14ac:dyDescent="0.2">
      <c r="A49"/>
      <c r="B49" s="103"/>
      <c r="C49" s="243"/>
      <c r="D49" s="119">
        <v>36</v>
      </c>
      <c r="E49" s="25" t="str">
        <f>Tp_CHG!D146</f>
        <v>Transition Probability from state 1 to state 5 on day 8 (CHG)</v>
      </c>
      <c r="F49" s="40">
        <f t="shared" si="0"/>
        <v>3.7735849056603774E-3</v>
      </c>
      <c r="G49" s="156">
        <v>1</v>
      </c>
      <c r="H49" s="120">
        <f>Tp_CHG!G146</f>
        <v>3.7735849056603774E-3</v>
      </c>
      <c r="I49" s="40" t="s">
        <v>58</v>
      </c>
      <c r="J49" s="40">
        <f>IF(H49=0,0,_xlfn.NORM.INV(0.025,H49,R49))</f>
        <v>3.0339758548905459E-3</v>
      </c>
      <c r="K49" s="40">
        <f>IF(H49=0,0,_xlfn.NORM.INV(0.975,H49,R49))</f>
        <v>4.5131939564302089E-3</v>
      </c>
      <c r="L49" s="40" t="s">
        <v>26</v>
      </c>
      <c r="M49" s="50" t="s">
        <v>266</v>
      </c>
      <c r="N49" s="190">
        <f t="shared" ca="1" si="9"/>
        <v>3.873524240824433E-3</v>
      </c>
      <c r="O49" s="40">
        <f ca="1">RAND()</f>
        <v>0.61626331941833057</v>
      </c>
      <c r="P49" s="51">
        <f t="shared" si="10"/>
        <v>99.618867924528274</v>
      </c>
      <c r="Q49" s="51">
        <f t="shared" si="11"/>
        <v>26299.381132075465</v>
      </c>
      <c r="R49" s="51">
        <f>assumedSE*H49</f>
        <v>3.7735849056603777E-4</v>
      </c>
      <c r="S49"/>
      <c r="T49" s="83"/>
    </row>
    <row r="50" spans="1:20" ht="16" x14ac:dyDescent="0.2">
      <c r="A50"/>
      <c r="B50" s="103"/>
      <c r="C50" s="243"/>
      <c r="D50" s="119">
        <v>37</v>
      </c>
      <c r="E50" s="25" t="str">
        <f>Tp_CHG!D211</f>
        <v>Transition Probability from state 1 to state 7 on day 8 (CHG)</v>
      </c>
      <c r="F50" s="40">
        <f t="shared" si="0"/>
        <v>7.3584905660377356E-2</v>
      </c>
      <c r="G50" s="156">
        <v>1</v>
      </c>
      <c r="H50" s="120">
        <f>Tp_CHG!G211</f>
        <v>7.3584905660377356E-2</v>
      </c>
      <c r="I50" s="40" t="s">
        <v>58</v>
      </c>
      <c r="J50" s="40">
        <f>IF(H50=0,0,_xlfn.NORM.INV(0.025,H50,R50))</f>
        <v>5.9162529170365637E-2</v>
      </c>
      <c r="K50" s="40">
        <f>IF(H50=0,0,_xlfn.NORM.INV(0.975,H50,R50))</f>
        <v>8.8007282150389068E-2</v>
      </c>
      <c r="L50" s="40" t="s">
        <v>26</v>
      </c>
      <c r="M50" s="50" t="s">
        <v>266</v>
      </c>
      <c r="N50" s="190">
        <f t="shared" ca="1" si="9"/>
        <v>7.3685390043394805E-2</v>
      </c>
      <c r="O50" s="40">
        <f ca="1">RAND()</f>
        <v>0.51768580109008033</v>
      </c>
      <c r="P50" s="51">
        <f t="shared" si="10"/>
        <v>92.567924528301873</v>
      </c>
      <c r="Q50" s="51">
        <f t="shared" si="11"/>
        <v>1165.4064344460571</v>
      </c>
      <c r="R50" s="51">
        <f>assumedSE*H50</f>
        <v>7.3584905660377363E-3</v>
      </c>
      <c r="S50"/>
      <c r="T50" s="83"/>
    </row>
    <row r="51" spans="1:20" ht="16" x14ac:dyDescent="0.2">
      <c r="A51"/>
      <c r="B51" s="103"/>
      <c r="C51" s="243"/>
      <c r="D51" s="119">
        <v>38</v>
      </c>
      <c r="E51" s="25" t="str">
        <f>Tp_CHG!D243</f>
        <v>Transition Probability from state 1 to state 8 on day 8 (CHG)</v>
      </c>
      <c r="F51" s="40">
        <f t="shared" si="0"/>
        <v>1.3207547169811321E-2</v>
      </c>
      <c r="G51" s="156">
        <v>1</v>
      </c>
      <c r="H51" s="120">
        <f>Tp_CHG!G243</f>
        <v>1.3207547169811321E-2</v>
      </c>
      <c r="I51" s="40" t="s">
        <v>58</v>
      </c>
      <c r="J51" s="40">
        <f>IF(H51=0,0,_xlfn.NORM.INV(0.025,H51,R51))</f>
        <v>1.0618915492116909E-2</v>
      </c>
      <c r="K51" s="40">
        <f>IF(H51=0,0,_xlfn.NORM.INV(0.975,H51,R51))</f>
        <v>1.5796178847505733E-2</v>
      </c>
      <c r="L51" s="40" t="s">
        <v>26</v>
      </c>
      <c r="M51" s="50" t="s">
        <v>266</v>
      </c>
      <c r="N51" s="190">
        <f t="shared" ca="1" si="9"/>
        <v>1.282504307034822E-2</v>
      </c>
      <c r="O51" s="40">
        <f ca="1">RAND()</f>
        <v>0.39765930140267203</v>
      </c>
      <c r="P51" s="51">
        <f t="shared" si="10"/>
        <v>98.666037735849045</v>
      </c>
      <c r="Q51" s="51">
        <f t="shared" si="11"/>
        <v>7371.7625336927213</v>
      </c>
      <c r="R51" s="51">
        <f>assumedSE*H51</f>
        <v>1.3207547169811322E-3</v>
      </c>
      <c r="S51"/>
      <c r="T51" s="83"/>
    </row>
    <row r="52" spans="1:20" ht="16" x14ac:dyDescent="0.2">
      <c r="A52"/>
      <c r="B52" s="103"/>
      <c r="C52" s="243"/>
      <c r="D52" s="119">
        <v>39</v>
      </c>
      <c r="E52" s="25" t="str">
        <f>Tp_CHG!D19</f>
        <v>Transition Probability from state 1 to state 1 on day 9 (CHG)</v>
      </c>
      <c r="F52" s="40">
        <f t="shared" si="0"/>
        <v>0.89812889812889818</v>
      </c>
      <c r="G52" s="156">
        <v>1</v>
      </c>
      <c r="H52" s="147">
        <f>Tp_CHG!G19</f>
        <v>0.89812889812889818</v>
      </c>
      <c r="I52" s="40" t="s">
        <v>58</v>
      </c>
      <c r="J52" s="40">
        <f t="shared" si="12"/>
        <v>0.72209886874816986</v>
      </c>
      <c r="K52" s="40">
        <f t="shared" si="13"/>
        <v>1.0741589275096266</v>
      </c>
      <c r="L52" s="40" t="s">
        <v>26</v>
      </c>
      <c r="M52" s="50" t="s">
        <v>266</v>
      </c>
      <c r="N52" s="190">
        <f t="shared" ca="1" si="9"/>
        <v>0.79190290370985472</v>
      </c>
      <c r="O52" s="40">
        <f t="shared" ca="1" si="14"/>
        <v>0.1243365359285471</v>
      </c>
      <c r="P52" s="51">
        <f t="shared" si="10"/>
        <v>9.2889812889812831</v>
      </c>
      <c r="Q52" s="51">
        <f t="shared" si="11"/>
        <v>1.0536113036113022</v>
      </c>
      <c r="R52" s="51">
        <f t="shared" si="15"/>
        <v>8.9812889812889818E-2</v>
      </c>
      <c r="S52"/>
      <c r="T52" s="83"/>
    </row>
    <row r="53" spans="1:20" ht="16" x14ac:dyDescent="0.2">
      <c r="A53"/>
      <c r="B53" s="103"/>
      <c r="C53" s="243"/>
      <c r="D53" s="119">
        <v>40</v>
      </c>
      <c r="E53" s="25" t="str">
        <f>Tp_CHG!D51</f>
        <v>Transition Probability from state 1 to state 2 on day 9 (CHG)</v>
      </c>
      <c r="F53" s="40">
        <f t="shared" si="0"/>
        <v>1.8711018711018712E-2</v>
      </c>
      <c r="G53" s="156">
        <v>1</v>
      </c>
      <c r="H53" s="120">
        <f>Tp_CHG!G51</f>
        <v>1.8711018711018712E-2</v>
      </c>
      <c r="I53" s="40" t="s">
        <v>58</v>
      </c>
      <c r="J53" s="40">
        <f>IF(H53=0,0,_xlfn.NORM.INV(0.025,H53,R53))</f>
        <v>1.5043726432253539E-2</v>
      </c>
      <c r="K53" s="40">
        <f>IF(H53=0,0,_xlfn.NORM.INV(0.975,H53,R53))</f>
        <v>2.2378310989783885E-2</v>
      </c>
      <c r="L53" s="40" t="s">
        <v>26</v>
      </c>
      <c r="M53" s="50" t="s">
        <v>266</v>
      </c>
      <c r="N53" s="190">
        <f t="shared" ca="1" si="9"/>
        <v>2.1424548305731927E-2</v>
      </c>
      <c r="O53" s="40">
        <f ca="1">RAND()</f>
        <v>0.92203898351864499</v>
      </c>
      <c r="P53" s="51">
        <f t="shared" si="10"/>
        <v>98.110187110187113</v>
      </c>
      <c r="Q53" s="51">
        <f t="shared" si="11"/>
        <v>5145.3342573342579</v>
      </c>
      <c r="R53" s="51">
        <f>assumedSE*H53</f>
        <v>1.8711018711018712E-3</v>
      </c>
      <c r="S53"/>
      <c r="T53" s="83"/>
    </row>
    <row r="54" spans="1:20" ht="16" x14ac:dyDescent="0.2">
      <c r="A54"/>
      <c r="B54" s="103"/>
      <c r="C54" s="243"/>
      <c r="D54" s="119">
        <v>41</v>
      </c>
      <c r="E54" s="25" t="str">
        <f>Tp_CHG!D147</f>
        <v>Transition Probability from state 1 to state 5 on day 9 (CHG)</v>
      </c>
      <c r="F54" s="40">
        <f t="shared" si="0"/>
        <v>2.0790020790020791E-3</v>
      </c>
      <c r="G54" s="156">
        <v>1</v>
      </c>
      <c r="H54" s="120">
        <f>Tp_CHG!G147</f>
        <v>2.0790020790020791E-3</v>
      </c>
      <c r="I54" s="40" t="s">
        <v>58</v>
      </c>
      <c r="J54" s="40">
        <f>IF(H54=0,0,_xlfn.NORM.INV(0.025,H54,R54))</f>
        <v>1.6715251591392821E-3</v>
      </c>
      <c r="K54" s="40">
        <f>IF(H54=0,0,_xlfn.NORM.INV(0.975,H54,R54))</f>
        <v>2.4864789988648761E-3</v>
      </c>
      <c r="L54" s="40" t="s">
        <v>26</v>
      </c>
      <c r="M54" s="50" t="s">
        <v>266</v>
      </c>
      <c r="N54" s="190">
        <f t="shared" ca="1" si="9"/>
        <v>2.0139823879702277E-3</v>
      </c>
      <c r="O54" s="40">
        <f ca="1">RAND()</f>
        <v>0.38870552876981879</v>
      </c>
      <c r="P54" s="51">
        <f t="shared" si="10"/>
        <v>99.79002079002079</v>
      </c>
      <c r="Q54" s="51">
        <f t="shared" si="11"/>
        <v>47899.209979209983</v>
      </c>
      <c r="R54" s="51">
        <f>assumedSE*H54</f>
        <v>2.0790020790020791E-4</v>
      </c>
      <c r="S54"/>
      <c r="T54" s="83"/>
    </row>
    <row r="55" spans="1:20" ht="16" x14ac:dyDescent="0.2">
      <c r="A55"/>
      <c r="B55" s="103"/>
      <c r="C55" s="243"/>
      <c r="D55" s="119">
        <v>42</v>
      </c>
      <c r="E55" s="25" t="str">
        <f>Tp_CHG!D212</f>
        <v>Transition Probability from state 1 to state 7 on day 9 (CHG)</v>
      </c>
      <c r="F55" s="40">
        <f t="shared" si="0"/>
        <v>6.2370062370062374E-2</v>
      </c>
      <c r="G55" s="156">
        <v>1</v>
      </c>
      <c r="H55" s="120">
        <f>Tp_CHG!G212</f>
        <v>6.2370062370062374E-2</v>
      </c>
      <c r="I55" s="40" t="s">
        <v>58</v>
      </c>
      <c r="J55" s="40">
        <f>IF(H55=0,0,_xlfn.NORM.INV(0.025,H55,R55))</f>
        <v>5.0145754774178458E-2</v>
      </c>
      <c r="K55" s="40">
        <f>IF(H55=0,0,_xlfn.NORM.INV(0.975,H55,R55))</f>
        <v>7.4594369965946289E-2</v>
      </c>
      <c r="L55" s="40" t="s">
        <v>26</v>
      </c>
      <c r="M55" s="50" t="s">
        <v>266</v>
      </c>
      <c r="N55" s="190">
        <f t="shared" ca="1" si="9"/>
        <v>6.6173622293856038E-2</v>
      </c>
      <c r="O55" s="40">
        <f ca="1">RAND()</f>
        <v>0.73544401766015177</v>
      </c>
      <c r="P55" s="51">
        <f t="shared" si="10"/>
        <v>93.700623700623694</v>
      </c>
      <c r="Q55" s="51">
        <f t="shared" si="11"/>
        <v>1408.6327096327095</v>
      </c>
      <c r="R55" s="51">
        <f>assumedSE*H55</f>
        <v>6.2370062370062374E-3</v>
      </c>
      <c r="S55"/>
      <c r="T55" s="83"/>
    </row>
    <row r="56" spans="1:20" ht="16" x14ac:dyDescent="0.2">
      <c r="A56"/>
      <c r="B56" s="103"/>
      <c r="C56" s="243"/>
      <c r="D56" s="119">
        <v>43</v>
      </c>
      <c r="E56" s="25" t="str">
        <f>Tp_CHG!D244</f>
        <v>Transition Probability from state 1 to state 8 on day 9 (CHG)</v>
      </c>
      <c r="F56" s="40">
        <f t="shared" si="0"/>
        <v>1.8711018711018712E-2</v>
      </c>
      <c r="G56" s="156">
        <v>1</v>
      </c>
      <c r="H56" s="120">
        <f>Tp_CHG!G244</f>
        <v>1.8711018711018712E-2</v>
      </c>
      <c r="I56" s="40" t="s">
        <v>58</v>
      </c>
      <c r="J56" s="40">
        <f>IF(H56=0,0,_xlfn.NORM.INV(0.025,H56,R56))</f>
        <v>1.5043726432253539E-2</v>
      </c>
      <c r="K56" s="40">
        <f>IF(H56=0,0,_xlfn.NORM.INV(0.975,H56,R56))</f>
        <v>2.2378310989783885E-2</v>
      </c>
      <c r="L56" s="40" t="s">
        <v>26</v>
      </c>
      <c r="M56" s="50" t="s">
        <v>266</v>
      </c>
      <c r="N56" s="190">
        <f t="shared" ca="1" si="9"/>
        <v>1.5163485079256793E-2</v>
      </c>
      <c r="O56" s="40">
        <f ca="1">RAND()</f>
        <v>2.3018389901828362E-2</v>
      </c>
      <c r="P56" s="51">
        <f t="shared" si="10"/>
        <v>98.110187110187113</v>
      </c>
      <c r="Q56" s="51">
        <f t="shared" si="11"/>
        <v>5145.3342573342579</v>
      </c>
      <c r="R56" s="51">
        <f>assumedSE*H56</f>
        <v>1.8711018711018712E-3</v>
      </c>
      <c r="S56"/>
      <c r="T56" s="83"/>
    </row>
    <row r="57" spans="1:20" ht="16" x14ac:dyDescent="0.2">
      <c r="A57"/>
      <c r="B57" s="103"/>
      <c r="C57" s="243"/>
      <c r="D57" s="119">
        <v>44</v>
      </c>
      <c r="E57" s="25" t="str">
        <f>Tp_CHG!D20</f>
        <v>Transition Probability from state 1 to state 1 on day 10 (CHG)</v>
      </c>
      <c r="F57" s="40">
        <f t="shared" si="0"/>
        <v>0.8683035714285714</v>
      </c>
      <c r="G57" s="156">
        <v>1</v>
      </c>
      <c r="H57" s="147">
        <f>Tp_CHG!G20</f>
        <v>0.8683035714285714</v>
      </c>
      <c r="I57" s="40" t="s">
        <v>58</v>
      </c>
      <c r="J57" s="40">
        <f t="shared" si="12"/>
        <v>0.69811919866382122</v>
      </c>
      <c r="K57" s="40">
        <f t="shared" si="13"/>
        <v>1.0384879441933217</v>
      </c>
      <c r="L57" s="40" t="s">
        <v>26</v>
      </c>
      <c r="M57" s="50" t="s">
        <v>266</v>
      </c>
      <c r="N57" s="190">
        <f t="shared" ca="1" si="9"/>
        <v>0.67875718601020363</v>
      </c>
      <c r="O57" s="40">
        <f t="shared" ca="1" si="14"/>
        <v>3.5574544051612977E-2</v>
      </c>
      <c r="P57" s="51">
        <f t="shared" si="10"/>
        <v>12.30133928571429</v>
      </c>
      <c r="Q57" s="51">
        <f t="shared" si="11"/>
        <v>1.8657558299669492</v>
      </c>
      <c r="R57" s="51">
        <f t="shared" si="15"/>
        <v>8.683035714285714E-2</v>
      </c>
      <c r="S57"/>
      <c r="T57" s="83"/>
    </row>
    <row r="58" spans="1:20" ht="16" x14ac:dyDescent="0.2">
      <c r="A58"/>
      <c r="B58" s="103"/>
      <c r="C58" s="243"/>
      <c r="D58" s="119">
        <v>45</v>
      </c>
      <c r="E58" s="25" t="str">
        <f>Tp_CHG!D52</f>
        <v>Transition Probability from state 1 to state 2 on day 10 (CHG)</v>
      </c>
      <c r="F58" s="40">
        <f t="shared" si="0"/>
        <v>3.7946428571428568E-2</v>
      </c>
      <c r="G58" s="156">
        <v>1</v>
      </c>
      <c r="H58" s="120">
        <f>Tp_CHG!G52</f>
        <v>3.7946428571428568E-2</v>
      </c>
      <c r="I58" s="40" t="s">
        <v>58</v>
      </c>
      <c r="J58" s="40">
        <f>IF(H58=0,0,_xlfn.NORM.INV(0.025,H58,R58))</f>
        <v>3.0509065237236399E-2</v>
      </c>
      <c r="K58" s="40">
        <f>IF(H58=0,0,_xlfn.NORM.INV(0.975,H58,R58))</f>
        <v>4.5383791905620738E-2</v>
      </c>
      <c r="L58" s="40" t="s">
        <v>26</v>
      </c>
      <c r="M58" s="50" t="s">
        <v>266</v>
      </c>
      <c r="N58" s="190">
        <f t="shared" ca="1" si="9"/>
        <v>3.7707258731506203E-2</v>
      </c>
      <c r="O58" s="40">
        <f ca="1">RAND()</f>
        <v>0.48759997347297312</v>
      </c>
      <c r="P58" s="51">
        <f t="shared" si="10"/>
        <v>96.167410714285694</v>
      </c>
      <c r="Q58" s="51">
        <f t="shared" si="11"/>
        <v>2438.1267069327728</v>
      </c>
      <c r="R58" s="51">
        <f>assumedSE*H58</f>
        <v>3.7946428571428571E-3</v>
      </c>
      <c r="S58"/>
      <c r="T58" s="83"/>
    </row>
    <row r="59" spans="1:20" ht="16" x14ac:dyDescent="0.2">
      <c r="A59"/>
      <c r="B59" s="103"/>
      <c r="C59" s="243"/>
      <c r="D59" s="119">
        <v>46</v>
      </c>
      <c r="E59" s="25" t="str">
        <f>Tp_CHG!D148</f>
        <v>Transition Probability from state 1 to state 5 on day 10 (CHG)</v>
      </c>
      <c r="F59" s="40">
        <f t="shared" si="0"/>
        <v>4.464285714285714E-3</v>
      </c>
      <c r="G59" s="156">
        <v>1</v>
      </c>
      <c r="H59" s="120">
        <f>Tp_CHG!G148</f>
        <v>4.464285714285714E-3</v>
      </c>
      <c r="I59" s="40" t="s">
        <v>58</v>
      </c>
      <c r="J59" s="40">
        <f>IF(H59=0,0,_xlfn.NORM.INV(0.025,H59,R59))</f>
        <v>3.5893017926160471E-3</v>
      </c>
      <c r="K59" s="40">
        <f>IF(H59=0,0,_xlfn.NORM.INV(0.975,H59,R59))</f>
        <v>5.339269635955381E-3</v>
      </c>
      <c r="L59" s="40" t="s">
        <v>26</v>
      </c>
      <c r="M59" s="50" t="s">
        <v>266</v>
      </c>
      <c r="N59" s="190">
        <f t="shared" ca="1" si="9"/>
        <v>4.3550200663572333E-3</v>
      </c>
      <c r="O59" s="40">
        <f ca="1">RAND()</f>
        <v>0.41546731457069541</v>
      </c>
      <c r="P59" s="51">
        <f t="shared" si="10"/>
        <v>99.549107142857153</v>
      </c>
      <c r="Q59" s="51">
        <f t="shared" si="11"/>
        <v>22199.450892857149</v>
      </c>
      <c r="R59" s="51">
        <f>assumedSE*H59</f>
        <v>4.4642857142857141E-4</v>
      </c>
      <c r="S59"/>
      <c r="T59" s="83"/>
    </row>
    <row r="60" spans="1:20" ht="16" x14ac:dyDescent="0.2">
      <c r="A60"/>
      <c r="B60" s="103"/>
      <c r="C60" s="243"/>
      <c r="D60" s="119">
        <v>47</v>
      </c>
      <c r="E60" s="25" t="str">
        <f>Tp_CHG!D213</f>
        <v>Transition Probability from state 1 to state 7 on day 10 (CHG)</v>
      </c>
      <c r="F60" s="40">
        <f t="shared" si="0"/>
        <v>7.1428571428571425E-2</v>
      </c>
      <c r="G60" s="156">
        <v>1</v>
      </c>
      <c r="H60" s="120">
        <f>Tp_CHG!G213</f>
        <v>7.1428571428571425E-2</v>
      </c>
      <c r="I60" s="40" t="s">
        <v>58</v>
      </c>
      <c r="J60" s="40">
        <f>IF(H60=0,0,_xlfn.NORM.INV(0.025,H60,R60))</f>
        <v>5.7428828681856753E-2</v>
      </c>
      <c r="K60" s="40">
        <f>IF(H60=0,0,_xlfn.NORM.INV(0.975,H60,R60))</f>
        <v>8.5428314175286096E-2</v>
      </c>
      <c r="L60" s="40" t="s">
        <v>26</v>
      </c>
      <c r="M60" s="50" t="s">
        <v>266</v>
      </c>
      <c r="N60" s="190">
        <f t="shared" ca="1" si="9"/>
        <v>6.9262886479078356E-2</v>
      </c>
      <c r="O60" s="40">
        <f ca="1">RAND()</f>
        <v>0.39164376102740761</v>
      </c>
      <c r="P60" s="51">
        <f t="shared" si="10"/>
        <v>92.785714285714292</v>
      </c>
      <c r="Q60" s="51">
        <f t="shared" si="11"/>
        <v>1206.214285714286</v>
      </c>
      <c r="R60" s="51">
        <f>assumedSE*H60</f>
        <v>7.1428571428571426E-3</v>
      </c>
      <c r="S60"/>
      <c r="T60" s="83"/>
    </row>
    <row r="61" spans="1:20" ht="16" x14ac:dyDescent="0.2">
      <c r="A61"/>
      <c r="B61" s="103"/>
      <c r="C61" s="243"/>
      <c r="D61" s="119">
        <v>48</v>
      </c>
      <c r="E61" s="25" t="str">
        <f>Tp_CHG!D245</f>
        <v>Transition Probability from state 1 to state 8 on day 10 (CHG)</v>
      </c>
      <c r="F61" s="40">
        <f t="shared" si="0"/>
        <v>1.7857142857142856E-2</v>
      </c>
      <c r="G61" s="156">
        <v>1</v>
      </c>
      <c r="H61" s="120">
        <f>Tp_CHG!G245</f>
        <v>1.7857142857142856E-2</v>
      </c>
      <c r="I61" s="40" t="s">
        <v>58</v>
      </c>
      <c r="J61" s="40">
        <f>IF(H61=0,0,_xlfn.NORM.INV(0.025,H61,R61))</f>
        <v>1.4357207170464188E-2</v>
      </c>
      <c r="K61" s="40">
        <f>IF(H61=0,0,_xlfn.NORM.INV(0.975,H61,R61))</f>
        <v>2.1357078543821524E-2</v>
      </c>
      <c r="L61" s="40" t="s">
        <v>26</v>
      </c>
      <c r="M61" s="50" t="s">
        <v>266</v>
      </c>
      <c r="N61" s="190">
        <f t="shared" ca="1" si="9"/>
        <v>2.0436232578874836E-2</v>
      </c>
      <c r="O61" s="40">
        <f ca="1">RAND()</f>
        <v>0.92123993953481587</v>
      </c>
      <c r="P61" s="51">
        <f t="shared" si="10"/>
        <v>98.196428571428569</v>
      </c>
      <c r="Q61" s="51">
        <f t="shared" si="11"/>
        <v>5400.8035714285716</v>
      </c>
      <c r="R61" s="51">
        <f>assumedSE*H61</f>
        <v>1.7857142857142857E-3</v>
      </c>
      <c r="S61"/>
      <c r="T61" s="83"/>
    </row>
    <row r="62" spans="1:20" ht="16" x14ac:dyDescent="0.2">
      <c r="A62"/>
      <c r="B62" s="103"/>
      <c r="C62" s="243"/>
      <c r="D62" s="119">
        <v>49</v>
      </c>
      <c r="E62" s="25" t="str">
        <f>Tp_CHG!D21</f>
        <v>Transition Probability from state 1 to state 1 on day 11 (CHG)</v>
      </c>
      <c r="F62" s="40">
        <f t="shared" si="0"/>
        <v>0.89974937343358397</v>
      </c>
      <c r="G62" s="156">
        <v>1</v>
      </c>
      <c r="H62" s="147">
        <f>Tp_CHG!G21</f>
        <v>0.89974937343358397</v>
      </c>
      <c r="I62" s="40" t="s">
        <v>58</v>
      </c>
      <c r="J62" s="40">
        <f t="shared" si="12"/>
        <v>0.72340173672935348</v>
      </c>
      <c r="K62" s="40">
        <f t="shared" si="13"/>
        <v>1.0760970101378144</v>
      </c>
      <c r="L62" s="40" t="s">
        <v>26</v>
      </c>
      <c r="M62" s="50" t="s">
        <v>266</v>
      </c>
      <c r="N62" s="190">
        <f t="shared" ca="1" si="9"/>
        <v>0.83696626019363163</v>
      </c>
      <c r="O62" s="40">
        <f t="shared" ca="1" si="14"/>
        <v>0.20173077272649409</v>
      </c>
      <c r="P62" s="51">
        <f t="shared" si="10"/>
        <v>9.125313283208019</v>
      </c>
      <c r="Q62" s="51">
        <f t="shared" si="11"/>
        <v>1.0167479981290271</v>
      </c>
      <c r="R62" s="51">
        <f t="shared" si="15"/>
        <v>8.9974937343358402E-2</v>
      </c>
      <c r="S62"/>
      <c r="T62" s="83"/>
    </row>
    <row r="63" spans="1:20" ht="16" x14ac:dyDescent="0.2">
      <c r="A63"/>
      <c r="B63" s="103"/>
      <c r="C63" s="243"/>
      <c r="D63" s="119">
        <v>50</v>
      </c>
      <c r="E63" s="25" t="str">
        <f>Tp_CHG!D53</f>
        <v>Transition Probability from state 1 to state 2 on day 11 (CHG)</v>
      </c>
      <c r="F63" s="40">
        <f t="shared" si="0"/>
        <v>1.7543859649122806E-2</v>
      </c>
      <c r="G63" s="156">
        <v>1</v>
      </c>
      <c r="H63" s="120">
        <f>Tp_CHG!G53</f>
        <v>1.7543859649122806E-2</v>
      </c>
      <c r="I63" s="40" t="s">
        <v>58</v>
      </c>
      <c r="J63" s="40">
        <f>IF(H63=0,0,_xlfn.NORM.INV(0.025,H63,R63))</f>
        <v>1.4105326342912186E-2</v>
      </c>
      <c r="K63" s="40">
        <f>IF(H63=0,0,_xlfn.NORM.INV(0.975,H63,R63))</f>
        <v>2.0982392955333426E-2</v>
      </c>
      <c r="L63" s="40" t="s">
        <v>26</v>
      </c>
      <c r="M63" s="50" t="s">
        <v>266</v>
      </c>
      <c r="N63" s="190">
        <f t="shared" ca="1" si="9"/>
        <v>1.599964982422172E-2</v>
      </c>
      <c r="O63" s="40">
        <f ca="1">RAND()</f>
        <v>0.19110103321793104</v>
      </c>
      <c r="P63" s="51">
        <f t="shared" si="10"/>
        <v>98.228070175438575</v>
      </c>
      <c r="Q63" s="51">
        <f t="shared" si="11"/>
        <v>5500.7719298245602</v>
      </c>
      <c r="R63" s="51">
        <f>assumedSE*H63</f>
        <v>1.7543859649122807E-3</v>
      </c>
      <c r="S63"/>
      <c r="T63" s="83"/>
    </row>
    <row r="64" spans="1:20" ht="16" x14ac:dyDescent="0.2">
      <c r="A64"/>
      <c r="B64" s="103"/>
      <c r="C64" s="243"/>
      <c r="D64" s="119">
        <v>51</v>
      </c>
      <c r="E64" s="25" t="str">
        <f>Tp_CHG!D149</f>
        <v>Transition Probability from state 1 to state 5 on day 11 (CHG)</v>
      </c>
      <c r="F64" s="40">
        <f t="shared" si="0"/>
        <v>7.5187969924812026E-3</v>
      </c>
      <c r="G64" s="156">
        <v>1</v>
      </c>
      <c r="H64" s="120">
        <f>Tp_CHG!G149</f>
        <v>7.5187969924812026E-3</v>
      </c>
      <c r="I64" s="40" t="s">
        <v>58</v>
      </c>
      <c r="J64" s="40">
        <f>IF(H64=0,0,_xlfn.NORM.INV(0.025,H64,R64))</f>
        <v>6.0451398612480795E-3</v>
      </c>
      <c r="K64" s="40">
        <f>IF(H64=0,0,_xlfn.NORM.INV(0.975,H64,R64))</f>
        <v>8.9924541237143257E-3</v>
      </c>
      <c r="L64" s="40" t="s">
        <v>26</v>
      </c>
      <c r="M64" s="50" t="s">
        <v>266</v>
      </c>
      <c r="N64" s="190">
        <f t="shared" ca="1" si="9"/>
        <v>7.9434329060604769E-3</v>
      </c>
      <c r="O64" s="40">
        <f ca="1">RAND()</f>
        <v>0.72155143631742591</v>
      </c>
      <c r="P64" s="51">
        <f t="shared" si="10"/>
        <v>99.240601503759365</v>
      </c>
      <c r="Q64" s="51">
        <f t="shared" si="11"/>
        <v>13099.759398496237</v>
      </c>
      <c r="R64" s="51">
        <f>assumedSE*H64</f>
        <v>7.5187969924812035E-4</v>
      </c>
      <c r="S64"/>
      <c r="T64" s="83"/>
    </row>
    <row r="65" spans="1:20" ht="16" x14ac:dyDescent="0.2">
      <c r="A65"/>
      <c r="B65" s="103"/>
      <c r="C65" s="243"/>
      <c r="D65" s="119">
        <v>52</v>
      </c>
      <c r="E65" s="25" t="str">
        <f>Tp_CHG!D214</f>
        <v>Transition Probability from state 1 to state 7 on day 11 (CHG)</v>
      </c>
      <c r="F65" s="40">
        <f t="shared" si="0"/>
        <v>5.764411027568922E-2</v>
      </c>
      <c r="G65" s="156">
        <v>1</v>
      </c>
      <c r="H65" s="120">
        <f>Tp_CHG!G214</f>
        <v>5.764411027568922E-2</v>
      </c>
      <c r="I65" s="40" t="s">
        <v>58</v>
      </c>
      <c r="J65" s="40">
        <f>IF(H65=0,0,_xlfn.NORM.INV(0.025,H65,R65))</f>
        <v>4.6346072269568606E-2</v>
      </c>
      <c r="K65" s="40">
        <f>IF(H65=0,0,_xlfn.NORM.INV(0.975,H65,R65))</f>
        <v>6.8942148281809834E-2</v>
      </c>
      <c r="L65" s="40" t="s">
        <v>26</v>
      </c>
      <c r="M65" s="50" t="s">
        <v>266</v>
      </c>
      <c r="N65" s="190">
        <f t="shared" ca="1" si="9"/>
        <v>5.8256934339337652E-2</v>
      </c>
      <c r="O65" s="40">
        <f ca="1">RAND()</f>
        <v>0.55456325489864955</v>
      </c>
      <c r="P65" s="51">
        <f t="shared" si="10"/>
        <v>94.177944862155357</v>
      </c>
      <c r="Q65" s="51">
        <f t="shared" si="11"/>
        <v>1539.6046638334963</v>
      </c>
      <c r="R65" s="51">
        <f>assumedSE*H65</f>
        <v>5.7644110275689225E-3</v>
      </c>
      <c r="S65"/>
      <c r="T65" s="83"/>
    </row>
    <row r="66" spans="1:20" ht="16" x14ac:dyDescent="0.2">
      <c r="A66"/>
      <c r="B66" s="103"/>
      <c r="C66" s="243"/>
      <c r="D66" s="119">
        <v>53</v>
      </c>
      <c r="E66" s="25" t="str">
        <f>Tp_CHG!D246</f>
        <v>Transition Probability from state 1 to state 8 on day 11 (CHG)</v>
      </c>
      <c r="F66" s="40">
        <f t="shared" si="0"/>
        <v>1.7543859649122806E-2</v>
      </c>
      <c r="G66" s="156">
        <v>1</v>
      </c>
      <c r="H66" s="120">
        <f>Tp_CHG!G246</f>
        <v>1.7543859649122806E-2</v>
      </c>
      <c r="I66" s="40" t="s">
        <v>58</v>
      </c>
      <c r="J66" s="40">
        <f>IF(H66=0,0,_xlfn.NORM.INV(0.025,H66,R66))</f>
        <v>1.4105326342912186E-2</v>
      </c>
      <c r="K66" s="40">
        <f>IF(H66=0,0,_xlfn.NORM.INV(0.975,H66,R66))</f>
        <v>2.0982392955333426E-2</v>
      </c>
      <c r="L66" s="40" t="s">
        <v>26</v>
      </c>
      <c r="M66" s="50" t="s">
        <v>266</v>
      </c>
      <c r="N66" s="190">
        <f t="shared" ca="1" si="9"/>
        <v>1.6926337240604071E-2</v>
      </c>
      <c r="O66" s="40">
        <f ca="1">RAND()</f>
        <v>0.3732577422511506</v>
      </c>
      <c r="P66" s="51">
        <f t="shared" si="10"/>
        <v>98.228070175438575</v>
      </c>
      <c r="Q66" s="51">
        <f t="shared" si="11"/>
        <v>5500.7719298245602</v>
      </c>
      <c r="R66" s="51">
        <f>assumedSE*H66</f>
        <v>1.7543859649122807E-3</v>
      </c>
      <c r="S66"/>
      <c r="T66" s="83"/>
    </row>
    <row r="67" spans="1:20" ht="16" x14ac:dyDescent="0.2">
      <c r="A67"/>
      <c r="B67" s="103"/>
      <c r="C67" s="243"/>
      <c r="D67" s="119">
        <v>54</v>
      </c>
      <c r="E67" s="25" t="str">
        <f>Tp_CHG!D22</f>
        <v>Transition Probability from state 1 to state 1 on day 12 (CHG)</v>
      </c>
      <c r="F67" s="40">
        <f t="shared" si="0"/>
        <v>0.90981432360742709</v>
      </c>
      <c r="G67" s="156">
        <v>1</v>
      </c>
      <c r="H67" s="147">
        <f>Tp_CHG!G22</f>
        <v>0.90981432360742709</v>
      </c>
      <c r="I67" s="40" t="s">
        <v>58</v>
      </c>
      <c r="J67" s="40">
        <f t="shared" si="12"/>
        <v>0.73149399291850437</v>
      </c>
      <c r="K67" s="40">
        <f t="shared" si="13"/>
        <v>1.0881346542963497</v>
      </c>
      <c r="L67" s="40" t="s">
        <v>26</v>
      </c>
      <c r="M67" s="50" t="s">
        <v>266</v>
      </c>
      <c r="N67" s="190">
        <f t="shared" ca="1" si="9"/>
        <v>0.95750177377921419</v>
      </c>
      <c r="O67" s="40">
        <f t="shared" ca="1" si="14"/>
        <v>0.6047562226843548</v>
      </c>
      <c r="P67" s="51">
        <f t="shared" si="10"/>
        <v>8.1087533156498619</v>
      </c>
      <c r="Q67" s="51">
        <f t="shared" si="11"/>
        <v>0.80378312749881975</v>
      </c>
      <c r="R67" s="51">
        <f t="shared" si="15"/>
        <v>9.0981432360742714E-2</v>
      </c>
      <c r="S67"/>
      <c r="T67" s="83"/>
    </row>
    <row r="68" spans="1:20" ht="16" x14ac:dyDescent="0.2">
      <c r="A68"/>
      <c r="B68" s="103"/>
      <c r="C68" s="243"/>
      <c r="D68" s="119">
        <v>55</v>
      </c>
      <c r="E68" s="25" t="str">
        <f>Tp_CHG!D54</f>
        <v>Transition Probability from state 1 to state 2 on day 12 (CHG)</v>
      </c>
      <c r="F68" s="40">
        <f t="shared" si="0"/>
        <v>1.5915119363395226E-2</v>
      </c>
      <c r="G68" s="156">
        <v>1</v>
      </c>
      <c r="H68" s="120">
        <f>Tp_CHG!G54</f>
        <v>1.5915119363395226E-2</v>
      </c>
      <c r="I68" s="40" t="s">
        <v>58</v>
      </c>
      <c r="J68" s="40">
        <f>IF(H68=0,0,_xlfn.NORM.INV(0.025,H68,R68))</f>
        <v>1.2795813287204158E-2</v>
      </c>
      <c r="K68" s="40">
        <f>IF(H68=0,0,_xlfn.NORM.INV(0.975,H68,R68))</f>
        <v>1.9034425439586292E-2</v>
      </c>
      <c r="L68" s="40" t="s">
        <v>26</v>
      </c>
      <c r="M68" s="50" t="s">
        <v>266</v>
      </c>
      <c r="N68" s="190">
        <f t="shared" ca="1" si="9"/>
        <v>1.5595379565602138E-2</v>
      </c>
      <c r="O68" s="40">
        <f ca="1">RAND()</f>
        <v>0.43275732564685376</v>
      </c>
      <c r="P68" s="51">
        <f t="shared" si="10"/>
        <v>98.392572944297058</v>
      </c>
      <c r="Q68" s="51">
        <f t="shared" si="11"/>
        <v>6083.9407603890349</v>
      </c>
      <c r="R68" s="51">
        <f>assumedSE*H68</f>
        <v>1.5915119363395227E-3</v>
      </c>
      <c r="S68"/>
      <c r="T68" s="83"/>
    </row>
    <row r="69" spans="1:20" ht="16" x14ac:dyDescent="0.2">
      <c r="A69"/>
      <c r="B69" s="103"/>
      <c r="C69" s="243"/>
      <c r="D69" s="119">
        <v>56</v>
      </c>
      <c r="E69" s="25" t="str">
        <f>Tp_CHG!D215</f>
        <v>Transition Probability from state 1 to state 7 on day 12 (CHG)</v>
      </c>
      <c r="F69" s="40">
        <f t="shared" si="0"/>
        <v>6.1007957559681698E-2</v>
      </c>
      <c r="G69" s="156">
        <v>1</v>
      </c>
      <c r="H69" s="120">
        <f>Tp_CHG!G215</f>
        <v>6.1007957559681698E-2</v>
      </c>
      <c r="I69" s="40" t="s">
        <v>58</v>
      </c>
      <c r="J69" s="40">
        <f>IF(H69=0,0,_xlfn.NORM.INV(0.025,H69,R69))</f>
        <v>4.9050617600949274E-2</v>
      </c>
      <c r="K69" s="40">
        <f>IF(H69=0,0,_xlfn.NORM.INV(0.975,H69,R69))</f>
        <v>7.2965297518414116E-2</v>
      </c>
      <c r="L69" s="40" t="s">
        <v>26</v>
      </c>
      <c r="M69" s="50" t="s">
        <v>266</v>
      </c>
      <c r="N69" s="190">
        <f t="shared" ca="1" si="9"/>
        <v>7.0478454171440719E-2</v>
      </c>
      <c r="O69" s="40">
        <f ca="1">RAND()</f>
        <v>0.93493960179080526</v>
      </c>
      <c r="P69" s="51">
        <f t="shared" si="10"/>
        <v>93.838196286472154</v>
      </c>
      <c r="Q69" s="51">
        <f t="shared" si="11"/>
        <v>1444.2922384961366</v>
      </c>
      <c r="R69" s="51">
        <f>assumedSE*H69</f>
        <v>6.10079575596817E-3</v>
      </c>
      <c r="S69"/>
      <c r="T69" s="83"/>
    </row>
    <row r="70" spans="1:20" ht="16" x14ac:dyDescent="0.2">
      <c r="A70"/>
      <c r="B70" s="103"/>
      <c r="C70" s="243"/>
      <c r="D70" s="119">
        <v>57</v>
      </c>
      <c r="E70" s="25" t="str">
        <f>Tp_CHG!D247</f>
        <v>Transition Probability from state 1 to state 8 on day 12 (CHG)</v>
      </c>
      <c r="F70" s="40">
        <f t="shared" si="0"/>
        <v>1.3262599469496022E-2</v>
      </c>
      <c r="G70" s="156">
        <v>1</v>
      </c>
      <c r="H70" s="120">
        <f>Tp_CHG!G247</f>
        <v>1.3262599469496022E-2</v>
      </c>
      <c r="I70" s="40" t="s">
        <v>58</v>
      </c>
      <c r="J70" s="40">
        <f>IF(H70=0,0,_xlfn.NORM.INV(0.025,H70,R70))</f>
        <v>1.0663177739336799E-2</v>
      </c>
      <c r="K70" s="40">
        <f>IF(H70=0,0,_xlfn.NORM.INV(0.975,H70,R70))</f>
        <v>1.5862021199655244E-2</v>
      </c>
      <c r="L70" s="40" t="s">
        <v>26</v>
      </c>
      <c r="M70" s="50" t="s">
        <v>266</v>
      </c>
      <c r="N70" s="190">
        <f t="shared" ca="1" si="9"/>
        <v>1.4815955146632254E-2</v>
      </c>
      <c r="O70" s="40">
        <f ca="1">RAND()</f>
        <v>0.87727215808923942</v>
      </c>
      <c r="P70" s="51">
        <f t="shared" si="10"/>
        <v>98.660477453580882</v>
      </c>
      <c r="Q70" s="51">
        <f t="shared" si="11"/>
        <v>7340.3395225464174</v>
      </c>
      <c r="R70" s="51">
        <f>assumedSE*H70</f>
        <v>1.3262599469496023E-3</v>
      </c>
      <c r="S70"/>
      <c r="T70" s="83"/>
    </row>
    <row r="71" spans="1:20" ht="16" x14ac:dyDescent="0.2">
      <c r="A71"/>
      <c r="B71" s="103"/>
      <c r="C71" s="243"/>
      <c r="D71" s="119">
        <v>58</v>
      </c>
      <c r="E71" s="25" t="str">
        <f>Tp_CHG!D23</f>
        <v>Transition Probability from state 1 to state 1 on day 13 (CHG)</v>
      </c>
      <c r="F71" s="40">
        <f t="shared" si="0"/>
        <v>0.9116809116809117</v>
      </c>
      <c r="G71" s="156">
        <v>1</v>
      </c>
      <c r="H71" s="147">
        <f>Tp_CHG!G23</f>
        <v>0.9116809116809117</v>
      </c>
      <c r="I71" s="40" t="s">
        <v>58</v>
      </c>
      <c r="J71" s="40">
        <f t="shared" si="12"/>
        <v>0.73299473645218882</v>
      </c>
      <c r="K71" s="40">
        <f t="shared" si="13"/>
        <v>1.0903670869096345</v>
      </c>
      <c r="L71" s="40" t="s">
        <v>26</v>
      </c>
      <c r="M71" s="50" t="s">
        <v>266</v>
      </c>
      <c r="N71" s="190">
        <f t="shared" ca="1" si="9"/>
        <v>0.97405413127722451</v>
      </c>
      <c r="O71" s="40">
        <f t="shared" ca="1" si="14"/>
        <v>0.70546210792613628</v>
      </c>
      <c r="P71" s="51">
        <f t="shared" si="10"/>
        <v>7.9202279202279184</v>
      </c>
      <c r="Q71" s="51">
        <f t="shared" si="11"/>
        <v>0.76727207977207945</v>
      </c>
      <c r="R71" s="51">
        <f t="shared" si="15"/>
        <v>9.1168091168091173E-2</v>
      </c>
      <c r="S71"/>
      <c r="T71" s="83"/>
    </row>
    <row r="72" spans="1:20" ht="16" x14ac:dyDescent="0.2">
      <c r="A72"/>
      <c r="B72" s="103"/>
      <c r="C72" s="243"/>
      <c r="D72" s="119">
        <v>59</v>
      </c>
      <c r="E72" s="25" t="str">
        <f>Tp_CHG!D55</f>
        <v>Transition Probability from state 1 to state 2 on day 13 (CHG)</v>
      </c>
      <c r="F72" s="40">
        <f t="shared" si="0"/>
        <v>2.2792022792022793E-2</v>
      </c>
      <c r="G72" s="156">
        <v>1</v>
      </c>
      <c r="H72" s="120">
        <f>Tp_CHG!G55</f>
        <v>2.2792022792022793E-2</v>
      </c>
      <c r="I72" s="40" t="s">
        <v>58</v>
      </c>
      <c r="J72" s="40">
        <f>IF(H72=0,0,_xlfn.NORM.INV(0.025,H72,R72))</f>
        <v>1.8324868411304721E-2</v>
      </c>
      <c r="K72" s="40">
        <f>IF(H72=0,0,_xlfn.NORM.INV(0.975,H72,R72))</f>
        <v>2.7259177172740866E-2</v>
      </c>
      <c r="L72" s="40" t="s">
        <v>26</v>
      </c>
      <c r="M72" s="50" t="s">
        <v>266</v>
      </c>
      <c r="N72" s="190">
        <f t="shared" ca="1" si="9"/>
        <v>2.4401471250295126E-2</v>
      </c>
      <c r="O72" s="40">
        <f ca="1">RAND()</f>
        <v>0.765104226163699</v>
      </c>
      <c r="P72" s="51">
        <f t="shared" si="10"/>
        <v>97.698005698005701</v>
      </c>
      <c r="Q72" s="51">
        <f t="shared" si="11"/>
        <v>4188.8019943019945</v>
      </c>
      <c r="R72" s="51">
        <f>assumedSE*H72</f>
        <v>2.2792022792022795E-3</v>
      </c>
      <c r="S72"/>
      <c r="T72" s="83"/>
    </row>
    <row r="73" spans="1:20" ht="16" x14ac:dyDescent="0.2">
      <c r="A73"/>
      <c r="B73" s="103"/>
      <c r="C73" s="243"/>
      <c r="D73" s="119">
        <v>60</v>
      </c>
      <c r="E73" s="25" t="str">
        <f>Tp_CHG!D216</f>
        <v>Transition Probability from state 1 to state 7 on day 13 (CHG)</v>
      </c>
      <c r="F73" s="40">
        <f t="shared" si="0"/>
        <v>4.2735042735042736E-2</v>
      </c>
      <c r="G73" s="156">
        <v>1</v>
      </c>
      <c r="H73" s="120">
        <f>Tp_CHG!G216</f>
        <v>4.2735042735042736E-2</v>
      </c>
      <c r="I73" s="40" t="s">
        <v>58</v>
      </c>
      <c r="J73" s="40">
        <f>IF(H73=0,0,_xlfn.NORM.INV(0.025,H73,R73))</f>
        <v>3.4359128271196353E-2</v>
      </c>
      <c r="K73" s="40">
        <f>IF(H73=0,0,_xlfn.NORM.INV(0.975,H73,R73))</f>
        <v>5.1110957198889119E-2</v>
      </c>
      <c r="L73" s="40" t="s">
        <v>26</v>
      </c>
      <c r="M73" s="50" t="s">
        <v>266</v>
      </c>
      <c r="N73" s="190">
        <f t="shared" ca="1" si="9"/>
        <v>4.4311415561051781E-2</v>
      </c>
      <c r="O73" s="40">
        <f ca="1">RAND()</f>
        <v>0.65404977818380139</v>
      </c>
      <c r="P73" s="51">
        <f t="shared" si="10"/>
        <v>95.683760683760667</v>
      </c>
      <c r="Q73" s="51">
        <f t="shared" si="11"/>
        <v>2143.3162393162388</v>
      </c>
      <c r="R73" s="51">
        <f>assumedSE*H73</f>
        <v>4.2735042735042739E-3</v>
      </c>
      <c r="S73"/>
      <c r="T73" s="83"/>
    </row>
    <row r="74" spans="1:20" ht="16" x14ac:dyDescent="0.2">
      <c r="A74"/>
      <c r="B74" s="103"/>
      <c r="C74" s="243"/>
      <c r="D74" s="119">
        <v>61</v>
      </c>
      <c r="E74" s="25" t="str">
        <f>Tp_CHG!D248</f>
        <v>Transition Probability from state 1 to state 8 on day 13 (CHG)</v>
      </c>
      <c r="F74" s="40">
        <f t="shared" si="0"/>
        <v>2.2792022792022793E-2</v>
      </c>
      <c r="G74" s="156">
        <v>1</v>
      </c>
      <c r="H74" s="120">
        <f>Tp_CHG!G248</f>
        <v>2.2792022792022793E-2</v>
      </c>
      <c r="I74" s="40" t="s">
        <v>58</v>
      </c>
      <c r="J74" s="40">
        <f>IF(H74=0,0,_xlfn.NORM.INV(0.025,H74,R74))</f>
        <v>1.8324868411304721E-2</v>
      </c>
      <c r="K74" s="40">
        <f>IF(H74=0,0,_xlfn.NORM.INV(0.975,H74,R74))</f>
        <v>2.7259177172740866E-2</v>
      </c>
      <c r="L74" s="40" t="s">
        <v>26</v>
      </c>
      <c r="M74" s="50" t="s">
        <v>266</v>
      </c>
      <c r="N74" s="190">
        <f t="shared" ca="1" si="9"/>
        <v>2.5030141029142583E-2</v>
      </c>
      <c r="O74" s="40">
        <f ca="1">RAND()</f>
        <v>0.8375471234897387</v>
      </c>
      <c r="P74" s="51">
        <f t="shared" si="10"/>
        <v>97.698005698005701</v>
      </c>
      <c r="Q74" s="51">
        <f t="shared" si="11"/>
        <v>4188.8019943019945</v>
      </c>
      <c r="R74" s="51">
        <f>assumedSE*H74</f>
        <v>2.2792022792022795E-3</v>
      </c>
      <c r="S74"/>
      <c r="T74" s="83"/>
    </row>
    <row r="75" spans="1:20" ht="16" x14ac:dyDescent="0.2">
      <c r="A75"/>
      <c r="B75" s="103"/>
      <c r="C75" s="243"/>
      <c r="D75" s="119">
        <v>62</v>
      </c>
      <c r="E75" s="25" t="str">
        <f>Tp_CHG!D24</f>
        <v>Transition Probability from state 1 to state 1 on day 14 (CHG)</v>
      </c>
      <c r="F75" s="40">
        <f t="shared" si="0"/>
        <v>0.87423312883435578</v>
      </c>
      <c r="G75" s="156">
        <v>1</v>
      </c>
      <c r="H75" s="147">
        <f>Tp_CHG!G24</f>
        <v>0.87423312883435578</v>
      </c>
      <c r="I75" s="40" t="s">
        <v>58</v>
      </c>
      <c r="J75" s="40">
        <f t="shared" si="12"/>
        <v>0.70288658417364558</v>
      </c>
      <c r="K75" s="40">
        <f t="shared" si="13"/>
        <v>1.045579673495066</v>
      </c>
      <c r="L75" s="40" t="s">
        <v>26</v>
      </c>
      <c r="M75" s="50" t="s">
        <v>266</v>
      </c>
      <c r="N75" s="190">
        <f t="shared" ca="1" si="9"/>
        <v>0.78194709341832302</v>
      </c>
      <c r="O75" s="40">
        <f t="shared" ca="1" si="14"/>
        <v>0.14580124144595219</v>
      </c>
      <c r="P75" s="51">
        <f t="shared" si="10"/>
        <v>11.702453987730065</v>
      </c>
      <c r="Q75" s="51">
        <f t="shared" si="11"/>
        <v>1.6835109245506419</v>
      </c>
      <c r="R75" s="51">
        <f t="shared" si="15"/>
        <v>8.7423312883435578E-2</v>
      </c>
      <c r="S75"/>
      <c r="T75" s="83"/>
    </row>
    <row r="76" spans="1:20" ht="16" x14ac:dyDescent="0.2">
      <c r="A76"/>
      <c r="B76" s="103"/>
      <c r="C76" s="243"/>
      <c r="D76" s="119">
        <v>63</v>
      </c>
      <c r="E76" s="25" t="str">
        <f>Tp_CHG!D56</f>
        <v>Transition Probability from state 1 to state 2 on day 14 (CHG)</v>
      </c>
      <c r="F76" s="40">
        <f t="shared" si="0"/>
        <v>3.0674846625766871E-2</v>
      </c>
      <c r="G76" s="156">
        <v>1</v>
      </c>
      <c r="H76" s="120">
        <f>Tp_CHG!G56</f>
        <v>3.0674846625766871E-2</v>
      </c>
      <c r="I76" s="40" t="s">
        <v>58</v>
      </c>
      <c r="J76" s="40">
        <f>IF(H76=0,0,_xlfn.NORM.INV(0.025,H76,R76))</f>
        <v>2.4662687163987566E-2</v>
      </c>
      <c r="K76" s="40">
        <f>IF(H76=0,0,_xlfn.NORM.INV(0.975,H76,R76))</f>
        <v>3.6687006087546173E-2</v>
      </c>
      <c r="L76" s="40" t="s">
        <v>26</v>
      </c>
      <c r="M76" s="50" t="s">
        <v>266</v>
      </c>
      <c r="N76" s="190">
        <f t="shared" ca="1" si="9"/>
        <v>3.1277297882288391E-2</v>
      </c>
      <c r="O76" s="40">
        <f ca="1">RAND()</f>
        <v>0.5899294458210812</v>
      </c>
      <c r="P76" s="51">
        <f t="shared" si="10"/>
        <v>96.901840490797525</v>
      </c>
      <c r="Q76" s="51">
        <f t="shared" si="11"/>
        <v>3062.0981595092017</v>
      </c>
      <c r="R76" s="51">
        <f>assumedSE*H76</f>
        <v>3.0674846625766872E-3</v>
      </c>
      <c r="S76"/>
      <c r="T76" s="83"/>
    </row>
    <row r="77" spans="1:20" ht="16" x14ac:dyDescent="0.2">
      <c r="A77"/>
      <c r="B77" s="103"/>
      <c r="C77" s="243"/>
      <c r="D77" s="119">
        <v>64</v>
      </c>
      <c r="E77" s="25" t="str">
        <f>Tp_CHG!D152</f>
        <v>Transition Probability from state 1 to state 5 on day 14 (CHG)</v>
      </c>
      <c r="F77" s="40">
        <f t="shared" si="0"/>
        <v>6.1349693251533744E-3</v>
      </c>
      <c r="G77" s="156">
        <v>1</v>
      </c>
      <c r="H77" s="120">
        <f>Tp_CHG!G152</f>
        <v>6.1349693251533744E-3</v>
      </c>
      <c r="I77" s="40" t="s">
        <v>58</v>
      </c>
      <c r="J77" s="40">
        <f>IF(H77=0,0,_xlfn.NORM.INV(0.025,H77,R77))</f>
        <v>4.932537432797513E-3</v>
      </c>
      <c r="K77" s="40">
        <f>IF(H77=0,0,_xlfn.NORM.INV(0.975,H77,R77))</f>
        <v>7.3374012175092358E-3</v>
      </c>
      <c r="L77" s="40" t="s">
        <v>26</v>
      </c>
      <c r="M77" s="50" t="s">
        <v>266</v>
      </c>
      <c r="N77" s="190">
        <f t="shared" ca="1" si="9"/>
        <v>6.3609393898610422E-3</v>
      </c>
      <c r="O77" s="40">
        <f ca="1">RAND()</f>
        <v>0.6542982957336867</v>
      </c>
      <c r="P77" s="51">
        <f t="shared" si="10"/>
        <v>99.380368098159508</v>
      </c>
      <c r="Q77" s="51">
        <f t="shared" si="11"/>
        <v>16099.619631901842</v>
      </c>
      <c r="R77" s="51">
        <f>assumedSE*H77</f>
        <v>6.1349693251533746E-4</v>
      </c>
      <c r="S77"/>
      <c r="T77" s="83"/>
    </row>
    <row r="78" spans="1:20" ht="16" x14ac:dyDescent="0.2">
      <c r="A78"/>
      <c r="B78" s="103"/>
      <c r="C78" s="243"/>
      <c r="D78" s="119">
        <v>65</v>
      </c>
      <c r="E78" s="25" t="str">
        <f>Tp_CHG!D217</f>
        <v>Transition Probability from state 1 to state 7 on day 14 (CHG)</v>
      </c>
      <c r="F78" s="40">
        <f t="shared" si="0"/>
        <v>6.1349693251533742E-2</v>
      </c>
      <c r="G78" s="156">
        <v>1</v>
      </c>
      <c r="H78" s="120">
        <f>Tp_CHG!G217</f>
        <v>6.1349693251533742E-2</v>
      </c>
      <c r="I78" s="40" t="s">
        <v>58</v>
      </c>
      <c r="J78" s="40">
        <f>IF(H78=0,0,_xlfn.NORM.INV(0.025,H78,R78))</f>
        <v>4.9325374327975131E-2</v>
      </c>
      <c r="K78" s="40">
        <f>IF(H78=0,0,_xlfn.NORM.INV(0.975,H78,R78))</f>
        <v>7.3374012175092346E-2</v>
      </c>
      <c r="L78" s="40" t="s">
        <v>26</v>
      </c>
      <c r="M78" s="50" t="s">
        <v>266</v>
      </c>
      <c r="N78" s="190">
        <f t="shared" ca="1" si="9"/>
        <v>5.8653274165539539E-2</v>
      </c>
      <c r="O78" s="40">
        <f ca="1">RAND()</f>
        <v>0.33936490563918986</v>
      </c>
      <c r="P78" s="51">
        <f t="shared" si="10"/>
        <v>93.803680981595079</v>
      </c>
      <c r="Q78" s="51">
        <f t="shared" si="11"/>
        <v>1435.1963190184047</v>
      </c>
      <c r="R78" s="51">
        <f>assumedSE*H78</f>
        <v>6.1349693251533744E-3</v>
      </c>
      <c r="S78"/>
      <c r="T78" s="83"/>
    </row>
    <row r="79" spans="1:20" ht="16" x14ac:dyDescent="0.2">
      <c r="A79"/>
      <c r="B79" s="103"/>
      <c r="C79" s="243"/>
      <c r="D79" s="119">
        <v>66</v>
      </c>
      <c r="E79" s="25" t="str">
        <f>Tp_CHG!D249</f>
        <v>Transition Probability from state 1 to state 8 on day 14 (CHG)</v>
      </c>
      <c r="F79" s="40">
        <f t="shared" ref="F79:F142" si="16">IFERROR(CHOOSE(G79,H79,J79,K79,N79),0)</f>
        <v>2.7607361963190184E-2</v>
      </c>
      <c r="G79" s="156">
        <v>1</v>
      </c>
      <c r="H79" s="120">
        <f>Tp_CHG!G249</f>
        <v>2.7607361963190184E-2</v>
      </c>
      <c r="I79" s="40" t="s">
        <v>58</v>
      </c>
      <c r="J79" s="40">
        <f>IF(H79=0,0,_xlfn.NORM.INV(0.025,H79,R79))</f>
        <v>2.2196418447588809E-2</v>
      </c>
      <c r="K79" s="40">
        <f>IF(H79=0,0,_xlfn.NORM.INV(0.975,H79,R79))</f>
        <v>3.301830547879156E-2</v>
      </c>
      <c r="L79" s="40" t="s">
        <v>26</v>
      </c>
      <c r="M79" s="50" t="s">
        <v>266</v>
      </c>
      <c r="N79" s="190">
        <f t="shared" ca="1" si="9"/>
        <v>2.8672060917119158E-2</v>
      </c>
      <c r="O79" s="40">
        <f ca="1">RAND()</f>
        <v>0.66025763759478373</v>
      </c>
      <c r="P79" s="51">
        <f t="shared" si="10"/>
        <v>97.211656441717793</v>
      </c>
      <c r="Q79" s="51">
        <f t="shared" si="11"/>
        <v>3424.0105657805047</v>
      </c>
      <c r="R79" s="51">
        <f>assumedSE*H79</f>
        <v>2.7607361963190185E-3</v>
      </c>
      <c r="S79"/>
      <c r="T79" s="83"/>
    </row>
    <row r="80" spans="1:20" ht="16" x14ac:dyDescent="0.2">
      <c r="A80"/>
      <c r="B80" s="103"/>
      <c r="C80" s="243"/>
      <c r="D80" s="119">
        <v>67</v>
      </c>
      <c r="E80" s="25" t="str">
        <f>Tp_CHG!D25</f>
        <v>Transition Probability from state 1 to state 1 on day 15 (CHG)</v>
      </c>
      <c r="F80" s="40">
        <f t="shared" si="16"/>
        <v>0.91554054054054057</v>
      </c>
      <c r="G80" s="156">
        <v>1</v>
      </c>
      <c r="H80" s="147">
        <f>Tp_CHG!G25</f>
        <v>0.91554054054054057</v>
      </c>
      <c r="I80" s="40" t="s">
        <v>58</v>
      </c>
      <c r="J80" s="40">
        <f t="shared" si="12"/>
        <v>0.73609789195596131</v>
      </c>
      <c r="K80" s="40">
        <f t="shared" si="13"/>
        <v>1.0949831891251198</v>
      </c>
      <c r="L80" s="40" t="s">
        <v>26</v>
      </c>
      <c r="M80" s="50" t="s">
        <v>266</v>
      </c>
      <c r="N80" s="190">
        <f t="shared" ca="1" si="9"/>
        <v>0.95190278468845801</v>
      </c>
      <c r="O80" s="40">
        <f t="shared" ca="1" si="14"/>
        <v>0.5270337812124577</v>
      </c>
      <c r="P80" s="51">
        <f t="shared" si="10"/>
        <v>7.5304054054054008</v>
      </c>
      <c r="Q80" s="51">
        <f t="shared" si="11"/>
        <v>0.69468684551710314</v>
      </c>
      <c r="R80" s="51">
        <f t="shared" si="15"/>
        <v>9.1554054054054063E-2</v>
      </c>
      <c r="S80"/>
      <c r="T80" s="83"/>
    </row>
    <row r="81" spans="1:20" ht="16" x14ac:dyDescent="0.2">
      <c r="A81"/>
      <c r="B81" s="103"/>
      <c r="C81" s="243"/>
      <c r="D81" s="119">
        <v>68</v>
      </c>
      <c r="E81" s="25" t="str">
        <f>Tp_CHG!D57</f>
        <v>Transition Probability from state 1 to state 2 on day 15 (CHG)</v>
      </c>
      <c r="F81" s="40">
        <f t="shared" si="16"/>
        <v>1.6891891891891893E-2</v>
      </c>
      <c r="G81" s="156">
        <v>1</v>
      </c>
      <c r="H81" s="120">
        <f>Tp_CHG!G57</f>
        <v>1.6891891891891893E-2</v>
      </c>
      <c r="I81" s="40" t="s">
        <v>58</v>
      </c>
      <c r="J81" s="40">
        <f>IF(H81=0,0,_xlfn.NORM.INV(0.025,H81,R81))</f>
        <v>1.3581141918006667E-2</v>
      </c>
      <c r="K81" s="40">
        <f>IF(H81=0,0,_xlfn.NORM.INV(0.975,H81,R81))</f>
        <v>2.0202641865777117E-2</v>
      </c>
      <c r="L81" s="40" t="s">
        <v>26</v>
      </c>
      <c r="M81" s="50" t="s">
        <v>266</v>
      </c>
      <c r="N81" s="190">
        <f t="shared" ref="N81:N144" ca="1" si="17">_xlfn.BETA.INV(O81,P81,Q81)</f>
        <v>1.7256720008077875E-2</v>
      </c>
      <c r="O81" s="40">
        <f ca="1">RAND()</f>
        <v>0.59760618220054518</v>
      </c>
      <c r="P81" s="51">
        <f t="shared" ref="P81:P144" si="18">IFERROR(H81*((H81*(1-H81)/(R81^2))-1),0)</f>
        <v>98.293918918918905</v>
      </c>
      <c r="Q81" s="51">
        <f t="shared" ref="Q81:Q144" si="19">IFERROR((1-H81)*((H81*(1-H81))/(R81^2)-1),0)</f>
        <v>5720.7060810810799</v>
      </c>
      <c r="R81" s="51">
        <f>assumedSE*H81</f>
        <v>1.6891891891891893E-3</v>
      </c>
      <c r="S81"/>
      <c r="T81" s="83"/>
    </row>
    <row r="82" spans="1:20" ht="16" x14ac:dyDescent="0.2">
      <c r="A82"/>
      <c r="B82" s="103"/>
      <c r="C82" s="243"/>
      <c r="D82" s="119">
        <v>69</v>
      </c>
      <c r="E82" s="25" t="str">
        <f>Tp_CHG!D121</f>
        <v>Transition Probability from state 1 to state 4 on day 15 (CHG)</v>
      </c>
      <c r="F82" s="40">
        <f t="shared" si="16"/>
        <v>3.3783783783783786E-3</v>
      </c>
      <c r="G82" s="156">
        <v>1</v>
      </c>
      <c r="H82" s="186">
        <f>Tp_CHG!G121</f>
        <v>3.3783783783783786E-3</v>
      </c>
      <c r="I82" s="40" t="s">
        <v>58</v>
      </c>
      <c r="J82" s="40">
        <f>IF(H82=0,0,_xlfn.NORM.INV(0.025,H82,R82))</f>
        <v>2.7162283836013332E-3</v>
      </c>
      <c r="K82" s="40">
        <f>IF(H82=0,0,_xlfn.NORM.INV(0.975,H82,R82))</f>
        <v>4.0405283731554239E-3</v>
      </c>
      <c r="L82" s="40" t="s">
        <v>26</v>
      </c>
      <c r="M82" s="50" t="s">
        <v>266</v>
      </c>
      <c r="N82" s="190">
        <f t="shared" ca="1" si="17"/>
        <v>3.0404115333579713E-3</v>
      </c>
      <c r="O82" s="40">
        <f ca="1">RAND()</f>
        <v>0.15812931547543552</v>
      </c>
      <c r="P82" s="51">
        <f t="shared" si="18"/>
        <v>99.65878378378379</v>
      </c>
      <c r="Q82" s="51">
        <f t="shared" si="19"/>
        <v>29399.341216216217</v>
      </c>
      <c r="R82" s="51">
        <f>assumedSE*H82</f>
        <v>3.3783783783783786E-4</v>
      </c>
      <c r="S82"/>
      <c r="T82" s="83"/>
    </row>
    <row r="83" spans="1:20" ht="16" x14ac:dyDescent="0.2">
      <c r="A83"/>
      <c r="B83" s="103"/>
      <c r="C83" s="243"/>
      <c r="D83" s="119">
        <v>70</v>
      </c>
      <c r="E83" s="25" t="str">
        <f>Tp_CHG!D218</f>
        <v>Transition Probability from state 1 to state 7 on day 15 (CHG)</v>
      </c>
      <c r="F83" s="40">
        <f t="shared" si="16"/>
        <v>4.0540540540540543E-2</v>
      </c>
      <c r="G83" s="156">
        <v>1</v>
      </c>
      <c r="H83" s="120">
        <f>Tp_CHG!G218</f>
        <v>4.0540540540540543E-2</v>
      </c>
      <c r="I83" s="40" t="s">
        <v>58</v>
      </c>
      <c r="J83" s="40">
        <f>IF(H83=0,0,_xlfn.NORM.INV(0.025,H83,R83))</f>
        <v>3.2594740603216002E-2</v>
      </c>
      <c r="K83" s="40">
        <f>IF(H83=0,0,_xlfn.NORM.INV(0.975,H83,R83))</f>
        <v>4.8486340477865084E-2</v>
      </c>
      <c r="L83" s="40" t="s">
        <v>26</v>
      </c>
      <c r="M83" s="50" t="s">
        <v>266</v>
      </c>
      <c r="N83" s="190">
        <f t="shared" ca="1" si="17"/>
        <v>3.8146794887227602E-2</v>
      </c>
      <c r="O83" s="40">
        <f ca="1">RAND()</f>
        <v>0.28443753956980566</v>
      </c>
      <c r="P83" s="51">
        <f t="shared" si="18"/>
        <v>95.905405405405403</v>
      </c>
      <c r="Q83" s="51">
        <f t="shared" si="19"/>
        <v>2269.7612612612611</v>
      </c>
      <c r="R83" s="51">
        <f>assumedSE*H83</f>
        <v>4.0540540540540543E-3</v>
      </c>
      <c r="S83"/>
      <c r="T83" s="83"/>
    </row>
    <row r="84" spans="1:20" ht="16" x14ac:dyDescent="0.2">
      <c r="A84"/>
      <c r="B84" s="103"/>
      <c r="C84" s="243"/>
      <c r="D84" s="119">
        <v>71</v>
      </c>
      <c r="E84" s="25" t="str">
        <f>Tp_CHG!D250</f>
        <v>Transition Probability from state 1 to state 8 on day 15 (CHG)</v>
      </c>
      <c r="F84" s="40">
        <f t="shared" si="16"/>
        <v>2.364864864864865E-2</v>
      </c>
      <c r="G84" s="156">
        <v>1</v>
      </c>
      <c r="H84" s="120">
        <f>Tp_CHG!G250</f>
        <v>2.364864864864865E-2</v>
      </c>
      <c r="I84" s="40" t="s">
        <v>58</v>
      </c>
      <c r="J84" s="40">
        <f>IF(H84=0,0,_xlfn.NORM.INV(0.025,H84,R84))</f>
        <v>1.9013598685209333E-2</v>
      </c>
      <c r="K84" s="40">
        <f>IF(H84=0,0,_xlfn.NORM.INV(0.975,H84,R84))</f>
        <v>2.8283698612087967E-2</v>
      </c>
      <c r="L84" s="40" t="s">
        <v>26</v>
      </c>
      <c r="M84" s="50" t="s">
        <v>266</v>
      </c>
      <c r="N84" s="190">
        <f t="shared" ca="1" si="17"/>
        <v>2.4194344961531056E-2</v>
      </c>
      <c r="O84" s="40">
        <f ca="1">RAND()</f>
        <v>0.60313848250978497</v>
      </c>
      <c r="P84" s="51">
        <f t="shared" si="18"/>
        <v>97.611486486486484</v>
      </c>
      <c r="Q84" s="51">
        <f t="shared" si="19"/>
        <v>4029.9599420849418</v>
      </c>
      <c r="R84" s="51">
        <f>assumedSE*H84</f>
        <v>2.364864864864865E-3</v>
      </c>
      <c r="S84"/>
      <c r="T84" s="83"/>
    </row>
    <row r="85" spans="1:20" ht="16" x14ac:dyDescent="0.2">
      <c r="A85"/>
      <c r="B85" s="103"/>
      <c r="C85" s="243"/>
      <c r="D85" s="119">
        <v>72</v>
      </c>
      <c r="E85" s="25" t="str">
        <f>Tp_CHG!D26</f>
        <v>Transition Probability from state 1 to state 1 on day 16 (CHG)</v>
      </c>
      <c r="F85" s="40">
        <f t="shared" si="16"/>
        <v>0.90812720848056538</v>
      </c>
      <c r="G85" s="156">
        <v>1</v>
      </c>
      <c r="H85" s="147">
        <f>Tp_CHG!G26</f>
        <v>0.90812720848056538</v>
      </c>
      <c r="I85" s="40" t="s">
        <v>58</v>
      </c>
      <c r="J85" s="40">
        <f t="shared" si="12"/>
        <v>0.73013754628028482</v>
      </c>
      <c r="K85" s="40">
        <f t="shared" si="13"/>
        <v>1.0861168706808459</v>
      </c>
      <c r="L85" s="40" t="s">
        <v>26</v>
      </c>
      <c r="M85" s="50" t="s">
        <v>266</v>
      </c>
      <c r="N85" s="190">
        <f t="shared" ca="1" si="17"/>
        <v>0.95923652211349464</v>
      </c>
      <c r="O85" s="40">
        <f t="shared" ca="1" si="14"/>
        <v>0.62884515698164323</v>
      </c>
      <c r="P85" s="51">
        <f t="shared" si="18"/>
        <v>8.2791519434628977</v>
      </c>
      <c r="Q85" s="51">
        <f t="shared" si="19"/>
        <v>0.83757957404682992</v>
      </c>
      <c r="R85" s="51">
        <f t="shared" si="15"/>
        <v>9.0812720848056541E-2</v>
      </c>
      <c r="S85"/>
      <c r="T85" s="83"/>
    </row>
    <row r="86" spans="1:20" ht="16" x14ac:dyDescent="0.2">
      <c r="A86"/>
      <c r="B86" s="103"/>
      <c r="C86" s="243"/>
      <c r="D86" s="119">
        <v>73</v>
      </c>
      <c r="E86" s="25" t="str">
        <f>Tp_CHG!D58</f>
        <v>Transition Probability from state 1 to state 2 on day 16 (CHG)</v>
      </c>
      <c r="F86" s="40">
        <f t="shared" si="16"/>
        <v>3.8869257950530034E-2</v>
      </c>
      <c r="G86" s="156">
        <v>1</v>
      </c>
      <c r="H86" s="120">
        <f>Tp_CHG!G58</f>
        <v>3.8869257950530034E-2</v>
      </c>
      <c r="I86" s="40" t="s">
        <v>58</v>
      </c>
      <c r="J86" s="40">
        <f>IF(H86=0,0,_xlfn.NORM.INV(0.025,H86,R86))</f>
        <v>3.1251023381646433E-2</v>
      </c>
      <c r="K86" s="40">
        <f>IF(H86=0,0,_xlfn.NORM.INV(0.975,H86,R86))</f>
        <v>4.6487492519413635E-2</v>
      </c>
      <c r="L86" s="40" t="s">
        <v>26</v>
      </c>
      <c r="M86" s="50" t="s">
        <v>266</v>
      </c>
      <c r="N86" s="190">
        <f t="shared" ca="1" si="17"/>
        <v>3.948979240227013E-2</v>
      </c>
      <c r="O86" s="40">
        <f ca="1">RAND()</f>
        <v>0.57563964346254803</v>
      </c>
      <c r="P86" s="51">
        <f t="shared" si="18"/>
        <v>96.07420494699646</v>
      </c>
      <c r="Q86" s="51">
        <f t="shared" si="19"/>
        <v>2375.6530677802757</v>
      </c>
      <c r="R86" s="51">
        <f>assumedSE*H86</f>
        <v>3.8869257950530037E-3</v>
      </c>
      <c r="S86"/>
      <c r="T86" s="83"/>
    </row>
    <row r="87" spans="1:20" ht="16" x14ac:dyDescent="0.2">
      <c r="A87"/>
      <c r="B87" s="103"/>
      <c r="C87" s="243"/>
      <c r="D87" s="119">
        <v>74</v>
      </c>
      <c r="E87" s="25" t="str">
        <f>Tp_CHG!D219</f>
        <v>Transition Probability from state 1 to state 7 on day 16 (CHG)</v>
      </c>
      <c r="F87" s="40">
        <f t="shared" si="16"/>
        <v>4.2402826855123678E-2</v>
      </c>
      <c r="G87" s="156">
        <v>1</v>
      </c>
      <c r="H87" s="120">
        <f>Tp_CHG!G219</f>
        <v>4.2402826855123678E-2</v>
      </c>
      <c r="I87" s="40" t="s">
        <v>58</v>
      </c>
      <c r="J87" s="40">
        <f>IF(H87=0,0,_xlfn.NORM.INV(0.025,H87,R87))</f>
        <v>3.4092025507250656E-2</v>
      </c>
      <c r="K87" s="40">
        <f>IF(H87=0,0,_xlfn.NORM.INV(0.975,H87,R87))</f>
        <v>5.0713628202996699E-2</v>
      </c>
      <c r="L87" s="40" t="s">
        <v>26</v>
      </c>
      <c r="M87" s="50" t="s">
        <v>266</v>
      </c>
      <c r="N87" s="190">
        <f t="shared" ca="1" si="17"/>
        <v>4.3105122579979893E-2</v>
      </c>
      <c r="O87" s="40">
        <f ca="1">RAND()</f>
        <v>0.57790477531277773</v>
      </c>
      <c r="P87" s="51">
        <f t="shared" si="18"/>
        <v>95.717314487632521</v>
      </c>
      <c r="Q87" s="51">
        <f t="shared" si="19"/>
        <v>2161.6160188457011</v>
      </c>
      <c r="R87" s="51">
        <f>assumedSE*H87</f>
        <v>4.240282685512368E-3</v>
      </c>
      <c r="S87"/>
      <c r="T87" s="83"/>
    </row>
    <row r="88" spans="1:20" ht="16" x14ac:dyDescent="0.2">
      <c r="A88"/>
      <c r="B88" s="103"/>
      <c r="C88" s="243"/>
      <c r="D88" s="119">
        <v>75</v>
      </c>
      <c r="E88" s="25" t="str">
        <f>Tp_CHG!D251</f>
        <v>Transition Probability from state 1 to state 8 on day 16 (CHG)</v>
      </c>
      <c r="F88" s="40">
        <f t="shared" si="16"/>
        <v>1.0600706713780919E-2</v>
      </c>
      <c r="G88" s="156">
        <v>1</v>
      </c>
      <c r="H88" s="120">
        <f>Tp_CHG!G251</f>
        <v>1.0600706713780919E-2</v>
      </c>
      <c r="I88" s="40" t="s">
        <v>58</v>
      </c>
      <c r="J88" s="40">
        <f>IF(H88=0,0,_xlfn.NORM.INV(0.025,H88,R88))</f>
        <v>8.523006376812664E-3</v>
      </c>
      <c r="K88" s="40">
        <f>IF(H88=0,0,_xlfn.NORM.INV(0.975,H88,R88))</f>
        <v>1.2678407050749175E-2</v>
      </c>
      <c r="L88" s="40" t="s">
        <v>26</v>
      </c>
      <c r="M88" s="50" t="s">
        <v>266</v>
      </c>
      <c r="N88" s="190">
        <f t="shared" ca="1" si="17"/>
        <v>1.0060095196235045E-2</v>
      </c>
      <c r="O88" s="40">
        <f ca="1">RAND()</f>
        <v>0.31360766079344971</v>
      </c>
      <c r="P88" s="51">
        <f t="shared" si="18"/>
        <v>98.929328621908141</v>
      </c>
      <c r="Q88" s="51">
        <f t="shared" si="19"/>
        <v>9233.4040047114268</v>
      </c>
      <c r="R88" s="51">
        <f>assumedSE*H88</f>
        <v>1.060070671378092E-3</v>
      </c>
      <c r="S88"/>
      <c r="T88" s="83"/>
    </row>
    <row r="89" spans="1:20" ht="16" x14ac:dyDescent="0.2">
      <c r="A89"/>
      <c r="B89" s="103"/>
      <c r="C89" s="243"/>
      <c r="D89" s="119">
        <v>76</v>
      </c>
      <c r="E89" s="25" t="str">
        <f>Tp_CHG!D27</f>
        <v>Transition Probability from state 1 to state 1 on day 17 (CHG)</v>
      </c>
      <c r="F89" s="40">
        <f t="shared" si="16"/>
        <v>0.89056603773584908</v>
      </c>
      <c r="G89" s="156">
        <v>1</v>
      </c>
      <c r="H89" s="147">
        <f>Tp_CHG!G27</f>
        <v>0.89056603773584908</v>
      </c>
      <c r="I89" s="40" t="s">
        <v>58</v>
      </c>
      <c r="J89" s="40">
        <f t="shared" si="12"/>
        <v>0.71601830175416881</v>
      </c>
      <c r="K89" s="40">
        <f t="shared" si="13"/>
        <v>1.0651137737175294</v>
      </c>
      <c r="L89" s="40" t="s">
        <v>26</v>
      </c>
      <c r="M89" s="50" t="s">
        <v>266</v>
      </c>
      <c r="N89" s="190">
        <f t="shared" ca="1" si="17"/>
        <v>0.72798615110773701</v>
      </c>
      <c r="O89" s="40">
        <f t="shared" ca="1" si="14"/>
        <v>6.0967382991745422E-2</v>
      </c>
      <c r="P89" s="51">
        <f t="shared" si="18"/>
        <v>10.052830188679241</v>
      </c>
      <c r="Q89" s="51">
        <f t="shared" si="19"/>
        <v>1.2353054045410929</v>
      </c>
      <c r="R89" s="51">
        <f t="shared" si="15"/>
        <v>8.9056603773584916E-2</v>
      </c>
      <c r="S89"/>
      <c r="T89" s="83"/>
    </row>
    <row r="90" spans="1:20" ht="16" x14ac:dyDescent="0.2">
      <c r="A90"/>
      <c r="B90" s="103"/>
      <c r="C90" s="243"/>
      <c r="D90" s="119">
        <v>77</v>
      </c>
      <c r="E90" s="25" t="str">
        <f>Tp_CHG!D59</f>
        <v>Transition Probability from state 1 to state 2 on day 17 (CHG)</v>
      </c>
      <c r="F90" s="40">
        <f t="shared" si="16"/>
        <v>3.3962264150943396E-2</v>
      </c>
      <c r="G90" s="156">
        <v>1</v>
      </c>
      <c r="H90" s="120">
        <f>Tp_CHG!G59</f>
        <v>3.3962264150943396E-2</v>
      </c>
      <c r="I90" s="40" t="s">
        <v>58</v>
      </c>
      <c r="J90" s="40">
        <f>IF(H90=0,0,_xlfn.NORM.INV(0.025,H90,R90))</f>
        <v>2.7305782694014912E-2</v>
      </c>
      <c r="K90" s="40">
        <f>IF(H90=0,0,_xlfn.NORM.INV(0.975,H90,R90))</f>
        <v>4.0618745607871876E-2</v>
      </c>
      <c r="L90" s="40" t="s">
        <v>26</v>
      </c>
      <c r="M90" s="50" t="s">
        <v>266</v>
      </c>
      <c r="N90" s="190">
        <f t="shared" ca="1" si="17"/>
        <v>4.069694488814124E-2</v>
      </c>
      <c r="O90" s="40">
        <f ca="1">RAND()</f>
        <v>0.97133208409269467</v>
      </c>
      <c r="P90" s="51">
        <f t="shared" si="18"/>
        <v>96.56981132075471</v>
      </c>
      <c r="Q90" s="51">
        <f t="shared" si="19"/>
        <v>2746.8746331236898</v>
      </c>
      <c r="R90" s="51">
        <f>assumedSE*H90</f>
        <v>3.3962264150943396E-3</v>
      </c>
      <c r="S90"/>
      <c r="T90" s="83"/>
    </row>
    <row r="91" spans="1:20" ht="16" x14ac:dyDescent="0.2">
      <c r="A91"/>
      <c r="B91" s="103"/>
      <c r="C91" s="243"/>
      <c r="D91" s="119">
        <v>78</v>
      </c>
      <c r="E91" s="25" t="str">
        <f>Tp_CHG!D220</f>
        <v>Transition Probability from state 1 to state 7 on day 17 (CHG)</v>
      </c>
      <c r="F91" s="40">
        <f t="shared" si="16"/>
        <v>5.2830188679245285E-2</v>
      </c>
      <c r="G91" s="156">
        <v>1</v>
      </c>
      <c r="H91" s="120">
        <f>Tp_CHG!G220</f>
        <v>5.2830188679245285E-2</v>
      </c>
      <c r="I91" s="40" t="s">
        <v>58</v>
      </c>
      <c r="J91" s="40">
        <f>IF(H91=0,0,_xlfn.NORM.INV(0.025,H91,R91))</f>
        <v>4.2475661968467637E-2</v>
      </c>
      <c r="K91" s="40">
        <f>IF(H91=0,0,_xlfn.NORM.INV(0.975,H91,R91))</f>
        <v>6.3184715390022933E-2</v>
      </c>
      <c r="L91" s="40" t="s">
        <v>26</v>
      </c>
      <c r="M91" s="50" t="s">
        <v>266</v>
      </c>
      <c r="N91" s="190">
        <f t="shared" ca="1" si="17"/>
        <v>4.5125018477341586E-2</v>
      </c>
      <c r="O91" s="40">
        <f ca="1">RAND()</f>
        <v>6.6885420961738773E-2</v>
      </c>
      <c r="P91" s="51">
        <f t="shared" si="18"/>
        <v>94.664150943396223</v>
      </c>
      <c r="Q91" s="51">
        <f t="shared" si="19"/>
        <v>1697.1929919137465</v>
      </c>
      <c r="R91" s="51">
        <f>assumedSE*H91</f>
        <v>5.2830188679245287E-3</v>
      </c>
      <c r="S91"/>
      <c r="T91" s="83"/>
    </row>
    <row r="92" spans="1:20" ht="16" x14ac:dyDescent="0.2">
      <c r="A92"/>
      <c r="B92" s="103"/>
      <c r="C92" s="243"/>
      <c r="D92" s="119">
        <v>79</v>
      </c>
      <c r="E92" s="25" t="str">
        <f>Tp_CHG!D252</f>
        <v>Transition Probability from state 1 to state 8 on day 17 (CHG)</v>
      </c>
      <c r="F92" s="40">
        <f t="shared" si="16"/>
        <v>2.2641509433962263E-2</v>
      </c>
      <c r="G92" s="156">
        <v>1</v>
      </c>
      <c r="H92" s="120">
        <f>Tp_CHG!G252</f>
        <v>2.2641509433962263E-2</v>
      </c>
      <c r="I92" s="40" t="s">
        <v>58</v>
      </c>
      <c r="J92" s="40">
        <f>IF(H92=0,0,_xlfn.NORM.INV(0.025,H92,R92))</f>
        <v>1.8203855129343274E-2</v>
      </c>
      <c r="K92" s="40">
        <f>IF(H92=0,0,_xlfn.NORM.INV(0.975,H92,R92))</f>
        <v>2.7079163738581252E-2</v>
      </c>
      <c r="L92" s="40" t="s">
        <v>26</v>
      </c>
      <c r="M92" s="50" t="s">
        <v>266</v>
      </c>
      <c r="N92" s="190">
        <f t="shared" ca="1" si="17"/>
        <v>2.10640543063958E-2</v>
      </c>
      <c r="O92" s="40">
        <f ca="1">RAND()</f>
        <v>0.24815436441241212</v>
      </c>
      <c r="P92" s="51">
        <f t="shared" si="18"/>
        <v>97.713207547169787</v>
      </c>
      <c r="Q92" s="51">
        <f t="shared" si="19"/>
        <v>4217.9534591194961</v>
      </c>
      <c r="R92" s="51">
        <f>assumedSE*H92</f>
        <v>2.2641509433962265E-3</v>
      </c>
      <c r="S92"/>
      <c r="T92" s="83"/>
    </row>
    <row r="93" spans="1:20" ht="16" x14ac:dyDescent="0.2">
      <c r="A93"/>
      <c r="B93" s="103"/>
      <c r="C93" s="243"/>
      <c r="D93" s="119">
        <v>80</v>
      </c>
      <c r="E93" s="25" t="str">
        <f>Tp_CHG!D28</f>
        <v>Transition Probability from state 1 to state 1 on day 18 (CHG)</v>
      </c>
      <c r="F93" s="40">
        <f t="shared" si="16"/>
        <v>0.92276422764227639</v>
      </c>
      <c r="G93" s="156">
        <v>1</v>
      </c>
      <c r="H93" s="147">
        <f>Tp_CHG!G28</f>
        <v>0.92276422764227639</v>
      </c>
      <c r="I93" s="40" t="s">
        <v>58</v>
      </c>
      <c r="J93" s="40">
        <f t="shared" si="12"/>
        <v>0.7419057624021983</v>
      </c>
      <c r="K93" s="40">
        <f t="shared" si="13"/>
        <v>1.1036226928823545</v>
      </c>
      <c r="L93" s="40" t="s">
        <v>26</v>
      </c>
      <c r="M93" s="50" t="s">
        <v>266</v>
      </c>
      <c r="N93" s="190">
        <f t="shared" ca="1" si="17"/>
        <v>0.98938845747705417</v>
      </c>
      <c r="O93" s="40">
        <f t="shared" ca="1" si="14"/>
        <v>0.75840653234200106</v>
      </c>
      <c r="P93" s="51">
        <f t="shared" si="18"/>
        <v>6.800813008130083</v>
      </c>
      <c r="Q93" s="51">
        <f t="shared" si="19"/>
        <v>0.56923104473335517</v>
      </c>
      <c r="R93" s="51">
        <f t="shared" si="15"/>
        <v>9.227642276422765E-2</v>
      </c>
      <c r="S93"/>
      <c r="T93" s="83"/>
    </row>
    <row r="94" spans="1:20" ht="16" x14ac:dyDescent="0.2">
      <c r="A94"/>
      <c r="B94" s="103"/>
      <c r="C94" s="243"/>
      <c r="D94" s="119">
        <v>81</v>
      </c>
      <c r="E94" s="25" t="str">
        <f>Tp_CHG!D60</f>
        <v>Transition Probability from state 1 to state 2 on day 18 (CHG)</v>
      </c>
      <c r="F94" s="40">
        <f t="shared" si="16"/>
        <v>2.8455284552845527E-2</v>
      </c>
      <c r="G94" s="156">
        <v>1</v>
      </c>
      <c r="H94" s="120">
        <f>Tp_CHG!G60</f>
        <v>2.8455284552845527E-2</v>
      </c>
      <c r="I94" s="40" t="s">
        <v>58</v>
      </c>
      <c r="J94" s="40">
        <f>IF(H94=0,0,_xlfn.NORM.INV(0.025,H94,R94))</f>
        <v>2.2878151263503909E-2</v>
      </c>
      <c r="K94" s="40">
        <f>IF(H94=0,0,_xlfn.NORM.INV(0.975,H94,R94))</f>
        <v>3.4032417842187142E-2</v>
      </c>
      <c r="L94" s="40" t="s">
        <v>26</v>
      </c>
      <c r="M94" s="50" t="s">
        <v>266</v>
      </c>
      <c r="N94" s="190">
        <f t="shared" ca="1" si="17"/>
        <v>2.7704684668460263E-2</v>
      </c>
      <c r="O94" s="40">
        <f ca="1">RAND()</f>
        <v>0.40765907318872963</v>
      </c>
      <c r="P94" s="51">
        <f t="shared" si="18"/>
        <v>97.126016260162572</v>
      </c>
      <c r="Q94" s="51">
        <f t="shared" si="19"/>
        <v>3316.1596980255508</v>
      </c>
      <c r="R94" s="51">
        <f>assumedSE*H94</f>
        <v>2.8455284552845531E-3</v>
      </c>
      <c r="S94"/>
      <c r="T94" s="83"/>
    </row>
    <row r="95" spans="1:20" ht="16" x14ac:dyDescent="0.2">
      <c r="A95"/>
      <c r="B95" s="103"/>
      <c r="C95" s="243"/>
      <c r="D95" s="119">
        <v>82</v>
      </c>
      <c r="E95" s="25" t="str">
        <f>Tp_CHG!D221</f>
        <v>Transition Probability from state 1 to state 7 on day 18 (CHG)</v>
      </c>
      <c r="F95" s="40">
        <f t="shared" si="16"/>
        <v>3.6585365853658534E-2</v>
      </c>
      <c r="G95" s="156">
        <v>1</v>
      </c>
      <c r="H95" s="120">
        <f>Tp_CHG!G221</f>
        <v>3.6585365853658534E-2</v>
      </c>
      <c r="I95" s="40" t="s">
        <v>58</v>
      </c>
      <c r="J95" s="40">
        <f>IF(H95=0,0,_xlfn.NORM.INV(0.025,H95,R95))</f>
        <v>2.9414765910219312E-2</v>
      </c>
      <c r="K95" s="40">
        <f>IF(H95=0,0,_xlfn.NORM.INV(0.975,H95,R95))</f>
        <v>4.3755965797097757E-2</v>
      </c>
      <c r="L95" s="40" t="s">
        <v>26</v>
      </c>
      <c r="M95" s="50" t="s">
        <v>266</v>
      </c>
      <c r="N95" s="190">
        <f t="shared" ca="1" si="17"/>
        <v>3.2949219149774951E-2</v>
      </c>
      <c r="O95" s="40">
        <f ca="1">RAND()</f>
        <v>0.15988811117168733</v>
      </c>
      <c r="P95" s="51">
        <f t="shared" si="18"/>
        <v>96.304878048780481</v>
      </c>
      <c r="Q95" s="51">
        <f t="shared" si="19"/>
        <v>2536.0284552845528</v>
      </c>
      <c r="R95" s="51">
        <f>assumedSE*H95</f>
        <v>3.6585365853658534E-3</v>
      </c>
      <c r="S95"/>
      <c r="T95" s="83"/>
    </row>
    <row r="96" spans="1:20" ht="16" x14ac:dyDescent="0.2">
      <c r="A96"/>
      <c r="B96" s="103"/>
      <c r="C96" s="243"/>
      <c r="D96" s="119">
        <v>83</v>
      </c>
      <c r="E96" s="25" t="str">
        <f>Tp_CHG!D253</f>
        <v>Transition Probability from state 1 to state 8 on day 18 (CHG)</v>
      </c>
      <c r="F96" s="40">
        <f t="shared" si="16"/>
        <v>1.2195121951219513E-2</v>
      </c>
      <c r="G96" s="156">
        <v>1</v>
      </c>
      <c r="H96" s="120">
        <f>Tp_CHG!G253</f>
        <v>1.2195121951219513E-2</v>
      </c>
      <c r="I96" s="40" t="s">
        <v>58</v>
      </c>
      <c r="J96" s="40">
        <f>IF(H96=0,0,_xlfn.NORM.INV(0.025,H96,R96))</f>
        <v>9.8049219700731046E-3</v>
      </c>
      <c r="K96" s="40">
        <f>IF(H96=0,0,_xlfn.NORM.INV(0.975,H96,R96))</f>
        <v>1.4585321932365919E-2</v>
      </c>
      <c r="L96" s="40" t="s">
        <v>26</v>
      </c>
      <c r="M96" s="50" t="s">
        <v>266</v>
      </c>
      <c r="N96" s="190">
        <f t="shared" ca="1" si="17"/>
        <v>1.0285673873916414E-2</v>
      </c>
      <c r="O96" s="40">
        <f ca="1">RAND()</f>
        <v>5.248290120469401E-2</v>
      </c>
      <c r="P96" s="51">
        <f t="shared" si="18"/>
        <v>98.768292682926798</v>
      </c>
      <c r="Q96" s="51">
        <f t="shared" si="19"/>
        <v>8000.2317073170707</v>
      </c>
      <c r="R96" s="51">
        <f>assumedSE*H96</f>
        <v>1.2195121951219514E-3</v>
      </c>
      <c r="S96"/>
      <c r="T96" s="83"/>
    </row>
    <row r="97" spans="1:20" ht="16" x14ac:dyDescent="0.2">
      <c r="A97"/>
      <c r="B97" s="103"/>
      <c r="C97" s="243"/>
      <c r="D97" s="119">
        <v>84</v>
      </c>
      <c r="E97" s="25" t="str">
        <f>Tp_CHG!D29</f>
        <v>Transition Probability from state 1 to state 1 on day 19 (CHG)</v>
      </c>
      <c r="F97" s="40">
        <f t="shared" si="16"/>
        <v>0.94537815126050417</v>
      </c>
      <c r="G97" s="156">
        <v>1</v>
      </c>
      <c r="H97" s="147">
        <f>Tp_CHG!G29</f>
        <v>0.94537815126050417</v>
      </c>
      <c r="I97" s="40" t="s">
        <v>58</v>
      </c>
      <c r="J97" s="40">
        <f t="shared" si="12"/>
        <v>0.76008743843633941</v>
      </c>
      <c r="K97" s="40">
        <f t="shared" si="13"/>
        <v>1.1306688640846689</v>
      </c>
      <c r="L97" s="40" t="s">
        <v>26</v>
      </c>
      <c r="M97" s="50" t="s">
        <v>266</v>
      </c>
      <c r="N97" s="190">
        <f t="shared" ca="1" si="17"/>
        <v>0.9586922224677179</v>
      </c>
      <c r="O97" s="40">
        <f t="shared" ca="1" si="14"/>
        <v>0.32211681425423688</v>
      </c>
      <c r="P97" s="51">
        <f t="shared" si="18"/>
        <v>4.5168067226890791</v>
      </c>
      <c r="Q97" s="51">
        <f t="shared" si="19"/>
        <v>0.2609710550887025</v>
      </c>
      <c r="R97" s="51">
        <f t="shared" si="15"/>
        <v>9.4537815126050417E-2</v>
      </c>
      <c r="S97"/>
      <c r="T97" s="83"/>
    </row>
    <row r="98" spans="1:20" ht="16" x14ac:dyDescent="0.2">
      <c r="A98"/>
      <c r="B98" s="103"/>
      <c r="C98" s="243"/>
      <c r="D98" s="119">
        <v>85</v>
      </c>
      <c r="E98" s="25" t="str">
        <f>Tp_CHG!D61</f>
        <v>Transition Probability from state 1 to state 2 on day 19 (CHG)</v>
      </c>
      <c r="F98" s="40">
        <f t="shared" si="16"/>
        <v>2.100840336134454E-2</v>
      </c>
      <c r="G98" s="156">
        <v>1</v>
      </c>
      <c r="H98" s="120">
        <f>Tp_CHG!G61</f>
        <v>2.100840336134454E-2</v>
      </c>
      <c r="I98" s="40" t="s">
        <v>58</v>
      </c>
      <c r="J98" s="40">
        <f>IF(H98=0,0,_xlfn.NORM.INV(0.025,H98,R98))</f>
        <v>1.6890831965251988E-2</v>
      </c>
      <c r="K98" s="40">
        <f>IF(H98=0,0,_xlfn.NORM.INV(0.975,H98,R98))</f>
        <v>2.5125974757437091E-2</v>
      </c>
      <c r="L98" s="40" t="s">
        <v>26</v>
      </c>
      <c r="M98" s="50" t="s">
        <v>266</v>
      </c>
      <c r="N98" s="190">
        <f t="shared" ca="1" si="17"/>
        <v>1.8259670501692457E-2</v>
      </c>
      <c r="O98" s="40">
        <f ca="1">RAND()</f>
        <v>9.0815773254812382E-2</v>
      </c>
      <c r="P98" s="51">
        <f t="shared" si="18"/>
        <v>97.878151260504168</v>
      </c>
      <c r="Q98" s="51">
        <f t="shared" si="19"/>
        <v>4561.1218487394935</v>
      </c>
      <c r="R98" s="51">
        <f>assumedSE*H98</f>
        <v>2.1008403361344541E-3</v>
      </c>
      <c r="S98"/>
      <c r="T98" s="83"/>
    </row>
    <row r="99" spans="1:20" ht="16" x14ac:dyDescent="0.2">
      <c r="A99"/>
      <c r="B99" s="103"/>
      <c r="C99" s="243"/>
      <c r="D99" s="119">
        <v>86</v>
      </c>
      <c r="E99" s="25" t="str">
        <f>Tp_CHG!D157</f>
        <v>Transition Probability from state 1 to state 5 on day 19 (CHG)</v>
      </c>
      <c r="F99" s="40">
        <f t="shared" si="16"/>
        <v>4.2016806722689074E-3</v>
      </c>
      <c r="G99" s="156">
        <v>1</v>
      </c>
      <c r="H99" s="120">
        <f>Tp_CHG!G157</f>
        <v>4.2016806722689074E-3</v>
      </c>
      <c r="I99" s="40" t="s">
        <v>58</v>
      </c>
      <c r="J99" s="40">
        <f>IF(H99=0,0,_xlfn.NORM.INV(0.025,H99,R99))</f>
        <v>3.3781663930503971E-3</v>
      </c>
      <c r="K99" s="40">
        <f>IF(H99=0,0,_xlfn.NORM.INV(0.975,H99,R99))</f>
        <v>5.0251949514874177E-3</v>
      </c>
      <c r="L99" s="40" t="s">
        <v>26</v>
      </c>
      <c r="M99" s="50" t="s">
        <v>266</v>
      </c>
      <c r="N99" s="190">
        <f t="shared" ca="1" si="17"/>
        <v>4.0971248069691744E-3</v>
      </c>
      <c r="O99" s="40">
        <f ca="1">RAND()</f>
        <v>0.41385078452716728</v>
      </c>
      <c r="P99" s="51">
        <f t="shared" si="18"/>
        <v>99.575630252100822</v>
      </c>
      <c r="Q99" s="51">
        <f t="shared" si="19"/>
        <v>23599.424369747896</v>
      </c>
      <c r="R99" s="51">
        <f>assumedSE*H99</f>
        <v>4.2016806722689078E-4</v>
      </c>
      <c r="S99"/>
      <c r="T99" s="83"/>
    </row>
    <row r="100" spans="1:20" ht="16" x14ac:dyDescent="0.2">
      <c r="A100"/>
      <c r="B100" s="103"/>
      <c r="C100" s="243"/>
      <c r="D100" s="119">
        <v>87</v>
      </c>
      <c r="E100" s="25" t="str">
        <f>Tp_CHG!D222</f>
        <v>Transition Probability from state 1 to state 7 on day 19 (CHG)</v>
      </c>
      <c r="F100" s="40">
        <f t="shared" si="16"/>
        <v>1.680672268907563E-2</v>
      </c>
      <c r="G100" s="156">
        <v>1</v>
      </c>
      <c r="H100" s="120">
        <f>Tp_CHG!G222</f>
        <v>1.680672268907563E-2</v>
      </c>
      <c r="I100" s="40" t="s">
        <v>58</v>
      </c>
      <c r="J100" s="40">
        <f>IF(H100=0,0,_xlfn.NORM.INV(0.025,H100,R100))</f>
        <v>1.3512665572201588E-2</v>
      </c>
      <c r="K100" s="40">
        <f>IF(H100=0,0,_xlfn.NORM.INV(0.975,H100,R100))</f>
        <v>2.0100779805949671E-2</v>
      </c>
      <c r="L100" s="40" t="s">
        <v>26</v>
      </c>
      <c r="M100" s="50" t="s">
        <v>266</v>
      </c>
      <c r="N100" s="190">
        <f t="shared" ca="1" si="17"/>
        <v>1.951591317131196E-2</v>
      </c>
      <c r="O100" s="40">
        <f ca="1">RAND()</f>
        <v>0.94135402822607495</v>
      </c>
      <c r="P100" s="51">
        <f t="shared" si="18"/>
        <v>98.302521008403346</v>
      </c>
      <c r="Q100" s="51">
        <f t="shared" si="19"/>
        <v>5750.6974789915957</v>
      </c>
      <c r="R100" s="51">
        <f>assumedSE*H100</f>
        <v>1.6806722689075631E-3</v>
      </c>
      <c r="S100"/>
      <c r="T100" s="83"/>
    </row>
    <row r="101" spans="1:20" ht="16" x14ac:dyDescent="0.2">
      <c r="A101"/>
      <c r="B101" s="103"/>
      <c r="C101" s="243"/>
      <c r="D101" s="119">
        <v>88</v>
      </c>
      <c r="E101" s="25" t="str">
        <f>Tp_CHG!D254</f>
        <v>Transition Probability from state 1 to state 8 on day 19 (CHG)</v>
      </c>
      <c r="F101" s="40">
        <f t="shared" si="16"/>
        <v>1.2605042016806723E-2</v>
      </c>
      <c r="G101" s="156">
        <v>1</v>
      </c>
      <c r="H101" s="120">
        <f>Tp_CHG!G254</f>
        <v>1.2605042016806723E-2</v>
      </c>
      <c r="I101" s="40" t="s">
        <v>58</v>
      </c>
      <c r="J101" s="40">
        <f>IF(H101=0,0,_xlfn.NORM.INV(0.025,H101,R101))</f>
        <v>1.0134499179151192E-2</v>
      </c>
      <c r="K101" s="40">
        <f>IF(H101=0,0,_xlfn.NORM.INV(0.975,H101,R101))</f>
        <v>1.5075584854462254E-2</v>
      </c>
      <c r="L101" s="40" t="s">
        <v>26</v>
      </c>
      <c r="M101" s="50" t="s">
        <v>266</v>
      </c>
      <c r="N101" s="190">
        <f t="shared" ca="1" si="17"/>
        <v>1.3139651859811252E-2</v>
      </c>
      <c r="O101" s="40">
        <f ca="1">RAND()</f>
        <v>0.6740455949562919</v>
      </c>
      <c r="P101" s="51">
        <f t="shared" si="18"/>
        <v>98.72689075630251</v>
      </c>
      <c r="Q101" s="51">
        <f t="shared" si="19"/>
        <v>7733.6064425770301</v>
      </c>
      <c r="R101" s="51">
        <f>assumedSE*H101</f>
        <v>1.2605042016806723E-3</v>
      </c>
      <c r="S101"/>
      <c r="T101" s="83"/>
    </row>
    <row r="102" spans="1:20" ht="16" x14ac:dyDescent="0.2">
      <c r="A102"/>
      <c r="B102" s="103"/>
      <c r="C102" s="243"/>
      <c r="D102" s="119">
        <v>89</v>
      </c>
      <c r="E102" s="25" t="str">
        <f>Tp_CHG!D30</f>
        <v>Transition Probability from state 1 to state 1 on day 20 (CHG)</v>
      </c>
      <c r="F102" s="40">
        <f t="shared" si="16"/>
        <v>0.93103448275862066</v>
      </c>
      <c r="G102" s="156">
        <v>1</v>
      </c>
      <c r="H102" s="147">
        <f>Tp_CHG!G30</f>
        <v>0.93103448275862066</v>
      </c>
      <c r="I102" s="40" t="s">
        <v>58</v>
      </c>
      <c r="J102" s="40">
        <f t="shared" si="12"/>
        <v>0.74855507730144322</v>
      </c>
      <c r="K102" s="40">
        <f t="shared" si="13"/>
        <v>1.113513888215798</v>
      </c>
      <c r="L102" s="40" t="s">
        <v>26</v>
      </c>
      <c r="M102" s="50" t="s">
        <v>266</v>
      </c>
      <c r="N102" s="190">
        <f t="shared" ca="1" si="17"/>
        <v>0.98731053171441852</v>
      </c>
      <c r="O102" s="40">
        <f t="shared" ca="1" si="14"/>
        <v>0.65324591400532173</v>
      </c>
      <c r="P102" s="51">
        <f t="shared" si="18"/>
        <v>5.9655172413793114</v>
      </c>
      <c r="Q102" s="51">
        <f t="shared" si="19"/>
        <v>0.44189016602809728</v>
      </c>
      <c r="R102" s="51">
        <f t="shared" si="15"/>
        <v>9.3103448275862075E-2</v>
      </c>
      <c r="S102"/>
      <c r="T102" s="83"/>
    </row>
    <row r="103" spans="1:20" ht="16" x14ac:dyDescent="0.2">
      <c r="A103"/>
      <c r="B103" s="103"/>
      <c r="C103" s="243"/>
      <c r="D103" s="119">
        <v>90</v>
      </c>
      <c r="E103" s="25" t="str">
        <f>Tp_CHG!D62</f>
        <v>Transition Probability from state 1 to state 2 on day 20 (CHG)</v>
      </c>
      <c r="F103" s="40">
        <f t="shared" si="16"/>
        <v>8.6206896551724137E-3</v>
      </c>
      <c r="G103" s="156">
        <v>1</v>
      </c>
      <c r="H103" s="120">
        <f>Tp_CHG!G62</f>
        <v>8.6206896551724137E-3</v>
      </c>
      <c r="I103" s="40" t="s">
        <v>58</v>
      </c>
      <c r="J103" s="40">
        <f>IF(H103=0,0,_xlfn.NORM.INV(0.025,H103,R103))</f>
        <v>6.9310655305689188E-3</v>
      </c>
      <c r="K103" s="40">
        <f>IF(H103=0,0,_xlfn.NORM.INV(0.975,H103,R103))</f>
        <v>1.0310313779775909E-2</v>
      </c>
      <c r="L103" s="40" t="s">
        <v>26</v>
      </c>
      <c r="M103" s="50" t="s">
        <v>266</v>
      </c>
      <c r="N103" s="190">
        <f t="shared" ca="1" si="17"/>
        <v>7.8216585653421745E-3</v>
      </c>
      <c r="O103" s="40">
        <f ca="1">RAND()</f>
        <v>0.17786459467762117</v>
      </c>
      <c r="P103" s="51">
        <f t="shared" si="18"/>
        <v>99.129310344827601</v>
      </c>
      <c r="Q103" s="51">
        <f t="shared" si="19"/>
        <v>11399.870689655174</v>
      </c>
      <c r="R103" s="51">
        <f>assumedSE*H103</f>
        <v>8.6206896551724137E-4</v>
      </c>
      <c r="S103"/>
      <c r="T103" s="83"/>
    </row>
    <row r="104" spans="1:20" ht="16" x14ac:dyDescent="0.2">
      <c r="A104"/>
      <c r="B104" s="103"/>
      <c r="C104" s="243"/>
      <c r="D104" s="119">
        <v>91</v>
      </c>
      <c r="E104" s="25" t="str">
        <f>Tp_CHG!D223</f>
        <v>Transition Probability from state 1 to state 7 on day 20 (CHG)</v>
      </c>
      <c r="F104" s="40">
        <f t="shared" si="16"/>
        <v>4.7413793103448273E-2</v>
      </c>
      <c r="G104" s="156">
        <v>1</v>
      </c>
      <c r="H104" s="120">
        <f>Tp_CHG!G223</f>
        <v>4.7413793103448273E-2</v>
      </c>
      <c r="I104" s="40" t="s">
        <v>58</v>
      </c>
      <c r="J104" s="40">
        <f>IF(H104=0,0,_xlfn.NORM.INV(0.025,H104,R104))</f>
        <v>3.8120860418129052E-2</v>
      </c>
      <c r="K104" s="40">
        <f>IF(H104=0,0,_xlfn.NORM.INV(0.975,H104,R104))</f>
        <v>5.6706725788767495E-2</v>
      </c>
      <c r="L104" s="40" t="s">
        <v>26</v>
      </c>
      <c r="M104" s="50" t="s">
        <v>266</v>
      </c>
      <c r="N104" s="190">
        <f t="shared" ca="1" si="17"/>
        <v>4.795213681447974E-2</v>
      </c>
      <c r="O104" s="40">
        <f ca="1">RAND()</f>
        <v>0.55754850932285116</v>
      </c>
      <c r="P104" s="51">
        <f t="shared" si="18"/>
        <v>95.211206896551715</v>
      </c>
      <c r="Q104" s="51">
        <f t="shared" si="19"/>
        <v>1912.8797021943574</v>
      </c>
      <c r="R104" s="51">
        <f>assumedSE*H104</f>
        <v>4.7413793103448275E-3</v>
      </c>
      <c r="S104"/>
      <c r="T104" s="83"/>
    </row>
    <row r="105" spans="1:20" ht="16" x14ac:dyDescent="0.2">
      <c r="A105"/>
      <c r="B105" s="103"/>
      <c r="C105" s="243"/>
      <c r="D105" s="119">
        <v>92</v>
      </c>
      <c r="E105" s="25" t="str">
        <f>Tp_CHG!D255</f>
        <v>Transition Probability from state 1 to state 8 on day 20 (CHG)</v>
      </c>
      <c r="F105" s="40">
        <f t="shared" si="16"/>
        <v>1.2931034482758621E-2</v>
      </c>
      <c r="G105" s="156">
        <v>1</v>
      </c>
      <c r="H105" s="120">
        <f>Tp_CHG!G255</f>
        <v>1.2931034482758621E-2</v>
      </c>
      <c r="I105" s="40" t="s">
        <v>58</v>
      </c>
      <c r="J105" s="40">
        <f>IF(H105=0,0,_xlfn.NORM.INV(0.025,H105,R105))</f>
        <v>1.0396598295853378E-2</v>
      </c>
      <c r="K105" s="40">
        <f>IF(H105=0,0,_xlfn.NORM.INV(0.975,H105,R105))</f>
        <v>1.5465470669663863E-2</v>
      </c>
      <c r="L105" s="40" t="s">
        <v>26</v>
      </c>
      <c r="M105" s="50" t="s">
        <v>266</v>
      </c>
      <c r="N105" s="190">
        <f t="shared" ca="1" si="17"/>
        <v>1.219197995887761E-2</v>
      </c>
      <c r="O105" s="40">
        <f ca="1">RAND()</f>
        <v>0.29131938825567216</v>
      </c>
      <c r="P105" s="51">
        <f t="shared" si="18"/>
        <v>98.693965517241381</v>
      </c>
      <c r="Q105" s="51">
        <f t="shared" si="19"/>
        <v>7533.6393678160912</v>
      </c>
      <c r="R105" s="51">
        <f>assumedSE*H105</f>
        <v>1.2931034482758621E-3</v>
      </c>
      <c r="S105"/>
      <c r="T105" s="83"/>
    </row>
    <row r="106" spans="1:20" ht="16" x14ac:dyDescent="0.2">
      <c r="A106"/>
      <c r="B106" s="103">
        <v>1</v>
      </c>
      <c r="C106" s="243"/>
      <c r="D106" s="119">
        <v>93</v>
      </c>
      <c r="E106" s="25" t="str">
        <f>Tp_CHG!D31</f>
        <v>Transition Probability from state 1 to state 1 on day 21 (CHG)</v>
      </c>
      <c r="F106" s="40">
        <f t="shared" si="16"/>
        <v>0.90497737556561086</v>
      </c>
      <c r="G106" s="156">
        <v>1</v>
      </c>
      <c r="H106" s="147">
        <f>Tp_CHG!G31</f>
        <v>0.90497737556561086</v>
      </c>
      <c r="I106" s="40" t="s">
        <v>58</v>
      </c>
      <c r="J106" s="40">
        <f t="shared" si="12"/>
        <v>0.72760506927239332</v>
      </c>
      <c r="K106" s="40">
        <f t="shared" si="13"/>
        <v>1.0823496818588283</v>
      </c>
      <c r="L106" s="40" t="s">
        <v>26</v>
      </c>
      <c r="M106" s="50" t="s">
        <v>266</v>
      </c>
      <c r="N106" s="190">
        <f t="shared" ca="1" si="17"/>
        <v>0.92762419511602867</v>
      </c>
      <c r="O106" s="40">
        <f t="shared" ca="1" si="14"/>
        <v>0.47730209319305494</v>
      </c>
      <c r="P106" s="51">
        <f t="shared" si="18"/>
        <v>8.5972850678732993</v>
      </c>
      <c r="Q106" s="51">
        <f t="shared" si="19"/>
        <v>0.9027149321266964</v>
      </c>
      <c r="R106" s="51">
        <f t="shared" si="15"/>
        <v>9.0497737556561098E-2</v>
      </c>
      <c r="S106"/>
      <c r="T106" s="83"/>
    </row>
    <row r="107" spans="1:20" ht="16" x14ac:dyDescent="0.2">
      <c r="A107"/>
      <c r="B107" s="103"/>
      <c r="C107" s="243"/>
      <c r="D107" s="119">
        <v>94</v>
      </c>
      <c r="E107" s="25" t="str">
        <f>Tp_CHG!D63</f>
        <v>Transition Probability from state 1 to state 2 on day 21 (CHG)</v>
      </c>
      <c r="F107" s="40">
        <f t="shared" si="16"/>
        <v>3.1674208144796379E-2</v>
      </c>
      <c r="G107" s="156">
        <v>1</v>
      </c>
      <c r="H107" s="120">
        <f>Tp_CHG!G63</f>
        <v>3.1674208144796379E-2</v>
      </c>
      <c r="I107" s="40" t="s">
        <v>58</v>
      </c>
      <c r="J107" s="40">
        <f>IF(H107=0,0,_xlfn.NORM.INV(0.025,H107,R107))</f>
        <v>2.5466177424533765E-2</v>
      </c>
      <c r="K107" s="40">
        <f>IF(H107=0,0,_xlfn.NORM.INV(0.975,H107,R107))</f>
        <v>3.7882238865058995E-2</v>
      </c>
      <c r="L107" s="40" t="s">
        <v>26</v>
      </c>
      <c r="M107" s="50" t="s">
        <v>266</v>
      </c>
      <c r="N107" s="190">
        <f t="shared" ca="1" si="17"/>
        <v>3.6455060852076837E-2</v>
      </c>
      <c r="O107" s="40">
        <f ca="1">RAND()</f>
        <v>0.92967489447838092</v>
      </c>
      <c r="P107" s="51">
        <f t="shared" si="18"/>
        <v>96.800904977375566</v>
      </c>
      <c r="Q107" s="51">
        <f t="shared" si="19"/>
        <v>2959.3419521654819</v>
      </c>
      <c r="R107" s="51">
        <f>assumedSE*H107</f>
        <v>3.167420814479638E-3</v>
      </c>
      <c r="S107"/>
      <c r="T107" s="83"/>
    </row>
    <row r="108" spans="1:20" ht="16" x14ac:dyDescent="0.2">
      <c r="A108"/>
      <c r="B108" s="103"/>
      <c r="C108" s="243"/>
      <c r="D108" s="119">
        <v>95</v>
      </c>
      <c r="E108" s="25" t="str">
        <f>Tp_CHG!D159</f>
        <v>Transition Probability from state 1 to state 5 on day 21 (CHG)</v>
      </c>
      <c r="F108" s="40">
        <f t="shared" si="16"/>
        <v>4.5248868778280547E-3</v>
      </c>
      <c r="G108" s="156">
        <v>1</v>
      </c>
      <c r="H108" s="120">
        <f>Tp_CHG!G159</f>
        <v>4.5248868778280547E-3</v>
      </c>
      <c r="I108" s="40" t="s">
        <v>58</v>
      </c>
      <c r="J108" s="40">
        <f>IF(H108=0,0,_xlfn.NORM.INV(0.025,H108,R108))</f>
        <v>3.6380253463619669E-3</v>
      </c>
      <c r="K108" s="40">
        <f>IF(H108=0,0,_xlfn.NORM.INV(0.975,H108,R108))</f>
        <v>5.4117484092941429E-3</v>
      </c>
      <c r="L108" s="40" t="s">
        <v>26</v>
      </c>
      <c r="M108" s="50" t="s">
        <v>266</v>
      </c>
      <c r="N108" s="190">
        <f t="shared" ca="1" si="17"/>
        <v>4.5513609854037629E-3</v>
      </c>
      <c r="O108" s="40">
        <f ca="1">RAND()</f>
        <v>0.53647904581936701</v>
      </c>
      <c r="P108" s="51">
        <f t="shared" si="18"/>
        <v>99.542986425339336</v>
      </c>
      <c r="Q108" s="51">
        <f t="shared" si="19"/>
        <v>21899.457013574654</v>
      </c>
      <c r="R108" s="51">
        <f>assumedSE*H108</f>
        <v>4.524886877828055E-4</v>
      </c>
      <c r="S108"/>
      <c r="T108" s="83"/>
    </row>
    <row r="109" spans="1:20" ht="16" x14ac:dyDescent="0.2">
      <c r="A109"/>
      <c r="B109" s="103"/>
      <c r="C109" s="243"/>
      <c r="D109" s="119">
        <v>96</v>
      </c>
      <c r="E109" s="25" t="str">
        <f>Tp_CHG!D224</f>
        <v>Transition Probability from state 1 to state 7 on day 21 (CHG)</v>
      </c>
      <c r="F109" s="40">
        <f t="shared" si="16"/>
        <v>4.5248868778280542E-2</v>
      </c>
      <c r="G109" s="156">
        <v>1</v>
      </c>
      <c r="H109" s="120">
        <f>Tp_CHG!G224</f>
        <v>4.5248868778280542E-2</v>
      </c>
      <c r="I109" s="40" t="s">
        <v>58</v>
      </c>
      <c r="J109" s="40">
        <f>IF(H109=0,0,_xlfn.NORM.INV(0.025,H109,R109))</f>
        <v>3.6380253463619665E-2</v>
      </c>
      <c r="K109" s="40">
        <f>IF(H109=0,0,_xlfn.NORM.INV(0.975,H109,R109))</f>
        <v>5.4117484092941419E-2</v>
      </c>
      <c r="L109" s="40" t="s">
        <v>26</v>
      </c>
      <c r="M109" s="50" t="s">
        <v>266</v>
      </c>
      <c r="N109" s="190">
        <f t="shared" ca="1" si="17"/>
        <v>4.4988881074193167E-2</v>
      </c>
      <c r="O109" s="40">
        <f ca="1">RAND()</f>
        <v>0.48972546830591002</v>
      </c>
      <c r="P109" s="51">
        <f t="shared" si="18"/>
        <v>95.429864253393646</v>
      </c>
      <c r="Q109" s="51">
        <f t="shared" si="19"/>
        <v>2013.570135746606</v>
      </c>
      <c r="R109" s="51">
        <f>assumedSE*H109</f>
        <v>4.5248868778280547E-3</v>
      </c>
      <c r="S109"/>
      <c r="T109" s="83"/>
    </row>
    <row r="110" spans="1:20" ht="16" x14ac:dyDescent="0.2">
      <c r="A110"/>
      <c r="B110" s="103"/>
      <c r="C110" s="243"/>
      <c r="D110" s="119">
        <v>97</v>
      </c>
      <c r="E110" s="25" t="str">
        <f>Tp_CHG!D256</f>
        <v>Transition Probability from state 1 to state 8 on day 21 (CHG)</v>
      </c>
      <c r="F110" s="40">
        <f t="shared" si="16"/>
        <v>1.3574660633484163E-2</v>
      </c>
      <c r="G110" s="156">
        <v>1</v>
      </c>
      <c r="H110" s="120">
        <f>Tp_CHG!G256</f>
        <v>1.3574660633484163E-2</v>
      </c>
      <c r="I110" s="40" t="s">
        <v>58</v>
      </c>
      <c r="J110" s="40">
        <f>IF(H110=0,0,_xlfn.NORM.INV(0.025,H110,R110))</f>
        <v>1.0914076039085899E-2</v>
      </c>
      <c r="K110" s="40">
        <f>IF(H110=0,0,_xlfn.NORM.INV(0.975,H110,R110))</f>
        <v>1.6235245227882427E-2</v>
      </c>
      <c r="L110" s="40" t="s">
        <v>26</v>
      </c>
      <c r="M110" s="50" t="s">
        <v>266</v>
      </c>
      <c r="N110" s="190">
        <f t="shared" ca="1" si="17"/>
        <v>1.553485852664227E-2</v>
      </c>
      <c r="O110" s="40">
        <f ca="1">RAND()</f>
        <v>0.92118758545085189</v>
      </c>
      <c r="P110" s="51">
        <f t="shared" si="18"/>
        <v>98.628959276018094</v>
      </c>
      <c r="Q110" s="51">
        <f t="shared" si="19"/>
        <v>7167.0377073906484</v>
      </c>
      <c r="R110" s="51">
        <f>assumedSE*H110</f>
        <v>1.3574660633484165E-3</v>
      </c>
      <c r="S110"/>
      <c r="T110" s="83"/>
    </row>
    <row r="111" spans="1:20" ht="16" x14ac:dyDescent="0.2">
      <c r="A111"/>
      <c r="B111" s="103">
        <v>2</v>
      </c>
      <c r="C111" s="243"/>
      <c r="D111" s="119">
        <v>98</v>
      </c>
      <c r="E111" s="25" t="str">
        <f>Tp_CHG!D32</f>
        <v>Transition Probability from state 1 to state 1 on day 22 (CHG)</v>
      </c>
      <c r="F111" s="40">
        <f t="shared" si="16"/>
        <v>0.92610837438423643</v>
      </c>
      <c r="G111" s="156">
        <v>1</v>
      </c>
      <c r="H111" s="147">
        <f>Tp_CHG!G32</f>
        <v>0.92610837438423643</v>
      </c>
      <c r="I111" s="40" t="s">
        <v>58</v>
      </c>
      <c r="J111" s="40">
        <f t="shared" si="12"/>
        <v>0.74459446842683241</v>
      </c>
      <c r="K111" s="40">
        <f t="shared" si="13"/>
        <v>1.1076222803416405</v>
      </c>
      <c r="L111" s="40" t="s">
        <v>26</v>
      </c>
      <c r="M111" s="50" t="s">
        <v>266</v>
      </c>
      <c r="N111" s="190">
        <f t="shared" ca="1" si="17"/>
        <v>0.99308244938106793</v>
      </c>
      <c r="O111" s="40">
        <f t="shared" ca="1" si="14"/>
        <v>0.7800819871304463</v>
      </c>
      <c r="P111" s="51">
        <f t="shared" si="18"/>
        <v>6.4630541871921201</v>
      </c>
      <c r="Q111" s="51">
        <f t="shared" si="19"/>
        <v>0.51566921706320124</v>
      </c>
      <c r="R111" s="51">
        <f t="shared" si="15"/>
        <v>9.2610837438423646E-2</v>
      </c>
      <c r="S111"/>
      <c r="T111" s="83"/>
    </row>
    <row r="112" spans="1:20" ht="16" x14ac:dyDescent="0.2">
      <c r="A112"/>
      <c r="B112" s="103"/>
      <c r="C112" s="243"/>
      <c r="D112" s="119">
        <v>99</v>
      </c>
      <c r="E112" s="25" t="str">
        <f>Tp_CHG!D64</f>
        <v>Transition Probability from state 1 to state 2 on day 22 (CHG)</v>
      </c>
      <c r="F112" s="40">
        <f t="shared" si="16"/>
        <v>2.4630541871921183E-2</v>
      </c>
      <c r="G112" s="156">
        <v>1</v>
      </c>
      <c r="H112" s="120">
        <f>Tp_CHG!G64</f>
        <v>2.4630541871921183E-2</v>
      </c>
      <c r="I112" s="40" t="s">
        <v>58</v>
      </c>
      <c r="J112" s="40">
        <f>IF(H112=0,0,_xlfn.NORM.INV(0.025,H112,R112))</f>
        <v>1.9803044373054055E-2</v>
      </c>
      <c r="K112" s="40">
        <f>IF(H112=0,0,_xlfn.NORM.INV(0.975,H112,R112))</f>
        <v>2.9458039370788312E-2</v>
      </c>
      <c r="L112" s="40" t="s">
        <v>26</v>
      </c>
      <c r="M112" s="50" t="s">
        <v>266</v>
      </c>
      <c r="N112" s="190">
        <f t="shared" ca="1" si="17"/>
        <v>2.6136455611037168E-2</v>
      </c>
      <c r="O112" s="40">
        <f ca="1">RAND()</f>
        <v>0.73627600375210567</v>
      </c>
      <c r="P112" s="51">
        <f t="shared" si="18"/>
        <v>97.512315270935943</v>
      </c>
      <c r="Q112" s="51">
        <f t="shared" si="19"/>
        <v>3861.4876847290634</v>
      </c>
      <c r="R112" s="51">
        <f>assumedSE*H112</f>
        <v>2.4630541871921187E-3</v>
      </c>
      <c r="S112"/>
      <c r="T112" s="83"/>
    </row>
    <row r="113" spans="1:20" ht="16" x14ac:dyDescent="0.2">
      <c r="A113"/>
      <c r="B113" s="103"/>
      <c r="C113" s="243"/>
      <c r="D113" s="119">
        <v>100</v>
      </c>
      <c r="E113" s="25" t="str">
        <f>Tp_CHG!D225</f>
        <v>Transition Probability from state 1 to state 7 on day 22 (CHG)</v>
      </c>
      <c r="F113" s="40">
        <f t="shared" si="16"/>
        <v>4.4334975369458129E-2</v>
      </c>
      <c r="G113" s="156">
        <v>1</v>
      </c>
      <c r="H113" s="120">
        <f>Tp_CHG!G225</f>
        <v>4.4334975369458129E-2</v>
      </c>
      <c r="I113" s="40" t="s">
        <v>58</v>
      </c>
      <c r="J113" s="40">
        <f>IF(H113=0,0,_xlfn.NORM.INV(0.025,H113,R113))</f>
        <v>3.5645479871497299E-2</v>
      </c>
      <c r="K113" s="40">
        <f>IF(H113=0,0,_xlfn.NORM.INV(0.975,H113,R113))</f>
        <v>5.302447086741896E-2</v>
      </c>
      <c r="L113" s="40" t="s">
        <v>26</v>
      </c>
      <c r="M113" s="50" t="s">
        <v>266</v>
      </c>
      <c r="N113" s="190">
        <f t="shared" ca="1" si="17"/>
        <v>4.2467296121110665E-2</v>
      </c>
      <c r="O113" s="40">
        <f ca="1">RAND()</f>
        <v>0.34642437497432288</v>
      </c>
      <c r="P113" s="51">
        <f t="shared" si="18"/>
        <v>95.522167487684712</v>
      </c>
      <c r="Q113" s="51">
        <f t="shared" si="19"/>
        <v>2059.0333880678704</v>
      </c>
      <c r="R113" s="51">
        <f>assumedSE*H113</f>
        <v>4.4334975369458131E-3</v>
      </c>
      <c r="S113"/>
      <c r="T113" s="83"/>
    </row>
    <row r="114" spans="1:20" ht="16" x14ac:dyDescent="0.2">
      <c r="A114"/>
      <c r="B114" s="103"/>
      <c r="C114" s="243"/>
      <c r="D114" s="119">
        <v>101</v>
      </c>
      <c r="E114" s="25" t="str">
        <f>Tp_CHG!D257</f>
        <v>Transition Probability from state 1 to state 8 on day 22 (CHG)</v>
      </c>
      <c r="F114" s="40">
        <f t="shared" si="16"/>
        <v>4.9261083743842365E-3</v>
      </c>
      <c r="G114" s="156">
        <v>1</v>
      </c>
      <c r="H114" s="120">
        <f>Tp_CHG!G257</f>
        <v>4.9261083743842365E-3</v>
      </c>
      <c r="I114" s="40" t="s">
        <v>58</v>
      </c>
      <c r="J114" s="40">
        <f>IF(H114=0,0,_xlfn.NORM.INV(0.025,H114,R114))</f>
        <v>3.9606088746108109E-3</v>
      </c>
      <c r="K114" s="40">
        <f>IF(H114=0,0,_xlfn.NORM.INV(0.975,H114,R114))</f>
        <v>5.8916078741576621E-3</v>
      </c>
      <c r="L114" s="40" t="s">
        <v>26</v>
      </c>
      <c r="M114" s="50" t="s">
        <v>266</v>
      </c>
      <c r="N114" s="190">
        <f t="shared" ca="1" si="17"/>
        <v>5.8754125938660362E-3</v>
      </c>
      <c r="O114" s="40">
        <f ca="1">RAND()</f>
        <v>0.96775411199807149</v>
      </c>
      <c r="P114" s="51">
        <f t="shared" si="18"/>
        <v>99.502463054187174</v>
      </c>
      <c r="Q114" s="51">
        <f t="shared" si="19"/>
        <v>20099.497536945808</v>
      </c>
      <c r="R114" s="51">
        <f>assumedSE*H114</f>
        <v>4.9261083743842372E-4</v>
      </c>
      <c r="S114"/>
      <c r="T114" s="83"/>
    </row>
    <row r="115" spans="1:20" ht="16" x14ac:dyDescent="0.2">
      <c r="A115"/>
      <c r="B115" s="103">
        <v>3</v>
      </c>
      <c r="C115" s="243"/>
      <c r="D115" s="119">
        <v>102</v>
      </c>
      <c r="E115" s="25" t="str">
        <f>Tp_CHG!D33</f>
        <v>Transition Probability from state 1 to state 1 on day 23 (CHG)</v>
      </c>
      <c r="F115" s="40">
        <f t="shared" si="16"/>
        <v>0.88205128205128203</v>
      </c>
      <c r="G115" s="156">
        <v>1</v>
      </c>
      <c r="H115" s="147">
        <f>Tp_CHG!G33</f>
        <v>0.88205128205128203</v>
      </c>
      <c r="I115" s="40" t="s">
        <v>58</v>
      </c>
      <c r="J115" s="40">
        <f t="shared" si="12"/>
        <v>0.70917240751749266</v>
      </c>
      <c r="K115" s="40">
        <f t="shared" si="13"/>
        <v>1.0549301565850713</v>
      </c>
      <c r="L115" s="40" t="s">
        <v>26</v>
      </c>
      <c r="M115" s="50" t="s">
        <v>266</v>
      </c>
      <c r="N115" s="190">
        <f t="shared" ca="1" si="17"/>
        <v>0.89614371663551673</v>
      </c>
      <c r="O115" s="40">
        <f t="shared" ca="1" si="14"/>
        <v>0.47071010798383706</v>
      </c>
      <c r="P115" s="51">
        <f t="shared" si="18"/>
        <v>10.912820512820513</v>
      </c>
      <c r="Q115" s="51">
        <f t="shared" si="19"/>
        <v>1.4592725104353015</v>
      </c>
      <c r="R115" s="51">
        <f t="shared" si="15"/>
        <v>8.8205128205128214E-2</v>
      </c>
      <c r="S115"/>
      <c r="T115" s="83"/>
    </row>
    <row r="116" spans="1:20" ht="16" x14ac:dyDescent="0.2">
      <c r="A116"/>
      <c r="B116" s="103"/>
      <c r="C116" s="243"/>
      <c r="D116" s="119">
        <v>103</v>
      </c>
      <c r="E116" s="25" t="str">
        <f>Tp_CHG!D65</f>
        <v>Transition Probability from state 1 to state 2 on day 23 (CHG)</v>
      </c>
      <c r="F116" s="40">
        <f t="shared" si="16"/>
        <v>3.0769230769230771E-2</v>
      </c>
      <c r="G116" s="156">
        <v>1</v>
      </c>
      <c r="H116" s="120">
        <f>Tp_CHG!G65</f>
        <v>3.0769230769230771E-2</v>
      </c>
      <c r="I116" s="40" t="s">
        <v>58</v>
      </c>
      <c r="J116" s="40">
        <f>IF(H116=0,0,_xlfn.NORM.INV(0.025,H116,R116))</f>
        <v>2.4738572355261373E-2</v>
      </c>
      <c r="K116" s="40">
        <f>IF(H116=0,0,_xlfn.NORM.INV(0.975,H116,R116))</f>
        <v>3.6799889183200166E-2</v>
      </c>
      <c r="L116" s="40" t="s">
        <v>26</v>
      </c>
      <c r="M116" s="50" t="s">
        <v>266</v>
      </c>
      <c r="N116" s="190">
        <f t="shared" ca="1" si="17"/>
        <v>3.3507597885967133E-2</v>
      </c>
      <c r="O116" s="40">
        <f ca="1">RAND()</f>
        <v>0.81528085413442286</v>
      </c>
      <c r="P116" s="51">
        <f t="shared" si="18"/>
        <v>96.892307692307668</v>
      </c>
      <c r="Q116" s="51">
        <f t="shared" si="19"/>
        <v>3052.1076923076912</v>
      </c>
      <c r="R116" s="51">
        <f>assumedSE*H116</f>
        <v>3.0769230769230774E-3</v>
      </c>
      <c r="S116"/>
      <c r="T116" s="83"/>
    </row>
    <row r="117" spans="1:20" ht="16" x14ac:dyDescent="0.2">
      <c r="A117"/>
      <c r="B117" s="103"/>
      <c r="C117" s="243"/>
      <c r="D117" s="119">
        <v>104</v>
      </c>
      <c r="E117" s="25" t="str">
        <f>Tp_CHG!D161</f>
        <v>Transition Probability from state 1 to state 5 on day 23 (CHG)</v>
      </c>
      <c r="F117" s="40">
        <f t="shared" si="16"/>
        <v>5.1282051282051282E-3</v>
      </c>
      <c r="G117" s="156">
        <v>1</v>
      </c>
      <c r="H117" s="120">
        <f>Tp_CHG!G161</f>
        <v>5.1282051282051282E-3</v>
      </c>
      <c r="I117" s="40" t="s">
        <v>58</v>
      </c>
      <c r="J117" s="40">
        <f>IF(H117=0,0,_xlfn.NORM.INV(0.025,H117,R117))</f>
        <v>4.1230953925435621E-3</v>
      </c>
      <c r="K117" s="40">
        <f>IF(H117=0,0,_xlfn.NORM.INV(0.975,H117,R117))</f>
        <v>6.1333148638666943E-3</v>
      </c>
      <c r="L117" s="40" t="s">
        <v>26</v>
      </c>
      <c r="M117" s="50" t="s">
        <v>266</v>
      </c>
      <c r="N117" s="190">
        <f t="shared" ca="1" si="17"/>
        <v>5.7082245232628059E-3</v>
      </c>
      <c r="O117" s="40">
        <f ca="1">RAND()</f>
        <v>0.86950281647205963</v>
      </c>
      <c r="P117" s="51">
        <f t="shared" si="18"/>
        <v>99.482051282051287</v>
      </c>
      <c r="Q117" s="51">
        <f t="shared" si="19"/>
        <v>19299.517948717948</v>
      </c>
      <c r="R117" s="51">
        <f>assumedSE*H117</f>
        <v>5.1282051282051282E-4</v>
      </c>
      <c r="S117"/>
      <c r="T117" s="83"/>
    </row>
    <row r="118" spans="1:20" ht="16" x14ac:dyDescent="0.2">
      <c r="A118"/>
      <c r="B118" s="103"/>
      <c r="C118" s="243"/>
      <c r="D118" s="119">
        <v>105</v>
      </c>
      <c r="E118" s="25" t="str">
        <f>Tp_CHG!D226</f>
        <v>Transition Probability from state 1 to state 7 on day 23 (CHG)</v>
      </c>
      <c r="F118" s="40">
        <f t="shared" si="16"/>
        <v>6.6666666666666666E-2</v>
      </c>
      <c r="G118" s="156">
        <v>1</v>
      </c>
      <c r="H118" s="120">
        <f>Tp_CHG!G226</f>
        <v>6.6666666666666666E-2</v>
      </c>
      <c r="I118" s="40" t="s">
        <v>58</v>
      </c>
      <c r="J118" s="40">
        <f>IF(H118=0,0,_xlfn.NORM.INV(0.025,H118,R118))</f>
        <v>5.3600240103066306E-2</v>
      </c>
      <c r="K118" s="40">
        <f>IF(H118=0,0,_xlfn.NORM.INV(0.975,H118,R118))</f>
        <v>7.9733093230267019E-2</v>
      </c>
      <c r="L118" s="40" t="s">
        <v>26</v>
      </c>
      <c r="M118" s="50" t="s">
        <v>266</v>
      </c>
      <c r="N118" s="190">
        <f t="shared" ca="1" si="17"/>
        <v>5.9951082718278981E-2</v>
      </c>
      <c r="O118" s="40">
        <f ca="1">RAND()</f>
        <v>0.15648528952597696</v>
      </c>
      <c r="P118" s="51">
        <f t="shared" si="18"/>
        <v>93.266666666666652</v>
      </c>
      <c r="Q118" s="51">
        <f t="shared" si="19"/>
        <v>1305.7333333333331</v>
      </c>
      <c r="R118" s="51">
        <f>assumedSE*H118</f>
        <v>6.6666666666666671E-3</v>
      </c>
      <c r="S118"/>
      <c r="T118" s="83"/>
    </row>
    <row r="119" spans="1:20" ht="16" x14ac:dyDescent="0.2">
      <c r="A119"/>
      <c r="B119" s="103"/>
      <c r="C119" s="243"/>
      <c r="D119" s="119">
        <v>106</v>
      </c>
      <c r="E119" s="25" t="str">
        <f>Tp_CHG!D258</f>
        <v>Transition Probability from state 1 to state 8 on day 23 (CHG)</v>
      </c>
      <c r="F119" s="40">
        <f t="shared" si="16"/>
        <v>1.5384615384615385E-2</v>
      </c>
      <c r="G119" s="156">
        <v>1</v>
      </c>
      <c r="H119" s="120">
        <f>Tp_CHG!G258</f>
        <v>1.5384615384615385E-2</v>
      </c>
      <c r="I119" s="40" t="s">
        <v>58</v>
      </c>
      <c r="J119" s="40">
        <f>IF(H119=0,0,_xlfn.NORM.INV(0.025,H119,R119))</f>
        <v>1.2369286177630686E-2</v>
      </c>
      <c r="K119" s="40">
        <f>IF(H119=0,0,_xlfn.NORM.INV(0.975,H119,R119))</f>
        <v>1.8399944591600083E-2</v>
      </c>
      <c r="L119" s="40" t="s">
        <v>26</v>
      </c>
      <c r="M119" s="50" t="s">
        <v>266</v>
      </c>
      <c r="N119" s="190">
        <f t="shared" ca="1" si="17"/>
        <v>1.5913152734622349E-2</v>
      </c>
      <c r="O119" s="40">
        <f ca="1">RAND()</f>
        <v>0.64521918652728238</v>
      </c>
      <c r="P119" s="51">
        <f t="shared" si="18"/>
        <v>98.446153846153834</v>
      </c>
      <c r="Q119" s="51">
        <f t="shared" si="19"/>
        <v>6300.5538461538454</v>
      </c>
      <c r="R119" s="51">
        <f>assumedSE*H119</f>
        <v>1.5384615384615387E-3</v>
      </c>
      <c r="S119"/>
      <c r="T119" s="83"/>
    </row>
    <row r="120" spans="1:20" ht="16" x14ac:dyDescent="0.2">
      <c r="A120"/>
      <c r="B120" s="103">
        <v>4</v>
      </c>
      <c r="C120" s="243"/>
      <c r="D120" s="119">
        <v>107</v>
      </c>
      <c r="E120" s="25" t="str">
        <f>Tp_CHG!D34</f>
        <v>Transition Probability from state 1 to state 1 on day 24 (CHG)</v>
      </c>
      <c r="F120" s="40">
        <f t="shared" si="16"/>
        <v>0.94915254237288138</v>
      </c>
      <c r="G120" s="156">
        <v>1</v>
      </c>
      <c r="H120" s="147">
        <f>Tp_CHG!G34</f>
        <v>0.94915254237288138</v>
      </c>
      <c r="I120" s="40" t="s">
        <v>58</v>
      </c>
      <c r="J120" s="40">
        <f t="shared" si="12"/>
        <v>0.7631220624843339</v>
      </c>
      <c r="K120" s="40">
        <f t="shared" si="13"/>
        <v>1.1351830222614288</v>
      </c>
      <c r="L120" s="40" t="s">
        <v>26</v>
      </c>
      <c r="M120" s="50" t="s">
        <v>266</v>
      </c>
      <c r="N120" s="190">
        <f t="shared" ca="1" si="17"/>
        <v>0.81466807594819346</v>
      </c>
      <c r="O120" s="40">
        <f t="shared" ca="1" si="14"/>
        <v>8.4370293352218795E-2</v>
      </c>
      <c r="P120" s="51">
        <f t="shared" si="18"/>
        <v>4.1355932203389809</v>
      </c>
      <c r="Q120" s="51">
        <f t="shared" si="19"/>
        <v>0.22154963680387388</v>
      </c>
      <c r="R120" s="51">
        <f t="shared" si="15"/>
        <v>9.4915254237288138E-2</v>
      </c>
      <c r="S120"/>
      <c r="T120" s="83"/>
    </row>
    <row r="121" spans="1:20" ht="16" x14ac:dyDescent="0.2">
      <c r="A121"/>
      <c r="B121" s="103"/>
      <c r="C121" s="243"/>
      <c r="D121" s="119">
        <v>108</v>
      </c>
      <c r="E121" s="25" t="str">
        <f>Tp_CHG!D66</f>
        <v>Transition Probability from state 1 to state 2 on day 24 (CHG)</v>
      </c>
      <c r="F121" s="40">
        <f t="shared" si="16"/>
        <v>1.1299435028248588E-2</v>
      </c>
      <c r="G121" s="156">
        <v>1</v>
      </c>
      <c r="H121" s="120">
        <f>Tp_CHG!G66</f>
        <v>1.1299435028248588E-2</v>
      </c>
      <c r="I121" s="40" t="s">
        <v>58</v>
      </c>
      <c r="J121" s="40">
        <f>IF(H121=0,0,_xlfn.NORM.INV(0.025,H121,R121))</f>
        <v>9.0847864581468322E-3</v>
      </c>
      <c r="K121" s="40">
        <f>IF(H121=0,0,_xlfn.NORM.INV(0.975,H121,R121))</f>
        <v>1.3514083598350343E-2</v>
      </c>
      <c r="L121" s="40" t="s">
        <v>26</v>
      </c>
      <c r="M121" s="50" t="s">
        <v>266</v>
      </c>
      <c r="N121" s="190">
        <f t="shared" ca="1" si="17"/>
        <v>1.1429888468692972E-2</v>
      </c>
      <c r="O121" s="40">
        <f ca="1">RAND()</f>
        <v>0.55880356051232727</v>
      </c>
      <c r="P121" s="51">
        <f t="shared" si="18"/>
        <v>98.858757062146893</v>
      </c>
      <c r="Q121" s="51">
        <f t="shared" si="19"/>
        <v>8650.1412429378524</v>
      </c>
      <c r="R121" s="51">
        <f>assumedSE*H121</f>
        <v>1.1299435028248588E-3</v>
      </c>
      <c r="S121"/>
      <c r="T121" s="83"/>
    </row>
    <row r="122" spans="1:20" ht="16" x14ac:dyDescent="0.2">
      <c r="A122"/>
      <c r="B122" s="103"/>
      <c r="C122" s="243"/>
      <c r="D122" s="119">
        <v>109</v>
      </c>
      <c r="E122" s="25" t="str">
        <f>Tp_CHG!D227</f>
        <v>Transition Probability from state 1 to state 7 on day 24 (CHG)</v>
      </c>
      <c r="F122" s="40">
        <f t="shared" si="16"/>
        <v>3.3898305084745763E-2</v>
      </c>
      <c r="G122" s="156">
        <v>1</v>
      </c>
      <c r="H122" s="120">
        <f>Tp_CHG!G227</f>
        <v>3.3898305084745763E-2</v>
      </c>
      <c r="I122" s="40" t="s">
        <v>58</v>
      </c>
      <c r="J122" s="40">
        <f>IF(H122=0,0,_xlfn.NORM.INV(0.025,H122,R122))</f>
        <v>2.7254359374440495E-2</v>
      </c>
      <c r="K122" s="40">
        <f>IF(H122=0,0,_xlfn.NORM.INV(0.975,H122,R122))</f>
        <v>4.0542250795051027E-2</v>
      </c>
      <c r="L122" s="40" t="s">
        <v>26</v>
      </c>
      <c r="M122" s="50" t="s">
        <v>266</v>
      </c>
      <c r="N122" s="190">
        <f t="shared" ca="1" si="17"/>
        <v>3.2846222398709657E-2</v>
      </c>
      <c r="O122" s="40">
        <f ca="1">RAND()</f>
        <v>0.38928657077696749</v>
      </c>
      <c r="P122" s="51">
        <f t="shared" si="18"/>
        <v>96.576271186440664</v>
      </c>
      <c r="Q122" s="51">
        <f t="shared" si="19"/>
        <v>2752.4237288135587</v>
      </c>
      <c r="R122" s="51">
        <f>assumedSE*H122</f>
        <v>3.3898305084745766E-3</v>
      </c>
      <c r="S122"/>
      <c r="T122" s="83"/>
    </row>
    <row r="123" spans="1:20" ht="16" x14ac:dyDescent="0.2">
      <c r="A123"/>
      <c r="B123" s="103"/>
      <c r="C123" s="243"/>
      <c r="D123" s="119">
        <v>110</v>
      </c>
      <c r="E123" s="25" t="str">
        <f>Tp_CHG!D259</f>
        <v>Transition Probability from state 1 to state 8 on day 24 (CHG)</v>
      </c>
      <c r="F123" s="40">
        <f t="shared" si="16"/>
        <v>5.6497175141242938E-3</v>
      </c>
      <c r="G123" s="156">
        <v>1</v>
      </c>
      <c r="H123" s="120">
        <f>Tp_CHG!G259</f>
        <v>5.6497175141242938E-3</v>
      </c>
      <c r="I123" s="40" t="s">
        <v>58</v>
      </c>
      <c r="J123" s="40">
        <f>IF(H123=0,0,_xlfn.NORM.INV(0.025,H123,R123))</f>
        <v>4.5423932290734161E-3</v>
      </c>
      <c r="K123" s="40">
        <f>IF(H123=0,0,_xlfn.NORM.INV(0.975,H123,R123))</f>
        <v>6.7570417991751714E-3</v>
      </c>
      <c r="L123" s="40" t="s">
        <v>26</v>
      </c>
      <c r="M123" s="50" t="s">
        <v>266</v>
      </c>
      <c r="N123" s="190">
        <f t="shared" ca="1" si="17"/>
        <v>5.367281392310283E-3</v>
      </c>
      <c r="O123" s="40">
        <f ca="1">RAND()</f>
        <v>0.31734653997837325</v>
      </c>
      <c r="P123" s="51">
        <f t="shared" si="18"/>
        <v>99.429378531073439</v>
      </c>
      <c r="Q123" s="51">
        <f t="shared" si="19"/>
        <v>17499.570621468927</v>
      </c>
      <c r="R123" s="51">
        <f>assumedSE*H123</f>
        <v>5.649717514124294E-4</v>
      </c>
      <c r="S123"/>
      <c r="T123" s="83"/>
    </row>
    <row r="124" spans="1:20" ht="16" x14ac:dyDescent="0.2">
      <c r="A124"/>
      <c r="B124" s="103">
        <v>5</v>
      </c>
      <c r="C124" s="243"/>
      <c r="D124" s="119">
        <v>111</v>
      </c>
      <c r="E124" s="25" t="str">
        <f>Tp_CHG!D35</f>
        <v>Transition Probability from state 1 to state 1 on day 25 (CHG)</v>
      </c>
      <c r="F124" s="40">
        <f t="shared" si="16"/>
        <v>0.89714285714285713</v>
      </c>
      <c r="G124" s="156">
        <v>1</v>
      </c>
      <c r="H124" s="147">
        <f>Tp_CHG!G35</f>
        <v>0.89714285714285713</v>
      </c>
      <c r="I124" s="40" t="s">
        <v>58</v>
      </c>
      <c r="J124" s="40">
        <f t="shared" si="12"/>
        <v>0.7213060882441209</v>
      </c>
      <c r="K124" s="40">
        <f t="shared" si="13"/>
        <v>1.0729796260415934</v>
      </c>
      <c r="L124" s="40" t="s">
        <v>26</v>
      </c>
      <c r="M124" s="50" t="s">
        <v>266</v>
      </c>
      <c r="N124" s="190">
        <f t="shared" ca="1" si="17"/>
        <v>0.95420292631852976</v>
      </c>
      <c r="O124" s="40">
        <f t="shared" ca="1" si="14"/>
        <v>0.67838715096207192</v>
      </c>
      <c r="P124" s="51">
        <f t="shared" si="18"/>
        <v>9.3885714285714297</v>
      </c>
      <c r="Q124" s="51">
        <f t="shared" si="19"/>
        <v>1.0763967242948136</v>
      </c>
      <c r="R124" s="51">
        <f t="shared" si="15"/>
        <v>8.9714285714285719E-2</v>
      </c>
      <c r="S124"/>
      <c r="T124" s="83"/>
    </row>
    <row r="125" spans="1:20" ht="16" x14ac:dyDescent="0.2">
      <c r="A125"/>
      <c r="B125" s="103"/>
      <c r="C125" s="243"/>
      <c r="D125" s="119">
        <v>112</v>
      </c>
      <c r="E125" s="25" t="str">
        <f>Tp_CHG!D67</f>
        <v>Transition Probability from state 1 to state 2 on day 25 (CHG)</v>
      </c>
      <c r="F125" s="40">
        <f t="shared" si="16"/>
        <v>2.8571428571428571E-2</v>
      </c>
      <c r="G125" s="156">
        <v>1</v>
      </c>
      <c r="H125" s="120">
        <f>Tp_CHG!G67</f>
        <v>2.8571428571428571E-2</v>
      </c>
      <c r="I125" s="40" t="s">
        <v>58</v>
      </c>
      <c r="J125" s="40">
        <f>IF(H125=0,0,_xlfn.NORM.INV(0.025,H125,R125))</f>
        <v>2.2971531472742703E-2</v>
      </c>
      <c r="K125" s="40">
        <f>IF(H125=0,0,_xlfn.NORM.INV(0.975,H125,R125))</f>
        <v>3.4171325670114439E-2</v>
      </c>
      <c r="L125" s="40" t="s">
        <v>26</v>
      </c>
      <c r="M125" s="50" t="s">
        <v>266</v>
      </c>
      <c r="N125" s="190">
        <f t="shared" ca="1" si="17"/>
        <v>2.9318961807876076E-2</v>
      </c>
      <c r="O125" s="40">
        <f ca="1">RAND()</f>
        <v>0.61474076118092702</v>
      </c>
      <c r="P125" s="51">
        <f t="shared" si="18"/>
        <v>97.114285714285728</v>
      </c>
      <c r="Q125" s="51">
        <f t="shared" si="19"/>
        <v>3301.8857142857146</v>
      </c>
      <c r="R125" s="51">
        <f>assumedSE*H125</f>
        <v>2.8571428571428571E-3</v>
      </c>
      <c r="S125"/>
      <c r="T125" s="83"/>
    </row>
    <row r="126" spans="1:20" ht="16" x14ac:dyDescent="0.2">
      <c r="A126"/>
      <c r="B126" s="103"/>
      <c r="C126" s="243"/>
      <c r="D126" s="119">
        <v>113</v>
      </c>
      <c r="E126" s="25" t="str">
        <f>Tp_CHG!D228</f>
        <v>Transition Probability from state 1 to state 7 on day 25 (CHG)</v>
      </c>
      <c r="F126" s="40">
        <f t="shared" si="16"/>
        <v>6.8571428571428575E-2</v>
      </c>
      <c r="G126" s="156">
        <v>1</v>
      </c>
      <c r="H126" s="120">
        <f>Tp_CHG!G228</f>
        <v>6.8571428571428575E-2</v>
      </c>
      <c r="I126" s="40" t="s">
        <v>58</v>
      </c>
      <c r="J126" s="40">
        <f>IF(H126=0,0,_xlfn.NORM.INV(0.025,H126,R126))</f>
        <v>5.5131675534582494E-2</v>
      </c>
      <c r="K126" s="40">
        <f>IF(H126=0,0,_xlfn.NORM.INV(0.975,H126,R126))</f>
        <v>8.2011181608274655E-2</v>
      </c>
      <c r="L126" s="40" t="s">
        <v>26</v>
      </c>
      <c r="M126" s="50" t="s">
        <v>266</v>
      </c>
      <c r="N126" s="190">
        <f t="shared" ca="1" si="17"/>
        <v>6.8956445878622041E-2</v>
      </c>
      <c r="O126" s="40">
        <f ca="1">RAND()</f>
        <v>0.53462748063042009</v>
      </c>
      <c r="P126" s="51">
        <f t="shared" si="18"/>
        <v>93.074285714285693</v>
      </c>
      <c r="Q126" s="51">
        <f t="shared" si="19"/>
        <v>1264.2590476190474</v>
      </c>
      <c r="R126" s="51">
        <f>assumedSE*H126</f>
        <v>6.8571428571428577E-3</v>
      </c>
      <c r="S126"/>
      <c r="T126" s="83"/>
    </row>
    <row r="127" spans="1:20" ht="16" x14ac:dyDescent="0.2">
      <c r="A127"/>
      <c r="B127" s="103"/>
      <c r="C127" s="243"/>
      <c r="D127" s="119">
        <v>114</v>
      </c>
      <c r="E127" s="25" t="str">
        <f>Tp_CHG!D260</f>
        <v>Transition Probability from state 1 to state 8 on day 25 (CHG)</v>
      </c>
      <c r="F127" s="40">
        <f t="shared" si="16"/>
        <v>5.7142857142857143E-3</v>
      </c>
      <c r="G127" s="156">
        <v>1</v>
      </c>
      <c r="H127" s="120">
        <f>Tp_CHG!G260</f>
        <v>5.7142857142857143E-3</v>
      </c>
      <c r="I127" s="40" t="s">
        <v>58</v>
      </c>
      <c r="J127" s="40">
        <f>IF(H127=0,0,_xlfn.NORM.INV(0.025,H127,R127))</f>
        <v>4.5943062945485403E-3</v>
      </c>
      <c r="K127" s="40">
        <f>IF(H127=0,0,_xlfn.NORM.INV(0.975,H127,R127))</f>
        <v>6.8342651340228874E-3</v>
      </c>
      <c r="L127" s="40" t="s">
        <v>26</v>
      </c>
      <c r="M127" s="50" t="s">
        <v>266</v>
      </c>
      <c r="N127" s="190">
        <f t="shared" ca="1" si="17"/>
        <v>5.9819035322143943E-3</v>
      </c>
      <c r="O127" s="40">
        <f ca="1">RAND()</f>
        <v>0.68943837483581072</v>
      </c>
      <c r="P127" s="51">
        <f t="shared" si="18"/>
        <v>99.422857142857126</v>
      </c>
      <c r="Q127" s="51">
        <f t="shared" si="19"/>
        <v>17299.577142857139</v>
      </c>
      <c r="R127" s="51">
        <f>assumedSE*H127</f>
        <v>5.7142857142857147E-4</v>
      </c>
      <c r="S127"/>
      <c r="T127" s="83"/>
    </row>
    <row r="128" spans="1:20" ht="16" x14ac:dyDescent="0.2">
      <c r="A128"/>
      <c r="B128" s="103">
        <v>6</v>
      </c>
      <c r="C128" s="243"/>
      <c r="D128" s="119">
        <v>115</v>
      </c>
      <c r="E128" s="25" t="str">
        <f>Tp_CHG!D36</f>
        <v>Transition Probability from state 1 to state 1 on day 26 (CHG)</v>
      </c>
      <c r="F128" s="40">
        <f t="shared" si="16"/>
        <v>0.930379746835443</v>
      </c>
      <c r="G128" s="156">
        <v>1</v>
      </c>
      <c r="H128" s="147">
        <f>Tp_CHG!G36</f>
        <v>0.930379746835443</v>
      </c>
      <c r="I128" s="40" t="s">
        <v>58</v>
      </c>
      <c r="J128" s="40">
        <f t="shared" si="12"/>
        <v>0.74802866726114692</v>
      </c>
      <c r="K128" s="40">
        <f t="shared" si="13"/>
        <v>1.1127308264097391</v>
      </c>
      <c r="L128" s="40" t="s">
        <v>26</v>
      </c>
      <c r="M128" s="50" t="s">
        <v>266</v>
      </c>
      <c r="N128" s="190">
        <f t="shared" ca="1" si="17"/>
        <v>0.95612375087902579</v>
      </c>
      <c r="O128" s="40">
        <f t="shared" ca="1" si="14"/>
        <v>0.4325042887166759</v>
      </c>
      <c r="P128" s="51">
        <f t="shared" si="18"/>
        <v>6.0316455696202578</v>
      </c>
      <c r="Q128" s="51">
        <f t="shared" si="19"/>
        <v>0.45134762765865899</v>
      </c>
      <c r="R128" s="51">
        <f t="shared" si="15"/>
        <v>9.30379746835443E-2</v>
      </c>
      <c r="S128"/>
      <c r="T128" s="83"/>
    </row>
    <row r="129" spans="1:20" ht="16" x14ac:dyDescent="0.2">
      <c r="A129"/>
      <c r="B129" s="103"/>
      <c r="C129" s="243"/>
      <c r="D129" s="119">
        <v>116</v>
      </c>
      <c r="E129" s="25" t="str">
        <f>Tp_CHG!D68</f>
        <v>Transition Probability from state 1 to state 2 on day 26 (CHG)</v>
      </c>
      <c r="F129" s="40">
        <f t="shared" si="16"/>
        <v>1.2658227848101266E-2</v>
      </c>
      <c r="G129" s="156">
        <v>1</v>
      </c>
      <c r="H129" s="120">
        <f>Tp_CHG!G68</f>
        <v>1.2658227848101266E-2</v>
      </c>
      <c r="I129" s="40" t="s">
        <v>58</v>
      </c>
      <c r="J129" s="40">
        <f>IF(H129=0,0,_xlfn.NORM.INV(0.025,H129,R129))</f>
        <v>1.0177260779063222E-2</v>
      </c>
      <c r="K129" s="40">
        <f>IF(H129=0,0,_xlfn.NORM.INV(0.975,H129,R129))</f>
        <v>1.5139194917139309E-2</v>
      </c>
      <c r="L129" s="40" t="s">
        <v>26</v>
      </c>
      <c r="M129" s="50" t="s">
        <v>266</v>
      </c>
      <c r="N129" s="190">
        <f t="shared" ca="1" si="17"/>
        <v>1.2089919724509882E-2</v>
      </c>
      <c r="O129" s="40">
        <f ca="1">RAND()</f>
        <v>0.33625965144377734</v>
      </c>
      <c r="P129" s="51">
        <f t="shared" si="18"/>
        <v>98.721518987341767</v>
      </c>
      <c r="Q129" s="51">
        <f t="shared" si="19"/>
        <v>7700.2784810126586</v>
      </c>
      <c r="R129" s="51">
        <f>assumedSE*H129</f>
        <v>1.2658227848101266E-3</v>
      </c>
      <c r="S129"/>
      <c r="T129" s="83"/>
    </row>
    <row r="130" spans="1:20" ht="16" x14ac:dyDescent="0.2">
      <c r="A130"/>
      <c r="B130" s="103"/>
      <c r="C130" s="243"/>
      <c r="D130" s="119">
        <v>117</v>
      </c>
      <c r="E130" s="25" t="str">
        <f>Tp_CHG!D164</f>
        <v>Transition Probability from state 1 to state 5 on day 26 (CHG)</v>
      </c>
      <c r="F130" s="40">
        <f t="shared" si="16"/>
        <v>6.3291139240506328E-3</v>
      </c>
      <c r="G130" s="156">
        <v>1</v>
      </c>
      <c r="H130" s="120">
        <f>Tp_CHG!G164</f>
        <v>6.3291139240506328E-3</v>
      </c>
      <c r="I130" s="40" t="s">
        <v>58</v>
      </c>
      <c r="J130" s="40">
        <f>IF(H130=0,0,_xlfn.NORM.INV(0.025,H130,R130))</f>
        <v>5.0886303895316112E-3</v>
      </c>
      <c r="K130" s="40">
        <f>IF(H130=0,0,_xlfn.NORM.INV(0.975,H130,R130))</f>
        <v>7.5695974585696544E-3</v>
      </c>
      <c r="L130" s="40" t="s">
        <v>26</v>
      </c>
      <c r="M130" s="50" t="s">
        <v>266</v>
      </c>
      <c r="N130" s="190">
        <f t="shared" ca="1" si="17"/>
        <v>6.5712562635593663E-3</v>
      </c>
      <c r="O130" s="40">
        <f ca="1">RAND()</f>
        <v>0.65940913812229396</v>
      </c>
      <c r="P130" s="51">
        <f t="shared" si="18"/>
        <v>99.360759493670869</v>
      </c>
      <c r="Q130" s="51">
        <f t="shared" si="19"/>
        <v>15599.639240506327</v>
      </c>
      <c r="R130" s="51">
        <f>assumedSE*H130</f>
        <v>6.329113924050633E-4</v>
      </c>
      <c r="S130"/>
      <c r="T130" s="83"/>
    </row>
    <row r="131" spans="1:20" ht="16" x14ac:dyDescent="0.2">
      <c r="A131"/>
      <c r="B131" s="103"/>
      <c r="C131" s="243"/>
      <c r="D131" s="119">
        <v>118</v>
      </c>
      <c r="E131" s="25" t="str">
        <f>Tp_CHG!D229</f>
        <v>Transition Probability from state 1 to state 7 on day 26 (CHG)</v>
      </c>
      <c r="F131" s="40">
        <f t="shared" si="16"/>
        <v>2.5316455696202531E-2</v>
      </c>
      <c r="G131" s="156">
        <v>1</v>
      </c>
      <c r="H131" s="120">
        <f>Tp_CHG!G229</f>
        <v>2.5316455696202531E-2</v>
      </c>
      <c r="I131" s="40" t="s">
        <v>58</v>
      </c>
      <c r="J131" s="40">
        <f>IF(H131=0,0,_xlfn.NORM.INV(0.025,H131,R131))</f>
        <v>2.0354521558126445E-2</v>
      </c>
      <c r="K131" s="40">
        <f>IF(H131=0,0,_xlfn.NORM.INV(0.975,H131,R131))</f>
        <v>3.0278389834278618E-2</v>
      </c>
      <c r="L131" s="40" t="s">
        <v>26</v>
      </c>
      <c r="M131" s="50" t="s">
        <v>266</v>
      </c>
      <c r="N131" s="190">
        <f t="shared" ca="1" si="17"/>
        <v>2.7773411080678101E-2</v>
      </c>
      <c r="O131" s="40">
        <f ca="1">RAND()</f>
        <v>0.83487275369643388</v>
      </c>
      <c r="P131" s="51">
        <f t="shared" si="18"/>
        <v>97.443037974683548</v>
      </c>
      <c r="Q131" s="51">
        <f t="shared" si="19"/>
        <v>3751.5569620253164</v>
      </c>
      <c r="R131" s="51">
        <f>assumedSE*H131</f>
        <v>2.5316455696202532E-3</v>
      </c>
      <c r="S131"/>
      <c r="T131" s="83"/>
    </row>
    <row r="132" spans="1:20" ht="16" x14ac:dyDescent="0.2">
      <c r="A132"/>
      <c r="B132" s="103"/>
      <c r="C132" s="243"/>
      <c r="D132" s="119">
        <v>119</v>
      </c>
      <c r="E132" s="25" t="str">
        <f>Tp_CHG!D261</f>
        <v>Transition Probability from state 1 to state 8 on day 26 (CHG)</v>
      </c>
      <c r="F132" s="40">
        <f t="shared" si="16"/>
        <v>2.5316455696202531E-2</v>
      </c>
      <c r="G132" s="156">
        <v>1</v>
      </c>
      <c r="H132" s="120">
        <f>Tp_CHG!G261</f>
        <v>2.5316455696202531E-2</v>
      </c>
      <c r="I132" s="40" t="s">
        <v>58</v>
      </c>
      <c r="J132" s="40">
        <f>IF(H132=0,0,_xlfn.NORM.INV(0.025,H132,R132))</f>
        <v>2.0354521558126445E-2</v>
      </c>
      <c r="K132" s="40">
        <f>IF(H132=0,0,_xlfn.NORM.INV(0.975,H132,R132))</f>
        <v>3.0278389834278618E-2</v>
      </c>
      <c r="L132" s="40" t="s">
        <v>26</v>
      </c>
      <c r="M132" s="50" t="s">
        <v>266</v>
      </c>
      <c r="N132" s="190">
        <f t="shared" ca="1" si="17"/>
        <v>2.2134619588724303E-2</v>
      </c>
      <c r="O132" s="40">
        <f ca="1">RAND()</f>
        <v>0.10041506879567008</v>
      </c>
      <c r="P132" s="51">
        <f t="shared" si="18"/>
        <v>97.443037974683548</v>
      </c>
      <c r="Q132" s="51">
        <f t="shared" si="19"/>
        <v>3751.5569620253164</v>
      </c>
      <c r="R132" s="51">
        <f>assumedSE*H132</f>
        <v>2.5316455696202532E-3</v>
      </c>
      <c r="S132"/>
      <c r="T132" s="83"/>
    </row>
    <row r="133" spans="1:20" ht="16" x14ac:dyDescent="0.2">
      <c r="A133"/>
      <c r="B133" s="103">
        <v>7</v>
      </c>
      <c r="C133" s="243"/>
      <c r="D133" s="119">
        <v>120</v>
      </c>
      <c r="E133" s="25" t="str">
        <f>Tp_CHG!D37</f>
        <v>Transition Probability from state 1 to state 1 on day 27 (CHG)</v>
      </c>
      <c r="F133" s="40">
        <f t="shared" si="16"/>
        <v>0.91503267973856206</v>
      </c>
      <c r="G133" s="156">
        <v>1</v>
      </c>
      <c r="H133" s="147">
        <f>Tp_CHG!G37</f>
        <v>0.91503267973856206</v>
      </c>
      <c r="I133" s="40" t="s">
        <v>58</v>
      </c>
      <c r="J133" s="40">
        <f t="shared" si="12"/>
        <v>0.73568957004208657</v>
      </c>
      <c r="K133" s="40">
        <f t="shared" si="13"/>
        <v>1.0943757894350377</v>
      </c>
      <c r="L133" s="40" t="s">
        <v>26</v>
      </c>
      <c r="M133" s="50" t="s">
        <v>266</v>
      </c>
      <c r="N133" s="190">
        <f t="shared" ca="1" si="17"/>
        <v>0.91418240729655809</v>
      </c>
      <c r="O133" s="40">
        <f t="shared" ca="1" si="14"/>
        <v>0.35982350123166629</v>
      </c>
      <c r="P133" s="51">
        <f t="shared" si="18"/>
        <v>7.5816993464052311</v>
      </c>
      <c r="Q133" s="51">
        <f t="shared" si="19"/>
        <v>0.70401493930905745</v>
      </c>
      <c r="R133" s="51">
        <f t="shared" si="15"/>
        <v>9.1503267973856217E-2</v>
      </c>
      <c r="S133"/>
      <c r="T133" s="83"/>
    </row>
    <row r="134" spans="1:20" ht="16" x14ac:dyDescent="0.2">
      <c r="A134"/>
      <c r="B134" s="103"/>
      <c r="C134" s="243"/>
      <c r="D134" s="119">
        <v>121</v>
      </c>
      <c r="E134" s="25" t="str">
        <f>Tp_CHG!D69</f>
        <v>Transition Probability from state 1 to state 2 on day 27 (CHG)</v>
      </c>
      <c r="F134" s="40">
        <f t="shared" si="16"/>
        <v>3.2679738562091505E-2</v>
      </c>
      <c r="G134" s="156">
        <v>1</v>
      </c>
      <c r="H134" s="120">
        <f>Tp_CHG!G69</f>
        <v>3.2679738562091505E-2</v>
      </c>
      <c r="I134" s="40" t="s">
        <v>58</v>
      </c>
      <c r="J134" s="40">
        <f>IF(H134=0,0,_xlfn.NORM.INV(0.025,H134,R134))</f>
        <v>2.6274627501503091E-2</v>
      </c>
      <c r="K134" s="40">
        <f>IF(H134=0,0,_xlfn.NORM.INV(0.975,H134,R134))</f>
        <v>3.9084849622679919E-2</v>
      </c>
      <c r="L134" s="40" t="s">
        <v>26</v>
      </c>
      <c r="M134" s="50" t="s">
        <v>266</v>
      </c>
      <c r="N134" s="190">
        <f t="shared" ca="1" si="17"/>
        <v>3.5892504748942455E-2</v>
      </c>
      <c r="O134" s="40">
        <f ca="1">RAND()</f>
        <v>0.83778623472255076</v>
      </c>
      <c r="P134" s="51">
        <f t="shared" si="18"/>
        <v>96.699346405228738</v>
      </c>
      <c r="Q134" s="51">
        <f t="shared" si="19"/>
        <v>2862.3006535947702</v>
      </c>
      <c r="R134" s="51">
        <f>assumedSE*H134</f>
        <v>3.2679738562091509E-3</v>
      </c>
      <c r="S134"/>
      <c r="T134" s="83"/>
    </row>
    <row r="135" spans="1:20" ht="16" x14ac:dyDescent="0.2">
      <c r="A135"/>
      <c r="B135" s="103"/>
      <c r="C135" s="243"/>
      <c r="D135" s="119">
        <v>122</v>
      </c>
      <c r="E135" s="25" t="str">
        <f>Tp_CHG!D230</f>
        <v>Transition Probability from state 1 to state 7 on day 27 (CHG)</v>
      </c>
      <c r="F135" s="40">
        <f t="shared" si="16"/>
        <v>3.2679738562091505E-2</v>
      </c>
      <c r="G135" s="156">
        <v>1</v>
      </c>
      <c r="H135" s="120">
        <f>Tp_CHG!G230</f>
        <v>3.2679738562091505E-2</v>
      </c>
      <c r="I135" s="40" t="s">
        <v>58</v>
      </c>
      <c r="J135" s="40">
        <f>IF(H135=0,0,_xlfn.NORM.INV(0.025,H135,R135))</f>
        <v>2.6274627501503091E-2</v>
      </c>
      <c r="K135" s="40">
        <f>IF(H135=0,0,_xlfn.NORM.INV(0.975,H135,R135))</f>
        <v>3.9084849622679919E-2</v>
      </c>
      <c r="L135" s="40" t="s">
        <v>26</v>
      </c>
      <c r="M135" s="50" t="s">
        <v>266</v>
      </c>
      <c r="N135" s="190">
        <f t="shared" ca="1" si="17"/>
        <v>2.5609841531183009E-2</v>
      </c>
      <c r="O135" s="40">
        <f ca="1">RAND()</f>
        <v>1.0627459182205423E-2</v>
      </c>
      <c r="P135" s="51">
        <f t="shared" si="18"/>
        <v>96.699346405228738</v>
      </c>
      <c r="Q135" s="51">
        <f t="shared" si="19"/>
        <v>2862.3006535947702</v>
      </c>
      <c r="R135" s="51">
        <f>assumedSE*H135</f>
        <v>3.2679738562091509E-3</v>
      </c>
      <c r="S135"/>
      <c r="T135" s="83"/>
    </row>
    <row r="136" spans="1:20" ht="16" x14ac:dyDescent="0.2">
      <c r="A136"/>
      <c r="B136" s="103"/>
      <c r="C136" s="243"/>
      <c r="D136" s="119">
        <v>123</v>
      </c>
      <c r="E136" s="25" t="str">
        <f>Tp_CHG!D262</f>
        <v>Transition Probability from state 1 to state 8 on day 27 (CHG)</v>
      </c>
      <c r="F136" s="40">
        <f t="shared" si="16"/>
        <v>1.9607843137254902E-2</v>
      </c>
      <c r="G136" s="156">
        <v>1</v>
      </c>
      <c r="H136" s="120">
        <f>Tp_CHG!G262</f>
        <v>1.9607843137254902E-2</v>
      </c>
      <c r="I136" s="40" t="s">
        <v>58</v>
      </c>
      <c r="J136" s="40">
        <f>IF(H136=0,0,_xlfn.NORM.INV(0.025,H136,R136))</f>
        <v>1.5764776500901856E-2</v>
      </c>
      <c r="K136" s="40">
        <f>IF(H136=0,0,_xlfn.NORM.INV(0.975,H136,R136))</f>
        <v>2.3450909773607947E-2</v>
      </c>
      <c r="L136" s="40" t="s">
        <v>26</v>
      </c>
      <c r="M136" s="50" t="s">
        <v>266</v>
      </c>
      <c r="N136" s="190">
        <f t="shared" ca="1" si="17"/>
        <v>1.5818966951066007E-2</v>
      </c>
      <c r="O136" s="40">
        <f ca="1">RAND()</f>
        <v>2.0835867701756272E-2</v>
      </c>
      <c r="P136" s="51">
        <f t="shared" si="18"/>
        <v>98.019607843137251</v>
      </c>
      <c r="Q136" s="51">
        <f t="shared" si="19"/>
        <v>4900.9803921568628</v>
      </c>
      <c r="R136" s="51">
        <f>assumedSE*H136</f>
        <v>1.9607843137254902E-3</v>
      </c>
      <c r="S136"/>
      <c r="T136" s="83"/>
    </row>
    <row r="137" spans="1:20" ht="16" x14ac:dyDescent="0.2">
      <c r="A137"/>
      <c r="B137" s="103">
        <v>8</v>
      </c>
      <c r="C137" s="243"/>
      <c r="D137" s="119">
        <v>124</v>
      </c>
      <c r="E137" s="25" t="str">
        <f>Tp_CHG!D38</f>
        <v>Transition Probability from state 1 to state 1 on day 28 (CHG)</v>
      </c>
      <c r="F137" s="40">
        <f t="shared" si="16"/>
        <v>0.92198581560283688</v>
      </c>
      <c r="G137" s="156">
        <v>1</v>
      </c>
      <c r="H137" s="147">
        <f>Tp_CHG!G38</f>
        <v>0.92198581560283688</v>
      </c>
      <c r="I137" s="40" t="s">
        <v>58</v>
      </c>
      <c r="J137" s="40">
        <f t="shared" si="12"/>
        <v>0.74127991631900214</v>
      </c>
      <c r="K137" s="40">
        <f t="shared" si="13"/>
        <v>1.1026917148866717</v>
      </c>
      <c r="L137" s="40" t="s">
        <v>26</v>
      </c>
      <c r="M137" s="50" t="s">
        <v>266</v>
      </c>
      <c r="N137" s="190">
        <f t="shared" ca="1" si="17"/>
        <v>0.89737472773671967</v>
      </c>
      <c r="O137" s="40">
        <f t="shared" ca="1" si="14"/>
        <v>0.2720465655669656</v>
      </c>
      <c r="P137" s="51">
        <f t="shared" si="18"/>
        <v>6.8794326241134733</v>
      </c>
      <c r="Q137" s="51">
        <f t="shared" si="19"/>
        <v>0.58210583742498623</v>
      </c>
      <c r="R137" s="51">
        <f t="shared" si="15"/>
        <v>9.2198581560283696E-2</v>
      </c>
      <c r="S137"/>
      <c r="T137" s="83"/>
    </row>
    <row r="138" spans="1:20" ht="16" x14ac:dyDescent="0.2">
      <c r="A138"/>
      <c r="B138" s="103"/>
      <c r="C138" s="243"/>
      <c r="D138" s="119">
        <v>125</v>
      </c>
      <c r="E138" s="25" t="str">
        <f>Tp_CHG!D70</f>
        <v>Transition Probability from state 1 to state 2 on day 28 (CHG)</v>
      </c>
      <c r="F138" s="40">
        <f t="shared" si="16"/>
        <v>2.1276595744680851E-2</v>
      </c>
      <c r="G138" s="156">
        <v>1</v>
      </c>
      <c r="H138" s="120">
        <f>Tp_CHG!G70</f>
        <v>2.1276595744680851E-2</v>
      </c>
      <c r="I138" s="40" t="s">
        <v>58</v>
      </c>
      <c r="J138" s="40">
        <f>IF(H138=0,0,_xlfn.NORM.INV(0.025,H138,R138))</f>
        <v>1.7106459607361589E-2</v>
      </c>
      <c r="K138" s="40">
        <f>IF(H138=0,0,_xlfn.NORM.INV(0.975,H138,R138))</f>
        <v>2.5446731882000112E-2</v>
      </c>
      <c r="L138" s="40" t="s">
        <v>26</v>
      </c>
      <c r="M138" s="50" t="s">
        <v>266</v>
      </c>
      <c r="N138" s="190">
        <f t="shared" ca="1" si="17"/>
        <v>1.7187042641451107E-2</v>
      </c>
      <c r="O138" s="40">
        <f ca="1">RAND()</f>
        <v>2.1444145819015437E-2</v>
      </c>
      <c r="P138" s="51">
        <f t="shared" si="18"/>
        <v>97.851063829787208</v>
      </c>
      <c r="Q138" s="51">
        <f t="shared" si="19"/>
        <v>4501.1489361702115</v>
      </c>
      <c r="R138" s="51">
        <f>assumedSE*H138</f>
        <v>2.1276595744680851E-3</v>
      </c>
      <c r="S138"/>
      <c r="T138" s="83"/>
    </row>
    <row r="139" spans="1:20" ht="16" x14ac:dyDescent="0.2">
      <c r="A139"/>
      <c r="B139" s="103"/>
      <c r="C139" s="243"/>
      <c r="D139" s="119">
        <v>126</v>
      </c>
      <c r="E139" s="25" t="str">
        <f>Tp_CHG!D231</f>
        <v>Transition Probability from state 1 to state 7 on day 28 (CHG)</v>
      </c>
      <c r="F139" s="40">
        <f t="shared" si="16"/>
        <v>3.5460992907801421E-2</v>
      </c>
      <c r="G139" s="156">
        <v>1</v>
      </c>
      <c r="H139" s="120">
        <f>Tp_CHG!G231</f>
        <v>3.5460992907801421E-2</v>
      </c>
      <c r="I139" s="40" t="s">
        <v>58</v>
      </c>
      <c r="J139" s="40">
        <f>IF(H139=0,0,_xlfn.NORM.INV(0.025,H139,R139))</f>
        <v>2.8510766012269314E-2</v>
      </c>
      <c r="K139" s="40">
        <f>IF(H139=0,0,_xlfn.NORM.INV(0.975,H139,R139))</f>
        <v>4.2411219803333525E-2</v>
      </c>
      <c r="L139" s="40" t="s">
        <v>26</v>
      </c>
      <c r="M139" s="50" t="s">
        <v>266</v>
      </c>
      <c r="N139" s="190">
        <f t="shared" ca="1" si="17"/>
        <v>3.898930790895061E-2</v>
      </c>
      <c r="O139" s="40">
        <f ca="1">RAND()</f>
        <v>0.84050916354663952</v>
      </c>
      <c r="P139" s="51">
        <f t="shared" si="18"/>
        <v>96.418439716312065</v>
      </c>
      <c r="Q139" s="51">
        <f t="shared" si="19"/>
        <v>2622.5815602836878</v>
      </c>
      <c r="R139" s="51">
        <f>assumedSE*H139</f>
        <v>3.5460992907801422E-3</v>
      </c>
      <c r="S139"/>
      <c r="T139" s="83"/>
    </row>
    <row r="140" spans="1:20" ht="16" x14ac:dyDescent="0.2">
      <c r="A140"/>
      <c r="B140" s="103"/>
      <c r="C140" s="243"/>
      <c r="D140" s="119">
        <v>127</v>
      </c>
      <c r="E140" s="25" t="str">
        <f>Tp_CHG!D263</f>
        <v>Transition Probability from state 1 to state 8 on day 28 (CHG)</v>
      </c>
      <c r="F140" s="40">
        <f t="shared" si="16"/>
        <v>2.1276595744680851E-2</v>
      </c>
      <c r="G140" s="156">
        <v>1</v>
      </c>
      <c r="H140" s="120">
        <f>Tp_CHG!G263</f>
        <v>2.1276595744680851E-2</v>
      </c>
      <c r="I140" s="40" t="s">
        <v>58</v>
      </c>
      <c r="J140" s="40">
        <f>IF(H140=0,0,_xlfn.NORM.INV(0.025,H140,R140))</f>
        <v>1.7106459607361589E-2</v>
      </c>
      <c r="K140" s="40">
        <f>IF(H140=0,0,_xlfn.NORM.INV(0.975,H140,R140))</f>
        <v>2.5446731882000112E-2</v>
      </c>
      <c r="L140" s="40" t="s">
        <v>26</v>
      </c>
      <c r="M140" s="50" t="s">
        <v>266</v>
      </c>
      <c r="N140" s="190">
        <f t="shared" ca="1" si="17"/>
        <v>2.1164722177552251E-2</v>
      </c>
      <c r="O140" s="40">
        <f ca="1">RAND()</f>
        <v>0.49201065392047172</v>
      </c>
      <c r="P140" s="51">
        <f t="shared" si="18"/>
        <v>97.851063829787208</v>
      </c>
      <c r="Q140" s="51">
        <f t="shared" si="19"/>
        <v>4501.1489361702115</v>
      </c>
      <c r="R140" s="51">
        <f>assumedSE*H140</f>
        <v>2.1276595744680851E-3</v>
      </c>
      <c r="S140"/>
      <c r="T140" s="83"/>
    </row>
    <row r="141" spans="1:20" ht="16" x14ac:dyDescent="0.2">
      <c r="A141"/>
      <c r="B141" s="103">
        <v>1</v>
      </c>
      <c r="C141" s="243"/>
      <c r="D141" s="119">
        <v>128</v>
      </c>
      <c r="E141" s="25" t="str">
        <f>Tp_CHG!D39</f>
        <v>Transition Probability from state 1 to state 1 on day 29 (CHG)</v>
      </c>
      <c r="F141" s="40">
        <f t="shared" si="16"/>
        <v>0.91911764705882348</v>
      </c>
      <c r="G141" s="156">
        <v>1</v>
      </c>
      <c r="H141" s="147">
        <f>Tp_CHG!G39</f>
        <v>0.91911764705882348</v>
      </c>
      <c r="I141" s="40" t="s">
        <v>58</v>
      </c>
      <c r="J141" s="40">
        <f t="shared" si="12"/>
        <v>0.73897389847977446</v>
      </c>
      <c r="K141" s="40">
        <f t="shared" si="13"/>
        <v>1.0992613956378725</v>
      </c>
      <c r="L141" s="40" t="s">
        <v>26</v>
      </c>
      <c r="M141" s="50" t="s">
        <v>266</v>
      </c>
      <c r="N141" s="190">
        <f t="shared" ca="1" si="17"/>
        <v>0.85848079178632064</v>
      </c>
      <c r="O141" s="40">
        <f t="shared" ca="1" si="14"/>
        <v>0.19345990443994143</v>
      </c>
      <c r="P141" s="51">
        <f t="shared" si="18"/>
        <v>7.1691176470588251</v>
      </c>
      <c r="Q141" s="51">
        <f t="shared" si="19"/>
        <v>0.630882352941177</v>
      </c>
      <c r="R141" s="51">
        <f t="shared" si="15"/>
        <v>9.1911764705882359E-2</v>
      </c>
      <c r="S141"/>
      <c r="T141" s="83"/>
    </row>
    <row r="142" spans="1:20" ht="16" x14ac:dyDescent="0.2">
      <c r="A142"/>
      <c r="B142" s="103"/>
      <c r="C142" s="243"/>
      <c r="D142" s="119">
        <v>129</v>
      </c>
      <c r="E142" s="25" t="str">
        <f>Tp_CHG!D71</f>
        <v>Transition Probability from state 1 to state 2 on day 29 (CHG)</v>
      </c>
      <c r="F142" s="40">
        <f t="shared" si="16"/>
        <v>1.4705882352941176E-2</v>
      </c>
      <c r="G142" s="156">
        <v>1</v>
      </c>
      <c r="H142" s="120">
        <f>Tp_CHG!G71</f>
        <v>1.4705882352941176E-2</v>
      </c>
      <c r="I142" s="40" t="s">
        <v>58</v>
      </c>
      <c r="J142" s="40">
        <f>IF(H142=0,0,_xlfn.NORM.INV(0.025,H142,R142))</f>
        <v>1.1823582375676392E-2</v>
      </c>
      <c r="K142" s="40">
        <f>IF(H142=0,0,_xlfn.NORM.INV(0.975,H142,R142))</f>
        <v>1.7588182330205961E-2</v>
      </c>
      <c r="L142" s="40" t="s">
        <v>26</v>
      </c>
      <c r="M142" s="50" t="s">
        <v>266</v>
      </c>
      <c r="N142" s="190">
        <f t="shared" ca="1" si="17"/>
        <v>1.4740298966169574E-2</v>
      </c>
      <c r="O142" s="40">
        <f ca="1">RAND()</f>
        <v>0.52241794527167928</v>
      </c>
      <c r="P142" s="51">
        <f t="shared" si="18"/>
        <v>98.514705882352956</v>
      </c>
      <c r="Q142" s="51">
        <f t="shared" si="19"/>
        <v>6600.4852941176487</v>
      </c>
      <c r="R142" s="51">
        <f>assumedSE*H142</f>
        <v>1.4705882352941176E-3</v>
      </c>
      <c r="S142"/>
      <c r="T142" s="83"/>
    </row>
    <row r="143" spans="1:20" ht="16" x14ac:dyDescent="0.2">
      <c r="A143"/>
      <c r="B143" s="103"/>
      <c r="C143" s="243"/>
      <c r="D143" s="119">
        <v>130</v>
      </c>
      <c r="E143" s="25" t="str">
        <f>Tp_CHG!D232</f>
        <v>Transition Probability from state 1 to state 7 on day 29 (CHG)</v>
      </c>
      <c r="F143" s="40">
        <f t="shared" ref="F143:F207" si="20">IFERROR(CHOOSE(G143,H143,J143,K143,N143),0)</f>
        <v>5.1470588235294115E-2</v>
      </c>
      <c r="G143" s="156">
        <v>1</v>
      </c>
      <c r="H143" s="120">
        <f>Tp_CHG!G232</f>
        <v>5.1470588235294115E-2</v>
      </c>
      <c r="I143" s="40" t="s">
        <v>58</v>
      </c>
      <c r="J143" s="40">
        <f>IF(H143=0,0,_xlfn.NORM.INV(0.025,H143,R143))</f>
        <v>4.1382538314867365E-2</v>
      </c>
      <c r="K143" s="40">
        <f>IF(H143=0,0,_xlfn.NORM.INV(0.975,H143,R143))</f>
        <v>6.1558638155720866E-2</v>
      </c>
      <c r="L143" s="40" t="s">
        <v>26</v>
      </c>
      <c r="M143" s="50" t="s">
        <v>266</v>
      </c>
      <c r="N143" s="190">
        <f t="shared" ca="1" si="17"/>
        <v>4.0347710569387629E-2</v>
      </c>
      <c r="O143" s="40">
        <f ca="1">RAND()</f>
        <v>1.0794804479186682E-2</v>
      </c>
      <c r="P143" s="51">
        <f t="shared" si="18"/>
        <v>94.801470588235276</v>
      </c>
      <c r="Q143" s="51">
        <f t="shared" si="19"/>
        <v>1747.0556722689073</v>
      </c>
      <c r="R143" s="51">
        <f>assumedSE*H143</f>
        <v>5.1470588235294117E-3</v>
      </c>
      <c r="S143"/>
      <c r="T143" s="83"/>
    </row>
    <row r="144" spans="1:20" ht="16" x14ac:dyDescent="0.2">
      <c r="A144"/>
      <c r="B144" s="103"/>
      <c r="C144" s="243"/>
      <c r="D144" s="119">
        <v>131</v>
      </c>
      <c r="E144" s="25" t="str">
        <f>Tp_CHG!D264</f>
        <v>Transition Probability from state 1 to state 8 on day 29 (CHG)</v>
      </c>
      <c r="F144" s="40">
        <f t="shared" si="20"/>
        <v>1.4705882352941176E-2</v>
      </c>
      <c r="G144" s="156">
        <v>1</v>
      </c>
      <c r="H144" s="120">
        <f>Tp_CHG!G264</f>
        <v>1.4705882352941176E-2</v>
      </c>
      <c r="I144" s="40" t="s">
        <v>58</v>
      </c>
      <c r="J144" s="40">
        <f>IF(H144=0,0,_xlfn.NORM.INV(0.025,H144,R144))</f>
        <v>1.1823582375676392E-2</v>
      </c>
      <c r="K144" s="40">
        <f>IF(H144=0,0,_xlfn.NORM.INV(0.975,H144,R144))</f>
        <v>1.7588182330205961E-2</v>
      </c>
      <c r="L144" s="40" t="s">
        <v>26</v>
      </c>
      <c r="M144" s="50" t="s">
        <v>266</v>
      </c>
      <c r="N144" s="190">
        <f t="shared" ca="1" si="17"/>
        <v>1.4175510768245733E-2</v>
      </c>
      <c r="O144" s="40">
        <f ca="1">RAND()</f>
        <v>0.36993308607433362</v>
      </c>
      <c r="P144" s="51">
        <f t="shared" si="18"/>
        <v>98.514705882352956</v>
      </c>
      <c r="Q144" s="51">
        <f t="shared" si="19"/>
        <v>6600.4852941176487</v>
      </c>
      <c r="R144" s="51">
        <f>assumedSE*H144</f>
        <v>1.4705882352941176E-3</v>
      </c>
      <c r="S144"/>
      <c r="T144" s="83"/>
    </row>
    <row r="145" spans="1:20" ht="16" x14ac:dyDescent="0.2">
      <c r="A145"/>
      <c r="B145" s="103">
        <v>2</v>
      </c>
      <c r="C145" s="243"/>
      <c r="D145" s="119">
        <v>132</v>
      </c>
      <c r="E145" s="25" t="str">
        <f>Tp_CHG!D40</f>
        <v>Transition Probability from state 1 to state 1 on day 30 (CHG)</v>
      </c>
      <c r="F145" s="40">
        <f t="shared" si="20"/>
        <v>0.9140625</v>
      </c>
      <c r="G145" s="156">
        <v>1</v>
      </c>
      <c r="H145" s="147">
        <f>Tp_CHG!G40</f>
        <v>0.9140625</v>
      </c>
      <c r="I145" s="40" t="s">
        <v>58</v>
      </c>
      <c r="J145" s="40">
        <f t="shared" si="12"/>
        <v>0.73490954203813574</v>
      </c>
      <c r="K145" s="40">
        <f t="shared" si="13"/>
        <v>1.0932154579618643</v>
      </c>
      <c r="L145" s="40" t="s">
        <v>26</v>
      </c>
      <c r="M145" s="50" t="s">
        <v>266</v>
      </c>
      <c r="N145" s="190">
        <f t="shared" ref="N145:N148" ca="1" si="21">_xlfn.BETA.INV(O145,P145,Q145)</f>
        <v>0.91469278260286624</v>
      </c>
      <c r="O145" s="40">
        <f t="shared" ca="1" si="14"/>
        <v>0.36713842182537182</v>
      </c>
      <c r="P145" s="51">
        <f t="shared" ref="P145:P208" si="22">IFERROR(H145*((H145*(1-H145)/(R145^2))-1),0)</f>
        <v>7.6796874999999991</v>
      </c>
      <c r="Q145" s="51">
        <f t="shared" ref="Q145:Q208" si="23">IFERROR((1-H145)*((H145*(1-H145))/(R145^2)-1),0)</f>
        <v>0.72202190170940161</v>
      </c>
      <c r="R145" s="51">
        <f t="shared" si="15"/>
        <v>9.1406250000000008E-2</v>
      </c>
      <c r="S145"/>
      <c r="T145" s="83"/>
    </row>
    <row r="146" spans="1:20" ht="16" x14ac:dyDescent="0.2">
      <c r="A146"/>
      <c r="B146" s="103"/>
      <c r="C146" s="243"/>
      <c r="D146" s="119">
        <v>133</v>
      </c>
      <c r="E146" s="25" t="str">
        <f>Tp_CHG!D72</f>
        <v>Transition Probability from state 1 to state 2 on day 30 (CHG)</v>
      </c>
      <c r="F146" s="40">
        <f t="shared" si="20"/>
        <v>2.34375E-2</v>
      </c>
      <c r="G146" s="156">
        <v>1</v>
      </c>
      <c r="H146" s="120">
        <f>Tp_CHG!G72</f>
        <v>2.34375E-2</v>
      </c>
      <c r="I146" s="40" t="s">
        <v>58</v>
      </c>
      <c r="J146" s="40">
        <f>IF(H146=0,0,_xlfn.NORM.INV(0.025,H146,R146))</f>
        <v>1.8843834411234248E-2</v>
      </c>
      <c r="K146" s="40">
        <f>IF(H146=0,0,_xlfn.NORM.INV(0.975,H146,R146))</f>
        <v>2.8031165588765752E-2</v>
      </c>
      <c r="L146" s="40" t="s">
        <v>26</v>
      </c>
      <c r="M146" s="50" t="s">
        <v>266</v>
      </c>
      <c r="N146" s="190">
        <f t="shared" ca="1" si="21"/>
        <v>1.9744092394053371E-2</v>
      </c>
      <c r="O146" s="40">
        <f ca="1">RAND()</f>
        <v>5.1363051682835059E-2</v>
      </c>
      <c r="P146" s="51">
        <f t="shared" si="22"/>
        <v>97.632812499999972</v>
      </c>
      <c r="Q146" s="51">
        <f t="shared" si="23"/>
        <v>4068.0338541666652</v>
      </c>
      <c r="R146" s="51">
        <f>assumedSE*H146</f>
        <v>2.3437500000000003E-3</v>
      </c>
      <c r="S146"/>
      <c r="T146" s="83"/>
    </row>
    <row r="147" spans="1:20" ht="16" x14ac:dyDescent="0.2">
      <c r="A147"/>
      <c r="B147" s="103"/>
      <c r="C147" s="243"/>
      <c r="D147" s="119">
        <v>134</v>
      </c>
      <c r="E147" s="25" t="str">
        <f>Tp_CHG!D233</f>
        <v>Transition Probability from state 1 to state 7 on day 30 (CHG)</v>
      </c>
      <c r="F147" s="40">
        <f t="shared" si="20"/>
        <v>3.90625E-2</v>
      </c>
      <c r="G147" s="156">
        <v>1</v>
      </c>
      <c r="H147" s="120">
        <f>Tp_CHG!G233</f>
        <v>3.90625E-2</v>
      </c>
      <c r="I147" s="40" t="s">
        <v>58</v>
      </c>
      <c r="J147" s="40">
        <f>IF(H147=0,0,_xlfn.NORM.INV(0.025,H147,R147))</f>
        <v>3.1406390685390417E-2</v>
      </c>
      <c r="K147" s="40">
        <f>IF(H147=0,0,_xlfn.NORM.INV(0.975,H147,R147))</f>
        <v>4.6718609314609583E-2</v>
      </c>
      <c r="L147" s="40" t="s">
        <v>26</v>
      </c>
      <c r="M147" s="50" t="s">
        <v>266</v>
      </c>
      <c r="N147" s="190">
        <f t="shared" ca="1" si="21"/>
        <v>3.8916127134715844E-2</v>
      </c>
      <c r="O147" s="40">
        <f ca="1">RAND()</f>
        <v>0.49780518334274004</v>
      </c>
      <c r="P147" s="51">
        <f t="shared" si="22"/>
        <v>96.0546875</v>
      </c>
      <c r="Q147" s="51">
        <f t="shared" si="23"/>
        <v>2362.9453125</v>
      </c>
      <c r="R147" s="51">
        <f>assumedSE*H147</f>
        <v>3.90625E-3</v>
      </c>
      <c r="S147"/>
      <c r="T147" s="83"/>
    </row>
    <row r="148" spans="1:20" ht="16" x14ac:dyDescent="0.2">
      <c r="A148"/>
      <c r="B148" s="103"/>
      <c r="C148" s="243"/>
      <c r="D148" s="119">
        <v>135</v>
      </c>
      <c r="E148" s="25" t="str">
        <f>Tp_CHG!D265</f>
        <v>Transition Probability from state 1 to state 8 on day 30 (CHG)</v>
      </c>
      <c r="F148" s="40">
        <f t="shared" si="20"/>
        <v>2.34375E-2</v>
      </c>
      <c r="G148" s="156">
        <v>1</v>
      </c>
      <c r="H148" s="120">
        <f>Tp_CHG!G265</f>
        <v>2.34375E-2</v>
      </c>
      <c r="I148" s="40" t="s">
        <v>58</v>
      </c>
      <c r="J148" s="40">
        <f>IF(H148=0,0,_xlfn.NORM.INV(0.025,H148,R148))</f>
        <v>1.8843834411234248E-2</v>
      </c>
      <c r="K148" s="40">
        <f>IF(H148=0,0,_xlfn.NORM.INV(0.975,H148,R148))</f>
        <v>2.8031165588765752E-2</v>
      </c>
      <c r="L148" s="40" t="s">
        <v>26</v>
      </c>
      <c r="M148" s="50" t="s">
        <v>266</v>
      </c>
      <c r="N148" s="190">
        <f t="shared" ca="1" si="21"/>
        <v>2.3566561971299915E-2</v>
      </c>
      <c r="O148" s="40">
        <f ca="1">RAND()</f>
        <v>0.5348587899969004</v>
      </c>
      <c r="P148" s="51">
        <f t="shared" si="22"/>
        <v>97.632812499999972</v>
      </c>
      <c r="Q148" s="51">
        <f t="shared" si="23"/>
        <v>4068.0338541666652</v>
      </c>
      <c r="R148" s="51">
        <f>assumedSE*H148</f>
        <v>2.3437500000000003E-3</v>
      </c>
      <c r="S148"/>
      <c r="T148" s="83"/>
    </row>
    <row r="149" spans="1:20" ht="16" x14ac:dyDescent="0.2">
      <c r="A149"/>
      <c r="B149" s="103"/>
      <c r="C149" s="243"/>
      <c r="D149" s="119">
        <v>136</v>
      </c>
      <c r="E149" s="25" t="str">
        <f>Tp_CHG!I11</f>
        <v>Transition Probability from state 2 to state 1 on day 1 (CHG)</v>
      </c>
      <c r="F149" s="40">
        <f t="shared" si="20"/>
        <v>0</v>
      </c>
      <c r="G149" s="156">
        <v>1</v>
      </c>
      <c r="H149" s="147">
        <f>Tp_CHG!L11</f>
        <v>0</v>
      </c>
      <c r="I149" s="40" t="s">
        <v>58</v>
      </c>
      <c r="J149" s="40">
        <f t="shared" si="12"/>
        <v>0</v>
      </c>
      <c r="K149" s="40">
        <f t="shared" si="13"/>
        <v>0</v>
      </c>
      <c r="L149" s="40" t="s">
        <v>58</v>
      </c>
      <c r="M149" s="50" t="s">
        <v>266</v>
      </c>
      <c r="N149" s="190"/>
      <c r="O149" s="40">
        <f t="shared" ca="1" si="14"/>
        <v>6.6748909712157078E-2</v>
      </c>
      <c r="P149" s="51">
        <f t="shared" si="22"/>
        <v>0</v>
      </c>
      <c r="Q149" s="51">
        <f t="shared" si="23"/>
        <v>0</v>
      </c>
      <c r="R149" s="51">
        <f t="shared" si="15"/>
        <v>0</v>
      </c>
      <c r="S149"/>
      <c r="T149" s="83"/>
    </row>
    <row r="150" spans="1:20" ht="16" x14ac:dyDescent="0.2">
      <c r="A150"/>
      <c r="B150" s="103"/>
      <c r="C150" s="243"/>
      <c r="D150" s="119">
        <v>137</v>
      </c>
      <c r="E150" s="25" t="str">
        <f>Tp_CHG!I12</f>
        <v>Transition Probability from state 2 to state 1 on day 2 (CHG)</v>
      </c>
      <c r="F150" s="40">
        <f t="shared" si="20"/>
        <v>1</v>
      </c>
      <c r="G150" s="156">
        <v>1</v>
      </c>
      <c r="H150" s="147">
        <f>Tp_CHG!L12</f>
        <v>1</v>
      </c>
      <c r="I150" s="40" t="s">
        <v>58</v>
      </c>
      <c r="J150" s="40">
        <f t="shared" si="12"/>
        <v>0.8040036015459946</v>
      </c>
      <c r="K150" s="40">
        <f t="shared" si="13"/>
        <v>1.1959963984540054</v>
      </c>
      <c r="L150" s="40" t="s">
        <v>58</v>
      </c>
      <c r="M150" s="50" t="s">
        <v>266</v>
      </c>
      <c r="N150" s="190"/>
      <c r="O150" s="40">
        <f t="shared" ca="1" si="14"/>
        <v>0.51043823827437063</v>
      </c>
      <c r="P150" s="51">
        <f t="shared" si="22"/>
        <v>-1</v>
      </c>
      <c r="Q150" s="51">
        <f t="shared" si="23"/>
        <v>0</v>
      </c>
      <c r="R150" s="51">
        <f t="shared" si="15"/>
        <v>0.1</v>
      </c>
      <c r="S150"/>
      <c r="T150" s="83"/>
    </row>
    <row r="151" spans="1:20" ht="16" x14ac:dyDescent="0.2">
      <c r="A151"/>
      <c r="B151" s="103"/>
      <c r="C151" s="243"/>
      <c r="D151" s="119">
        <v>138</v>
      </c>
      <c r="E151" s="25" t="str">
        <f>Tp_CHG!I13</f>
        <v>Transition Probability from state 2 to state 1 on day 3 (CHG)</v>
      </c>
      <c r="F151" s="40">
        <f t="shared" si="20"/>
        <v>0.875</v>
      </c>
      <c r="G151" s="156">
        <v>1</v>
      </c>
      <c r="H151" s="147">
        <f>Tp_CHG!L13</f>
        <v>0.875</v>
      </c>
      <c r="I151" s="40" t="s">
        <v>58</v>
      </c>
      <c r="J151" s="40">
        <f t="shared" si="12"/>
        <v>0.70350315135274522</v>
      </c>
      <c r="K151" s="40">
        <f t="shared" si="13"/>
        <v>1.0464968486472548</v>
      </c>
      <c r="L151" s="40" t="s">
        <v>26</v>
      </c>
      <c r="M151" s="50" t="s">
        <v>266</v>
      </c>
      <c r="N151" s="190">
        <f t="shared" ref="N151:N189" ca="1" si="24">_xlfn.BETA.INV(O151,P151,Q151)</f>
        <v>0.8790131876644538</v>
      </c>
      <c r="O151" s="40">
        <f t="shared" ca="1" si="14"/>
        <v>0.43365293923601822</v>
      </c>
      <c r="P151" s="51">
        <f t="shared" si="22"/>
        <v>11.624999999999998</v>
      </c>
      <c r="Q151" s="51">
        <f t="shared" si="23"/>
        <v>1.6607142857142854</v>
      </c>
      <c r="R151" s="51">
        <f t="shared" si="15"/>
        <v>8.7500000000000008E-2</v>
      </c>
      <c r="S151"/>
      <c r="T151" s="83"/>
    </row>
    <row r="152" spans="1:20" ht="16" x14ac:dyDescent="0.2">
      <c r="A152"/>
      <c r="B152" s="103"/>
      <c r="C152" s="243"/>
      <c r="D152" s="119">
        <v>139</v>
      </c>
      <c r="E152" s="25" t="str">
        <f>Tp_CHG!I45</f>
        <v>Transition Probability from state 2 to state 2 on day 3 (CHG)</v>
      </c>
      <c r="F152" s="40">
        <f t="shared" si="20"/>
        <v>4.1666666666666664E-2</v>
      </c>
      <c r="G152" s="156">
        <v>1</v>
      </c>
      <c r="H152" s="120">
        <f>Tp_CHG!L45</f>
        <v>4.1666666666666664E-2</v>
      </c>
      <c r="I152" s="40" t="s">
        <v>58</v>
      </c>
      <c r="J152" s="40">
        <f>IF(H152=0,0,_xlfn.NORM.INV(0.025,H152,R152))</f>
        <v>3.3500150064416437E-2</v>
      </c>
      <c r="K152" s="40">
        <f>IF(H152=0,0,_xlfn.NORM.INV(0.975,H152,R152))</f>
        <v>4.9833183268916892E-2</v>
      </c>
      <c r="L152" s="40" t="s">
        <v>26</v>
      </c>
      <c r="M152" s="50" t="s">
        <v>266</v>
      </c>
      <c r="N152" s="190">
        <f t="shared" ca="1" si="24"/>
        <v>4.5224238753573731E-2</v>
      </c>
      <c r="O152" s="40">
        <f ca="1">RAND()</f>
        <v>0.80595874701942016</v>
      </c>
      <c r="P152" s="51">
        <f t="shared" si="22"/>
        <v>95.791666666666657</v>
      </c>
      <c r="Q152" s="51">
        <f t="shared" si="23"/>
        <v>2203.2083333333335</v>
      </c>
      <c r="R152" s="51">
        <f>assumedSE*H152</f>
        <v>4.1666666666666666E-3</v>
      </c>
      <c r="S152"/>
      <c r="T152" s="83"/>
    </row>
    <row r="153" spans="1:20" ht="16" x14ac:dyDescent="0.2">
      <c r="A153"/>
      <c r="B153" s="103"/>
      <c r="C153" s="243"/>
      <c r="D153" s="119">
        <v>140</v>
      </c>
      <c r="E153" s="25" t="str">
        <f>Tp_CHG!I238</f>
        <v>Transition Probability from state 2 to state 8 on day 3 (CHG)</v>
      </c>
      <c r="F153" s="40">
        <f t="shared" si="20"/>
        <v>8.3333333333333329E-2</v>
      </c>
      <c r="G153" s="156">
        <v>1</v>
      </c>
      <c r="H153" s="120">
        <f>Tp_CHG!L238</f>
        <v>8.3333333333333329E-2</v>
      </c>
      <c r="I153" s="40" t="s">
        <v>58</v>
      </c>
      <c r="J153" s="40">
        <f>IF(H153=0,0,_xlfn.NORM.INV(0.025,H153,R153))</f>
        <v>6.7000300128832874E-2</v>
      </c>
      <c r="K153" s="40">
        <f>IF(H153=0,0,_xlfn.NORM.INV(0.975,H153,R153))</f>
        <v>9.9666366537833784E-2</v>
      </c>
      <c r="L153" s="40" t="s">
        <v>26</v>
      </c>
      <c r="M153" s="50" t="s">
        <v>266</v>
      </c>
      <c r="N153" s="190">
        <f t="shared" ca="1" si="24"/>
        <v>7.8201701365906512E-2</v>
      </c>
      <c r="O153" s="40">
        <f ca="1">RAND()</f>
        <v>0.27530835149846189</v>
      </c>
      <c r="P153" s="51">
        <f t="shared" si="22"/>
        <v>91.583333333333329</v>
      </c>
      <c r="Q153" s="51">
        <f t="shared" si="23"/>
        <v>1007.4166666666666</v>
      </c>
      <c r="R153" s="51">
        <f>assumedSE*H153</f>
        <v>8.3333333333333332E-3</v>
      </c>
      <c r="S153"/>
      <c r="T153" s="83"/>
    </row>
    <row r="154" spans="1:20" ht="16" x14ac:dyDescent="0.2">
      <c r="A154"/>
      <c r="B154" s="103"/>
      <c r="C154" s="243"/>
      <c r="D154" s="119">
        <v>141</v>
      </c>
      <c r="E154" s="25" t="str">
        <f>Tp_CHG!I14</f>
        <v>Transition Probability from state 2 to state 1 on day 4 (CHG)</v>
      </c>
      <c r="F154" s="40">
        <f t="shared" si="20"/>
        <v>1</v>
      </c>
      <c r="G154" s="156">
        <v>1</v>
      </c>
      <c r="H154" s="147">
        <f>Tp_CHG!L14</f>
        <v>1</v>
      </c>
      <c r="I154" s="40" t="s">
        <v>58</v>
      </c>
      <c r="J154" s="40">
        <f t="shared" si="12"/>
        <v>0.8040036015459946</v>
      </c>
      <c r="K154" s="40">
        <f t="shared" si="13"/>
        <v>1.1959963984540054</v>
      </c>
      <c r="L154" s="40" t="s">
        <v>58</v>
      </c>
      <c r="M154" s="50" t="s">
        <v>266</v>
      </c>
      <c r="N154" s="190"/>
      <c r="O154" s="40">
        <f t="shared" ca="1" si="14"/>
        <v>9.6348472318226852E-2</v>
      </c>
      <c r="P154" s="51">
        <f t="shared" si="22"/>
        <v>-1</v>
      </c>
      <c r="Q154" s="51">
        <f t="shared" si="23"/>
        <v>0</v>
      </c>
      <c r="R154" s="51">
        <f t="shared" si="15"/>
        <v>0.1</v>
      </c>
      <c r="S154"/>
      <c r="T154" s="83"/>
    </row>
    <row r="155" spans="1:20" ht="16" x14ac:dyDescent="0.2">
      <c r="A155"/>
      <c r="B155" s="103"/>
      <c r="C155" s="243"/>
      <c r="D155" s="119">
        <v>142</v>
      </c>
      <c r="E155" s="25" t="str">
        <f>Tp_CHG!I239</f>
        <v>Transition Probability from state 2 to state 8 on day 4 (CHG)</v>
      </c>
      <c r="F155" s="40">
        <f t="shared" si="20"/>
        <v>0</v>
      </c>
      <c r="G155" s="156">
        <v>1</v>
      </c>
      <c r="H155" s="120">
        <f>Tp_CHG!L239</f>
        <v>0</v>
      </c>
      <c r="I155" s="40" t="s">
        <v>58</v>
      </c>
      <c r="J155" s="40">
        <f>IF(H155=0,0,_xlfn.NORM.INV(0.025,H155,R155))</f>
        <v>0</v>
      </c>
      <c r="K155" s="40">
        <f>IF(H155=0,0,_xlfn.NORM.INV(0.975,H155,R155))</f>
        <v>0</v>
      </c>
      <c r="L155" s="40" t="s">
        <v>58</v>
      </c>
      <c r="M155" s="50" t="s">
        <v>266</v>
      </c>
      <c r="N155" s="190"/>
      <c r="O155" s="40">
        <f ca="1">RAND()</f>
        <v>0.40181987360543459</v>
      </c>
      <c r="P155" s="51">
        <f t="shared" si="22"/>
        <v>0</v>
      </c>
      <c r="Q155" s="51">
        <f t="shared" si="23"/>
        <v>0</v>
      </c>
      <c r="R155" s="51">
        <f>assumedSE*H155</f>
        <v>0</v>
      </c>
      <c r="S155"/>
      <c r="T155" s="83"/>
    </row>
    <row r="156" spans="1:20" ht="16" x14ac:dyDescent="0.2">
      <c r="A156"/>
      <c r="B156" s="103"/>
      <c r="C156" s="243"/>
      <c r="D156" s="119">
        <v>143</v>
      </c>
      <c r="E156" s="25" t="str">
        <f>Tp_CHG!I15</f>
        <v>Transition Probability from state 2 to state 1 on day 5 (CHG)</v>
      </c>
      <c r="F156" s="40">
        <f t="shared" si="20"/>
        <v>0.94736842105263153</v>
      </c>
      <c r="G156" s="156">
        <v>1</v>
      </c>
      <c r="H156" s="147">
        <f>Tp_CHG!L15</f>
        <v>0.94736842105263153</v>
      </c>
      <c r="I156" s="40" t="s">
        <v>58</v>
      </c>
      <c r="J156" s="40">
        <f t="shared" ref="J156:J197" si="25">IF(H156=0,0,_xlfn.NORM.INV(0.025,H156,R156))</f>
        <v>0.76168762251725797</v>
      </c>
      <c r="K156" s="40">
        <f t="shared" ref="K156:K197" si="26">IF(H156=0,0,_xlfn.NORM.INV(0.975,H156,R156))</f>
        <v>1.1330492195880051</v>
      </c>
      <c r="L156" s="40" t="s">
        <v>26</v>
      </c>
      <c r="M156" s="50" t="s">
        <v>266</v>
      </c>
      <c r="N156" s="190">
        <f t="shared" ca="1" si="24"/>
        <v>0.87852550342331603</v>
      </c>
      <c r="O156" s="40">
        <f t="shared" ref="O156:O195" ca="1" si="27">RAND()</f>
        <v>0.14378949544032849</v>
      </c>
      <c r="P156" s="51">
        <f t="shared" si="22"/>
        <v>4.3157894736842151</v>
      </c>
      <c r="Q156" s="51">
        <f t="shared" si="23"/>
        <v>0.23976608187134554</v>
      </c>
      <c r="R156" s="51">
        <f t="shared" ref="R156:R197" si="28">assumedSE*H156</f>
        <v>9.4736842105263161E-2</v>
      </c>
      <c r="S156"/>
      <c r="T156" s="83"/>
    </row>
    <row r="157" spans="1:20" ht="16" x14ac:dyDescent="0.2">
      <c r="A157"/>
      <c r="B157" s="103"/>
      <c r="C157" s="243"/>
      <c r="D157" s="119">
        <v>144</v>
      </c>
      <c r="E157" s="25" t="str">
        <f>Tp_CHG!I47</f>
        <v>Transition Probability from state 2 to state 2 on day 5 (CHG)</v>
      </c>
      <c r="F157" s="40">
        <f t="shared" si="20"/>
        <v>5.2631578947368418E-2</v>
      </c>
      <c r="G157" s="156">
        <v>1</v>
      </c>
      <c r="H157" s="120">
        <f>Tp_CHG!L47</f>
        <v>5.2631578947368418E-2</v>
      </c>
      <c r="I157" s="40" t="s">
        <v>58</v>
      </c>
      <c r="J157" s="40">
        <f>IF(H157=0,0,_xlfn.NORM.INV(0.025,H157,R157))</f>
        <v>4.2315979028736558E-2</v>
      </c>
      <c r="K157" s="40">
        <f>IF(H157=0,0,_xlfn.NORM.INV(0.975,H157,R157))</f>
        <v>6.2947178866000278E-2</v>
      </c>
      <c r="L157" s="40" t="s">
        <v>26</v>
      </c>
      <c r="M157" s="50" t="s">
        <v>266</v>
      </c>
      <c r="N157" s="190">
        <f t="shared" ca="1" si="24"/>
        <v>5.453048321789411E-2</v>
      </c>
      <c r="O157" s="40">
        <f ca="1">RAND()</f>
        <v>0.6510075591597223</v>
      </c>
      <c r="P157" s="51">
        <f t="shared" si="22"/>
        <v>94.684210526315795</v>
      </c>
      <c r="Q157" s="51">
        <f t="shared" si="23"/>
        <v>1704.3157894736846</v>
      </c>
      <c r="R157" s="51">
        <f>assumedSE*H157</f>
        <v>5.263157894736842E-3</v>
      </c>
      <c r="S157"/>
      <c r="T157" s="83"/>
    </row>
    <row r="158" spans="1:20" ht="16" x14ac:dyDescent="0.2">
      <c r="A158"/>
      <c r="B158" s="103"/>
      <c r="C158" s="243"/>
      <c r="D158" s="119">
        <v>145</v>
      </c>
      <c r="E158" s="25" t="str">
        <f>Tp_CHG!I16</f>
        <v>Transition Probability from state 2 to state 1 on day 6 (CHG)</v>
      </c>
      <c r="F158" s="40">
        <f t="shared" si="20"/>
        <v>1</v>
      </c>
      <c r="G158" s="156">
        <v>1</v>
      </c>
      <c r="H158" s="147">
        <f>Tp_CHG!L16</f>
        <v>1</v>
      </c>
      <c r="I158" s="40" t="s">
        <v>58</v>
      </c>
      <c r="J158" s="40">
        <f t="shared" si="25"/>
        <v>0.8040036015459946</v>
      </c>
      <c r="K158" s="40">
        <f t="shared" si="26"/>
        <v>1.1959963984540054</v>
      </c>
      <c r="L158" s="40" t="s">
        <v>58</v>
      </c>
      <c r="M158" s="50" t="s">
        <v>266</v>
      </c>
      <c r="N158" s="190"/>
      <c r="O158" s="40">
        <f t="shared" ca="1" si="27"/>
        <v>6.9649718490358059E-2</v>
      </c>
      <c r="P158" s="51">
        <f t="shared" si="22"/>
        <v>-1</v>
      </c>
      <c r="Q158" s="51">
        <f t="shared" si="23"/>
        <v>0</v>
      </c>
      <c r="R158" s="51">
        <f t="shared" si="28"/>
        <v>0.1</v>
      </c>
      <c r="S158"/>
      <c r="T158" s="83"/>
    </row>
    <row r="159" spans="1:20" ht="16" x14ac:dyDescent="0.2">
      <c r="A159"/>
      <c r="B159" s="103"/>
      <c r="C159" s="243"/>
      <c r="D159" s="119">
        <v>146</v>
      </c>
      <c r="E159" s="25" t="str">
        <f>Tp_CHG!I49</f>
        <v>Transition Probability from state 2 to state 2 on day 7 (CHG)</v>
      </c>
      <c r="F159" s="40">
        <f t="shared" si="20"/>
        <v>7.1428571428571425E-2</v>
      </c>
      <c r="G159" s="156">
        <v>1</v>
      </c>
      <c r="H159" s="120">
        <f>Tp_CHG!L49</f>
        <v>7.1428571428571425E-2</v>
      </c>
      <c r="I159" s="40" t="s">
        <v>58</v>
      </c>
      <c r="J159" s="40">
        <f>IF(H159=0,0,_xlfn.NORM.INV(0.025,H159,R159))</f>
        <v>5.7428828681856753E-2</v>
      </c>
      <c r="K159" s="40">
        <f>IF(H159=0,0,_xlfn.NORM.INV(0.975,H159,R159))</f>
        <v>8.5428314175286096E-2</v>
      </c>
      <c r="L159" s="40" t="s">
        <v>26</v>
      </c>
      <c r="M159" s="50" t="s">
        <v>266</v>
      </c>
      <c r="N159" s="190">
        <f t="shared" ca="1" si="24"/>
        <v>7.6280155623435819E-2</v>
      </c>
      <c r="O159" s="40">
        <f ca="1">RAND()</f>
        <v>0.75673196580810864</v>
      </c>
      <c r="P159" s="51">
        <f t="shared" si="22"/>
        <v>92.785714285714292</v>
      </c>
      <c r="Q159" s="51">
        <f t="shared" si="23"/>
        <v>1206.214285714286</v>
      </c>
      <c r="R159" s="51">
        <f>assumedSE*H159</f>
        <v>7.1428571428571426E-3</v>
      </c>
      <c r="S159"/>
      <c r="T159" s="83"/>
    </row>
    <row r="160" spans="1:20" ht="14" customHeight="1" x14ac:dyDescent="0.2">
      <c r="A160"/>
      <c r="B160" s="103"/>
      <c r="C160" s="243"/>
      <c r="D160" s="119">
        <v>147</v>
      </c>
      <c r="E160" s="25" t="str">
        <f>Tp_CHG!I17</f>
        <v>Transition Probability from state 2 to state 1 on day 7 (CHG)</v>
      </c>
      <c r="F160" s="40">
        <f t="shared" si="20"/>
        <v>0.9285714285714286</v>
      </c>
      <c r="G160" s="156">
        <v>1</v>
      </c>
      <c r="H160" s="147">
        <f>Tp_CHG!L17</f>
        <v>0.9285714285714286</v>
      </c>
      <c r="I160" s="40" t="s">
        <v>58</v>
      </c>
      <c r="J160" s="40">
        <f t="shared" si="25"/>
        <v>0.74657477286413787</v>
      </c>
      <c r="K160" s="40">
        <f t="shared" si="26"/>
        <v>1.1105680842787193</v>
      </c>
      <c r="L160" s="40" t="s">
        <v>26</v>
      </c>
      <c r="M160" s="50" t="s">
        <v>266</v>
      </c>
      <c r="N160" s="190">
        <f t="shared" ca="1" si="24"/>
        <v>0.99787635716032064</v>
      </c>
      <c r="O160" s="40">
        <f t="shared" ca="1" si="27"/>
        <v>0.86069218694740068</v>
      </c>
      <c r="P160" s="51">
        <f t="shared" si="22"/>
        <v>6.2142857142857117</v>
      </c>
      <c r="Q160" s="51">
        <f t="shared" si="23"/>
        <v>0.47802197802197754</v>
      </c>
      <c r="R160" s="51">
        <f t="shared" si="28"/>
        <v>9.285714285714286E-2</v>
      </c>
      <c r="S160"/>
      <c r="T160" s="83"/>
    </row>
    <row r="161" spans="1:20" ht="16" x14ac:dyDescent="0.2">
      <c r="A161"/>
      <c r="B161" s="103"/>
      <c r="C161" s="243"/>
      <c r="D161" s="119">
        <v>148</v>
      </c>
      <c r="E161" s="25" t="str">
        <f>Tp_CHG!I18</f>
        <v>Transition Probability from state 2 to state 1 on day 8 (CHG)</v>
      </c>
      <c r="F161" s="40">
        <f t="shared" si="20"/>
        <v>1</v>
      </c>
      <c r="G161" s="156">
        <v>1</v>
      </c>
      <c r="H161" s="147">
        <f>Tp_CHG!L18</f>
        <v>1</v>
      </c>
      <c r="I161" s="40" t="s">
        <v>58</v>
      </c>
      <c r="J161" s="40">
        <f t="shared" si="25"/>
        <v>0.8040036015459946</v>
      </c>
      <c r="K161" s="40">
        <f t="shared" si="26"/>
        <v>1.1959963984540054</v>
      </c>
      <c r="L161" s="40" t="s">
        <v>58</v>
      </c>
      <c r="M161" s="50" t="s">
        <v>266</v>
      </c>
      <c r="N161" s="190"/>
      <c r="O161" s="40">
        <f t="shared" ca="1" si="27"/>
        <v>0.51374297301091498</v>
      </c>
      <c r="P161" s="51">
        <f t="shared" si="22"/>
        <v>-1</v>
      </c>
      <c r="Q161" s="51">
        <f t="shared" si="23"/>
        <v>0</v>
      </c>
      <c r="R161" s="51">
        <f t="shared" si="28"/>
        <v>0.1</v>
      </c>
      <c r="S161"/>
      <c r="T161" s="83"/>
    </row>
    <row r="162" spans="1:20" ht="16" x14ac:dyDescent="0.2">
      <c r="A162"/>
      <c r="B162" s="103"/>
      <c r="C162" s="243"/>
      <c r="D162" s="119">
        <v>149</v>
      </c>
      <c r="E162" s="25" t="str">
        <f>Tp_CHG!I19</f>
        <v>Transition Probability from state 2 to state 1 on day 9 (CHG)</v>
      </c>
      <c r="F162" s="40">
        <f t="shared" si="20"/>
        <v>0.83333333333333337</v>
      </c>
      <c r="G162" s="156">
        <v>1</v>
      </c>
      <c r="H162" s="147">
        <f>Tp_CHG!L19</f>
        <v>0.83333333333333337</v>
      </c>
      <c r="I162" s="40" t="s">
        <v>58</v>
      </c>
      <c r="J162" s="40">
        <f t="shared" si="25"/>
        <v>0.6700030012883289</v>
      </c>
      <c r="K162" s="40">
        <f t="shared" si="26"/>
        <v>0.99666366537833784</v>
      </c>
      <c r="L162" s="40" t="s">
        <v>26</v>
      </c>
      <c r="M162" s="50" t="s">
        <v>266</v>
      </c>
      <c r="N162" s="190">
        <f t="shared" ca="1" si="24"/>
        <v>0.87259684381151759</v>
      </c>
      <c r="O162" s="40">
        <f t="shared" ca="1" si="27"/>
        <v>0.63561600694868825</v>
      </c>
      <c r="P162" s="51">
        <f t="shared" si="22"/>
        <v>15.833333333333329</v>
      </c>
      <c r="Q162" s="51">
        <f t="shared" si="23"/>
        <v>3.1666666666666647</v>
      </c>
      <c r="R162" s="51">
        <f t="shared" si="28"/>
        <v>8.3333333333333343E-2</v>
      </c>
      <c r="S162"/>
      <c r="T162" s="83"/>
    </row>
    <row r="163" spans="1:20" ht="16" x14ac:dyDescent="0.2">
      <c r="A163"/>
      <c r="B163" s="103"/>
      <c r="C163" s="243"/>
      <c r="D163" s="119">
        <v>150</v>
      </c>
      <c r="E163" s="25" t="str">
        <f>Tp_CHG!I147</f>
        <v>Transition Probability from state 2 to state 5 on day 9 (CHG)</v>
      </c>
      <c r="F163" s="40">
        <f t="shared" si="20"/>
        <v>5.5555555555555552E-2</v>
      </c>
      <c r="G163" s="156">
        <v>1</v>
      </c>
      <c r="H163" s="120">
        <f>Tp_CHG!L147</f>
        <v>5.5555555555555552E-2</v>
      </c>
      <c r="I163" s="40" t="s">
        <v>58</v>
      </c>
      <c r="J163" s="40">
        <f>IF(H163=0,0,_xlfn.NORM.INV(0.025,H163,R163))</f>
        <v>4.4666866752555254E-2</v>
      </c>
      <c r="K163" s="40">
        <f>IF(H163=0,0,_xlfn.NORM.INV(0.975,H163,R163))</f>
        <v>6.6444244358555851E-2</v>
      </c>
      <c r="L163" s="40" t="s">
        <v>26</v>
      </c>
      <c r="M163" s="50" t="s">
        <v>266</v>
      </c>
      <c r="N163" s="190">
        <f t="shared" ca="1" si="24"/>
        <v>5.6765597338576446E-2</v>
      </c>
      <c r="O163" s="40">
        <f ca="1">RAND()</f>
        <v>0.59777059265740939</v>
      </c>
      <c r="P163" s="51">
        <f t="shared" si="22"/>
        <v>94.388888888888872</v>
      </c>
      <c r="Q163" s="51">
        <f t="shared" si="23"/>
        <v>1604.6111111111109</v>
      </c>
      <c r="R163" s="51">
        <f>assumedSE*H163</f>
        <v>5.5555555555555558E-3</v>
      </c>
      <c r="S163"/>
      <c r="T163" s="83"/>
    </row>
    <row r="164" spans="1:20" ht="16" x14ac:dyDescent="0.2">
      <c r="A164"/>
      <c r="B164" s="103"/>
      <c r="C164" s="243"/>
      <c r="D164" s="119">
        <v>151</v>
      </c>
      <c r="E164" s="25" t="str">
        <f>Tp_CHG!I244</f>
        <v>Transition Probability from state 2 to state 8 on day 9 (CHG)</v>
      </c>
      <c r="F164" s="40">
        <f t="shared" si="20"/>
        <v>0.1111111111111111</v>
      </c>
      <c r="G164" s="156">
        <v>1</v>
      </c>
      <c r="H164" s="120">
        <f>Tp_CHG!L244</f>
        <v>0.1111111111111111</v>
      </c>
      <c r="I164" s="40" t="s">
        <v>58</v>
      </c>
      <c r="J164" s="40">
        <f>IF(H164=0,0,_xlfn.NORM.INV(0.025,H164,R164))</f>
        <v>8.9333733505110507E-2</v>
      </c>
      <c r="K164" s="40">
        <f>IF(H164=0,0,_xlfn.NORM.INV(0.975,H164,R164))</f>
        <v>0.1328884887171117</v>
      </c>
      <c r="L164" s="40" t="s">
        <v>26</v>
      </c>
      <c r="M164" s="50" t="s">
        <v>266</v>
      </c>
      <c r="N164" s="190">
        <f t="shared" ca="1" si="24"/>
        <v>0.12019465152660014</v>
      </c>
      <c r="O164" s="40">
        <f ca="1">RAND()</f>
        <v>0.79594731108533345</v>
      </c>
      <c r="P164" s="51">
        <f t="shared" si="22"/>
        <v>88.777777777777757</v>
      </c>
      <c r="Q164" s="51">
        <f t="shared" si="23"/>
        <v>710.22222222222206</v>
      </c>
      <c r="R164" s="51">
        <f>assumedSE*H164</f>
        <v>1.1111111111111112E-2</v>
      </c>
      <c r="S164"/>
      <c r="T164" s="83"/>
    </row>
    <row r="165" spans="1:20" ht="16" x14ac:dyDescent="0.2">
      <c r="A165"/>
      <c r="B165" s="103"/>
      <c r="C165" s="243"/>
      <c r="D165" s="119">
        <v>152</v>
      </c>
      <c r="E165" s="25" t="str">
        <f>Tp_CHG!I20</f>
        <v>Transition Probability from state 2 to state 1 on day 10 (CHG)</v>
      </c>
      <c r="F165" s="40">
        <f t="shared" si="20"/>
        <v>1</v>
      </c>
      <c r="G165" s="156">
        <v>1</v>
      </c>
      <c r="H165" s="147">
        <f>Tp_CHG!L20</f>
        <v>1</v>
      </c>
      <c r="I165" s="40" t="s">
        <v>58</v>
      </c>
      <c r="J165" s="40">
        <f t="shared" si="25"/>
        <v>0.8040036015459946</v>
      </c>
      <c r="K165" s="40">
        <f t="shared" si="26"/>
        <v>1.1959963984540054</v>
      </c>
      <c r="L165" s="40" t="s">
        <v>58</v>
      </c>
      <c r="M165" s="50" t="s">
        <v>266</v>
      </c>
      <c r="N165" s="190"/>
      <c r="O165" s="40">
        <f t="shared" ca="1" si="27"/>
        <v>9.7853386759854777E-2</v>
      </c>
      <c r="P165" s="51">
        <f t="shared" si="22"/>
        <v>-1</v>
      </c>
      <c r="Q165" s="51">
        <f t="shared" si="23"/>
        <v>0</v>
      </c>
      <c r="R165" s="51">
        <f t="shared" si="28"/>
        <v>0.1</v>
      </c>
      <c r="S165"/>
      <c r="T165" s="83"/>
    </row>
    <row r="166" spans="1:20" ht="16" x14ac:dyDescent="0.2">
      <c r="A166"/>
      <c r="B166" s="103"/>
      <c r="C166" s="243"/>
      <c r="D166" s="119">
        <v>153</v>
      </c>
      <c r="E166" s="25" t="str">
        <f>Tp_CHG!I21</f>
        <v>Transition Probability from state 2 to state 1 on day 11 (CHG)</v>
      </c>
      <c r="F166" s="40">
        <f t="shared" si="20"/>
        <v>1</v>
      </c>
      <c r="G166" s="156">
        <v>1</v>
      </c>
      <c r="H166" s="147">
        <f>Tp_CHG!L21</f>
        <v>1</v>
      </c>
      <c r="I166" s="40" t="s">
        <v>58</v>
      </c>
      <c r="J166" s="40">
        <f t="shared" si="25"/>
        <v>0.8040036015459946</v>
      </c>
      <c r="K166" s="40">
        <f t="shared" si="26"/>
        <v>1.1959963984540054</v>
      </c>
      <c r="L166" s="40" t="s">
        <v>58</v>
      </c>
      <c r="M166" s="50" t="s">
        <v>266</v>
      </c>
      <c r="N166" s="190"/>
      <c r="O166" s="40">
        <f t="shared" ca="1" si="27"/>
        <v>5.3400562478793767E-2</v>
      </c>
      <c r="P166" s="51">
        <f t="shared" si="22"/>
        <v>-1</v>
      </c>
      <c r="Q166" s="51">
        <f t="shared" si="23"/>
        <v>0</v>
      </c>
      <c r="R166" s="51">
        <f t="shared" si="28"/>
        <v>0.1</v>
      </c>
      <c r="S166"/>
      <c r="T166" s="83"/>
    </row>
    <row r="167" spans="1:20" ht="16" x14ac:dyDescent="0.2">
      <c r="A167"/>
      <c r="B167" s="103"/>
      <c r="C167" s="243"/>
      <c r="D167" s="119">
        <v>154</v>
      </c>
      <c r="E167" s="25" t="str">
        <f>Tp_CHG!I22</f>
        <v>Transition Probability from state 2 to state 1 on day 12 (CHG)</v>
      </c>
      <c r="F167" s="40">
        <f t="shared" si="20"/>
        <v>1</v>
      </c>
      <c r="G167" s="156">
        <v>1</v>
      </c>
      <c r="H167" s="147">
        <f>Tp_CHG!L22</f>
        <v>1</v>
      </c>
      <c r="I167" s="40" t="s">
        <v>58</v>
      </c>
      <c r="J167" s="40">
        <f t="shared" si="25"/>
        <v>0.8040036015459946</v>
      </c>
      <c r="K167" s="40">
        <f t="shared" si="26"/>
        <v>1.1959963984540054</v>
      </c>
      <c r="L167" s="40" t="s">
        <v>58</v>
      </c>
      <c r="M167" s="50" t="s">
        <v>266</v>
      </c>
      <c r="N167" s="190"/>
      <c r="O167" s="40">
        <f t="shared" ca="1" si="27"/>
        <v>0.36438280514051979</v>
      </c>
      <c r="P167" s="51">
        <f t="shared" si="22"/>
        <v>-1</v>
      </c>
      <c r="Q167" s="51">
        <f t="shared" si="23"/>
        <v>0</v>
      </c>
      <c r="R167" s="51">
        <f t="shared" si="28"/>
        <v>0.1</v>
      </c>
      <c r="S167"/>
      <c r="T167" s="83"/>
    </row>
    <row r="168" spans="1:20" ht="16" x14ac:dyDescent="0.2">
      <c r="A168"/>
      <c r="B168" s="103"/>
      <c r="C168" s="243"/>
      <c r="D168" s="119">
        <v>155</v>
      </c>
      <c r="E168" s="25" t="str">
        <f>Tp_CHG!I23</f>
        <v>Transition Probability from state 2 to state 1 on day 13 (CHG)</v>
      </c>
      <c r="F168" s="40">
        <f t="shared" si="20"/>
        <v>0.7142857142857143</v>
      </c>
      <c r="G168" s="156">
        <v>1</v>
      </c>
      <c r="H168" s="147">
        <f>Tp_CHG!L23</f>
        <v>0.7142857142857143</v>
      </c>
      <c r="I168" s="40" t="s">
        <v>58</v>
      </c>
      <c r="J168" s="40">
        <f t="shared" si="25"/>
        <v>0.57428828681856758</v>
      </c>
      <c r="K168" s="40">
        <f t="shared" si="26"/>
        <v>0.85428314175286102</v>
      </c>
      <c r="L168" s="40" t="s">
        <v>26</v>
      </c>
      <c r="M168" s="50" t="s">
        <v>266</v>
      </c>
      <c r="N168" s="190">
        <f t="shared" ca="1" si="24"/>
        <v>0.71563316889237905</v>
      </c>
      <c r="O168" s="40">
        <f t="shared" ca="1" si="27"/>
        <v>0.48710181802811725</v>
      </c>
      <c r="P168" s="51">
        <f t="shared" si="22"/>
        <v>27.857142857142854</v>
      </c>
      <c r="Q168" s="51">
        <f t="shared" si="23"/>
        <v>11.142857142857141</v>
      </c>
      <c r="R168" s="51">
        <f t="shared" si="28"/>
        <v>7.1428571428571438E-2</v>
      </c>
      <c r="S168"/>
      <c r="T168" s="83"/>
    </row>
    <row r="169" spans="1:20" ht="16" x14ac:dyDescent="0.2">
      <c r="A169"/>
      <c r="B169" s="103"/>
      <c r="C169" s="243"/>
      <c r="D169" s="119">
        <v>156</v>
      </c>
      <c r="E169" s="25" t="str">
        <f>Tp_CHG!I55</f>
        <v>Transition Probability from state 2 to state 2 on day 13 (CHG)</v>
      </c>
      <c r="F169" s="40">
        <f t="shared" si="20"/>
        <v>0.2857142857142857</v>
      </c>
      <c r="G169" s="156">
        <v>1</v>
      </c>
      <c r="H169" s="120">
        <f>Tp_CHG!L55</f>
        <v>0.2857142857142857</v>
      </c>
      <c r="I169" s="40" t="s">
        <v>58</v>
      </c>
      <c r="J169" s="40">
        <f>IF(H169=0,0,_xlfn.NORM.INV(0.025,H169,R169))</f>
        <v>0.22971531472742701</v>
      </c>
      <c r="K169" s="40">
        <f>IF(H169=0,0,_xlfn.NORM.INV(0.975,H169,R169))</f>
        <v>0.34171325670114439</v>
      </c>
      <c r="L169" s="40" t="s">
        <v>26</v>
      </c>
      <c r="M169" s="50" t="s">
        <v>266</v>
      </c>
      <c r="N169" s="190">
        <f t="shared" ca="1" si="24"/>
        <v>0.26480332190676192</v>
      </c>
      <c r="O169" s="40">
        <f ca="1">RAND()</f>
        <v>0.23547404071596734</v>
      </c>
      <c r="P169" s="51">
        <f t="shared" si="22"/>
        <v>71.142857142857153</v>
      </c>
      <c r="Q169" s="51">
        <f t="shared" si="23"/>
        <v>177.85714285714289</v>
      </c>
      <c r="R169" s="51">
        <f>assumedSE*H169</f>
        <v>2.8571428571428571E-2</v>
      </c>
      <c r="S169"/>
      <c r="T169" s="83"/>
    </row>
    <row r="170" spans="1:20" ht="16" x14ac:dyDescent="0.2">
      <c r="A170"/>
      <c r="B170" s="103"/>
      <c r="C170" s="243"/>
      <c r="D170" s="119">
        <v>157</v>
      </c>
      <c r="E170" s="25" t="str">
        <f>Tp_CHG!I24</f>
        <v>Transition Probability from state 2 to state 1 on day 14 (CHG)</v>
      </c>
      <c r="F170" s="40">
        <f t="shared" si="20"/>
        <v>1</v>
      </c>
      <c r="G170" s="156">
        <v>1</v>
      </c>
      <c r="H170" s="147">
        <f>Tp_CHG!L24</f>
        <v>1</v>
      </c>
      <c r="I170" s="40" t="s">
        <v>58</v>
      </c>
      <c r="J170" s="40">
        <f t="shared" si="25"/>
        <v>0.8040036015459946</v>
      </c>
      <c r="K170" s="40">
        <f t="shared" si="26"/>
        <v>1.1959963984540054</v>
      </c>
      <c r="L170" s="40" t="s">
        <v>58</v>
      </c>
      <c r="M170" s="50" t="s">
        <v>266</v>
      </c>
      <c r="N170" s="190"/>
      <c r="O170" s="40">
        <f t="shared" ca="1" si="27"/>
        <v>0.32306794305389963</v>
      </c>
      <c r="P170" s="51">
        <f t="shared" si="22"/>
        <v>-1</v>
      </c>
      <c r="Q170" s="51">
        <f t="shared" si="23"/>
        <v>0</v>
      </c>
      <c r="R170" s="51">
        <f t="shared" si="28"/>
        <v>0.1</v>
      </c>
      <c r="S170"/>
      <c r="T170" s="83"/>
    </row>
    <row r="171" spans="1:20" ht="16" x14ac:dyDescent="0.2">
      <c r="A171"/>
      <c r="B171" s="103"/>
      <c r="C171" s="243"/>
      <c r="D171" s="119">
        <v>158</v>
      </c>
      <c r="E171" s="25" t="str">
        <f>Tp_CHG!I25</f>
        <v>Transition Probability from state 2 to state 1 on day 15 (CHG)</v>
      </c>
      <c r="F171" s="40">
        <f t="shared" si="20"/>
        <v>1</v>
      </c>
      <c r="G171" s="156">
        <v>1</v>
      </c>
      <c r="H171" s="147">
        <f>Tp_CHG!L25</f>
        <v>1</v>
      </c>
      <c r="I171" s="40" t="s">
        <v>58</v>
      </c>
      <c r="J171" s="40">
        <f t="shared" si="25"/>
        <v>0.8040036015459946</v>
      </c>
      <c r="K171" s="40">
        <f t="shared" si="26"/>
        <v>1.1959963984540054</v>
      </c>
      <c r="L171" s="40" t="s">
        <v>58</v>
      </c>
      <c r="M171" s="50" t="s">
        <v>266</v>
      </c>
      <c r="N171" s="190"/>
      <c r="O171" s="40">
        <f t="shared" ca="1" si="27"/>
        <v>0.60162496202184979</v>
      </c>
      <c r="P171" s="51">
        <f t="shared" si="22"/>
        <v>-1</v>
      </c>
      <c r="Q171" s="51">
        <f t="shared" si="23"/>
        <v>0</v>
      </c>
      <c r="R171" s="51">
        <f t="shared" si="28"/>
        <v>0.1</v>
      </c>
      <c r="S171"/>
      <c r="T171" s="83"/>
    </row>
    <row r="172" spans="1:20" ht="16" x14ac:dyDescent="0.2">
      <c r="A172"/>
      <c r="B172" s="103"/>
      <c r="C172" s="243"/>
      <c r="D172" s="119">
        <v>159</v>
      </c>
      <c r="E172" s="25" t="str">
        <f>Tp_CHG!I26</f>
        <v>Transition Probability from state 2 to state 1 on day 16 (CHG)</v>
      </c>
      <c r="F172" s="40">
        <f t="shared" si="20"/>
        <v>1</v>
      </c>
      <c r="G172" s="156">
        <v>1</v>
      </c>
      <c r="H172" s="147">
        <f>Tp_CHG!L26</f>
        <v>1</v>
      </c>
      <c r="I172" s="40" t="s">
        <v>58</v>
      </c>
      <c r="J172" s="40">
        <f t="shared" si="25"/>
        <v>0.8040036015459946</v>
      </c>
      <c r="K172" s="40">
        <f t="shared" si="26"/>
        <v>1.1959963984540054</v>
      </c>
      <c r="L172" s="40" t="s">
        <v>58</v>
      </c>
      <c r="M172" s="50" t="s">
        <v>266</v>
      </c>
      <c r="N172" s="190"/>
      <c r="O172" s="40">
        <f t="shared" ca="1" si="27"/>
        <v>0.23084805195594915</v>
      </c>
      <c r="P172" s="51">
        <f t="shared" si="22"/>
        <v>-1</v>
      </c>
      <c r="Q172" s="51">
        <f t="shared" si="23"/>
        <v>0</v>
      </c>
      <c r="R172" s="51">
        <f t="shared" si="28"/>
        <v>0.1</v>
      </c>
      <c r="S172"/>
      <c r="T172" s="83"/>
    </row>
    <row r="173" spans="1:20" ht="16" x14ac:dyDescent="0.2">
      <c r="A173"/>
      <c r="B173" s="103"/>
      <c r="C173" s="243"/>
      <c r="D173" s="119">
        <v>160</v>
      </c>
      <c r="E173" s="25" t="str">
        <f>Tp_CHG!I27</f>
        <v>Transition Probability from state 2 to state 1 on day 17 (CHG)</v>
      </c>
      <c r="F173" s="40">
        <f t="shared" si="20"/>
        <v>0.90909090909090906</v>
      </c>
      <c r="G173" s="156">
        <v>1</v>
      </c>
      <c r="H173" s="147">
        <f>Tp_CHG!L27</f>
        <v>0.90909090909090906</v>
      </c>
      <c r="I173" s="40" t="s">
        <v>58</v>
      </c>
      <c r="J173" s="40">
        <f t="shared" si="25"/>
        <v>0.73091236504181323</v>
      </c>
      <c r="K173" s="40">
        <f t="shared" si="26"/>
        <v>1.0872694531400049</v>
      </c>
      <c r="L173" s="40" t="s">
        <v>26</v>
      </c>
      <c r="M173" s="50" t="s">
        <v>266</v>
      </c>
      <c r="N173" s="190">
        <f t="shared" ca="1" si="24"/>
        <v>0.98516843398398224</v>
      </c>
      <c r="O173" s="40">
        <f t="shared" ca="1" si="27"/>
        <v>0.82029921920306936</v>
      </c>
      <c r="P173" s="51">
        <f t="shared" si="22"/>
        <v>8.1818181818181852</v>
      </c>
      <c r="Q173" s="51">
        <f t="shared" si="23"/>
        <v>0.81818181818181879</v>
      </c>
      <c r="R173" s="51">
        <f t="shared" si="28"/>
        <v>9.0909090909090912E-2</v>
      </c>
      <c r="S173"/>
      <c r="T173" s="83"/>
    </row>
    <row r="174" spans="1:20" ht="16" x14ac:dyDescent="0.2">
      <c r="A174"/>
      <c r="B174" s="103"/>
      <c r="C174" s="243"/>
      <c r="D174" s="119">
        <v>161</v>
      </c>
      <c r="E174" s="25" t="str">
        <f>Tp_CHG!I59</f>
        <v>Transition Probability from state 2 to state 2 on day 17 (CHG)</v>
      </c>
      <c r="F174" s="40">
        <f t="shared" si="20"/>
        <v>9.0909090909090912E-2</v>
      </c>
      <c r="G174" s="156">
        <v>1</v>
      </c>
      <c r="H174" s="120">
        <f>Tp_CHG!L59</f>
        <v>9.0909090909090912E-2</v>
      </c>
      <c r="I174" s="40" t="s">
        <v>58</v>
      </c>
      <c r="J174" s="40">
        <f>IF(H174=0,0,_xlfn.NORM.INV(0.025,H174,R174))</f>
        <v>7.3091236504181326E-2</v>
      </c>
      <c r="K174" s="40">
        <f>IF(H174=0,0,_xlfn.NORM.INV(0.975,H174,R174))</f>
        <v>0.10872694531400048</v>
      </c>
      <c r="L174" s="40" t="s">
        <v>26</v>
      </c>
      <c r="M174" s="50" t="s">
        <v>266</v>
      </c>
      <c r="N174" s="190">
        <f t="shared" ca="1" si="24"/>
        <v>8.914899106878002E-2</v>
      </c>
      <c r="O174" s="40">
        <f ca="1">RAND()</f>
        <v>0.43465545218260038</v>
      </c>
      <c r="P174" s="51">
        <f t="shared" si="22"/>
        <v>90.818181818181799</v>
      </c>
      <c r="Q174" s="51">
        <f t="shared" si="23"/>
        <v>908.1818181818179</v>
      </c>
      <c r="R174" s="51">
        <f>assumedSE*H174</f>
        <v>9.0909090909090922E-3</v>
      </c>
      <c r="S174"/>
      <c r="T174" s="83"/>
    </row>
    <row r="175" spans="1:20" ht="16" x14ac:dyDescent="0.2">
      <c r="A175"/>
      <c r="B175" s="103"/>
      <c r="C175" s="243"/>
      <c r="D175" s="119">
        <v>162</v>
      </c>
      <c r="E175" s="25" t="str">
        <f>Tp_CHG!I28</f>
        <v>Transition Probability from state 2 to state 1 on day 18 (CHG)</v>
      </c>
      <c r="F175" s="40">
        <f t="shared" si="20"/>
        <v>1</v>
      </c>
      <c r="G175" s="156">
        <v>1</v>
      </c>
      <c r="H175" s="147">
        <f>Tp_CHG!L28</f>
        <v>1</v>
      </c>
      <c r="I175" s="40" t="s">
        <v>58</v>
      </c>
      <c r="J175" s="40">
        <f t="shared" si="25"/>
        <v>0.8040036015459946</v>
      </c>
      <c r="K175" s="40">
        <f t="shared" si="26"/>
        <v>1.1959963984540054</v>
      </c>
      <c r="L175" s="40" t="s">
        <v>58</v>
      </c>
      <c r="M175" s="50" t="s">
        <v>266</v>
      </c>
      <c r="N175" s="190"/>
      <c r="O175" s="40">
        <f t="shared" ca="1" si="27"/>
        <v>0.69906440495881594</v>
      </c>
      <c r="P175" s="51">
        <f t="shared" si="22"/>
        <v>-1</v>
      </c>
      <c r="Q175" s="51">
        <f t="shared" si="23"/>
        <v>0</v>
      </c>
      <c r="R175" s="51">
        <f t="shared" si="28"/>
        <v>0.1</v>
      </c>
      <c r="S175"/>
      <c r="T175" s="83"/>
    </row>
    <row r="176" spans="1:20" ht="16" x14ac:dyDescent="0.2">
      <c r="A176"/>
      <c r="B176" s="103"/>
      <c r="C176" s="243"/>
      <c r="D176" s="119">
        <v>163</v>
      </c>
      <c r="E176" s="25" t="str">
        <f>Tp_CHG!I29</f>
        <v>Transition Probability from state 2 to state 1 on day 19 (CHG)</v>
      </c>
      <c r="F176" s="40">
        <f t="shared" si="20"/>
        <v>1</v>
      </c>
      <c r="G176" s="156">
        <v>1</v>
      </c>
      <c r="H176" s="147">
        <f>Tp_CHG!L29</f>
        <v>1</v>
      </c>
      <c r="I176" s="40" t="s">
        <v>58</v>
      </c>
      <c r="J176" s="40">
        <f t="shared" si="25"/>
        <v>0.8040036015459946</v>
      </c>
      <c r="K176" s="40">
        <f t="shared" si="26"/>
        <v>1.1959963984540054</v>
      </c>
      <c r="L176" s="40" t="s">
        <v>58</v>
      </c>
      <c r="M176" s="50" t="s">
        <v>266</v>
      </c>
      <c r="N176" s="190"/>
      <c r="O176" s="40">
        <f t="shared" ca="1" si="27"/>
        <v>5.7631061950090157E-2</v>
      </c>
      <c r="P176" s="51">
        <f t="shared" si="22"/>
        <v>-1</v>
      </c>
      <c r="Q176" s="51">
        <f t="shared" si="23"/>
        <v>0</v>
      </c>
      <c r="R176" s="51">
        <f t="shared" si="28"/>
        <v>0.1</v>
      </c>
      <c r="S176"/>
      <c r="T176" s="83"/>
    </row>
    <row r="177" spans="1:20" ht="16" x14ac:dyDescent="0.2">
      <c r="A177"/>
      <c r="B177" s="103"/>
      <c r="C177" s="243"/>
      <c r="D177" s="119">
        <v>164</v>
      </c>
      <c r="E177" s="25" t="str">
        <f>Tp_CHG!I30</f>
        <v>Transition Probability from state 2 to state 1 on day 20 (CHG)</v>
      </c>
      <c r="F177" s="40">
        <f t="shared" si="20"/>
        <v>1</v>
      </c>
      <c r="G177" s="156">
        <v>1</v>
      </c>
      <c r="H177" s="147">
        <f>Tp_CHG!L30</f>
        <v>1</v>
      </c>
      <c r="I177" s="40" t="s">
        <v>58</v>
      </c>
      <c r="J177" s="40">
        <f t="shared" si="25"/>
        <v>0.8040036015459946</v>
      </c>
      <c r="K177" s="40">
        <f t="shared" si="26"/>
        <v>1.1959963984540054</v>
      </c>
      <c r="L177" s="40" t="s">
        <v>58</v>
      </c>
      <c r="M177" s="50" t="s">
        <v>266</v>
      </c>
      <c r="N177" s="190"/>
      <c r="O177" s="40">
        <f t="shared" ca="1" si="27"/>
        <v>0.19882395586605195</v>
      </c>
      <c r="P177" s="51">
        <f t="shared" si="22"/>
        <v>-1</v>
      </c>
      <c r="Q177" s="51">
        <f t="shared" si="23"/>
        <v>0</v>
      </c>
      <c r="R177" s="51">
        <f t="shared" si="28"/>
        <v>0.1</v>
      </c>
      <c r="S177"/>
      <c r="T177" s="83"/>
    </row>
    <row r="178" spans="1:20" ht="16" x14ac:dyDescent="0.2">
      <c r="A178"/>
      <c r="B178" s="103"/>
      <c r="C178" s="243"/>
      <c r="D178" s="119">
        <v>165</v>
      </c>
      <c r="E178" s="25" t="str">
        <f>Tp_CHG!I31</f>
        <v>Transition Probability from state 2 to state 1 on day 21 (CHG)</v>
      </c>
      <c r="F178" s="40">
        <f t="shared" si="20"/>
        <v>1</v>
      </c>
      <c r="G178" s="156">
        <v>1</v>
      </c>
      <c r="H178" s="147">
        <f>Tp_CHG!L31</f>
        <v>1</v>
      </c>
      <c r="I178" s="40" t="s">
        <v>58</v>
      </c>
      <c r="J178" s="40">
        <f t="shared" si="25"/>
        <v>0.8040036015459946</v>
      </c>
      <c r="K178" s="40">
        <f t="shared" si="26"/>
        <v>1.1959963984540054</v>
      </c>
      <c r="L178" s="40" t="s">
        <v>58</v>
      </c>
      <c r="M178" s="50" t="s">
        <v>266</v>
      </c>
      <c r="N178" s="190"/>
      <c r="O178" s="40">
        <f t="shared" ca="1" si="27"/>
        <v>2.2757006699990256E-2</v>
      </c>
      <c r="P178" s="51">
        <f t="shared" si="22"/>
        <v>-1</v>
      </c>
      <c r="Q178" s="51">
        <f t="shared" si="23"/>
        <v>0</v>
      </c>
      <c r="R178" s="51">
        <f t="shared" si="28"/>
        <v>0.1</v>
      </c>
      <c r="S178"/>
      <c r="T178" s="83"/>
    </row>
    <row r="179" spans="1:20" ht="16" x14ac:dyDescent="0.2">
      <c r="A179"/>
      <c r="B179" s="103"/>
      <c r="C179" s="243"/>
      <c r="D179" s="119">
        <v>166</v>
      </c>
      <c r="E179" s="25" t="str">
        <f>Tp_CHG!I32</f>
        <v>Transition Probability from state 2 to state 1 on day 22 (CHG)</v>
      </c>
      <c r="F179" s="40">
        <f t="shared" si="20"/>
        <v>1</v>
      </c>
      <c r="G179" s="156">
        <v>1</v>
      </c>
      <c r="H179" s="147">
        <f>Tp_CHG!L32</f>
        <v>1</v>
      </c>
      <c r="I179" s="40" t="s">
        <v>58</v>
      </c>
      <c r="J179" s="40">
        <f t="shared" si="25"/>
        <v>0.8040036015459946</v>
      </c>
      <c r="K179" s="40">
        <f t="shared" si="26"/>
        <v>1.1959963984540054</v>
      </c>
      <c r="L179" s="40" t="s">
        <v>58</v>
      </c>
      <c r="M179" s="50" t="s">
        <v>266</v>
      </c>
      <c r="N179" s="190"/>
      <c r="O179" s="40">
        <f t="shared" ca="1" si="27"/>
        <v>0.68440389009281755</v>
      </c>
      <c r="P179" s="51">
        <f t="shared" si="22"/>
        <v>-1</v>
      </c>
      <c r="Q179" s="51">
        <f t="shared" si="23"/>
        <v>0</v>
      </c>
      <c r="R179" s="51">
        <f t="shared" si="28"/>
        <v>0.1</v>
      </c>
      <c r="S179"/>
      <c r="T179" s="83"/>
    </row>
    <row r="180" spans="1:20" ht="16" x14ac:dyDescent="0.2">
      <c r="A180"/>
      <c r="B180" s="103"/>
      <c r="C180" s="243"/>
      <c r="D180" s="119">
        <v>167</v>
      </c>
      <c r="E180" s="25" t="str">
        <f>Tp_CHG!I33</f>
        <v>Transition Probability from state 2 to state 1 on day 23 (CHG)</v>
      </c>
      <c r="F180" s="40">
        <f t="shared" si="20"/>
        <v>1</v>
      </c>
      <c r="G180" s="156">
        <v>1</v>
      </c>
      <c r="H180" s="147">
        <f>Tp_CHG!L33</f>
        <v>1</v>
      </c>
      <c r="I180" s="40" t="s">
        <v>58</v>
      </c>
      <c r="J180" s="40">
        <f t="shared" si="25"/>
        <v>0.8040036015459946</v>
      </c>
      <c r="K180" s="40">
        <f t="shared" si="26"/>
        <v>1.1959963984540054</v>
      </c>
      <c r="L180" s="40" t="s">
        <v>58</v>
      </c>
      <c r="M180" s="50" t="s">
        <v>266</v>
      </c>
      <c r="N180" s="190"/>
      <c r="O180" s="40">
        <f t="shared" ca="1" si="27"/>
        <v>0.48142098384914889</v>
      </c>
      <c r="P180" s="51">
        <f t="shared" si="22"/>
        <v>-1</v>
      </c>
      <c r="Q180" s="51">
        <f t="shared" si="23"/>
        <v>0</v>
      </c>
      <c r="R180" s="51">
        <f t="shared" si="28"/>
        <v>0.1</v>
      </c>
      <c r="S180"/>
      <c r="T180" s="83"/>
    </row>
    <row r="181" spans="1:20" ht="16" x14ac:dyDescent="0.2">
      <c r="A181"/>
      <c r="B181" s="103"/>
      <c r="C181" s="243"/>
      <c r="D181" s="119">
        <v>168</v>
      </c>
      <c r="E181" s="25" t="str">
        <f>Tp_CHG!I34</f>
        <v>Transition Probability from state 2 to state 1 on day 24 (CHG)</v>
      </c>
      <c r="F181" s="40">
        <f t="shared" si="20"/>
        <v>1</v>
      </c>
      <c r="G181" s="156">
        <v>1</v>
      </c>
      <c r="H181" s="147">
        <f>Tp_CHG!L34</f>
        <v>1</v>
      </c>
      <c r="I181" s="40" t="s">
        <v>58</v>
      </c>
      <c r="J181" s="40">
        <f t="shared" si="25"/>
        <v>0.8040036015459946</v>
      </c>
      <c r="K181" s="40">
        <f t="shared" si="26"/>
        <v>1.1959963984540054</v>
      </c>
      <c r="L181" s="40" t="s">
        <v>58</v>
      </c>
      <c r="M181" s="50" t="s">
        <v>266</v>
      </c>
      <c r="N181" s="190"/>
      <c r="O181" s="40">
        <f t="shared" ca="1" si="27"/>
        <v>0.92974090507742568</v>
      </c>
      <c r="P181" s="51">
        <f t="shared" si="22"/>
        <v>-1</v>
      </c>
      <c r="Q181" s="51">
        <f t="shared" si="23"/>
        <v>0</v>
      </c>
      <c r="R181" s="51">
        <f t="shared" si="28"/>
        <v>0.1</v>
      </c>
      <c r="S181"/>
      <c r="T181" s="83"/>
    </row>
    <row r="182" spans="1:20" ht="16" x14ac:dyDescent="0.2">
      <c r="A182"/>
      <c r="B182" s="103"/>
      <c r="C182" s="243"/>
      <c r="D182" s="119">
        <v>169</v>
      </c>
      <c r="E182" s="25" t="str">
        <f>Tp_CHG!I35</f>
        <v>Transition Probability from state 2 to state 1 on day 25 (CHG)</v>
      </c>
      <c r="F182" s="40">
        <f t="shared" si="20"/>
        <v>0.5</v>
      </c>
      <c r="G182" s="156">
        <v>1</v>
      </c>
      <c r="H182" s="147">
        <f>Tp_CHG!L35</f>
        <v>0.5</v>
      </c>
      <c r="I182" s="40" t="s">
        <v>58</v>
      </c>
      <c r="J182" s="40">
        <f t="shared" si="25"/>
        <v>0.4020018007729973</v>
      </c>
      <c r="K182" s="40">
        <f t="shared" si="26"/>
        <v>0.5979981992270027</v>
      </c>
      <c r="L182" s="40" t="s">
        <v>26</v>
      </c>
      <c r="M182" s="50" t="s">
        <v>266</v>
      </c>
      <c r="N182" s="190">
        <f t="shared" ca="1" si="24"/>
        <v>0.49620679338626034</v>
      </c>
      <c r="O182" s="40">
        <f t="shared" ca="1" si="27"/>
        <v>0.46999017056905967</v>
      </c>
      <c r="P182" s="51">
        <f t="shared" si="22"/>
        <v>49.499999999999993</v>
      </c>
      <c r="Q182" s="51">
        <f t="shared" si="23"/>
        <v>49.499999999999993</v>
      </c>
      <c r="R182" s="51">
        <f t="shared" si="28"/>
        <v>0.05</v>
      </c>
      <c r="S182"/>
      <c r="T182" s="83"/>
    </row>
    <row r="183" spans="1:20" ht="16" x14ac:dyDescent="0.2">
      <c r="A183"/>
      <c r="B183" s="103"/>
      <c r="C183" s="243"/>
      <c r="D183" s="119">
        <v>170</v>
      </c>
      <c r="E183" s="25" t="str">
        <f>Tp_CHG!I67</f>
        <v>Transition Probability from state 2 to state 2 on day 25 (CHG)</v>
      </c>
      <c r="F183" s="40">
        <f t="shared" si="20"/>
        <v>0.5</v>
      </c>
      <c r="G183" s="156">
        <v>1</v>
      </c>
      <c r="H183" s="120">
        <f>Tp_CHG!L67</f>
        <v>0.5</v>
      </c>
      <c r="I183" s="40" t="s">
        <v>58</v>
      </c>
      <c r="J183" s="40">
        <f>IF(H183=0,0,_xlfn.NORM.INV(0.025,H183,R183))</f>
        <v>0.4020018007729973</v>
      </c>
      <c r="K183" s="40">
        <f>IF(H183=0,0,_xlfn.NORM.INV(0.975,H183,R183))</f>
        <v>0.5979981992270027</v>
      </c>
      <c r="L183" s="40" t="s">
        <v>26</v>
      </c>
      <c r="M183" s="50" t="s">
        <v>266</v>
      </c>
      <c r="N183" s="190">
        <f t="shared" ca="1" si="24"/>
        <v>0.47526226930981241</v>
      </c>
      <c r="O183" s="40">
        <f ca="1">RAND()</f>
        <v>0.31159503291359558</v>
      </c>
      <c r="P183" s="51">
        <f t="shared" si="22"/>
        <v>49.499999999999993</v>
      </c>
      <c r="Q183" s="51">
        <f t="shared" si="23"/>
        <v>49.499999999999993</v>
      </c>
      <c r="R183" s="51">
        <f>assumedSE*H183</f>
        <v>0.05</v>
      </c>
      <c r="S183"/>
      <c r="T183" s="83"/>
    </row>
    <row r="184" spans="1:20" ht="16" x14ac:dyDescent="0.2">
      <c r="A184"/>
      <c r="B184" s="103"/>
      <c r="C184" s="243"/>
      <c r="D184" s="119">
        <v>171</v>
      </c>
      <c r="E184" s="25" t="str">
        <f>Tp_CHG!I36</f>
        <v>Transition Probability from state 2 to state 1 on day 26 (CHG)</v>
      </c>
      <c r="F184" s="40">
        <f t="shared" si="20"/>
        <v>1</v>
      </c>
      <c r="G184" s="156">
        <v>1</v>
      </c>
      <c r="H184" s="147">
        <f>Tp_CHG!L36</f>
        <v>1</v>
      </c>
      <c r="I184" s="40" t="s">
        <v>58</v>
      </c>
      <c r="J184" s="40">
        <f t="shared" si="25"/>
        <v>0.8040036015459946</v>
      </c>
      <c r="K184" s="40">
        <f t="shared" si="26"/>
        <v>1.1959963984540054</v>
      </c>
      <c r="L184" s="40" t="s">
        <v>58</v>
      </c>
      <c r="M184" s="50" t="s">
        <v>266</v>
      </c>
      <c r="N184" s="190"/>
      <c r="O184" s="40">
        <f t="shared" ca="1" si="27"/>
        <v>0.91389902986953708</v>
      </c>
      <c r="P184" s="51">
        <f t="shared" si="22"/>
        <v>-1</v>
      </c>
      <c r="Q184" s="51">
        <f t="shared" si="23"/>
        <v>0</v>
      </c>
      <c r="R184" s="51">
        <f t="shared" si="28"/>
        <v>0.1</v>
      </c>
      <c r="S184"/>
      <c r="T184" s="83"/>
    </row>
    <row r="185" spans="1:20" ht="16" x14ac:dyDescent="0.2">
      <c r="A185"/>
      <c r="B185" s="103"/>
      <c r="C185" s="243"/>
      <c r="D185" s="119">
        <v>172</v>
      </c>
      <c r="E185" s="25" t="str">
        <f>Tp_CHG!I37</f>
        <v>Transition Probability from state 2 to state 1 on day 27 (CHG)</v>
      </c>
      <c r="F185" s="40">
        <f t="shared" si="20"/>
        <v>0.5</v>
      </c>
      <c r="G185" s="156">
        <v>1</v>
      </c>
      <c r="H185" s="147">
        <f>Tp_CHG!L37</f>
        <v>0.5</v>
      </c>
      <c r="I185" s="40" t="s">
        <v>58</v>
      </c>
      <c r="J185" s="40">
        <f t="shared" si="25"/>
        <v>0.4020018007729973</v>
      </c>
      <c r="K185" s="40">
        <f t="shared" si="26"/>
        <v>0.5979981992270027</v>
      </c>
      <c r="L185" s="40" t="s">
        <v>26</v>
      </c>
      <c r="M185" s="50" t="s">
        <v>266</v>
      </c>
      <c r="N185" s="190">
        <f t="shared" ca="1" si="24"/>
        <v>0.56401845192228206</v>
      </c>
      <c r="O185" s="40">
        <f t="shared" ca="1" si="27"/>
        <v>0.89902177045175269</v>
      </c>
      <c r="P185" s="51">
        <f t="shared" si="22"/>
        <v>49.499999999999993</v>
      </c>
      <c r="Q185" s="51">
        <f t="shared" si="23"/>
        <v>49.499999999999993</v>
      </c>
      <c r="R185" s="51">
        <f t="shared" si="28"/>
        <v>0.05</v>
      </c>
      <c r="S185"/>
      <c r="T185" s="83"/>
    </row>
    <row r="186" spans="1:20" ht="16" x14ac:dyDescent="0.2">
      <c r="A186"/>
      <c r="B186" s="103"/>
      <c r="C186" s="243"/>
      <c r="D186" s="119"/>
      <c r="E186" s="25" t="str">
        <f>Tp_CHG!I69</f>
        <v>Transition Probability from state 2 to state 2 on day 27 (CHG)</v>
      </c>
      <c r="F186" s="40">
        <f>IFERROR(CHOOSE(G186,H186,J186,K186,N186),0)</f>
        <v>0.5</v>
      </c>
      <c r="G186" s="156">
        <v>1</v>
      </c>
      <c r="H186" s="120">
        <f>Tp_CHG!L69</f>
        <v>0.5</v>
      </c>
      <c r="I186" s="40" t="s">
        <v>58</v>
      </c>
      <c r="J186" s="40">
        <f>IF(H186=0,0,_xlfn.NORM.INV(0.025,H186,R186))</f>
        <v>0.4020018007729973</v>
      </c>
      <c r="K186" s="40">
        <f>IF(H186=0,0,_xlfn.NORM.INV(0.975,H186,R186))</f>
        <v>0.5979981992270027</v>
      </c>
      <c r="L186" s="40" t="s">
        <v>26</v>
      </c>
      <c r="M186" s="50" t="s">
        <v>266</v>
      </c>
      <c r="N186" s="190">
        <f t="shared" ca="1" si="24"/>
        <v>0.42978641155603647</v>
      </c>
      <c r="O186" s="40">
        <f ca="1">RAND()</f>
        <v>8.0657868765513951E-2</v>
      </c>
      <c r="P186" s="51">
        <f t="shared" si="22"/>
        <v>49.499999999999993</v>
      </c>
      <c r="Q186" s="51">
        <f t="shared" si="23"/>
        <v>49.499999999999993</v>
      </c>
      <c r="R186" s="51">
        <f>assumedSE*H186</f>
        <v>0.05</v>
      </c>
      <c r="S186" s="1"/>
      <c r="T186" s="83"/>
    </row>
    <row r="187" spans="1:20" ht="16" x14ac:dyDescent="0.2">
      <c r="A187"/>
      <c r="B187" s="103"/>
      <c r="C187" s="243"/>
      <c r="D187" s="119">
        <v>173</v>
      </c>
      <c r="E187" s="25" t="str">
        <f>Tp_CHG!I38</f>
        <v>Transition Probability from state 2 to state 1 on day 28 (CHG)</v>
      </c>
      <c r="F187" s="40">
        <f t="shared" si="20"/>
        <v>0.7142857142857143</v>
      </c>
      <c r="G187" s="156">
        <v>1</v>
      </c>
      <c r="H187" s="147">
        <f>Tp_CHG!L38</f>
        <v>0.7142857142857143</v>
      </c>
      <c r="I187" s="40" t="s">
        <v>58</v>
      </c>
      <c r="J187" s="40">
        <f t="shared" si="25"/>
        <v>0.57428828681856758</v>
      </c>
      <c r="K187" s="40">
        <f t="shared" si="26"/>
        <v>0.85428314175286102</v>
      </c>
      <c r="L187" s="40" t="s">
        <v>26</v>
      </c>
      <c r="M187" s="50" t="s">
        <v>266</v>
      </c>
      <c r="N187" s="190">
        <f t="shared" ca="1" si="24"/>
        <v>0.71069771727719033</v>
      </c>
      <c r="O187" s="40">
        <f t="shared" ca="1" si="27"/>
        <v>0.46018002597502772</v>
      </c>
      <c r="P187" s="51">
        <f t="shared" si="22"/>
        <v>27.857142857142854</v>
      </c>
      <c r="Q187" s="51">
        <f t="shared" si="23"/>
        <v>11.142857142857141</v>
      </c>
      <c r="R187" s="51">
        <f t="shared" si="28"/>
        <v>7.1428571428571438E-2</v>
      </c>
      <c r="S187"/>
      <c r="T187" s="83"/>
    </row>
    <row r="188" spans="1:20" ht="16" x14ac:dyDescent="0.2">
      <c r="A188"/>
      <c r="B188" s="103"/>
      <c r="C188" s="243"/>
      <c r="D188" s="119">
        <v>174</v>
      </c>
      <c r="E188" s="25" t="str">
        <f>Tp_CHG!I166</f>
        <v>Transition Probability from state 2 to state 5 on day 28 (CHG)</v>
      </c>
      <c r="F188" s="40">
        <f t="shared" si="20"/>
        <v>0.14285714285714285</v>
      </c>
      <c r="G188" s="156">
        <v>1</v>
      </c>
      <c r="H188" s="120">
        <f>Tp_CHG!L166</f>
        <v>0.14285714285714285</v>
      </c>
      <c r="I188" s="40" t="s">
        <v>58</v>
      </c>
      <c r="J188" s="40">
        <f>IF(H188=0,0,_xlfn.NORM.INV(0.025,H188,R188))</f>
        <v>0.11485765736371351</v>
      </c>
      <c r="K188" s="40">
        <f>IF(H188=0,0,_xlfn.NORM.INV(0.975,H188,R188))</f>
        <v>0.17085662835057219</v>
      </c>
      <c r="L188" s="40" t="s">
        <v>26</v>
      </c>
      <c r="M188" s="50" t="s">
        <v>266</v>
      </c>
      <c r="N188" s="190">
        <f t="shared" ca="1" si="24"/>
        <v>0.14973239917496517</v>
      </c>
      <c r="O188" s="40">
        <f ca="1">RAND()</f>
        <v>0.69221937308258996</v>
      </c>
      <c r="P188" s="51">
        <f t="shared" si="22"/>
        <v>85.571428571428569</v>
      </c>
      <c r="Q188" s="51">
        <f t="shared" si="23"/>
        <v>513.42857142857144</v>
      </c>
      <c r="R188" s="51">
        <f>assumedSE*H188</f>
        <v>1.4285714285714285E-2</v>
      </c>
      <c r="S188"/>
      <c r="T188" s="83"/>
    </row>
    <row r="189" spans="1:20" ht="16" x14ac:dyDescent="0.2">
      <c r="A189"/>
      <c r="B189" s="103"/>
      <c r="C189" s="243"/>
      <c r="D189" s="119">
        <v>175</v>
      </c>
      <c r="E189" s="25" t="str">
        <f>Tp_CHG!I231</f>
        <v>Transition Probability from state 2 to state 7 on day 28 (CHG)</v>
      </c>
      <c r="F189" s="40">
        <f t="shared" si="20"/>
        <v>0.14285714285714285</v>
      </c>
      <c r="G189" s="156">
        <v>1</v>
      </c>
      <c r="H189" s="120">
        <f>Tp_CHG!L231</f>
        <v>0.14285714285714285</v>
      </c>
      <c r="I189" s="40" t="s">
        <v>58</v>
      </c>
      <c r="J189" s="40">
        <f>IF(H189=0,0,_xlfn.NORM.INV(0.025,H189,R189))</f>
        <v>0.11485765736371351</v>
      </c>
      <c r="K189" s="40">
        <f>IF(H189=0,0,_xlfn.NORM.INV(0.975,H189,R189))</f>
        <v>0.17085662835057219</v>
      </c>
      <c r="L189" s="40" t="s">
        <v>26</v>
      </c>
      <c r="M189" s="50" t="s">
        <v>266</v>
      </c>
      <c r="N189" s="190">
        <f t="shared" ca="1" si="24"/>
        <v>0.14313350285900861</v>
      </c>
      <c r="O189" s="40">
        <f ca="1">RAND()</f>
        <v>0.51879097725761947</v>
      </c>
      <c r="P189" s="51">
        <f t="shared" si="22"/>
        <v>85.571428571428569</v>
      </c>
      <c r="Q189" s="51">
        <f t="shared" si="23"/>
        <v>513.42857142857144</v>
      </c>
      <c r="R189" s="51">
        <f>assumedSE*H189</f>
        <v>1.4285714285714285E-2</v>
      </c>
      <c r="S189"/>
      <c r="T189" s="83"/>
    </row>
    <row r="190" spans="1:20" ht="16" x14ac:dyDescent="0.2">
      <c r="A190"/>
      <c r="B190" s="103"/>
      <c r="C190" s="243"/>
      <c r="D190" s="119">
        <v>176</v>
      </c>
      <c r="E190" s="25" t="str">
        <f>Tp_CHG!I39</f>
        <v>Transition Probability from state 2 to state 1 on day 29 (CHG)</v>
      </c>
      <c r="F190" s="40">
        <f t="shared" si="20"/>
        <v>1</v>
      </c>
      <c r="G190" s="156">
        <v>1</v>
      </c>
      <c r="H190" s="147">
        <f>Tp_CHG!L39</f>
        <v>1</v>
      </c>
      <c r="I190" s="40" t="s">
        <v>58</v>
      </c>
      <c r="J190" s="40">
        <f t="shared" si="25"/>
        <v>0.8040036015459946</v>
      </c>
      <c r="K190" s="40">
        <f t="shared" si="26"/>
        <v>1.1959963984540054</v>
      </c>
      <c r="L190" s="40" t="s">
        <v>58</v>
      </c>
      <c r="M190" s="50" t="s">
        <v>266</v>
      </c>
      <c r="N190" s="190"/>
      <c r="O190" s="40">
        <f t="shared" ca="1" si="27"/>
        <v>0.27426253185921901</v>
      </c>
      <c r="P190" s="51">
        <f t="shared" si="22"/>
        <v>-1</v>
      </c>
      <c r="Q190" s="51">
        <f t="shared" si="23"/>
        <v>0</v>
      </c>
      <c r="R190" s="51">
        <f t="shared" si="28"/>
        <v>0.1</v>
      </c>
      <c r="S190"/>
      <c r="T190" s="83"/>
    </row>
    <row r="191" spans="1:20" ht="16" x14ac:dyDescent="0.2">
      <c r="A191"/>
      <c r="B191" s="103"/>
      <c r="C191" s="243"/>
      <c r="D191" s="119">
        <v>177</v>
      </c>
      <c r="E191" s="25" t="str">
        <f>Tp_CHG!I40</f>
        <v>Transition Probability from state 2 to state 1 on day 30 (CHG)</v>
      </c>
      <c r="F191" s="40">
        <f t="shared" si="20"/>
        <v>1</v>
      </c>
      <c r="G191" s="156">
        <v>1</v>
      </c>
      <c r="H191" s="147">
        <f>Tp_CHG!L40</f>
        <v>1</v>
      </c>
      <c r="I191" s="40" t="s">
        <v>58</v>
      </c>
      <c r="J191" s="40">
        <f t="shared" si="25"/>
        <v>0.8040036015459946</v>
      </c>
      <c r="K191" s="40">
        <f t="shared" si="26"/>
        <v>1.1959963984540054</v>
      </c>
      <c r="L191" s="40" t="s">
        <v>58</v>
      </c>
      <c r="M191" s="50" t="s">
        <v>266</v>
      </c>
      <c r="N191" s="190"/>
      <c r="O191" s="40">
        <f t="shared" ca="1" si="27"/>
        <v>0.37644587030710197</v>
      </c>
      <c r="P191" s="51">
        <f t="shared" si="22"/>
        <v>-1</v>
      </c>
      <c r="Q191" s="51">
        <f t="shared" si="23"/>
        <v>0</v>
      </c>
      <c r="R191" s="51">
        <f t="shared" si="28"/>
        <v>0.1</v>
      </c>
      <c r="S191"/>
      <c r="T191" s="83"/>
    </row>
    <row r="192" spans="1:20" ht="16" x14ac:dyDescent="0.2">
      <c r="A192"/>
      <c r="B192" s="103"/>
      <c r="C192" s="243"/>
      <c r="D192" s="119">
        <v>178</v>
      </c>
      <c r="E192" s="25" t="str">
        <f>Tp_CHG!N11</f>
        <v>Transition Probability from state 3 to state 1 on day 1 (CHG)</v>
      </c>
      <c r="F192" s="40">
        <f t="shared" si="20"/>
        <v>0</v>
      </c>
      <c r="G192" s="156">
        <v>1</v>
      </c>
      <c r="H192" s="147">
        <f>Tp_CHG!Q11</f>
        <v>0</v>
      </c>
      <c r="I192" s="40" t="s">
        <v>58</v>
      </c>
      <c r="J192" s="40">
        <f t="shared" si="25"/>
        <v>0</v>
      </c>
      <c r="K192" s="40">
        <f t="shared" si="26"/>
        <v>0</v>
      </c>
      <c r="L192" s="40" t="s">
        <v>58</v>
      </c>
      <c r="M192" s="50" t="s">
        <v>266</v>
      </c>
      <c r="N192" s="190"/>
      <c r="O192" s="40">
        <f t="shared" ca="1" si="27"/>
        <v>0.11470041039971424</v>
      </c>
      <c r="P192" s="51">
        <f t="shared" si="22"/>
        <v>0</v>
      </c>
      <c r="Q192" s="51">
        <f t="shared" si="23"/>
        <v>0</v>
      </c>
      <c r="R192" s="51">
        <f t="shared" si="28"/>
        <v>0</v>
      </c>
      <c r="S192"/>
      <c r="T192" s="83"/>
    </row>
    <row r="193" spans="1:20" ht="16" x14ac:dyDescent="0.2">
      <c r="A193"/>
      <c r="B193" s="103"/>
      <c r="C193" s="243"/>
      <c r="D193" s="119">
        <v>179</v>
      </c>
      <c r="E193" s="25" t="str">
        <f>Tp_CHG!N12</f>
        <v>Transition Probability from state 3 to state 1 on day 2 (CHG)</v>
      </c>
      <c r="F193" s="40">
        <f t="shared" si="20"/>
        <v>0</v>
      </c>
      <c r="G193" s="156">
        <v>1</v>
      </c>
      <c r="H193" s="147">
        <f>Tp_CHG!Q12</f>
        <v>0</v>
      </c>
      <c r="I193" s="40" t="s">
        <v>58</v>
      </c>
      <c r="J193" s="40">
        <f t="shared" si="25"/>
        <v>0</v>
      </c>
      <c r="K193" s="40">
        <f t="shared" si="26"/>
        <v>0</v>
      </c>
      <c r="L193" s="40" t="s">
        <v>58</v>
      </c>
      <c r="M193" s="50" t="s">
        <v>266</v>
      </c>
      <c r="N193" s="190"/>
      <c r="O193" s="40">
        <f t="shared" ca="1" si="27"/>
        <v>5.7889485989160883E-2</v>
      </c>
      <c r="P193" s="51">
        <f t="shared" si="22"/>
        <v>0</v>
      </c>
      <c r="Q193" s="51">
        <f t="shared" si="23"/>
        <v>0</v>
      </c>
      <c r="R193" s="51">
        <f t="shared" si="28"/>
        <v>0</v>
      </c>
      <c r="S193"/>
      <c r="T193" s="83"/>
    </row>
    <row r="194" spans="1:20" ht="16" x14ac:dyDescent="0.2">
      <c r="A194"/>
      <c r="B194" s="103"/>
      <c r="C194" s="243"/>
      <c r="D194" s="119">
        <v>180</v>
      </c>
      <c r="E194" s="25" t="str">
        <f>Tp_CHG!N13</f>
        <v>Transition Probability from state 3 to state 1 on day 3 (CHG)</v>
      </c>
      <c r="F194" s="40">
        <f t="shared" si="20"/>
        <v>0</v>
      </c>
      <c r="G194" s="156">
        <v>1</v>
      </c>
      <c r="H194" s="147">
        <f>Tp_CHG!Q13</f>
        <v>0</v>
      </c>
      <c r="I194" s="40" t="s">
        <v>58</v>
      </c>
      <c r="J194" s="40">
        <f t="shared" si="25"/>
        <v>0</v>
      </c>
      <c r="K194" s="40">
        <f t="shared" si="26"/>
        <v>0</v>
      </c>
      <c r="L194" s="40" t="s">
        <v>58</v>
      </c>
      <c r="M194" s="50" t="s">
        <v>266</v>
      </c>
      <c r="N194" s="190"/>
      <c r="O194" s="40">
        <f t="shared" ca="1" si="27"/>
        <v>0.45028024429172775</v>
      </c>
      <c r="P194" s="51">
        <f t="shared" si="22"/>
        <v>0</v>
      </c>
      <c r="Q194" s="51">
        <f t="shared" si="23"/>
        <v>0</v>
      </c>
      <c r="R194" s="51">
        <f t="shared" si="28"/>
        <v>0</v>
      </c>
      <c r="S194"/>
      <c r="T194" s="83"/>
    </row>
    <row r="195" spans="1:20" ht="16" x14ac:dyDescent="0.2">
      <c r="A195"/>
      <c r="B195" s="103"/>
      <c r="C195" s="243"/>
      <c r="D195" s="119">
        <v>181</v>
      </c>
      <c r="E195" s="25" t="str">
        <f>Tp_CHG!N14</f>
        <v>Transition Probability from state 3 to state 1 on day 4 (CHG)</v>
      </c>
      <c r="F195" s="40">
        <f t="shared" si="20"/>
        <v>0</v>
      </c>
      <c r="G195" s="156">
        <v>1</v>
      </c>
      <c r="H195" s="147">
        <f>Tp_CHG!Q14</f>
        <v>0</v>
      </c>
      <c r="I195" s="40" t="s">
        <v>58</v>
      </c>
      <c r="J195" s="40">
        <f t="shared" si="25"/>
        <v>0</v>
      </c>
      <c r="K195" s="40">
        <f t="shared" si="26"/>
        <v>0</v>
      </c>
      <c r="L195" s="40" t="s">
        <v>58</v>
      </c>
      <c r="M195" s="50" t="s">
        <v>266</v>
      </c>
      <c r="N195" s="190"/>
      <c r="O195" s="40">
        <f t="shared" ca="1" si="27"/>
        <v>0.37285775677617505</v>
      </c>
      <c r="P195" s="51">
        <f t="shared" si="22"/>
        <v>0</v>
      </c>
      <c r="Q195" s="51">
        <f t="shared" si="23"/>
        <v>0</v>
      </c>
      <c r="R195" s="51">
        <f t="shared" si="28"/>
        <v>0</v>
      </c>
      <c r="S195"/>
      <c r="T195" s="83"/>
    </row>
    <row r="196" spans="1:20" ht="16" x14ac:dyDescent="0.2">
      <c r="A196"/>
      <c r="B196" s="103"/>
      <c r="C196" s="243"/>
      <c r="D196" s="119">
        <v>182</v>
      </c>
      <c r="E196" s="25" t="str">
        <f>Tp_CHG!N15</f>
        <v>Transition Probability from state 3 to state 1 on day 5 (CHG)</v>
      </c>
      <c r="F196" s="40">
        <f t="shared" si="20"/>
        <v>0</v>
      </c>
      <c r="G196" s="156">
        <v>1</v>
      </c>
      <c r="H196" s="147">
        <f>Tp_CHG!Q15</f>
        <v>0</v>
      </c>
      <c r="I196" s="40" t="s">
        <v>58</v>
      </c>
      <c r="J196" s="40">
        <f t="shared" si="25"/>
        <v>0</v>
      </c>
      <c r="K196" s="40">
        <f t="shared" si="26"/>
        <v>0</v>
      </c>
      <c r="L196" s="40" t="s">
        <v>58</v>
      </c>
      <c r="M196" s="50" t="s">
        <v>266</v>
      </c>
      <c r="N196" s="190"/>
      <c r="O196" s="40">
        <f t="shared" ref="O196:O260" ca="1" si="29">RAND()</f>
        <v>0.41459457434633007</v>
      </c>
      <c r="P196" s="51">
        <f t="shared" si="22"/>
        <v>0</v>
      </c>
      <c r="Q196" s="51">
        <f t="shared" si="23"/>
        <v>0</v>
      </c>
      <c r="R196" s="51">
        <f t="shared" si="28"/>
        <v>0</v>
      </c>
      <c r="S196"/>
      <c r="T196" s="83"/>
    </row>
    <row r="197" spans="1:20" ht="16" x14ac:dyDescent="0.2">
      <c r="A197"/>
      <c r="B197" s="103"/>
      <c r="C197" s="243"/>
      <c r="D197" s="119">
        <v>183</v>
      </c>
      <c r="E197" s="25" t="str">
        <f>Tp_CHG!N16</f>
        <v>Transition Probability from state 3 to state 1 on day 6 (CHG)</v>
      </c>
      <c r="F197" s="40">
        <f t="shared" si="20"/>
        <v>0</v>
      </c>
      <c r="G197" s="156">
        <v>1</v>
      </c>
      <c r="H197" s="147">
        <f>Tp_CHG!Q16</f>
        <v>0</v>
      </c>
      <c r="I197" s="40" t="s">
        <v>58</v>
      </c>
      <c r="J197" s="40">
        <f t="shared" si="25"/>
        <v>0</v>
      </c>
      <c r="K197" s="40">
        <f t="shared" si="26"/>
        <v>0</v>
      </c>
      <c r="L197" s="40" t="s">
        <v>58</v>
      </c>
      <c r="M197" s="50" t="s">
        <v>266</v>
      </c>
      <c r="N197" s="190"/>
      <c r="O197" s="40">
        <f t="shared" ca="1" si="29"/>
        <v>0.39761436537753048</v>
      </c>
      <c r="P197" s="51">
        <f t="shared" si="22"/>
        <v>0</v>
      </c>
      <c r="Q197" s="51">
        <f t="shared" si="23"/>
        <v>0</v>
      </c>
      <c r="R197" s="51">
        <f t="shared" si="28"/>
        <v>0</v>
      </c>
      <c r="S197"/>
      <c r="T197" s="83"/>
    </row>
    <row r="198" spans="1:20" ht="16" x14ac:dyDescent="0.2">
      <c r="A198"/>
      <c r="B198" s="103"/>
      <c r="C198" s="243"/>
      <c r="D198" s="119">
        <v>184</v>
      </c>
      <c r="E198" s="25" t="str">
        <f>Tp_CHG!N17</f>
        <v>Transition Probability from state 3 to state 1 on day 7 (CHG)</v>
      </c>
      <c r="F198" s="40">
        <f t="shared" si="20"/>
        <v>0</v>
      </c>
      <c r="G198" s="156">
        <v>1</v>
      </c>
      <c r="H198" s="147">
        <f>Tp_CHG!Q17</f>
        <v>0</v>
      </c>
      <c r="I198" s="40" t="s">
        <v>58</v>
      </c>
      <c r="J198" s="40">
        <f t="shared" ref="J198:J229" si="30">IF(H198=0,0,_xlfn.NORM.INV(0.025,H198,R198))</f>
        <v>0</v>
      </c>
      <c r="K198" s="40">
        <f t="shared" ref="K198:K229" si="31">IF(H198=0,0,_xlfn.NORM.INV(0.975,H198,R198))</f>
        <v>0</v>
      </c>
      <c r="L198" s="40" t="s">
        <v>58</v>
      </c>
      <c r="M198" s="50" t="s">
        <v>266</v>
      </c>
      <c r="N198" s="190"/>
      <c r="O198" s="40">
        <f t="shared" ca="1" si="29"/>
        <v>0.56179697914402416</v>
      </c>
      <c r="P198" s="51">
        <f t="shared" si="22"/>
        <v>0</v>
      </c>
      <c r="Q198" s="51">
        <f t="shared" si="23"/>
        <v>0</v>
      </c>
      <c r="R198" s="51">
        <f t="shared" ref="R198:R229" si="32">assumedSE*H198</f>
        <v>0</v>
      </c>
      <c r="S198"/>
      <c r="T198" s="83"/>
    </row>
    <row r="199" spans="1:20" ht="16" x14ac:dyDescent="0.2">
      <c r="A199"/>
      <c r="B199" s="103"/>
      <c r="C199" s="243"/>
      <c r="D199" s="119">
        <v>185</v>
      </c>
      <c r="E199" s="25" t="str">
        <f>Tp_CHG!N18</f>
        <v>Transition Probability from state 3 to state 1 on day 8 (CHG)</v>
      </c>
      <c r="F199" s="40">
        <f t="shared" si="20"/>
        <v>0</v>
      </c>
      <c r="G199" s="156">
        <v>1</v>
      </c>
      <c r="H199" s="147">
        <f>Tp_CHG!Q18</f>
        <v>0</v>
      </c>
      <c r="I199" s="40" t="s">
        <v>58</v>
      </c>
      <c r="J199" s="40">
        <f t="shared" si="30"/>
        <v>0</v>
      </c>
      <c r="K199" s="40">
        <f t="shared" si="31"/>
        <v>0</v>
      </c>
      <c r="L199" s="40" t="s">
        <v>58</v>
      </c>
      <c r="M199" s="50" t="s">
        <v>266</v>
      </c>
      <c r="N199" s="190"/>
      <c r="O199" s="40">
        <f t="shared" ca="1" si="29"/>
        <v>7.6955464346826208E-2</v>
      </c>
      <c r="P199" s="51">
        <f t="shared" si="22"/>
        <v>0</v>
      </c>
      <c r="Q199" s="51">
        <f t="shared" si="23"/>
        <v>0</v>
      </c>
      <c r="R199" s="51">
        <f t="shared" si="32"/>
        <v>0</v>
      </c>
      <c r="S199"/>
      <c r="T199" s="83"/>
    </row>
    <row r="200" spans="1:20" ht="16" x14ac:dyDescent="0.2">
      <c r="A200"/>
      <c r="B200" s="103"/>
      <c r="C200" s="243"/>
      <c r="D200" s="119">
        <v>186</v>
      </c>
      <c r="E200" s="25" t="str">
        <f>Tp_CHG!N19</f>
        <v>Transition Probability from state 3 to state 1 on day 9 (CHG)</v>
      </c>
      <c r="F200" s="40">
        <f t="shared" si="20"/>
        <v>0</v>
      </c>
      <c r="G200" s="156">
        <v>1</v>
      </c>
      <c r="H200" s="147">
        <f>Tp_CHG!Q19</f>
        <v>0</v>
      </c>
      <c r="I200" s="40" t="s">
        <v>58</v>
      </c>
      <c r="J200" s="40">
        <f t="shared" si="30"/>
        <v>0</v>
      </c>
      <c r="K200" s="40">
        <f t="shared" si="31"/>
        <v>0</v>
      </c>
      <c r="L200" s="40" t="s">
        <v>58</v>
      </c>
      <c r="M200" s="50" t="s">
        <v>266</v>
      </c>
      <c r="N200" s="190"/>
      <c r="O200" s="40">
        <f t="shared" ca="1" si="29"/>
        <v>0.45665764588417146</v>
      </c>
      <c r="P200" s="51">
        <f t="shared" si="22"/>
        <v>0</v>
      </c>
      <c r="Q200" s="51">
        <f t="shared" si="23"/>
        <v>0</v>
      </c>
      <c r="R200" s="51">
        <f t="shared" si="32"/>
        <v>0</v>
      </c>
      <c r="S200"/>
      <c r="T200" s="83"/>
    </row>
    <row r="201" spans="1:20" ht="16" x14ac:dyDescent="0.2">
      <c r="A201"/>
      <c r="B201" s="103"/>
      <c r="C201" s="243"/>
      <c r="D201" s="119">
        <v>187</v>
      </c>
      <c r="E201" s="25" t="str">
        <f>Tp_CHG!N20</f>
        <v>Transition Probability from state 3 to state 1 on day 10 (CHG)</v>
      </c>
      <c r="F201" s="40">
        <f t="shared" si="20"/>
        <v>0</v>
      </c>
      <c r="G201" s="156">
        <v>1</v>
      </c>
      <c r="H201" s="147">
        <f>Tp_CHG!Q20</f>
        <v>0</v>
      </c>
      <c r="I201" s="40" t="s">
        <v>58</v>
      </c>
      <c r="J201" s="40">
        <f t="shared" si="30"/>
        <v>0</v>
      </c>
      <c r="K201" s="40">
        <f t="shared" si="31"/>
        <v>0</v>
      </c>
      <c r="L201" s="40" t="s">
        <v>58</v>
      </c>
      <c r="M201" s="50" t="s">
        <v>266</v>
      </c>
      <c r="N201" s="190"/>
      <c r="O201" s="40">
        <f t="shared" ca="1" si="29"/>
        <v>0.46616283839016937</v>
      </c>
      <c r="P201" s="51">
        <f t="shared" si="22"/>
        <v>0</v>
      </c>
      <c r="Q201" s="51">
        <f t="shared" si="23"/>
        <v>0</v>
      </c>
      <c r="R201" s="51">
        <f t="shared" si="32"/>
        <v>0</v>
      </c>
      <c r="S201"/>
      <c r="T201" s="83"/>
    </row>
    <row r="202" spans="1:20" ht="16" x14ac:dyDescent="0.2">
      <c r="A202"/>
      <c r="B202" s="103"/>
      <c r="C202" s="243"/>
      <c r="D202" s="119">
        <v>188</v>
      </c>
      <c r="E202" s="25" t="str">
        <f>Tp_CHG!N21</f>
        <v>Transition Probability from state 3 to state 1 on day 11 (CHG)</v>
      </c>
      <c r="F202" s="40">
        <f t="shared" si="20"/>
        <v>0</v>
      </c>
      <c r="G202" s="156">
        <v>1</v>
      </c>
      <c r="H202" s="147">
        <f>Tp_CHG!Q21</f>
        <v>0</v>
      </c>
      <c r="I202" s="40" t="s">
        <v>58</v>
      </c>
      <c r="J202" s="40">
        <f t="shared" si="30"/>
        <v>0</v>
      </c>
      <c r="K202" s="40">
        <f t="shared" si="31"/>
        <v>0</v>
      </c>
      <c r="L202" s="40" t="s">
        <v>58</v>
      </c>
      <c r="M202" s="50" t="s">
        <v>266</v>
      </c>
      <c r="N202" s="190"/>
      <c r="O202" s="40">
        <f t="shared" ca="1" si="29"/>
        <v>0.56948199543368649</v>
      </c>
      <c r="P202" s="51">
        <f t="shared" si="22"/>
        <v>0</v>
      </c>
      <c r="Q202" s="51">
        <f t="shared" si="23"/>
        <v>0</v>
      </c>
      <c r="R202" s="51">
        <f t="shared" si="32"/>
        <v>0</v>
      </c>
      <c r="S202"/>
      <c r="T202" s="83"/>
    </row>
    <row r="203" spans="1:20" ht="16" x14ac:dyDescent="0.2">
      <c r="A203"/>
      <c r="B203" s="103"/>
      <c r="C203" s="243"/>
      <c r="D203" s="119">
        <v>189</v>
      </c>
      <c r="E203" s="25" t="str">
        <f>Tp_CHG!N22</f>
        <v>Transition Probability from state 3 to state 1 on day 12 (CHG)</v>
      </c>
      <c r="F203" s="40">
        <f t="shared" si="20"/>
        <v>0</v>
      </c>
      <c r="G203" s="156">
        <v>1</v>
      </c>
      <c r="H203" s="147">
        <f>Tp_CHG!Q22</f>
        <v>0</v>
      </c>
      <c r="I203" s="40" t="s">
        <v>58</v>
      </c>
      <c r="J203" s="40">
        <f t="shared" si="30"/>
        <v>0</v>
      </c>
      <c r="K203" s="40">
        <f t="shared" si="31"/>
        <v>0</v>
      </c>
      <c r="L203" s="40" t="s">
        <v>58</v>
      </c>
      <c r="M203" s="50" t="s">
        <v>266</v>
      </c>
      <c r="N203" s="190"/>
      <c r="O203" s="40">
        <f t="shared" ca="1" si="29"/>
        <v>0.94401452713872258</v>
      </c>
      <c r="P203" s="51">
        <f t="shared" si="22"/>
        <v>0</v>
      </c>
      <c r="Q203" s="51">
        <f t="shared" si="23"/>
        <v>0</v>
      </c>
      <c r="R203" s="51">
        <f t="shared" si="32"/>
        <v>0</v>
      </c>
      <c r="S203"/>
      <c r="T203" s="83"/>
    </row>
    <row r="204" spans="1:20" ht="16" x14ac:dyDescent="0.2">
      <c r="A204"/>
      <c r="B204" s="103"/>
      <c r="C204" s="243"/>
      <c r="D204" s="119">
        <v>190</v>
      </c>
      <c r="E204" s="25" t="str">
        <f>Tp_CHG!N23</f>
        <v>Transition Probability from state 3 to state 1 on day 13 (CHG)</v>
      </c>
      <c r="F204" s="40">
        <f t="shared" si="20"/>
        <v>0</v>
      </c>
      <c r="G204" s="156">
        <v>1</v>
      </c>
      <c r="H204" s="147">
        <f>Tp_CHG!Q23</f>
        <v>0</v>
      </c>
      <c r="I204" s="40" t="s">
        <v>58</v>
      </c>
      <c r="J204" s="40">
        <f t="shared" si="30"/>
        <v>0</v>
      </c>
      <c r="K204" s="40">
        <f t="shared" si="31"/>
        <v>0</v>
      </c>
      <c r="L204" s="40" t="s">
        <v>58</v>
      </c>
      <c r="M204" s="50" t="s">
        <v>266</v>
      </c>
      <c r="N204" s="190"/>
      <c r="O204" s="40">
        <f t="shared" ca="1" si="29"/>
        <v>0.30603272862699371</v>
      </c>
      <c r="P204" s="51">
        <f t="shared" si="22"/>
        <v>0</v>
      </c>
      <c r="Q204" s="51">
        <f t="shared" si="23"/>
        <v>0</v>
      </c>
      <c r="R204" s="51">
        <f t="shared" si="32"/>
        <v>0</v>
      </c>
      <c r="S204"/>
      <c r="T204" s="83"/>
    </row>
    <row r="205" spans="1:20" ht="16" x14ac:dyDescent="0.2">
      <c r="A205"/>
      <c r="B205" s="103"/>
      <c r="C205" s="243"/>
      <c r="D205" s="119">
        <v>191</v>
      </c>
      <c r="E205" s="25" t="str">
        <f>Tp_CHG!N24</f>
        <v>Transition Probability from state 3 to state 1 on day 14 (CHG)</v>
      </c>
      <c r="F205" s="40">
        <f t="shared" si="20"/>
        <v>0</v>
      </c>
      <c r="G205" s="156">
        <v>1</v>
      </c>
      <c r="H205" s="147">
        <f>Tp_CHG!Q24</f>
        <v>0</v>
      </c>
      <c r="I205" s="40" t="s">
        <v>58</v>
      </c>
      <c r="J205" s="40">
        <f t="shared" si="30"/>
        <v>0</v>
      </c>
      <c r="K205" s="40">
        <f t="shared" si="31"/>
        <v>0</v>
      </c>
      <c r="L205" s="40" t="s">
        <v>58</v>
      </c>
      <c r="M205" s="50" t="s">
        <v>266</v>
      </c>
      <c r="N205" s="190"/>
      <c r="O205" s="40">
        <f t="shared" ca="1" si="29"/>
        <v>4.8138178749499883E-2</v>
      </c>
      <c r="P205" s="51">
        <f t="shared" si="22"/>
        <v>0</v>
      </c>
      <c r="Q205" s="51">
        <f t="shared" si="23"/>
        <v>0</v>
      </c>
      <c r="R205" s="51">
        <f t="shared" si="32"/>
        <v>0</v>
      </c>
      <c r="S205"/>
      <c r="T205" s="83"/>
    </row>
    <row r="206" spans="1:20" ht="16" x14ac:dyDescent="0.2">
      <c r="A206"/>
      <c r="B206" s="103"/>
      <c r="C206" s="243"/>
      <c r="D206" s="119">
        <v>192</v>
      </c>
      <c r="E206" s="25" t="str">
        <f>Tp_CHG!N25</f>
        <v>Transition Probability from state 3 to state 1 on day 15 (CHG)</v>
      </c>
      <c r="F206" s="40">
        <f t="shared" si="20"/>
        <v>0</v>
      </c>
      <c r="G206" s="156">
        <v>1</v>
      </c>
      <c r="H206" s="147">
        <f>Tp_CHG!Q25</f>
        <v>0</v>
      </c>
      <c r="I206" s="40" t="s">
        <v>58</v>
      </c>
      <c r="J206" s="40">
        <f t="shared" si="30"/>
        <v>0</v>
      </c>
      <c r="K206" s="40">
        <f t="shared" si="31"/>
        <v>0</v>
      </c>
      <c r="L206" s="40" t="s">
        <v>58</v>
      </c>
      <c r="M206" s="50" t="s">
        <v>266</v>
      </c>
      <c r="N206" s="190"/>
      <c r="O206" s="40">
        <f t="shared" ca="1" si="29"/>
        <v>0.71303432647262932</v>
      </c>
      <c r="P206" s="51">
        <f t="shared" si="22"/>
        <v>0</v>
      </c>
      <c r="Q206" s="51">
        <f t="shared" si="23"/>
        <v>0</v>
      </c>
      <c r="R206" s="51">
        <f t="shared" si="32"/>
        <v>0</v>
      </c>
      <c r="S206"/>
      <c r="T206" s="83"/>
    </row>
    <row r="207" spans="1:20" ht="16" x14ac:dyDescent="0.2">
      <c r="A207"/>
      <c r="B207" s="103"/>
      <c r="C207" s="243"/>
      <c r="D207" s="119">
        <v>193</v>
      </c>
      <c r="E207" s="25" t="str">
        <f>Tp_CHG!N26</f>
        <v>Transition Probability from state 3 to state 1 on day 16 (CHG)</v>
      </c>
      <c r="F207" s="40">
        <f t="shared" si="20"/>
        <v>0</v>
      </c>
      <c r="G207" s="156">
        <v>1</v>
      </c>
      <c r="H207" s="147">
        <f>Tp_CHG!Q26</f>
        <v>0</v>
      </c>
      <c r="I207" s="40" t="s">
        <v>58</v>
      </c>
      <c r="J207" s="40">
        <f t="shared" si="30"/>
        <v>0</v>
      </c>
      <c r="K207" s="40">
        <f t="shared" si="31"/>
        <v>0</v>
      </c>
      <c r="L207" s="40" t="s">
        <v>58</v>
      </c>
      <c r="M207" s="50" t="s">
        <v>266</v>
      </c>
      <c r="N207" s="190"/>
      <c r="O207" s="40">
        <f t="shared" ca="1" si="29"/>
        <v>0.93755848427212873</v>
      </c>
      <c r="P207" s="51">
        <f t="shared" si="22"/>
        <v>0</v>
      </c>
      <c r="Q207" s="51">
        <f t="shared" si="23"/>
        <v>0</v>
      </c>
      <c r="R207" s="51">
        <f t="shared" si="32"/>
        <v>0</v>
      </c>
      <c r="S207"/>
      <c r="T207" s="83"/>
    </row>
    <row r="208" spans="1:20" ht="16" x14ac:dyDescent="0.2">
      <c r="A208"/>
      <c r="B208" s="103"/>
      <c r="C208" s="243"/>
      <c r="D208" s="119">
        <v>194</v>
      </c>
      <c r="E208" s="25" t="str">
        <f>Tp_CHG!N27</f>
        <v>Transition Probability from state 3 to state 1 on day 17 (CHG)</v>
      </c>
      <c r="F208" s="40">
        <f t="shared" ref="F208:F271" si="33">IFERROR(CHOOSE(G208,H208,J208,K208,N208),0)</f>
        <v>0</v>
      </c>
      <c r="G208" s="156">
        <v>1</v>
      </c>
      <c r="H208" s="147">
        <f>Tp_CHG!Q27</f>
        <v>0</v>
      </c>
      <c r="I208" s="40" t="s">
        <v>58</v>
      </c>
      <c r="J208" s="40">
        <f t="shared" si="30"/>
        <v>0</v>
      </c>
      <c r="K208" s="40">
        <f t="shared" si="31"/>
        <v>0</v>
      </c>
      <c r="L208" s="40" t="s">
        <v>58</v>
      </c>
      <c r="M208" s="50" t="s">
        <v>266</v>
      </c>
      <c r="N208" s="190"/>
      <c r="O208" s="40">
        <f t="shared" ca="1" si="29"/>
        <v>0.21776533710323454</v>
      </c>
      <c r="P208" s="51">
        <f t="shared" si="22"/>
        <v>0</v>
      </c>
      <c r="Q208" s="51">
        <f t="shared" si="23"/>
        <v>0</v>
      </c>
      <c r="R208" s="51">
        <f t="shared" si="32"/>
        <v>0</v>
      </c>
      <c r="S208"/>
      <c r="T208" s="83"/>
    </row>
    <row r="209" spans="1:20" ht="16" x14ac:dyDescent="0.2">
      <c r="A209"/>
      <c r="B209" s="103"/>
      <c r="C209" s="243"/>
      <c r="D209" s="119">
        <v>195</v>
      </c>
      <c r="E209" s="25" t="str">
        <f>Tp_CHG!N28</f>
        <v>Transition Probability from state 3 to state 1 on day 18 (CHG)</v>
      </c>
      <c r="F209" s="40">
        <f t="shared" si="33"/>
        <v>0</v>
      </c>
      <c r="G209" s="156">
        <v>1</v>
      </c>
      <c r="H209" s="147">
        <f>Tp_CHG!Q28</f>
        <v>0</v>
      </c>
      <c r="I209" s="40" t="s">
        <v>58</v>
      </c>
      <c r="J209" s="40">
        <f t="shared" si="30"/>
        <v>0</v>
      </c>
      <c r="K209" s="40">
        <f t="shared" si="31"/>
        <v>0</v>
      </c>
      <c r="L209" s="40" t="s">
        <v>58</v>
      </c>
      <c r="M209" s="50" t="s">
        <v>266</v>
      </c>
      <c r="N209" s="190"/>
      <c r="O209" s="40">
        <f t="shared" ca="1" si="29"/>
        <v>0.38242669511518323</v>
      </c>
      <c r="P209" s="51">
        <f t="shared" ref="P209:P272" si="34">IFERROR(H209*((H209*(1-H209)/(R209^2))-1),0)</f>
        <v>0</v>
      </c>
      <c r="Q209" s="51">
        <f t="shared" ref="Q209:Q272" si="35">IFERROR((1-H209)*((H209*(1-H209))/(R209^2)-1),0)</f>
        <v>0</v>
      </c>
      <c r="R209" s="51">
        <f t="shared" si="32"/>
        <v>0</v>
      </c>
      <c r="S209"/>
      <c r="T209" s="83"/>
    </row>
    <row r="210" spans="1:20" ht="16" x14ac:dyDescent="0.2">
      <c r="A210"/>
      <c r="B210" s="103"/>
      <c r="C210" s="243"/>
      <c r="D210" s="119">
        <v>196</v>
      </c>
      <c r="E210" s="25" t="str">
        <f>Tp_CHG!N29</f>
        <v>Transition Probability from state 3 to state 1 on day 19 (CHG)</v>
      </c>
      <c r="F210" s="40">
        <f t="shared" si="33"/>
        <v>0</v>
      </c>
      <c r="G210" s="156">
        <v>1</v>
      </c>
      <c r="H210" s="147">
        <f>Tp_CHG!Q29</f>
        <v>0</v>
      </c>
      <c r="I210" s="40" t="s">
        <v>58</v>
      </c>
      <c r="J210" s="40">
        <f t="shared" si="30"/>
        <v>0</v>
      </c>
      <c r="K210" s="40">
        <f t="shared" si="31"/>
        <v>0</v>
      </c>
      <c r="L210" s="40" t="s">
        <v>58</v>
      </c>
      <c r="M210" s="50" t="s">
        <v>266</v>
      </c>
      <c r="N210" s="190"/>
      <c r="O210" s="40">
        <f t="shared" ca="1" si="29"/>
        <v>0.15342723435000472</v>
      </c>
      <c r="P210" s="51">
        <f t="shared" si="34"/>
        <v>0</v>
      </c>
      <c r="Q210" s="51">
        <f t="shared" si="35"/>
        <v>0</v>
      </c>
      <c r="R210" s="51">
        <f t="shared" si="32"/>
        <v>0</v>
      </c>
      <c r="S210"/>
      <c r="T210" s="83"/>
    </row>
    <row r="211" spans="1:20" ht="16" x14ac:dyDescent="0.2">
      <c r="A211"/>
      <c r="B211" s="103"/>
      <c r="C211" s="243"/>
      <c r="D211" s="119">
        <v>197</v>
      </c>
      <c r="E211" s="25" t="str">
        <f>Tp_CHG!N30</f>
        <v>Transition Probability from state 3 to state 1 on day 20 (CHG)</v>
      </c>
      <c r="F211" s="40">
        <f t="shared" si="33"/>
        <v>0</v>
      </c>
      <c r="G211" s="156">
        <v>1</v>
      </c>
      <c r="H211" s="147">
        <f>Tp_CHG!Q30</f>
        <v>0</v>
      </c>
      <c r="I211" s="40" t="s">
        <v>58</v>
      </c>
      <c r="J211" s="40">
        <f t="shared" si="30"/>
        <v>0</v>
      </c>
      <c r="K211" s="40">
        <f t="shared" si="31"/>
        <v>0</v>
      </c>
      <c r="L211" s="40" t="s">
        <v>58</v>
      </c>
      <c r="M211" s="50" t="s">
        <v>266</v>
      </c>
      <c r="N211" s="190"/>
      <c r="O211" s="40">
        <f t="shared" ca="1" si="29"/>
        <v>0.85054484808653252</v>
      </c>
      <c r="P211" s="51">
        <f t="shared" si="34"/>
        <v>0</v>
      </c>
      <c r="Q211" s="51">
        <f t="shared" si="35"/>
        <v>0</v>
      </c>
      <c r="R211" s="51">
        <f t="shared" si="32"/>
        <v>0</v>
      </c>
      <c r="S211"/>
      <c r="T211" s="83"/>
    </row>
    <row r="212" spans="1:20" ht="16" x14ac:dyDescent="0.2">
      <c r="A212"/>
      <c r="B212" s="103"/>
      <c r="C212" s="243"/>
      <c r="D212" s="119">
        <v>198</v>
      </c>
      <c r="E212" s="25" t="str">
        <f>Tp_CHG!N31</f>
        <v>Transition Probability from state 3 to state 1 on day 21 (CHG)</v>
      </c>
      <c r="F212" s="40">
        <f t="shared" si="33"/>
        <v>0</v>
      </c>
      <c r="G212" s="156">
        <v>1</v>
      </c>
      <c r="H212" s="147">
        <f>Tp_CHG!Q31</f>
        <v>0</v>
      </c>
      <c r="I212" s="40" t="s">
        <v>58</v>
      </c>
      <c r="J212" s="40">
        <f t="shared" si="30"/>
        <v>0</v>
      </c>
      <c r="K212" s="40">
        <f t="shared" si="31"/>
        <v>0</v>
      </c>
      <c r="L212" s="40" t="s">
        <v>58</v>
      </c>
      <c r="M212" s="50" t="s">
        <v>266</v>
      </c>
      <c r="N212" s="190"/>
      <c r="O212" s="40">
        <f t="shared" ca="1" si="29"/>
        <v>0.94419936435582474</v>
      </c>
      <c r="P212" s="51">
        <f t="shared" si="34"/>
        <v>0</v>
      </c>
      <c r="Q212" s="51">
        <f t="shared" si="35"/>
        <v>0</v>
      </c>
      <c r="R212" s="51">
        <f t="shared" si="32"/>
        <v>0</v>
      </c>
      <c r="S212"/>
      <c r="T212" s="83"/>
    </row>
    <row r="213" spans="1:20" ht="16" x14ac:dyDescent="0.2">
      <c r="A213"/>
      <c r="B213" s="103"/>
      <c r="C213" s="243"/>
      <c r="D213" s="119">
        <v>199</v>
      </c>
      <c r="E213" s="25" t="str">
        <f>Tp_CHG!N32</f>
        <v>Transition Probability from state 3 to state 1 on day 22 (CHG)</v>
      </c>
      <c r="F213" s="40">
        <f t="shared" si="33"/>
        <v>0</v>
      </c>
      <c r="G213" s="156">
        <v>1</v>
      </c>
      <c r="H213" s="147">
        <f>Tp_CHG!Q32</f>
        <v>0</v>
      </c>
      <c r="I213" s="40" t="s">
        <v>58</v>
      </c>
      <c r="J213" s="40">
        <f t="shared" si="30"/>
        <v>0</v>
      </c>
      <c r="K213" s="40">
        <f t="shared" si="31"/>
        <v>0</v>
      </c>
      <c r="L213" s="40" t="s">
        <v>58</v>
      </c>
      <c r="M213" s="50" t="s">
        <v>266</v>
      </c>
      <c r="N213" s="190"/>
      <c r="O213" s="40">
        <f t="shared" ca="1" si="29"/>
        <v>0.87411145990860761</v>
      </c>
      <c r="P213" s="51">
        <f t="shared" si="34"/>
        <v>0</v>
      </c>
      <c r="Q213" s="51">
        <f t="shared" si="35"/>
        <v>0</v>
      </c>
      <c r="R213" s="51">
        <f t="shared" si="32"/>
        <v>0</v>
      </c>
      <c r="S213"/>
      <c r="T213" s="83"/>
    </row>
    <row r="214" spans="1:20" ht="16" x14ac:dyDescent="0.2">
      <c r="A214"/>
      <c r="B214" s="103"/>
      <c r="C214" s="243"/>
      <c r="D214" s="119">
        <v>200</v>
      </c>
      <c r="E214" s="25" t="str">
        <f>Tp_CHG!N33</f>
        <v>Transition Probability from state 3 to state 1 on day 23 (CHG)</v>
      </c>
      <c r="F214" s="40">
        <f t="shared" si="33"/>
        <v>0</v>
      </c>
      <c r="G214" s="156">
        <v>1</v>
      </c>
      <c r="H214" s="147">
        <f>Tp_CHG!Q33</f>
        <v>0</v>
      </c>
      <c r="I214" s="40" t="s">
        <v>58</v>
      </c>
      <c r="J214" s="40">
        <f t="shared" si="30"/>
        <v>0</v>
      </c>
      <c r="K214" s="40">
        <f t="shared" si="31"/>
        <v>0</v>
      </c>
      <c r="L214" s="40" t="s">
        <v>58</v>
      </c>
      <c r="M214" s="50" t="s">
        <v>266</v>
      </c>
      <c r="N214" s="190"/>
      <c r="O214" s="40">
        <f t="shared" ca="1" si="29"/>
        <v>2.4054324638366431E-2</v>
      </c>
      <c r="P214" s="51">
        <f t="shared" si="34"/>
        <v>0</v>
      </c>
      <c r="Q214" s="51">
        <f t="shared" si="35"/>
        <v>0</v>
      </c>
      <c r="R214" s="51">
        <f t="shared" si="32"/>
        <v>0</v>
      </c>
      <c r="S214"/>
      <c r="T214" s="83"/>
    </row>
    <row r="215" spans="1:20" ht="16" x14ac:dyDescent="0.2">
      <c r="A215"/>
      <c r="B215" s="103"/>
      <c r="C215" s="243"/>
      <c r="D215" s="119">
        <v>201</v>
      </c>
      <c r="E215" s="25" t="str">
        <f>Tp_CHG!N34</f>
        <v>Transition Probability from state 3 to state 1 on day 24 (CHG)</v>
      </c>
      <c r="F215" s="40">
        <f t="shared" si="33"/>
        <v>0</v>
      </c>
      <c r="G215" s="156">
        <v>1</v>
      </c>
      <c r="H215" s="147">
        <f>Tp_CHG!Q34</f>
        <v>0</v>
      </c>
      <c r="I215" s="40" t="s">
        <v>58</v>
      </c>
      <c r="J215" s="40">
        <f t="shared" si="30"/>
        <v>0</v>
      </c>
      <c r="K215" s="40">
        <f t="shared" si="31"/>
        <v>0</v>
      </c>
      <c r="L215" s="40" t="s">
        <v>58</v>
      </c>
      <c r="M215" s="50" t="s">
        <v>266</v>
      </c>
      <c r="N215" s="190"/>
      <c r="O215" s="40">
        <f t="shared" ca="1" si="29"/>
        <v>0.45510950535871009</v>
      </c>
      <c r="P215" s="51">
        <f t="shared" si="34"/>
        <v>0</v>
      </c>
      <c r="Q215" s="51">
        <f t="shared" si="35"/>
        <v>0</v>
      </c>
      <c r="R215" s="51">
        <f t="shared" si="32"/>
        <v>0</v>
      </c>
      <c r="S215"/>
      <c r="T215" s="83"/>
    </row>
    <row r="216" spans="1:20" ht="16" x14ac:dyDescent="0.2">
      <c r="A216"/>
      <c r="B216" s="103"/>
      <c r="C216" s="243"/>
      <c r="D216" s="119">
        <v>202</v>
      </c>
      <c r="E216" s="25" t="str">
        <f>Tp_CHG!N35</f>
        <v>Transition Probability from state 3 to state 1 on day 25 (CHG)</v>
      </c>
      <c r="F216" s="40">
        <f t="shared" si="33"/>
        <v>0</v>
      </c>
      <c r="G216" s="156">
        <v>1</v>
      </c>
      <c r="H216" s="147">
        <f>Tp_CHG!Q35</f>
        <v>0</v>
      </c>
      <c r="I216" s="40" t="s">
        <v>58</v>
      </c>
      <c r="J216" s="40">
        <f t="shared" si="30"/>
        <v>0</v>
      </c>
      <c r="K216" s="40">
        <f t="shared" si="31"/>
        <v>0</v>
      </c>
      <c r="L216" s="40" t="s">
        <v>58</v>
      </c>
      <c r="M216" s="50" t="s">
        <v>266</v>
      </c>
      <c r="N216" s="190"/>
      <c r="O216" s="40">
        <f t="shared" ca="1" si="29"/>
        <v>0.72955665979175877</v>
      </c>
      <c r="P216" s="51">
        <f t="shared" si="34"/>
        <v>0</v>
      </c>
      <c r="Q216" s="51">
        <f t="shared" si="35"/>
        <v>0</v>
      </c>
      <c r="R216" s="51">
        <f t="shared" si="32"/>
        <v>0</v>
      </c>
      <c r="S216"/>
      <c r="T216" s="83"/>
    </row>
    <row r="217" spans="1:20" ht="16" x14ac:dyDescent="0.2">
      <c r="A217"/>
      <c r="B217" s="103"/>
      <c r="C217" s="243"/>
      <c r="D217" s="119">
        <v>203</v>
      </c>
      <c r="E217" s="25" t="str">
        <f>Tp_CHG!N36</f>
        <v>Transition Probability from state 3 to state 1 on day 26 (CHG)</v>
      </c>
      <c r="F217" s="40">
        <f t="shared" si="33"/>
        <v>0</v>
      </c>
      <c r="G217" s="156">
        <v>1</v>
      </c>
      <c r="H217" s="147">
        <f>Tp_CHG!Q36</f>
        <v>0</v>
      </c>
      <c r="I217" s="40" t="s">
        <v>58</v>
      </c>
      <c r="J217" s="40">
        <f t="shared" si="30"/>
        <v>0</v>
      </c>
      <c r="K217" s="40">
        <f t="shared" si="31"/>
        <v>0</v>
      </c>
      <c r="L217" s="40" t="s">
        <v>58</v>
      </c>
      <c r="M217" s="50" t="s">
        <v>266</v>
      </c>
      <c r="N217" s="190"/>
      <c r="O217" s="40">
        <f t="shared" ca="1" si="29"/>
        <v>0.87186219139197796</v>
      </c>
      <c r="P217" s="51">
        <f t="shared" si="34"/>
        <v>0</v>
      </c>
      <c r="Q217" s="51">
        <f t="shared" si="35"/>
        <v>0</v>
      </c>
      <c r="R217" s="51">
        <f t="shared" si="32"/>
        <v>0</v>
      </c>
      <c r="S217"/>
      <c r="T217" s="83"/>
    </row>
    <row r="218" spans="1:20" ht="16" x14ac:dyDescent="0.2">
      <c r="A218"/>
      <c r="B218" s="103"/>
      <c r="C218" s="243"/>
      <c r="D218" s="119">
        <v>204</v>
      </c>
      <c r="E218" s="25" t="str">
        <f>Tp_CHG!N37</f>
        <v>Transition Probability from state 3 to state 1 on day 27 (CHG)</v>
      </c>
      <c r="F218" s="40">
        <f t="shared" si="33"/>
        <v>0</v>
      </c>
      <c r="G218" s="156">
        <v>1</v>
      </c>
      <c r="H218" s="147">
        <f>Tp_CHG!Q37</f>
        <v>0</v>
      </c>
      <c r="I218" s="40" t="s">
        <v>58</v>
      </c>
      <c r="J218" s="40">
        <f t="shared" si="30"/>
        <v>0</v>
      </c>
      <c r="K218" s="40">
        <f t="shared" si="31"/>
        <v>0</v>
      </c>
      <c r="L218" s="40" t="s">
        <v>58</v>
      </c>
      <c r="M218" s="50" t="s">
        <v>266</v>
      </c>
      <c r="N218" s="190"/>
      <c r="O218" s="40">
        <f t="shared" ca="1" si="29"/>
        <v>0.27255315113595902</v>
      </c>
      <c r="P218" s="51">
        <f t="shared" si="34"/>
        <v>0</v>
      </c>
      <c r="Q218" s="51">
        <f t="shared" si="35"/>
        <v>0</v>
      </c>
      <c r="R218" s="51">
        <f t="shared" si="32"/>
        <v>0</v>
      </c>
      <c r="S218"/>
      <c r="T218" s="83"/>
    </row>
    <row r="219" spans="1:20" ht="16" x14ac:dyDescent="0.2">
      <c r="A219"/>
      <c r="B219" s="103"/>
      <c r="C219" s="243"/>
      <c r="D219" s="119">
        <v>205</v>
      </c>
      <c r="E219" s="25" t="str">
        <f>Tp_CHG!N38</f>
        <v>Transition Probability from state 3 to state 1 on day 28 (CHG)</v>
      </c>
      <c r="F219" s="40">
        <f t="shared" si="33"/>
        <v>0</v>
      </c>
      <c r="G219" s="156">
        <v>1</v>
      </c>
      <c r="H219" s="147">
        <f>Tp_CHG!Q38</f>
        <v>0</v>
      </c>
      <c r="I219" s="40" t="s">
        <v>58</v>
      </c>
      <c r="J219" s="40">
        <f t="shared" si="30"/>
        <v>0</v>
      </c>
      <c r="K219" s="40">
        <f t="shared" si="31"/>
        <v>0</v>
      </c>
      <c r="L219" s="40" t="s">
        <v>58</v>
      </c>
      <c r="M219" s="50" t="s">
        <v>266</v>
      </c>
      <c r="N219" s="190"/>
      <c r="O219" s="40">
        <f t="shared" ca="1" si="29"/>
        <v>0.68546400462811674</v>
      </c>
      <c r="P219" s="51">
        <f t="shared" si="34"/>
        <v>0</v>
      </c>
      <c r="Q219" s="51">
        <f t="shared" si="35"/>
        <v>0</v>
      </c>
      <c r="R219" s="51">
        <f t="shared" si="32"/>
        <v>0</v>
      </c>
      <c r="S219"/>
      <c r="T219" s="83"/>
    </row>
    <row r="220" spans="1:20" ht="16" x14ac:dyDescent="0.2">
      <c r="A220"/>
      <c r="B220" s="103"/>
      <c r="C220" s="243"/>
      <c r="D220" s="119">
        <v>206</v>
      </c>
      <c r="E220" s="25" t="str">
        <f>Tp_CHG!N39</f>
        <v>Transition Probability from state 3 to state 1 on day 29 (CHG)</v>
      </c>
      <c r="F220" s="40">
        <f t="shared" si="33"/>
        <v>0</v>
      </c>
      <c r="G220" s="156">
        <v>1</v>
      </c>
      <c r="H220" s="147">
        <f>Tp_CHG!Q39</f>
        <v>0</v>
      </c>
      <c r="I220" s="40" t="s">
        <v>58</v>
      </c>
      <c r="J220" s="40">
        <f t="shared" si="30"/>
        <v>0</v>
      </c>
      <c r="K220" s="40">
        <f t="shared" si="31"/>
        <v>0</v>
      </c>
      <c r="L220" s="40" t="s">
        <v>58</v>
      </c>
      <c r="M220" s="50" t="s">
        <v>266</v>
      </c>
      <c r="N220" s="190"/>
      <c r="O220" s="40">
        <f t="shared" ca="1" si="29"/>
        <v>0.18820126856455699</v>
      </c>
      <c r="P220" s="51">
        <f t="shared" si="34"/>
        <v>0</v>
      </c>
      <c r="Q220" s="51">
        <f t="shared" si="35"/>
        <v>0</v>
      </c>
      <c r="R220" s="51">
        <f t="shared" si="32"/>
        <v>0</v>
      </c>
      <c r="S220"/>
      <c r="T220" s="83"/>
    </row>
    <row r="221" spans="1:20" ht="16" x14ac:dyDescent="0.2">
      <c r="A221"/>
      <c r="B221" s="103"/>
      <c r="C221" s="243"/>
      <c r="D221" s="119">
        <v>207</v>
      </c>
      <c r="E221" s="25" t="str">
        <f>Tp_CHG!N40</f>
        <v>Transition Probability from state 3 to state 1 on day 30 (CHG)</v>
      </c>
      <c r="F221" s="40">
        <f t="shared" si="33"/>
        <v>0</v>
      </c>
      <c r="G221" s="156">
        <v>1</v>
      </c>
      <c r="H221" s="147">
        <f>Tp_CHG!Q40</f>
        <v>0</v>
      </c>
      <c r="I221" s="40" t="s">
        <v>58</v>
      </c>
      <c r="J221" s="40">
        <f t="shared" si="30"/>
        <v>0</v>
      </c>
      <c r="K221" s="40">
        <f t="shared" si="31"/>
        <v>0</v>
      </c>
      <c r="L221" s="40" t="s">
        <v>58</v>
      </c>
      <c r="M221" s="50" t="s">
        <v>266</v>
      </c>
      <c r="N221" s="190"/>
      <c r="O221" s="40">
        <f t="shared" ca="1" si="29"/>
        <v>0.15659251531454099</v>
      </c>
      <c r="P221" s="51">
        <f t="shared" si="34"/>
        <v>0</v>
      </c>
      <c r="Q221" s="51">
        <f t="shared" si="35"/>
        <v>0</v>
      </c>
      <c r="R221" s="51">
        <f t="shared" si="32"/>
        <v>0</v>
      </c>
      <c r="S221"/>
      <c r="T221" s="83"/>
    </row>
    <row r="222" spans="1:20" ht="16" x14ac:dyDescent="0.2">
      <c r="A222"/>
      <c r="B222" s="103"/>
      <c r="C222" s="243"/>
      <c r="D222" s="119">
        <v>208</v>
      </c>
      <c r="E222" s="25" t="str">
        <f>Tp_CHG!S11</f>
        <v>Transition Probability from state 4 to state 1 on day 1 (CHG)</v>
      </c>
      <c r="F222" s="40">
        <f t="shared" si="33"/>
        <v>0</v>
      </c>
      <c r="G222" s="156">
        <v>1</v>
      </c>
      <c r="H222" s="147">
        <f>Tp_CHG!V11</f>
        <v>0</v>
      </c>
      <c r="I222" s="40" t="s">
        <v>58</v>
      </c>
      <c r="J222" s="40">
        <f t="shared" si="30"/>
        <v>0</v>
      </c>
      <c r="K222" s="40">
        <f t="shared" si="31"/>
        <v>0</v>
      </c>
      <c r="L222" s="40" t="s">
        <v>58</v>
      </c>
      <c r="M222" s="50" t="s">
        <v>266</v>
      </c>
      <c r="N222" s="190"/>
      <c r="O222" s="40">
        <f t="shared" ca="1" si="29"/>
        <v>0.17179659437428874</v>
      </c>
      <c r="P222" s="51">
        <f t="shared" si="34"/>
        <v>0</v>
      </c>
      <c r="Q222" s="51">
        <f t="shared" si="35"/>
        <v>0</v>
      </c>
      <c r="R222" s="51">
        <f t="shared" si="32"/>
        <v>0</v>
      </c>
      <c r="S222"/>
      <c r="T222" s="83"/>
    </row>
    <row r="223" spans="1:20" ht="16" x14ac:dyDescent="0.2">
      <c r="A223"/>
      <c r="B223" s="103"/>
      <c r="C223" s="243"/>
      <c r="D223" s="119">
        <v>209</v>
      </c>
      <c r="E223" s="25" t="str">
        <f>Tp_CHG!S12</f>
        <v>Transition Probability from state 4 to state 1 on day 2 (CHG)</v>
      </c>
      <c r="F223" s="40">
        <f t="shared" si="33"/>
        <v>0</v>
      </c>
      <c r="G223" s="156">
        <v>1</v>
      </c>
      <c r="H223" s="147">
        <f>Tp_CHG!V12</f>
        <v>0</v>
      </c>
      <c r="I223" s="40" t="s">
        <v>58</v>
      </c>
      <c r="J223" s="40">
        <f t="shared" si="30"/>
        <v>0</v>
      </c>
      <c r="K223" s="40">
        <f t="shared" si="31"/>
        <v>0</v>
      </c>
      <c r="L223" s="40" t="s">
        <v>58</v>
      </c>
      <c r="M223" s="50" t="s">
        <v>266</v>
      </c>
      <c r="N223" s="190"/>
      <c r="O223" s="40">
        <f t="shared" ca="1" si="29"/>
        <v>0.17161966459058231</v>
      </c>
      <c r="P223" s="51">
        <f t="shared" si="34"/>
        <v>0</v>
      </c>
      <c r="Q223" s="51">
        <f t="shared" si="35"/>
        <v>0</v>
      </c>
      <c r="R223" s="51">
        <f t="shared" si="32"/>
        <v>0</v>
      </c>
      <c r="S223"/>
      <c r="T223" s="83"/>
    </row>
    <row r="224" spans="1:20" ht="16" x14ac:dyDescent="0.2">
      <c r="A224"/>
      <c r="B224" s="103"/>
      <c r="C224" s="243"/>
      <c r="D224" s="119">
        <v>210</v>
      </c>
      <c r="E224" s="25" t="str">
        <f>Tp_CHG!S13</f>
        <v>Transition Probability from state 4 to state 1 on day 3 (CHG)</v>
      </c>
      <c r="F224" s="40">
        <f t="shared" si="33"/>
        <v>0</v>
      </c>
      <c r="G224" s="156">
        <v>1</v>
      </c>
      <c r="H224" s="147">
        <f>Tp_CHG!V13</f>
        <v>0</v>
      </c>
      <c r="I224" s="40" t="s">
        <v>58</v>
      </c>
      <c r="J224" s="40">
        <f t="shared" si="30"/>
        <v>0</v>
      </c>
      <c r="K224" s="40">
        <f t="shared" si="31"/>
        <v>0</v>
      </c>
      <c r="L224" s="40" t="s">
        <v>58</v>
      </c>
      <c r="M224" s="50" t="s">
        <v>266</v>
      </c>
      <c r="N224" s="190"/>
      <c r="O224" s="40">
        <f t="shared" ca="1" si="29"/>
        <v>0.9963544614615204</v>
      </c>
      <c r="P224" s="51">
        <f t="shared" si="34"/>
        <v>0</v>
      </c>
      <c r="Q224" s="51">
        <f t="shared" si="35"/>
        <v>0</v>
      </c>
      <c r="R224" s="51">
        <f t="shared" si="32"/>
        <v>0</v>
      </c>
      <c r="S224"/>
      <c r="T224" s="83"/>
    </row>
    <row r="225" spans="1:20" ht="16" x14ac:dyDescent="0.2">
      <c r="A225"/>
      <c r="B225" s="103"/>
      <c r="C225" s="243"/>
      <c r="D225" s="119">
        <v>211</v>
      </c>
      <c r="E225" s="25" t="str">
        <f>Tp_CHG!S14</f>
        <v>Transition Probability from state 4 to state 1 on day 4 (CHG)</v>
      </c>
      <c r="F225" s="40">
        <f t="shared" si="33"/>
        <v>0</v>
      </c>
      <c r="G225" s="156">
        <v>1</v>
      </c>
      <c r="H225" s="147">
        <f>Tp_CHG!V14</f>
        <v>0</v>
      </c>
      <c r="I225" s="40" t="s">
        <v>58</v>
      </c>
      <c r="J225" s="40">
        <f t="shared" si="30"/>
        <v>0</v>
      </c>
      <c r="K225" s="40">
        <f t="shared" si="31"/>
        <v>0</v>
      </c>
      <c r="L225" s="40" t="s">
        <v>58</v>
      </c>
      <c r="M225" s="50" t="s">
        <v>266</v>
      </c>
      <c r="N225" s="190"/>
      <c r="O225" s="40">
        <f t="shared" ca="1" si="29"/>
        <v>0.94522273488984032</v>
      </c>
      <c r="P225" s="51">
        <f t="shared" si="34"/>
        <v>0</v>
      </c>
      <c r="Q225" s="51">
        <f t="shared" si="35"/>
        <v>0</v>
      </c>
      <c r="R225" s="51">
        <f t="shared" si="32"/>
        <v>0</v>
      </c>
      <c r="S225"/>
      <c r="T225" s="83"/>
    </row>
    <row r="226" spans="1:20" ht="16" x14ac:dyDescent="0.2">
      <c r="A226"/>
      <c r="B226" s="103"/>
      <c r="C226" s="243"/>
      <c r="D226" s="119">
        <v>212</v>
      </c>
      <c r="E226" s="25" t="str">
        <f>Tp_CHG!S15</f>
        <v>Transition Probability from state 4 to state 1 on day 5 (CHG)</v>
      </c>
      <c r="F226" s="40">
        <f t="shared" si="33"/>
        <v>0</v>
      </c>
      <c r="G226" s="156">
        <v>1</v>
      </c>
      <c r="H226" s="147">
        <f>Tp_CHG!V15</f>
        <v>0</v>
      </c>
      <c r="I226" s="40" t="s">
        <v>58</v>
      </c>
      <c r="J226" s="40">
        <f t="shared" si="30"/>
        <v>0</v>
      </c>
      <c r="K226" s="40">
        <f t="shared" si="31"/>
        <v>0</v>
      </c>
      <c r="L226" s="40" t="s">
        <v>58</v>
      </c>
      <c r="M226" s="50" t="s">
        <v>266</v>
      </c>
      <c r="N226" s="190"/>
      <c r="O226" s="40">
        <f t="shared" ca="1" si="29"/>
        <v>0.60746042306143155</v>
      </c>
      <c r="P226" s="51">
        <f t="shared" si="34"/>
        <v>0</v>
      </c>
      <c r="Q226" s="51">
        <f t="shared" si="35"/>
        <v>0</v>
      </c>
      <c r="R226" s="51">
        <f t="shared" si="32"/>
        <v>0</v>
      </c>
      <c r="S226"/>
      <c r="T226" s="83"/>
    </row>
    <row r="227" spans="1:20" ht="16" x14ac:dyDescent="0.2">
      <c r="A227"/>
      <c r="B227" s="103"/>
      <c r="C227" s="243"/>
      <c r="D227" s="119">
        <v>213</v>
      </c>
      <c r="E227" s="25" t="str">
        <f>Tp_CHG!S16</f>
        <v>Transition Probability from state 4 to state 1 on day 6 (CHG)</v>
      </c>
      <c r="F227" s="40">
        <f t="shared" si="33"/>
        <v>0</v>
      </c>
      <c r="G227" s="156">
        <v>1</v>
      </c>
      <c r="H227" s="147">
        <f>Tp_CHG!V16</f>
        <v>0</v>
      </c>
      <c r="I227" s="40" t="s">
        <v>58</v>
      </c>
      <c r="J227" s="40">
        <f t="shared" si="30"/>
        <v>0</v>
      </c>
      <c r="K227" s="40">
        <f t="shared" si="31"/>
        <v>0</v>
      </c>
      <c r="L227" s="40" t="s">
        <v>58</v>
      </c>
      <c r="M227" s="50" t="s">
        <v>266</v>
      </c>
      <c r="N227" s="190"/>
      <c r="O227" s="40">
        <f t="shared" ca="1" si="29"/>
        <v>0.64347422864240189</v>
      </c>
      <c r="P227" s="51">
        <f t="shared" si="34"/>
        <v>0</v>
      </c>
      <c r="Q227" s="51">
        <f t="shared" si="35"/>
        <v>0</v>
      </c>
      <c r="R227" s="51">
        <f t="shared" si="32"/>
        <v>0</v>
      </c>
      <c r="S227"/>
      <c r="T227" s="83"/>
    </row>
    <row r="228" spans="1:20" ht="16" x14ac:dyDescent="0.2">
      <c r="A228"/>
      <c r="B228" s="103"/>
      <c r="C228" s="243"/>
      <c r="D228" s="119">
        <v>214</v>
      </c>
      <c r="E228" s="25" t="str">
        <f>Tp_CHG!S17</f>
        <v>Transition Probability from state 4 to state 1 on day 7 (CHG)</v>
      </c>
      <c r="F228" s="40">
        <f t="shared" si="33"/>
        <v>0</v>
      </c>
      <c r="G228" s="156">
        <v>1</v>
      </c>
      <c r="H228" s="147">
        <f>Tp_CHG!V17</f>
        <v>0</v>
      </c>
      <c r="I228" s="40" t="s">
        <v>58</v>
      </c>
      <c r="J228" s="40">
        <f t="shared" si="30"/>
        <v>0</v>
      </c>
      <c r="K228" s="40">
        <f t="shared" si="31"/>
        <v>0</v>
      </c>
      <c r="L228" s="40" t="s">
        <v>58</v>
      </c>
      <c r="M228" s="50" t="s">
        <v>266</v>
      </c>
      <c r="N228" s="190"/>
      <c r="O228" s="40">
        <f t="shared" ca="1" si="29"/>
        <v>0.73477926175540131</v>
      </c>
      <c r="P228" s="51">
        <f t="shared" si="34"/>
        <v>0</v>
      </c>
      <c r="Q228" s="51">
        <f t="shared" si="35"/>
        <v>0</v>
      </c>
      <c r="R228" s="51">
        <f t="shared" si="32"/>
        <v>0</v>
      </c>
      <c r="S228"/>
      <c r="T228" s="83"/>
    </row>
    <row r="229" spans="1:20" ht="16" x14ac:dyDescent="0.2">
      <c r="A229"/>
      <c r="B229" s="103"/>
      <c r="C229" s="243"/>
      <c r="D229" s="119">
        <v>215</v>
      </c>
      <c r="E229" s="25" t="str">
        <f>Tp_CHG!S18</f>
        <v>Transition Probability from state 4 to state 1 on day 8 (CHG)</v>
      </c>
      <c r="F229" s="40">
        <f t="shared" si="33"/>
        <v>0</v>
      </c>
      <c r="G229" s="156">
        <v>1</v>
      </c>
      <c r="H229" s="147">
        <f>Tp_CHG!V18</f>
        <v>0</v>
      </c>
      <c r="I229" s="40" t="s">
        <v>58</v>
      </c>
      <c r="J229" s="40">
        <f t="shared" si="30"/>
        <v>0</v>
      </c>
      <c r="K229" s="40">
        <f t="shared" si="31"/>
        <v>0</v>
      </c>
      <c r="L229" s="40" t="s">
        <v>58</v>
      </c>
      <c r="M229" s="50" t="s">
        <v>266</v>
      </c>
      <c r="N229" s="190"/>
      <c r="O229" s="40">
        <f t="shared" ca="1" si="29"/>
        <v>0.31171793633975353</v>
      </c>
      <c r="P229" s="51">
        <f t="shared" si="34"/>
        <v>0</v>
      </c>
      <c r="Q229" s="51">
        <f t="shared" si="35"/>
        <v>0</v>
      </c>
      <c r="R229" s="51">
        <f t="shared" si="32"/>
        <v>0</v>
      </c>
      <c r="S229"/>
      <c r="T229" s="83"/>
    </row>
    <row r="230" spans="1:20" ht="16" x14ac:dyDescent="0.2">
      <c r="A230"/>
      <c r="B230" s="103"/>
      <c r="C230" s="243"/>
      <c r="D230" s="119">
        <v>216</v>
      </c>
      <c r="E230" s="25" t="str">
        <f>Tp_CHG!S50</f>
        <v>Transition Probability from state 4 to state 2 on day 8 (CHG)</v>
      </c>
      <c r="F230" s="40">
        <f t="shared" si="33"/>
        <v>1</v>
      </c>
      <c r="G230" s="156">
        <v>1</v>
      </c>
      <c r="H230" s="120">
        <f>Tp_CHG!V50</f>
        <v>1</v>
      </c>
      <c r="I230" s="40" t="s">
        <v>58</v>
      </c>
      <c r="J230" s="40">
        <f>IF(H230=0,0,_xlfn.NORM.INV(0.025,H230,R230))</f>
        <v>0.8040036015459946</v>
      </c>
      <c r="K230" s="40">
        <f>IF(H230=0,0,_xlfn.NORM.INV(0.975,H230,R230))</f>
        <v>1.1959963984540054</v>
      </c>
      <c r="L230" s="40" t="s">
        <v>58</v>
      </c>
      <c r="M230" s="50" t="s">
        <v>266</v>
      </c>
      <c r="N230" s="190"/>
      <c r="O230" s="40">
        <f ca="1">RAND()</f>
        <v>0.85183033311947121</v>
      </c>
      <c r="P230" s="51">
        <f t="shared" si="34"/>
        <v>-1</v>
      </c>
      <c r="Q230" s="51">
        <f t="shared" si="35"/>
        <v>0</v>
      </c>
      <c r="R230" s="51">
        <f>assumedSE*H230</f>
        <v>0.1</v>
      </c>
      <c r="S230"/>
      <c r="T230" s="83"/>
    </row>
    <row r="231" spans="1:20" ht="16" x14ac:dyDescent="0.2">
      <c r="A231"/>
      <c r="B231" s="103"/>
      <c r="C231" s="243"/>
      <c r="D231" s="119">
        <v>217</v>
      </c>
      <c r="E231" s="25" t="str">
        <f>Tp_CHG!S19</f>
        <v>Transition Probability from state 4 to state 1 on day 9 (CHG)</v>
      </c>
      <c r="F231" s="40">
        <f t="shared" si="33"/>
        <v>1</v>
      </c>
      <c r="G231" s="156">
        <v>1</v>
      </c>
      <c r="H231" s="147">
        <f>Tp_CHG!V19</f>
        <v>1</v>
      </c>
      <c r="I231" s="40" t="s">
        <v>58</v>
      </c>
      <c r="J231" s="40">
        <f t="shared" ref="J231:J262" si="36">IF(H231=0,0,_xlfn.NORM.INV(0.025,H231,R231))</f>
        <v>0.8040036015459946</v>
      </c>
      <c r="K231" s="40">
        <f t="shared" ref="K231:K262" si="37">IF(H231=0,0,_xlfn.NORM.INV(0.975,H231,R231))</f>
        <v>1.1959963984540054</v>
      </c>
      <c r="L231" s="40" t="s">
        <v>58</v>
      </c>
      <c r="M231" s="50" t="s">
        <v>266</v>
      </c>
      <c r="N231" s="190"/>
      <c r="O231" s="40">
        <f t="shared" ca="1" si="29"/>
        <v>0.45998036713067902</v>
      </c>
      <c r="P231" s="51">
        <f t="shared" si="34"/>
        <v>-1</v>
      </c>
      <c r="Q231" s="51">
        <f t="shared" si="35"/>
        <v>0</v>
      </c>
      <c r="R231" s="51">
        <f t="shared" ref="R231:R262" si="38">assumedSE*H231</f>
        <v>0.1</v>
      </c>
      <c r="S231"/>
      <c r="T231" s="83"/>
    </row>
    <row r="232" spans="1:20" ht="16" x14ac:dyDescent="0.2">
      <c r="A232"/>
      <c r="B232" s="103">
        <v>3</v>
      </c>
      <c r="C232" s="243"/>
      <c r="D232" s="119">
        <v>218</v>
      </c>
      <c r="E232" s="25" t="str">
        <f>Tp_CHG!S20</f>
        <v>Transition Probability from state 4 to state 1 on day 10 (CHG)</v>
      </c>
      <c r="F232" s="40">
        <f t="shared" si="33"/>
        <v>0</v>
      </c>
      <c r="G232" s="156">
        <v>1</v>
      </c>
      <c r="H232" s="147">
        <f>Tp_CHG!V20</f>
        <v>0</v>
      </c>
      <c r="I232" s="40" t="s">
        <v>58</v>
      </c>
      <c r="J232" s="40">
        <f t="shared" si="36"/>
        <v>0</v>
      </c>
      <c r="K232" s="40">
        <f t="shared" si="37"/>
        <v>0</v>
      </c>
      <c r="L232" s="40" t="s">
        <v>58</v>
      </c>
      <c r="M232" s="50" t="s">
        <v>266</v>
      </c>
      <c r="N232" s="190"/>
      <c r="O232" s="40">
        <f t="shared" ca="1" si="29"/>
        <v>0.50558974463238116</v>
      </c>
      <c r="P232" s="51">
        <f t="shared" si="34"/>
        <v>0</v>
      </c>
      <c r="Q232" s="51">
        <f t="shared" si="35"/>
        <v>0</v>
      </c>
      <c r="R232" s="51">
        <f t="shared" si="38"/>
        <v>0</v>
      </c>
      <c r="S232"/>
      <c r="T232" s="83"/>
    </row>
    <row r="233" spans="1:20" ht="16" x14ac:dyDescent="0.2">
      <c r="A233"/>
      <c r="B233" s="103">
        <v>4</v>
      </c>
      <c r="C233" s="243"/>
      <c r="D233" s="119">
        <v>219</v>
      </c>
      <c r="E233" s="25" t="str">
        <f>Tp_CHG!S21</f>
        <v>Transition Probability from state 4 to state 1 on day 11 (CHG)</v>
      </c>
      <c r="F233" s="40">
        <f t="shared" si="33"/>
        <v>0</v>
      </c>
      <c r="G233" s="156">
        <v>1</v>
      </c>
      <c r="H233" s="147">
        <f>Tp_CHG!V21</f>
        <v>0</v>
      </c>
      <c r="I233" s="40" t="s">
        <v>58</v>
      </c>
      <c r="J233" s="40">
        <f t="shared" si="36"/>
        <v>0</v>
      </c>
      <c r="K233" s="40">
        <f t="shared" si="37"/>
        <v>0</v>
      </c>
      <c r="L233" s="40" t="s">
        <v>58</v>
      </c>
      <c r="M233" s="50" t="s">
        <v>266</v>
      </c>
      <c r="N233" s="190"/>
      <c r="O233" s="40">
        <f t="shared" ca="1" si="29"/>
        <v>0.16214232132939699</v>
      </c>
      <c r="P233" s="51">
        <f t="shared" si="34"/>
        <v>0</v>
      </c>
      <c r="Q233" s="51">
        <f t="shared" si="35"/>
        <v>0</v>
      </c>
      <c r="R233" s="51">
        <f t="shared" si="38"/>
        <v>0</v>
      </c>
      <c r="S233"/>
      <c r="T233" s="83"/>
    </row>
    <row r="234" spans="1:20" ht="16" x14ac:dyDescent="0.2">
      <c r="A234"/>
      <c r="B234" s="103">
        <v>5</v>
      </c>
      <c r="C234" s="243"/>
      <c r="D234" s="119">
        <v>220</v>
      </c>
      <c r="E234" s="25" t="str">
        <f>Tp_CHG!S22</f>
        <v>Transition Probability from state 4 to state 1 on day 12 (CHG)</v>
      </c>
      <c r="F234" s="40">
        <f t="shared" si="33"/>
        <v>0</v>
      </c>
      <c r="G234" s="156">
        <v>1</v>
      </c>
      <c r="H234" s="147">
        <f>Tp_CHG!V22</f>
        <v>0</v>
      </c>
      <c r="I234" s="40" t="s">
        <v>58</v>
      </c>
      <c r="J234" s="40">
        <f t="shared" si="36"/>
        <v>0</v>
      </c>
      <c r="K234" s="40">
        <f t="shared" si="37"/>
        <v>0</v>
      </c>
      <c r="L234" s="40" t="s">
        <v>58</v>
      </c>
      <c r="M234" s="50" t="s">
        <v>266</v>
      </c>
      <c r="N234" s="190"/>
      <c r="O234" s="40">
        <f t="shared" ca="1" si="29"/>
        <v>0.90817031344649446</v>
      </c>
      <c r="P234" s="51">
        <f t="shared" si="34"/>
        <v>0</v>
      </c>
      <c r="Q234" s="51">
        <f t="shared" si="35"/>
        <v>0</v>
      </c>
      <c r="R234" s="51">
        <f t="shared" si="38"/>
        <v>0</v>
      </c>
      <c r="S234"/>
      <c r="T234" s="83"/>
    </row>
    <row r="235" spans="1:20" ht="16" x14ac:dyDescent="0.2">
      <c r="A235"/>
      <c r="B235" s="103">
        <v>6</v>
      </c>
      <c r="C235" s="243"/>
      <c r="D235" s="119">
        <v>221</v>
      </c>
      <c r="E235" s="25" t="str">
        <f>Tp_CHG!S23</f>
        <v>Transition Probability from state 4 to state 1 on day 13 (CHG)</v>
      </c>
      <c r="F235" s="40">
        <f t="shared" si="33"/>
        <v>0</v>
      </c>
      <c r="G235" s="156">
        <v>1</v>
      </c>
      <c r="H235" s="147">
        <f>Tp_CHG!V23</f>
        <v>0</v>
      </c>
      <c r="I235" s="40" t="s">
        <v>58</v>
      </c>
      <c r="J235" s="40">
        <f t="shared" si="36"/>
        <v>0</v>
      </c>
      <c r="K235" s="40">
        <f t="shared" si="37"/>
        <v>0</v>
      </c>
      <c r="L235" s="40" t="s">
        <v>58</v>
      </c>
      <c r="M235" s="50" t="s">
        <v>266</v>
      </c>
      <c r="N235" s="190"/>
      <c r="O235" s="40">
        <f t="shared" ca="1" si="29"/>
        <v>0.86333347327824905</v>
      </c>
      <c r="P235" s="51">
        <f t="shared" si="34"/>
        <v>0</v>
      </c>
      <c r="Q235" s="51">
        <f t="shared" si="35"/>
        <v>0</v>
      </c>
      <c r="R235" s="51">
        <f t="shared" si="38"/>
        <v>0</v>
      </c>
      <c r="S235"/>
      <c r="T235" s="83"/>
    </row>
    <row r="236" spans="1:20" ht="16" x14ac:dyDescent="0.2">
      <c r="A236"/>
      <c r="B236" s="103">
        <v>7</v>
      </c>
      <c r="C236" s="243"/>
      <c r="D236" s="119">
        <v>222</v>
      </c>
      <c r="E236" s="25" t="str">
        <f>Tp_CHG!S24</f>
        <v>Transition Probability from state 4 to state 1 on day 14 (CHG)</v>
      </c>
      <c r="F236" s="40">
        <f t="shared" si="33"/>
        <v>0</v>
      </c>
      <c r="G236" s="156">
        <v>1</v>
      </c>
      <c r="H236" s="147">
        <f>Tp_CHG!V24</f>
        <v>0</v>
      </c>
      <c r="I236" s="40" t="s">
        <v>58</v>
      </c>
      <c r="J236" s="40">
        <f t="shared" si="36"/>
        <v>0</v>
      </c>
      <c r="K236" s="40">
        <f t="shared" si="37"/>
        <v>0</v>
      </c>
      <c r="L236" s="40" t="s">
        <v>58</v>
      </c>
      <c r="M236" s="50" t="s">
        <v>266</v>
      </c>
      <c r="N236" s="190"/>
      <c r="O236" s="40">
        <f t="shared" ca="1" si="29"/>
        <v>0.14913600693076734</v>
      </c>
      <c r="P236" s="51">
        <f t="shared" si="34"/>
        <v>0</v>
      </c>
      <c r="Q236" s="51">
        <f t="shared" si="35"/>
        <v>0</v>
      </c>
      <c r="R236" s="51">
        <f t="shared" si="38"/>
        <v>0</v>
      </c>
      <c r="S236"/>
      <c r="T236" s="83"/>
    </row>
    <row r="237" spans="1:20" ht="16" x14ac:dyDescent="0.2">
      <c r="A237"/>
      <c r="B237" s="103">
        <v>8</v>
      </c>
      <c r="C237" s="243"/>
      <c r="D237" s="119">
        <v>223</v>
      </c>
      <c r="E237" s="25" t="str">
        <f>Tp_CHG!S25</f>
        <v>Transition Probability from state 4 to state 1 on day 15 (CHG)</v>
      </c>
      <c r="F237" s="40">
        <f t="shared" si="33"/>
        <v>0</v>
      </c>
      <c r="G237" s="156">
        <v>1</v>
      </c>
      <c r="H237" s="147">
        <f>Tp_CHG!V25</f>
        <v>0</v>
      </c>
      <c r="I237" s="40" t="s">
        <v>58</v>
      </c>
      <c r="J237" s="40">
        <f t="shared" si="36"/>
        <v>0</v>
      </c>
      <c r="K237" s="40">
        <f t="shared" si="37"/>
        <v>0</v>
      </c>
      <c r="L237" s="40" t="s">
        <v>58</v>
      </c>
      <c r="M237" s="50" t="s">
        <v>266</v>
      </c>
      <c r="N237" s="190"/>
      <c r="O237" s="40">
        <f t="shared" ca="1" si="29"/>
        <v>0.16036508195195598</v>
      </c>
      <c r="P237" s="51">
        <f t="shared" si="34"/>
        <v>0</v>
      </c>
      <c r="Q237" s="51">
        <f t="shared" si="35"/>
        <v>0</v>
      </c>
      <c r="R237" s="51">
        <f t="shared" si="38"/>
        <v>0</v>
      </c>
      <c r="S237"/>
      <c r="T237" s="83"/>
    </row>
    <row r="238" spans="1:20" ht="16" x14ac:dyDescent="0.2">
      <c r="A238"/>
      <c r="B238" s="103">
        <v>1</v>
      </c>
      <c r="C238" s="243"/>
      <c r="D238" s="119">
        <v>224</v>
      </c>
      <c r="E238" s="25" t="str">
        <f>Tp_CHG!S26</f>
        <v>Transition Probability from state 4 to state 1 on day 16 (CHG)</v>
      </c>
      <c r="F238" s="40">
        <f t="shared" si="33"/>
        <v>1</v>
      </c>
      <c r="G238" s="156">
        <v>1</v>
      </c>
      <c r="H238" s="147">
        <f>Tp_CHG!V26</f>
        <v>1</v>
      </c>
      <c r="I238" s="40" t="s">
        <v>58</v>
      </c>
      <c r="J238" s="40">
        <f t="shared" si="36"/>
        <v>0.8040036015459946</v>
      </c>
      <c r="K238" s="40">
        <f t="shared" si="37"/>
        <v>1.1959963984540054</v>
      </c>
      <c r="L238" s="40" t="s">
        <v>58</v>
      </c>
      <c r="M238" s="50" t="s">
        <v>266</v>
      </c>
      <c r="N238" s="190"/>
      <c r="O238" s="40">
        <f t="shared" ca="1" si="29"/>
        <v>0.96342542222137184</v>
      </c>
      <c r="P238" s="51">
        <f t="shared" si="34"/>
        <v>-1</v>
      </c>
      <c r="Q238" s="51">
        <f t="shared" si="35"/>
        <v>0</v>
      </c>
      <c r="R238" s="51">
        <f t="shared" si="38"/>
        <v>0.1</v>
      </c>
      <c r="S238"/>
      <c r="T238" s="83"/>
    </row>
    <row r="239" spans="1:20" ht="16" x14ac:dyDescent="0.2">
      <c r="A239"/>
      <c r="B239" s="103">
        <v>2</v>
      </c>
      <c r="C239" s="243"/>
      <c r="D239" s="119">
        <v>225</v>
      </c>
      <c r="E239" s="25" t="str">
        <f>Tp_CHG!S27</f>
        <v>Transition Probability from state 4 to state 1 on day 17 (CHG)</v>
      </c>
      <c r="F239" s="40">
        <f t="shared" si="33"/>
        <v>0</v>
      </c>
      <c r="G239" s="156">
        <v>1</v>
      </c>
      <c r="H239" s="147">
        <f>Tp_CHG!V27</f>
        <v>0</v>
      </c>
      <c r="I239" s="40" t="s">
        <v>58</v>
      </c>
      <c r="J239" s="40">
        <f t="shared" si="36"/>
        <v>0</v>
      </c>
      <c r="K239" s="40">
        <f t="shared" si="37"/>
        <v>0</v>
      </c>
      <c r="L239" s="40" t="s">
        <v>58</v>
      </c>
      <c r="M239" s="50" t="s">
        <v>266</v>
      </c>
      <c r="N239" s="190"/>
      <c r="O239" s="40">
        <f t="shared" ca="1" si="29"/>
        <v>0.36075573809321826</v>
      </c>
      <c r="P239" s="51">
        <f t="shared" si="34"/>
        <v>0</v>
      </c>
      <c r="Q239" s="51">
        <f t="shared" si="35"/>
        <v>0</v>
      </c>
      <c r="R239" s="51">
        <f t="shared" si="38"/>
        <v>0</v>
      </c>
      <c r="S239"/>
      <c r="T239" s="83"/>
    </row>
    <row r="240" spans="1:20" ht="16" x14ac:dyDescent="0.2">
      <c r="A240"/>
      <c r="B240" s="103">
        <v>3</v>
      </c>
      <c r="C240" s="243"/>
      <c r="D240" s="119">
        <v>226</v>
      </c>
      <c r="E240" s="25" t="str">
        <f>Tp_CHG!S28</f>
        <v>Transition Probability from state 4 to state 1 on day 18 (CHG)</v>
      </c>
      <c r="F240" s="40">
        <f t="shared" si="33"/>
        <v>0</v>
      </c>
      <c r="G240" s="156">
        <v>1</v>
      </c>
      <c r="H240" s="147">
        <f>Tp_CHG!V28</f>
        <v>0</v>
      </c>
      <c r="I240" s="40" t="s">
        <v>58</v>
      </c>
      <c r="J240" s="40">
        <f t="shared" si="36"/>
        <v>0</v>
      </c>
      <c r="K240" s="40">
        <f t="shared" si="37"/>
        <v>0</v>
      </c>
      <c r="L240" s="40" t="s">
        <v>58</v>
      </c>
      <c r="M240" s="50" t="s">
        <v>266</v>
      </c>
      <c r="N240" s="190"/>
      <c r="O240" s="40">
        <f t="shared" ca="1" si="29"/>
        <v>0.96945563366436072</v>
      </c>
      <c r="P240" s="51">
        <f t="shared" si="34"/>
        <v>0</v>
      </c>
      <c r="Q240" s="51">
        <f t="shared" si="35"/>
        <v>0</v>
      </c>
      <c r="R240" s="51">
        <f t="shared" si="38"/>
        <v>0</v>
      </c>
      <c r="S240"/>
      <c r="T240" s="83"/>
    </row>
    <row r="241" spans="1:20" ht="16" x14ac:dyDescent="0.2">
      <c r="A241"/>
      <c r="B241" s="103">
        <v>4</v>
      </c>
      <c r="C241" s="243"/>
      <c r="D241" s="119">
        <v>227</v>
      </c>
      <c r="E241" s="25" t="str">
        <f>Tp_CHG!S29</f>
        <v>Transition Probability from state 4 to state 1 on day 19 (CHG)</v>
      </c>
      <c r="F241" s="40">
        <f t="shared" si="33"/>
        <v>0</v>
      </c>
      <c r="G241" s="156">
        <v>1</v>
      </c>
      <c r="H241" s="147">
        <f>Tp_CHG!V29</f>
        <v>0</v>
      </c>
      <c r="I241" s="40" t="s">
        <v>58</v>
      </c>
      <c r="J241" s="40">
        <f t="shared" si="36"/>
        <v>0</v>
      </c>
      <c r="K241" s="40">
        <f t="shared" si="37"/>
        <v>0</v>
      </c>
      <c r="L241" s="40" t="s">
        <v>58</v>
      </c>
      <c r="M241" s="50" t="s">
        <v>266</v>
      </c>
      <c r="N241" s="190"/>
      <c r="O241" s="40">
        <f t="shared" ca="1" si="29"/>
        <v>0.94570163859982925</v>
      </c>
      <c r="P241" s="51">
        <f t="shared" si="34"/>
        <v>0</v>
      </c>
      <c r="Q241" s="51">
        <f t="shared" si="35"/>
        <v>0</v>
      </c>
      <c r="R241" s="51">
        <f t="shared" si="38"/>
        <v>0</v>
      </c>
      <c r="S241"/>
      <c r="T241" s="83"/>
    </row>
    <row r="242" spans="1:20" ht="16" x14ac:dyDescent="0.2">
      <c r="A242"/>
      <c r="B242" s="103">
        <v>5</v>
      </c>
      <c r="C242" s="243"/>
      <c r="D242" s="119">
        <v>228</v>
      </c>
      <c r="E242" s="25" t="str">
        <f>Tp_CHG!S30</f>
        <v>Transition Probability from state 4 to state 1 on day 20 (CHG)</v>
      </c>
      <c r="F242" s="40">
        <f t="shared" si="33"/>
        <v>0</v>
      </c>
      <c r="G242" s="156">
        <v>1</v>
      </c>
      <c r="H242" s="147">
        <f>Tp_CHG!V30</f>
        <v>0</v>
      </c>
      <c r="I242" s="40" t="s">
        <v>58</v>
      </c>
      <c r="J242" s="40">
        <f t="shared" si="36"/>
        <v>0</v>
      </c>
      <c r="K242" s="40">
        <f t="shared" si="37"/>
        <v>0</v>
      </c>
      <c r="L242" s="40" t="s">
        <v>58</v>
      </c>
      <c r="M242" s="50" t="s">
        <v>266</v>
      </c>
      <c r="N242" s="190"/>
      <c r="O242" s="40">
        <f t="shared" ca="1" si="29"/>
        <v>7.0813015050794625E-2</v>
      </c>
      <c r="P242" s="51">
        <f t="shared" si="34"/>
        <v>0</v>
      </c>
      <c r="Q242" s="51">
        <f t="shared" si="35"/>
        <v>0</v>
      </c>
      <c r="R242" s="51">
        <f t="shared" si="38"/>
        <v>0</v>
      </c>
      <c r="S242"/>
      <c r="T242" s="83"/>
    </row>
    <row r="243" spans="1:20" ht="16" x14ac:dyDescent="0.2">
      <c r="A243"/>
      <c r="B243" s="103">
        <v>6</v>
      </c>
      <c r="C243" s="243"/>
      <c r="D243" s="119">
        <v>229</v>
      </c>
      <c r="E243" s="25" t="str">
        <f>Tp_CHG!S31</f>
        <v>Transition Probability from state 4 to state 1 on day 21 (CHG)</v>
      </c>
      <c r="F243" s="40">
        <f t="shared" si="33"/>
        <v>0</v>
      </c>
      <c r="G243" s="156">
        <v>1</v>
      </c>
      <c r="H243" s="147">
        <f>Tp_CHG!V31</f>
        <v>0</v>
      </c>
      <c r="I243" s="40" t="s">
        <v>58</v>
      </c>
      <c r="J243" s="40">
        <f t="shared" si="36"/>
        <v>0</v>
      </c>
      <c r="K243" s="40">
        <f t="shared" si="37"/>
        <v>0</v>
      </c>
      <c r="L243" s="40" t="s">
        <v>58</v>
      </c>
      <c r="M243" s="50" t="s">
        <v>266</v>
      </c>
      <c r="N243" s="190"/>
      <c r="O243" s="40">
        <f t="shared" ca="1" si="29"/>
        <v>0.53994991665730918</v>
      </c>
      <c r="P243" s="51">
        <f t="shared" si="34"/>
        <v>0</v>
      </c>
      <c r="Q243" s="51">
        <f t="shared" si="35"/>
        <v>0</v>
      </c>
      <c r="R243" s="51">
        <f t="shared" si="38"/>
        <v>0</v>
      </c>
      <c r="S243"/>
      <c r="T243" s="83"/>
    </row>
    <row r="244" spans="1:20" ht="16" x14ac:dyDescent="0.2">
      <c r="A244"/>
      <c r="B244" s="103">
        <v>7</v>
      </c>
      <c r="C244" s="243"/>
      <c r="D244" s="119">
        <v>230</v>
      </c>
      <c r="E244" s="25" t="str">
        <f>Tp_CHG!S32</f>
        <v>Transition Probability from state 4 to state 1 on day 22 (CHG)</v>
      </c>
      <c r="F244" s="40">
        <f t="shared" si="33"/>
        <v>0</v>
      </c>
      <c r="G244" s="156">
        <v>1</v>
      </c>
      <c r="H244" s="147">
        <f>Tp_CHG!V32</f>
        <v>0</v>
      </c>
      <c r="I244" s="40" t="s">
        <v>58</v>
      </c>
      <c r="J244" s="40">
        <f t="shared" si="36"/>
        <v>0</v>
      </c>
      <c r="K244" s="40">
        <f t="shared" si="37"/>
        <v>0</v>
      </c>
      <c r="L244" s="40" t="s">
        <v>58</v>
      </c>
      <c r="M244" s="50" t="s">
        <v>266</v>
      </c>
      <c r="N244" s="190"/>
      <c r="O244" s="40">
        <f t="shared" ca="1" si="29"/>
        <v>0.64008521470015656</v>
      </c>
      <c r="P244" s="51">
        <f t="shared" si="34"/>
        <v>0</v>
      </c>
      <c r="Q244" s="51">
        <f t="shared" si="35"/>
        <v>0</v>
      </c>
      <c r="R244" s="51">
        <f t="shared" si="38"/>
        <v>0</v>
      </c>
      <c r="S244"/>
      <c r="T244" s="83"/>
    </row>
    <row r="245" spans="1:20" ht="16" x14ac:dyDescent="0.2">
      <c r="A245"/>
      <c r="B245" s="103">
        <v>8</v>
      </c>
      <c r="C245" s="243"/>
      <c r="D245" s="119">
        <v>231</v>
      </c>
      <c r="E245" s="25" t="str">
        <f>Tp_CHG!S33</f>
        <v>Transition Probability from state 4 to state 1 on day 23 (CHG)</v>
      </c>
      <c r="F245" s="40">
        <f t="shared" si="33"/>
        <v>0</v>
      </c>
      <c r="G245" s="156">
        <v>1</v>
      </c>
      <c r="H245" s="147">
        <f>Tp_CHG!V33</f>
        <v>0</v>
      </c>
      <c r="I245" s="40" t="s">
        <v>58</v>
      </c>
      <c r="J245" s="40">
        <f t="shared" si="36"/>
        <v>0</v>
      </c>
      <c r="K245" s="40">
        <f t="shared" si="37"/>
        <v>0</v>
      </c>
      <c r="L245" s="40" t="s">
        <v>58</v>
      </c>
      <c r="M245" s="50" t="s">
        <v>266</v>
      </c>
      <c r="N245" s="190"/>
      <c r="O245" s="40">
        <f t="shared" ca="1" si="29"/>
        <v>0.81999813891293549</v>
      </c>
      <c r="P245" s="51">
        <f t="shared" si="34"/>
        <v>0</v>
      </c>
      <c r="Q245" s="51">
        <f t="shared" si="35"/>
        <v>0</v>
      </c>
      <c r="R245" s="51">
        <f t="shared" si="38"/>
        <v>0</v>
      </c>
      <c r="S245"/>
      <c r="T245" s="83"/>
    </row>
    <row r="246" spans="1:20" ht="16" x14ac:dyDescent="0.2">
      <c r="A246"/>
      <c r="B246" s="103">
        <v>1</v>
      </c>
      <c r="C246" s="243"/>
      <c r="D246" s="119">
        <v>232</v>
      </c>
      <c r="E246" s="25" t="str">
        <f>Tp_CHG!S34</f>
        <v>Transition Probability from state 4 to state 1 on day 24 (CHG)</v>
      </c>
      <c r="F246" s="40">
        <f t="shared" si="33"/>
        <v>0</v>
      </c>
      <c r="G246" s="156">
        <v>1</v>
      </c>
      <c r="H246" s="147">
        <f>Tp_CHG!V34</f>
        <v>0</v>
      </c>
      <c r="I246" s="40" t="s">
        <v>58</v>
      </c>
      <c r="J246" s="40">
        <f t="shared" si="36"/>
        <v>0</v>
      </c>
      <c r="K246" s="40">
        <f t="shared" si="37"/>
        <v>0</v>
      </c>
      <c r="L246" s="40" t="s">
        <v>58</v>
      </c>
      <c r="M246" s="50" t="s">
        <v>266</v>
      </c>
      <c r="N246" s="190"/>
      <c r="O246" s="40">
        <f t="shared" ca="1" si="29"/>
        <v>0.40380029699326769</v>
      </c>
      <c r="P246" s="51">
        <f t="shared" si="34"/>
        <v>0</v>
      </c>
      <c r="Q246" s="51">
        <f t="shared" si="35"/>
        <v>0</v>
      </c>
      <c r="R246" s="51">
        <f t="shared" si="38"/>
        <v>0</v>
      </c>
      <c r="S246"/>
      <c r="T246" s="83"/>
    </row>
    <row r="247" spans="1:20" ht="16" x14ac:dyDescent="0.2">
      <c r="A247"/>
      <c r="B247" s="103">
        <v>2</v>
      </c>
      <c r="C247" s="243"/>
      <c r="D247" s="119">
        <v>233</v>
      </c>
      <c r="E247" s="25" t="str">
        <f>Tp_CHG!S35</f>
        <v>Transition Probability from state 4 to state 1 on day 25 (CHG)</v>
      </c>
      <c r="F247" s="40">
        <f t="shared" si="33"/>
        <v>0</v>
      </c>
      <c r="G247" s="156">
        <v>1</v>
      </c>
      <c r="H247" s="147">
        <f>Tp_CHG!V35</f>
        <v>0</v>
      </c>
      <c r="I247" s="40" t="s">
        <v>58</v>
      </c>
      <c r="J247" s="40">
        <f t="shared" si="36"/>
        <v>0</v>
      </c>
      <c r="K247" s="40">
        <f t="shared" si="37"/>
        <v>0</v>
      </c>
      <c r="L247" s="40" t="s">
        <v>58</v>
      </c>
      <c r="M247" s="50" t="s">
        <v>266</v>
      </c>
      <c r="N247" s="190"/>
      <c r="O247" s="40">
        <f t="shared" ca="1" si="29"/>
        <v>0.27385562945453645</v>
      </c>
      <c r="P247" s="51">
        <f t="shared" si="34"/>
        <v>0</v>
      </c>
      <c r="Q247" s="51">
        <f t="shared" si="35"/>
        <v>0</v>
      </c>
      <c r="R247" s="51">
        <f t="shared" si="38"/>
        <v>0</v>
      </c>
      <c r="S247"/>
      <c r="T247" s="83"/>
    </row>
    <row r="248" spans="1:20" ht="16" x14ac:dyDescent="0.2">
      <c r="A248"/>
      <c r="B248" s="103">
        <v>3</v>
      </c>
      <c r="C248" s="243"/>
      <c r="D248" s="119">
        <v>234</v>
      </c>
      <c r="E248" s="25" t="str">
        <f>Tp_CHG!S36</f>
        <v>Transition Probability from state 4 to state 1 on day 26 (CHG)</v>
      </c>
      <c r="F248" s="40">
        <f t="shared" si="33"/>
        <v>0</v>
      </c>
      <c r="G248" s="156">
        <v>1</v>
      </c>
      <c r="H248" s="147">
        <f>Tp_CHG!V36</f>
        <v>0</v>
      </c>
      <c r="I248" s="40" t="s">
        <v>58</v>
      </c>
      <c r="J248" s="40">
        <f t="shared" si="36"/>
        <v>0</v>
      </c>
      <c r="K248" s="40">
        <f t="shared" si="37"/>
        <v>0</v>
      </c>
      <c r="L248" s="40" t="s">
        <v>58</v>
      </c>
      <c r="M248" s="50" t="s">
        <v>266</v>
      </c>
      <c r="N248" s="190"/>
      <c r="O248" s="40">
        <f t="shared" ca="1" si="29"/>
        <v>5.0201561716757048E-2</v>
      </c>
      <c r="P248" s="51">
        <f t="shared" si="34"/>
        <v>0</v>
      </c>
      <c r="Q248" s="51">
        <f t="shared" si="35"/>
        <v>0</v>
      </c>
      <c r="R248" s="51">
        <f t="shared" si="38"/>
        <v>0</v>
      </c>
      <c r="S248"/>
      <c r="T248" s="83"/>
    </row>
    <row r="249" spans="1:20" ht="16" x14ac:dyDescent="0.2">
      <c r="A249"/>
      <c r="B249" s="103">
        <v>4</v>
      </c>
      <c r="C249" s="243"/>
      <c r="D249" s="119">
        <v>235</v>
      </c>
      <c r="E249" s="25" t="str">
        <f>Tp_CHG!S37</f>
        <v>Transition Probability from state 4 to state 1 on day 27 (CHG)</v>
      </c>
      <c r="F249" s="40">
        <f t="shared" si="33"/>
        <v>0</v>
      </c>
      <c r="G249" s="156">
        <v>1</v>
      </c>
      <c r="H249" s="147">
        <f>Tp_CHG!V37</f>
        <v>0</v>
      </c>
      <c r="I249" s="40" t="s">
        <v>58</v>
      </c>
      <c r="J249" s="40">
        <f t="shared" si="36"/>
        <v>0</v>
      </c>
      <c r="K249" s="40">
        <f t="shared" si="37"/>
        <v>0</v>
      </c>
      <c r="L249" s="40" t="s">
        <v>58</v>
      </c>
      <c r="M249" s="50" t="s">
        <v>266</v>
      </c>
      <c r="N249" s="190"/>
      <c r="O249" s="40">
        <f t="shared" ca="1" si="29"/>
        <v>0.15671269397305776</v>
      </c>
      <c r="P249" s="51">
        <f t="shared" si="34"/>
        <v>0</v>
      </c>
      <c r="Q249" s="51">
        <f t="shared" si="35"/>
        <v>0</v>
      </c>
      <c r="R249" s="51">
        <f t="shared" si="38"/>
        <v>0</v>
      </c>
      <c r="S249"/>
      <c r="T249" s="83"/>
    </row>
    <row r="250" spans="1:20" ht="16" x14ac:dyDescent="0.2">
      <c r="A250"/>
      <c r="B250" s="103">
        <v>5</v>
      </c>
      <c r="C250" s="243"/>
      <c r="D250" s="119">
        <v>236</v>
      </c>
      <c r="E250" s="25" t="str">
        <f>Tp_CHG!S38</f>
        <v>Transition Probability from state 4 to state 1 on day 28 (CHG)</v>
      </c>
      <c r="F250" s="40">
        <f t="shared" si="33"/>
        <v>0</v>
      </c>
      <c r="G250" s="156">
        <v>1</v>
      </c>
      <c r="H250" s="147">
        <f>Tp_CHG!V38</f>
        <v>0</v>
      </c>
      <c r="I250" s="40" t="s">
        <v>58</v>
      </c>
      <c r="J250" s="40">
        <f t="shared" si="36"/>
        <v>0</v>
      </c>
      <c r="K250" s="40">
        <f t="shared" si="37"/>
        <v>0</v>
      </c>
      <c r="L250" s="40" t="s">
        <v>58</v>
      </c>
      <c r="M250" s="50" t="s">
        <v>266</v>
      </c>
      <c r="N250" s="190"/>
      <c r="O250" s="40">
        <f t="shared" ca="1" si="29"/>
        <v>0.51430408135286643</v>
      </c>
      <c r="P250" s="51">
        <f t="shared" si="34"/>
        <v>0</v>
      </c>
      <c r="Q250" s="51">
        <f t="shared" si="35"/>
        <v>0</v>
      </c>
      <c r="R250" s="51">
        <f t="shared" si="38"/>
        <v>0</v>
      </c>
      <c r="S250"/>
      <c r="T250" s="83"/>
    </row>
    <row r="251" spans="1:20" ht="16" x14ac:dyDescent="0.2">
      <c r="A251"/>
      <c r="B251" s="103">
        <v>6</v>
      </c>
      <c r="C251" s="243"/>
      <c r="D251" s="119">
        <v>237</v>
      </c>
      <c r="E251" s="25" t="str">
        <f>Tp_CHG!S39</f>
        <v>Transition Probability from state 4 to state 1 on day 29 (CHG)</v>
      </c>
      <c r="F251" s="40">
        <f t="shared" si="33"/>
        <v>0</v>
      </c>
      <c r="G251" s="156">
        <v>1</v>
      </c>
      <c r="H251" s="147">
        <f>Tp_CHG!V39</f>
        <v>0</v>
      </c>
      <c r="I251" s="40" t="s">
        <v>58</v>
      </c>
      <c r="J251" s="40">
        <f t="shared" si="36"/>
        <v>0</v>
      </c>
      <c r="K251" s="40">
        <f t="shared" si="37"/>
        <v>0</v>
      </c>
      <c r="L251" s="40" t="s">
        <v>58</v>
      </c>
      <c r="M251" s="50" t="s">
        <v>266</v>
      </c>
      <c r="N251" s="190"/>
      <c r="O251" s="40">
        <f t="shared" ca="1" si="29"/>
        <v>0.14927665976164572</v>
      </c>
      <c r="P251" s="51">
        <f t="shared" si="34"/>
        <v>0</v>
      </c>
      <c r="Q251" s="51">
        <f t="shared" si="35"/>
        <v>0</v>
      </c>
      <c r="R251" s="51">
        <f t="shared" si="38"/>
        <v>0</v>
      </c>
      <c r="S251"/>
      <c r="T251" s="83"/>
    </row>
    <row r="252" spans="1:20" ht="16" x14ac:dyDescent="0.2">
      <c r="A252"/>
      <c r="B252" s="103">
        <v>7</v>
      </c>
      <c r="C252" s="243"/>
      <c r="D252" s="119">
        <v>238</v>
      </c>
      <c r="E252" s="25" t="str">
        <f>Tp_CHG!S40</f>
        <v>Transition Probability from state 4 to state 1 on day 30 (CHG)</v>
      </c>
      <c r="F252" s="40">
        <f t="shared" si="33"/>
        <v>0</v>
      </c>
      <c r="G252" s="156">
        <v>1</v>
      </c>
      <c r="H252" s="147">
        <f>Tp_CHG!V40</f>
        <v>0</v>
      </c>
      <c r="I252" s="40" t="s">
        <v>58</v>
      </c>
      <c r="J252" s="40">
        <f t="shared" si="36"/>
        <v>0</v>
      </c>
      <c r="K252" s="40">
        <f t="shared" si="37"/>
        <v>0</v>
      </c>
      <c r="L252" s="40" t="s">
        <v>58</v>
      </c>
      <c r="M252" s="50" t="s">
        <v>266</v>
      </c>
      <c r="N252" s="190"/>
      <c r="O252" s="40">
        <f t="shared" ca="1" si="29"/>
        <v>0.97708973925353204</v>
      </c>
      <c r="P252" s="51">
        <f t="shared" si="34"/>
        <v>0</v>
      </c>
      <c r="Q252" s="51">
        <f t="shared" si="35"/>
        <v>0</v>
      </c>
      <c r="R252" s="51">
        <f t="shared" si="38"/>
        <v>0</v>
      </c>
      <c r="S252"/>
      <c r="T252" s="83"/>
    </row>
    <row r="253" spans="1:20" ht="16" x14ac:dyDescent="0.2">
      <c r="A253"/>
      <c r="B253" s="103">
        <v>8</v>
      </c>
      <c r="C253" s="243"/>
      <c r="D253" s="119">
        <v>239</v>
      </c>
      <c r="E253" s="25" t="str">
        <f>Tp_CHG!X11</f>
        <v>Transition Probability from state 6 to state 1 on day 1 (CHG)</v>
      </c>
      <c r="F253" s="40">
        <f t="shared" si="33"/>
        <v>0</v>
      </c>
      <c r="G253" s="156">
        <v>1</v>
      </c>
      <c r="H253" s="120">
        <f>Tp_CHG!AA11</f>
        <v>0</v>
      </c>
      <c r="I253" s="40" t="s">
        <v>58</v>
      </c>
      <c r="J253" s="40">
        <f t="shared" si="36"/>
        <v>0</v>
      </c>
      <c r="K253" s="40">
        <f t="shared" si="37"/>
        <v>0</v>
      </c>
      <c r="L253" s="40" t="s">
        <v>58</v>
      </c>
      <c r="M253" s="50" t="s">
        <v>266</v>
      </c>
      <c r="N253" s="190"/>
      <c r="O253" s="40">
        <f t="shared" ca="1" si="29"/>
        <v>0.88797414262446839</v>
      </c>
      <c r="P253" s="51">
        <f t="shared" si="34"/>
        <v>0</v>
      </c>
      <c r="Q253" s="51">
        <f t="shared" si="35"/>
        <v>0</v>
      </c>
      <c r="R253" s="51">
        <f t="shared" si="38"/>
        <v>0</v>
      </c>
      <c r="S253"/>
      <c r="T253" s="83"/>
    </row>
    <row r="254" spans="1:20" ht="16" x14ac:dyDescent="0.2">
      <c r="A254"/>
      <c r="B254" s="103">
        <v>1</v>
      </c>
      <c r="C254" s="243"/>
      <c r="D254" s="119">
        <v>240</v>
      </c>
      <c r="E254" s="25" t="str">
        <f>Tp_CHG!X12</f>
        <v>Transition Probability from state 6 to state 1 on day 2 (CHG)</v>
      </c>
      <c r="F254" s="40">
        <f t="shared" si="33"/>
        <v>0</v>
      </c>
      <c r="G254" s="156">
        <v>1</v>
      </c>
      <c r="H254" s="120">
        <f>Tp_CHG!AA12</f>
        <v>0</v>
      </c>
      <c r="I254" s="40" t="s">
        <v>58</v>
      </c>
      <c r="J254" s="40">
        <f t="shared" si="36"/>
        <v>0</v>
      </c>
      <c r="K254" s="40">
        <f t="shared" si="37"/>
        <v>0</v>
      </c>
      <c r="L254" s="40" t="s">
        <v>58</v>
      </c>
      <c r="M254" s="50" t="s">
        <v>266</v>
      </c>
      <c r="N254" s="190"/>
      <c r="O254" s="40">
        <f t="shared" ca="1" si="29"/>
        <v>0.15392735175526095</v>
      </c>
      <c r="P254" s="51">
        <f t="shared" si="34"/>
        <v>0</v>
      </c>
      <c r="Q254" s="51">
        <f t="shared" si="35"/>
        <v>0</v>
      </c>
      <c r="R254" s="51">
        <f t="shared" si="38"/>
        <v>0</v>
      </c>
      <c r="S254"/>
      <c r="T254" s="83"/>
    </row>
    <row r="255" spans="1:20" ht="16" x14ac:dyDescent="0.2">
      <c r="A255"/>
      <c r="B255" s="103">
        <v>2</v>
      </c>
      <c r="C255" s="243"/>
      <c r="D255" s="119">
        <v>241</v>
      </c>
      <c r="E255" s="25" t="str">
        <f>Tp_CHG!X13</f>
        <v>Transition Probability from state 6 to state 1 on day 3 (CHG)</v>
      </c>
      <c r="F255" s="40">
        <f t="shared" si="33"/>
        <v>0</v>
      </c>
      <c r="G255" s="156">
        <v>1</v>
      </c>
      <c r="H255" s="120">
        <f>Tp_CHG!AA13</f>
        <v>0</v>
      </c>
      <c r="I255" s="40" t="s">
        <v>58</v>
      </c>
      <c r="J255" s="40">
        <f t="shared" si="36"/>
        <v>0</v>
      </c>
      <c r="K255" s="40">
        <f t="shared" si="37"/>
        <v>0</v>
      </c>
      <c r="L255" s="40" t="s">
        <v>58</v>
      </c>
      <c r="M255" s="50" t="s">
        <v>266</v>
      </c>
      <c r="N255" s="190"/>
      <c r="O255" s="40">
        <f t="shared" ca="1" si="29"/>
        <v>0.35866884205029037</v>
      </c>
      <c r="P255" s="51">
        <f t="shared" si="34"/>
        <v>0</v>
      </c>
      <c r="Q255" s="51">
        <f t="shared" si="35"/>
        <v>0</v>
      </c>
      <c r="R255" s="51">
        <f t="shared" si="38"/>
        <v>0</v>
      </c>
      <c r="S255"/>
      <c r="T255" s="83"/>
    </row>
    <row r="256" spans="1:20" ht="16" x14ac:dyDescent="0.2">
      <c r="A256"/>
      <c r="B256" s="103">
        <v>3</v>
      </c>
      <c r="C256" s="243"/>
      <c r="D256" s="119">
        <v>242</v>
      </c>
      <c r="E256" s="25" t="str">
        <f>Tp_CHG!X14</f>
        <v>Transition Probability from state 6 to state 1 on day 4 (CHG)</v>
      </c>
      <c r="F256" s="40">
        <f t="shared" si="33"/>
        <v>0</v>
      </c>
      <c r="G256" s="156">
        <v>1</v>
      </c>
      <c r="H256" s="120">
        <f>Tp_CHG!AA14</f>
        <v>0</v>
      </c>
      <c r="I256" s="40" t="s">
        <v>58</v>
      </c>
      <c r="J256" s="40">
        <f t="shared" si="36"/>
        <v>0</v>
      </c>
      <c r="K256" s="40">
        <f t="shared" si="37"/>
        <v>0</v>
      </c>
      <c r="L256" s="40" t="s">
        <v>58</v>
      </c>
      <c r="M256" s="50" t="s">
        <v>266</v>
      </c>
      <c r="N256" s="190"/>
      <c r="O256" s="40">
        <f t="shared" ca="1" si="29"/>
        <v>0.98345540481866289</v>
      </c>
      <c r="P256" s="51">
        <f t="shared" si="34"/>
        <v>0</v>
      </c>
      <c r="Q256" s="51">
        <f t="shared" si="35"/>
        <v>0</v>
      </c>
      <c r="R256" s="51">
        <f t="shared" si="38"/>
        <v>0</v>
      </c>
      <c r="S256"/>
      <c r="T256" s="83"/>
    </row>
    <row r="257" spans="1:20" ht="16" x14ac:dyDescent="0.2">
      <c r="A257"/>
      <c r="B257" s="103">
        <v>4</v>
      </c>
      <c r="C257" s="243"/>
      <c r="D257" s="119">
        <v>243</v>
      </c>
      <c r="E257" s="25" t="str">
        <f>Tp_CHG!X15</f>
        <v>Transition Probability from state 6 to state 1 on day 5 (CHG)</v>
      </c>
      <c r="F257" s="40">
        <f t="shared" si="33"/>
        <v>0</v>
      </c>
      <c r="G257" s="156">
        <v>1</v>
      </c>
      <c r="H257" s="120">
        <f>Tp_CHG!AA15</f>
        <v>0</v>
      </c>
      <c r="I257" s="40" t="s">
        <v>58</v>
      </c>
      <c r="J257" s="40">
        <f t="shared" si="36"/>
        <v>0</v>
      </c>
      <c r="K257" s="40">
        <f t="shared" si="37"/>
        <v>0</v>
      </c>
      <c r="L257" s="40" t="s">
        <v>58</v>
      </c>
      <c r="M257" s="50" t="s">
        <v>266</v>
      </c>
      <c r="N257" s="190"/>
      <c r="O257" s="40">
        <f t="shared" ca="1" si="29"/>
        <v>0.65312546144758699</v>
      </c>
      <c r="P257" s="51">
        <f t="shared" si="34"/>
        <v>0</v>
      </c>
      <c r="Q257" s="51">
        <f t="shared" si="35"/>
        <v>0</v>
      </c>
      <c r="R257" s="51">
        <f t="shared" si="38"/>
        <v>0</v>
      </c>
      <c r="S257"/>
      <c r="T257" s="83"/>
    </row>
    <row r="258" spans="1:20" ht="16" x14ac:dyDescent="0.2">
      <c r="A258"/>
      <c r="B258" s="103">
        <v>5</v>
      </c>
      <c r="C258" s="243"/>
      <c r="D258" s="119">
        <v>244</v>
      </c>
      <c r="E258" s="25" t="str">
        <f>Tp_CHG!X16</f>
        <v>Transition Probability from state 6 to state 1 on day 6 (CHG)</v>
      </c>
      <c r="F258" s="40">
        <f t="shared" si="33"/>
        <v>0</v>
      </c>
      <c r="G258" s="156">
        <v>1</v>
      </c>
      <c r="H258" s="120">
        <f>Tp_CHG!AA16</f>
        <v>0</v>
      </c>
      <c r="I258" s="40" t="s">
        <v>58</v>
      </c>
      <c r="J258" s="40">
        <f t="shared" si="36"/>
        <v>0</v>
      </c>
      <c r="K258" s="40">
        <f t="shared" si="37"/>
        <v>0</v>
      </c>
      <c r="L258" s="40" t="s">
        <v>58</v>
      </c>
      <c r="M258" s="50" t="s">
        <v>266</v>
      </c>
      <c r="N258" s="190"/>
      <c r="O258" s="40">
        <f t="shared" ca="1" si="29"/>
        <v>0.95587188969617776</v>
      </c>
      <c r="P258" s="51">
        <f t="shared" si="34"/>
        <v>0</v>
      </c>
      <c r="Q258" s="51">
        <f t="shared" si="35"/>
        <v>0</v>
      </c>
      <c r="R258" s="51">
        <f t="shared" si="38"/>
        <v>0</v>
      </c>
      <c r="S258"/>
      <c r="T258" s="83"/>
    </row>
    <row r="259" spans="1:20" ht="16" x14ac:dyDescent="0.2">
      <c r="A259"/>
      <c r="B259" s="103">
        <v>6</v>
      </c>
      <c r="C259" s="243"/>
      <c r="D259" s="119">
        <v>245</v>
      </c>
      <c r="E259" s="25" t="str">
        <f>Tp_CHG!X17</f>
        <v>Transition Probability from state 6 to state 1 on day 7 (CHG)</v>
      </c>
      <c r="F259" s="40">
        <f t="shared" si="33"/>
        <v>1</v>
      </c>
      <c r="G259" s="156">
        <v>1</v>
      </c>
      <c r="H259" s="120">
        <f>Tp_CHG!AA17</f>
        <v>1</v>
      </c>
      <c r="I259" s="40" t="s">
        <v>58</v>
      </c>
      <c r="J259" s="40">
        <f t="shared" si="36"/>
        <v>0.8040036015459946</v>
      </c>
      <c r="K259" s="40">
        <f t="shared" si="37"/>
        <v>1.1959963984540054</v>
      </c>
      <c r="L259" s="40" t="s">
        <v>58</v>
      </c>
      <c r="M259" s="50" t="s">
        <v>266</v>
      </c>
      <c r="N259" s="190"/>
      <c r="O259" s="40">
        <f t="shared" ca="1" si="29"/>
        <v>0.35168319049358054</v>
      </c>
      <c r="P259" s="51">
        <f t="shared" si="34"/>
        <v>-1</v>
      </c>
      <c r="Q259" s="51">
        <f t="shared" si="35"/>
        <v>0</v>
      </c>
      <c r="R259" s="51">
        <f t="shared" si="38"/>
        <v>0.1</v>
      </c>
      <c r="S259"/>
      <c r="T259" s="83"/>
    </row>
    <row r="260" spans="1:20" ht="16" x14ac:dyDescent="0.2">
      <c r="A260"/>
      <c r="B260" s="103">
        <v>7</v>
      </c>
      <c r="C260" s="243"/>
      <c r="D260" s="119">
        <v>246</v>
      </c>
      <c r="E260" s="25" t="str">
        <f>Tp_CHG!X18</f>
        <v>Transition Probability from state 6 to state 1 on day 8 (CHG)</v>
      </c>
      <c r="F260" s="40">
        <f t="shared" si="33"/>
        <v>1</v>
      </c>
      <c r="G260" s="156">
        <v>1</v>
      </c>
      <c r="H260" s="120">
        <f>Tp_CHG!AA18</f>
        <v>1</v>
      </c>
      <c r="I260" s="40" t="s">
        <v>58</v>
      </c>
      <c r="J260" s="40">
        <f t="shared" si="36"/>
        <v>0.8040036015459946</v>
      </c>
      <c r="K260" s="40">
        <f t="shared" si="37"/>
        <v>1.1959963984540054</v>
      </c>
      <c r="L260" s="40" t="s">
        <v>58</v>
      </c>
      <c r="M260" s="50" t="s">
        <v>266</v>
      </c>
      <c r="N260" s="190"/>
      <c r="O260" s="40">
        <f t="shared" ca="1" si="29"/>
        <v>0.23704659815901552</v>
      </c>
      <c r="P260" s="51">
        <f t="shared" si="34"/>
        <v>-1</v>
      </c>
      <c r="Q260" s="51">
        <f t="shared" si="35"/>
        <v>0</v>
      </c>
      <c r="R260" s="51">
        <f t="shared" si="38"/>
        <v>0.1</v>
      </c>
      <c r="S260"/>
      <c r="T260" s="83"/>
    </row>
    <row r="261" spans="1:20" ht="16" x14ac:dyDescent="0.2">
      <c r="A261"/>
      <c r="B261" s="103">
        <v>8</v>
      </c>
      <c r="C261" s="243"/>
      <c r="D261" s="119">
        <v>247</v>
      </c>
      <c r="E261" s="25" t="str">
        <f>Tp_CHG!X19</f>
        <v>Transition Probability from state 6 to state 1 on day 9 (CHG)</v>
      </c>
      <c r="F261" s="40">
        <f t="shared" si="33"/>
        <v>0</v>
      </c>
      <c r="G261" s="156">
        <v>1</v>
      </c>
      <c r="H261" s="120">
        <f>Tp_CHG!AA19</f>
        <v>0</v>
      </c>
      <c r="I261" s="40" t="s">
        <v>58</v>
      </c>
      <c r="J261" s="40">
        <f t="shared" si="36"/>
        <v>0</v>
      </c>
      <c r="K261" s="40">
        <f t="shared" si="37"/>
        <v>0</v>
      </c>
      <c r="L261" s="40" t="s">
        <v>58</v>
      </c>
      <c r="M261" s="50" t="s">
        <v>266</v>
      </c>
      <c r="N261" s="190"/>
      <c r="O261" s="40">
        <f t="shared" ref="O261:O301" ca="1" si="39">RAND()</f>
        <v>0.8070477061856165</v>
      </c>
      <c r="P261" s="51">
        <f t="shared" si="34"/>
        <v>0</v>
      </c>
      <c r="Q261" s="51">
        <f t="shared" si="35"/>
        <v>0</v>
      </c>
      <c r="R261" s="51">
        <f t="shared" si="38"/>
        <v>0</v>
      </c>
      <c r="S261"/>
      <c r="T261" s="83"/>
    </row>
    <row r="262" spans="1:20" ht="16" x14ac:dyDescent="0.2">
      <c r="A262"/>
      <c r="B262" s="103">
        <v>1</v>
      </c>
      <c r="C262" s="243"/>
      <c r="D262" s="119">
        <v>248</v>
      </c>
      <c r="E262" s="25" t="str">
        <f>Tp_CHG!X20</f>
        <v>Transition Probability from state 6 to state 1 on day 10 (CHG)</v>
      </c>
      <c r="F262" s="40">
        <f t="shared" si="33"/>
        <v>0.5</v>
      </c>
      <c r="G262" s="156">
        <v>1</v>
      </c>
      <c r="H262" s="120">
        <f>Tp_CHG!AA20</f>
        <v>0.5</v>
      </c>
      <c r="I262" s="40" t="s">
        <v>58</v>
      </c>
      <c r="J262" s="40">
        <f t="shared" si="36"/>
        <v>0.4020018007729973</v>
      </c>
      <c r="K262" s="40">
        <f t="shared" si="37"/>
        <v>0.5979981992270027</v>
      </c>
      <c r="L262" s="40" t="s">
        <v>26</v>
      </c>
      <c r="M262" s="50" t="s">
        <v>266</v>
      </c>
      <c r="N262" s="190">
        <f t="shared" ref="N262:N273" ca="1" si="40">_xlfn.BETA.INV(O262,P262,Q262)</f>
        <v>0.5343291502667491</v>
      </c>
      <c r="O262" s="40">
        <f t="shared" ca="1" si="39"/>
        <v>0.75245145003990055</v>
      </c>
      <c r="P262" s="51">
        <f t="shared" si="34"/>
        <v>49.499999999999993</v>
      </c>
      <c r="Q262" s="51">
        <f t="shared" si="35"/>
        <v>49.499999999999993</v>
      </c>
      <c r="R262" s="51">
        <f t="shared" si="38"/>
        <v>0.05</v>
      </c>
      <c r="S262"/>
      <c r="T262" s="83"/>
    </row>
    <row r="263" spans="1:20" ht="16" x14ac:dyDescent="0.2">
      <c r="A263"/>
      <c r="B263" s="103"/>
      <c r="C263" s="243"/>
      <c r="D263" s="119">
        <v>249</v>
      </c>
      <c r="E263" s="25" t="str">
        <f>Tp_CHG!X148</f>
        <v>Transition Probability from state 6 to state 5 on day 10 (CHG)</v>
      </c>
      <c r="F263" s="40">
        <f t="shared" si="33"/>
        <v>0.5</v>
      </c>
      <c r="G263" s="156">
        <v>1</v>
      </c>
      <c r="H263" s="120">
        <f>Tp_CHG!AA148</f>
        <v>0.5</v>
      </c>
      <c r="I263" s="40" t="s">
        <v>58</v>
      </c>
      <c r="J263" s="40">
        <f>IF(H263=0,0,_xlfn.NORM.INV(0.025,H263,R263))</f>
        <v>0.4020018007729973</v>
      </c>
      <c r="K263" s="40">
        <f>IF(H263=0,0,_xlfn.NORM.INV(0.975,H263,R263))</f>
        <v>0.5979981992270027</v>
      </c>
      <c r="L263" s="40" t="s">
        <v>26</v>
      </c>
      <c r="M263" s="50" t="s">
        <v>266</v>
      </c>
      <c r="N263" s="190">
        <f t="shared" ca="1" si="40"/>
        <v>0.56034799369357102</v>
      </c>
      <c r="O263" s="40">
        <f ca="1">RAND()</f>
        <v>0.88537289921920981</v>
      </c>
      <c r="P263" s="51">
        <f t="shared" si="34"/>
        <v>49.499999999999993</v>
      </c>
      <c r="Q263" s="51">
        <f t="shared" si="35"/>
        <v>49.499999999999993</v>
      </c>
      <c r="R263" s="51">
        <f>assumedSE*H263</f>
        <v>0.05</v>
      </c>
      <c r="S263"/>
      <c r="T263" s="83"/>
    </row>
    <row r="264" spans="1:20" ht="16" x14ac:dyDescent="0.2">
      <c r="A264"/>
      <c r="B264" s="103">
        <v>2</v>
      </c>
      <c r="C264" s="243"/>
      <c r="D264" s="119">
        <v>250</v>
      </c>
      <c r="E264" s="25" t="str">
        <f>Tp_CHG!X21</f>
        <v>Transition Probability from state 6 to state 1 on day 11 (CHG)</v>
      </c>
      <c r="F264" s="40">
        <f t="shared" si="33"/>
        <v>0.5</v>
      </c>
      <c r="G264" s="156">
        <v>1</v>
      </c>
      <c r="H264" s="120">
        <f>Tp_CHG!AA21</f>
        <v>0.5</v>
      </c>
      <c r="I264" s="40" t="s">
        <v>58</v>
      </c>
      <c r="J264" s="40">
        <f t="shared" ref="J264:J292" si="41">IF(H264=0,0,_xlfn.NORM.INV(0.025,H264,R264))</f>
        <v>0.4020018007729973</v>
      </c>
      <c r="K264" s="40">
        <f t="shared" ref="K264:K292" si="42">IF(H264=0,0,_xlfn.NORM.INV(0.975,H264,R264))</f>
        <v>0.5979981992270027</v>
      </c>
      <c r="L264" s="40" t="s">
        <v>26</v>
      </c>
      <c r="M264" s="50" t="s">
        <v>266</v>
      </c>
      <c r="N264" s="190">
        <f t="shared" ca="1" si="40"/>
        <v>0.46467109790704991</v>
      </c>
      <c r="O264" s="40">
        <f t="shared" ca="1" si="39"/>
        <v>0.24129543462426395</v>
      </c>
      <c r="P264" s="51">
        <f t="shared" si="34"/>
        <v>49.499999999999993</v>
      </c>
      <c r="Q264" s="51">
        <f t="shared" si="35"/>
        <v>49.499999999999993</v>
      </c>
      <c r="R264" s="51">
        <f t="shared" ref="R264:R292" si="43">assumedSE*H264</f>
        <v>0.05</v>
      </c>
      <c r="S264"/>
      <c r="T264" s="83"/>
    </row>
    <row r="265" spans="1:20" ht="16" x14ac:dyDescent="0.2">
      <c r="A265"/>
      <c r="B265" s="103"/>
      <c r="C265" s="243"/>
      <c r="D265" s="119">
        <v>251</v>
      </c>
      <c r="E265" s="25" t="str">
        <f>Tp_CHG!X149</f>
        <v>Transition Probability from state 6 to state 5 on day 11 (CHG)</v>
      </c>
      <c r="F265" s="40">
        <f t="shared" si="33"/>
        <v>0.5</v>
      </c>
      <c r="G265" s="156">
        <v>1</v>
      </c>
      <c r="H265" s="120">
        <f>Tp_CHG!AA149</f>
        <v>0.5</v>
      </c>
      <c r="I265" s="40" t="s">
        <v>58</v>
      </c>
      <c r="J265" s="40">
        <f>IF(H265=0,0,_xlfn.NORM.INV(0.025,H265,R265))</f>
        <v>0.4020018007729973</v>
      </c>
      <c r="K265" s="40">
        <f>IF(H265=0,0,_xlfn.NORM.INV(0.975,H265,R265))</f>
        <v>0.5979981992270027</v>
      </c>
      <c r="L265" s="40" t="s">
        <v>26</v>
      </c>
      <c r="M265" s="50" t="s">
        <v>266</v>
      </c>
      <c r="N265" s="190">
        <f t="shared" ca="1" si="40"/>
        <v>0.48956196798984092</v>
      </c>
      <c r="O265" s="40">
        <f ca="1">RAND()</f>
        <v>0.41792177610654191</v>
      </c>
      <c r="P265" s="51">
        <f t="shared" si="34"/>
        <v>49.499999999999993</v>
      </c>
      <c r="Q265" s="51">
        <f t="shared" si="35"/>
        <v>49.499999999999993</v>
      </c>
      <c r="R265" s="51">
        <f>assumedSE*H265</f>
        <v>0.05</v>
      </c>
      <c r="S265"/>
      <c r="T265" s="83"/>
    </row>
    <row r="266" spans="1:20" ht="16" x14ac:dyDescent="0.2">
      <c r="A266"/>
      <c r="B266" s="103">
        <v>3</v>
      </c>
      <c r="C266" s="243"/>
      <c r="D266" s="119">
        <v>252</v>
      </c>
      <c r="E266" s="25" t="str">
        <f>Tp_CHG!X22</f>
        <v>Transition Probability from state 6 to state 1 on day 12 (CHG)</v>
      </c>
      <c r="F266" s="40">
        <f t="shared" si="33"/>
        <v>0.33333333333333331</v>
      </c>
      <c r="G266" s="156">
        <v>1</v>
      </c>
      <c r="H266" s="120">
        <f>Tp_CHG!AA22</f>
        <v>0.33333333333333331</v>
      </c>
      <c r="I266" s="40" t="s">
        <v>58</v>
      </c>
      <c r="J266" s="40">
        <f t="shared" si="41"/>
        <v>0.26800120051533149</v>
      </c>
      <c r="K266" s="40">
        <f t="shared" si="42"/>
        <v>0.39866546615133513</v>
      </c>
      <c r="L266" s="40" t="s">
        <v>26</v>
      </c>
      <c r="M266" s="50" t="s">
        <v>266</v>
      </c>
      <c r="N266" s="190">
        <f t="shared" ca="1" si="40"/>
        <v>0.31522121208052617</v>
      </c>
      <c r="O266" s="40">
        <f t="shared" ca="1" si="39"/>
        <v>0.29814162895290042</v>
      </c>
      <c r="P266" s="51">
        <f t="shared" si="34"/>
        <v>66.333333333333329</v>
      </c>
      <c r="Q266" s="51">
        <f t="shared" si="35"/>
        <v>132.66666666666669</v>
      </c>
      <c r="R266" s="51">
        <f t="shared" si="43"/>
        <v>3.3333333333333333E-2</v>
      </c>
      <c r="S266"/>
      <c r="T266" s="83"/>
    </row>
    <row r="267" spans="1:20" ht="16" x14ac:dyDescent="0.2">
      <c r="A267"/>
      <c r="B267" s="103"/>
      <c r="C267" s="243"/>
      <c r="D267" s="119">
        <v>253</v>
      </c>
      <c r="E267" s="25" t="str">
        <f>Tp_CHG!X54</f>
        <v>Transition Probability from state 6 to state 2 on day 12 (CHG)</v>
      </c>
      <c r="F267" s="40">
        <f t="shared" si="33"/>
        <v>0.33333333333333331</v>
      </c>
      <c r="G267" s="156">
        <v>1</v>
      </c>
      <c r="H267" s="120">
        <f>Tp_CHG!AA54</f>
        <v>0.33333333333333331</v>
      </c>
      <c r="I267" s="40" t="s">
        <v>58</v>
      </c>
      <c r="J267" s="40">
        <f>IF(H267=0,0,_xlfn.NORM.INV(0.025,H267,R267))</f>
        <v>0.26800120051533149</v>
      </c>
      <c r="K267" s="40">
        <f>IF(H267=0,0,_xlfn.NORM.INV(0.975,H267,R267))</f>
        <v>0.39866546615133513</v>
      </c>
      <c r="L267" s="40" t="s">
        <v>26</v>
      </c>
      <c r="M267" s="50" t="s">
        <v>266</v>
      </c>
      <c r="N267" s="190">
        <f t="shared" ca="1" si="40"/>
        <v>0.29130381926144933</v>
      </c>
      <c r="O267" s="40">
        <f ca="1">RAND()</f>
        <v>0.1021343645353151</v>
      </c>
      <c r="P267" s="51">
        <f t="shared" si="34"/>
        <v>66.333333333333329</v>
      </c>
      <c r="Q267" s="51">
        <f t="shared" si="35"/>
        <v>132.66666666666669</v>
      </c>
      <c r="R267" s="51">
        <f>assumedSE*H267</f>
        <v>3.3333333333333333E-2</v>
      </c>
      <c r="S267"/>
      <c r="T267" s="83"/>
    </row>
    <row r="268" spans="1:20" ht="16" x14ac:dyDescent="0.2">
      <c r="A268"/>
      <c r="B268" s="103"/>
      <c r="C268" s="243"/>
      <c r="D268" s="119">
        <v>254</v>
      </c>
      <c r="E268" s="25" t="str">
        <f>Tp_CHG!X150</f>
        <v>Transition Probability from state 6 to state 5 on day 12 (CHG)</v>
      </c>
      <c r="F268" s="40">
        <f t="shared" si="33"/>
        <v>0.33333333333333331</v>
      </c>
      <c r="G268" s="156">
        <v>1</v>
      </c>
      <c r="H268" s="120">
        <f>Tp_CHG!AA150</f>
        <v>0.33333333333333331</v>
      </c>
      <c r="I268" s="40" t="s">
        <v>58</v>
      </c>
      <c r="J268" s="40">
        <f>IF(H268=0,0,_xlfn.NORM.INV(0.025,H268,R268))</f>
        <v>0.26800120051533149</v>
      </c>
      <c r="K268" s="40">
        <f>IF(H268=0,0,_xlfn.NORM.INV(0.975,H268,R268))</f>
        <v>0.39866546615133513</v>
      </c>
      <c r="L268" s="40" t="s">
        <v>26</v>
      </c>
      <c r="M268" s="50" t="s">
        <v>266</v>
      </c>
      <c r="N268" s="190">
        <f t="shared" ca="1" si="40"/>
        <v>0.3326286202757987</v>
      </c>
      <c r="O268" s="40">
        <f ca="1">RAND()</f>
        <v>0.49826621334518029</v>
      </c>
      <c r="P268" s="51">
        <f t="shared" si="34"/>
        <v>66.333333333333329</v>
      </c>
      <c r="Q268" s="51">
        <f t="shared" si="35"/>
        <v>132.66666666666669</v>
      </c>
      <c r="R268" s="51">
        <f>assumedSE*H268</f>
        <v>3.3333333333333333E-2</v>
      </c>
      <c r="S268"/>
      <c r="T268" s="83"/>
    </row>
    <row r="269" spans="1:20" ht="16" x14ac:dyDescent="0.2">
      <c r="A269"/>
      <c r="B269" s="103">
        <v>4</v>
      </c>
      <c r="C269" s="243"/>
      <c r="D269" s="119">
        <v>255</v>
      </c>
      <c r="E269" s="25" t="str">
        <f>Tp_CHG!X23</f>
        <v>Transition Probability from state 6 to state 1 on day 13 (CHG)</v>
      </c>
      <c r="F269" s="40">
        <f t="shared" si="33"/>
        <v>0.25</v>
      </c>
      <c r="G269" s="156">
        <v>1</v>
      </c>
      <c r="H269" s="120">
        <f>Tp_CHG!AA23</f>
        <v>0.25</v>
      </c>
      <c r="I269" s="40" t="s">
        <v>58</v>
      </c>
      <c r="J269" s="40">
        <f t="shared" si="41"/>
        <v>0.20100090038649865</v>
      </c>
      <c r="K269" s="40">
        <f t="shared" si="42"/>
        <v>0.29899909961350135</v>
      </c>
      <c r="L269" s="40" t="s">
        <v>26</v>
      </c>
      <c r="M269" s="50" t="s">
        <v>266</v>
      </c>
      <c r="N269" s="190">
        <f t="shared" ca="1" si="40"/>
        <v>0.23910059177662557</v>
      </c>
      <c r="O269" s="40">
        <f t="shared" ca="1" si="39"/>
        <v>0.33836963649841589</v>
      </c>
      <c r="P269" s="51">
        <f t="shared" si="34"/>
        <v>74.749999999999986</v>
      </c>
      <c r="Q269" s="51">
        <f t="shared" si="35"/>
        <v>224.24999999999994</v>
      </c>
      <c r="R269" s="51">
        <f t="shared" si="43"/>
        <v>2.5000000000000001E-2</v>
      </c>
      <c r="S269"/>
      <c r="T269" s="83"/>
    </row>
    <row r="270" spans="1:20" ht="16" x14ac:dyDescent="0.2">
      <c r="A270"/>
      <c r="B270" s="103"/>
      <c r="C270" s="243"/>
      <c r="D270" s="119">
        <v>256</v>
      </c>
      <c r="E270" s="25" t="str">
        <f>Tp_CHG!X151</f>
        <v>Transition Probability from state 6 to state 5 on day 13 (CHG)</v>
      </c>
      <c r="F270" s="40">
        <f t="shared" si="33"/>
        <v>0.75</v>
      </c>
      <c r="G270" s="156">
        <v>1</v>
      </c>
      <c r="H270" s="120">
        <f>Tp_CHG!AA151</f>
        <v>0.75</v>
      </c>
      <c r="I270" s="40" t="s">
        <v>58</v>
      </c>
      <c r="J270" s="40">
        <f>IF(H270=0,0,_xlfn.NORM.INV(0.025,H270,R270))</f>
        <v>0.60300270115949595</v>
      </c>
      <c r="K270" s="40">
        <f>IF(H270=0,0,_xlfn.NORM.INV(0.975,H270,R270))</f>
        <v>0.89699729884050405</v>
      </c>
      <c r="L270" s="40" t="s">
        <v>26</v>
      </c>
      <c r="M270" s="50" t="s">
        <v>266</v>
      </c>
      <c r="N270" s="190">
        <f t="shared" ca="1" si="40"/>
        <v>0.65566531833660624</v>
      </c>
      <c r="O270" s="40">
        <f ca="1">RAND()</f>
        <v>0.11182011679138626</v>
      </c>
      <c r="P270" s="51">
        <f t="shared" si="34"/>
        <v>24.249999999999993</v>
      </c>
      <c r="Q270" s="51">
        <f t="shared" si="35"/>
        <v>8.0833333333333304</v>
      </c>
      <c r="R270" s="51">
        <f>assumedSE*H270</f>
        <v>7.5000000000000011E-2</v>
      </c>
      <c r="S270"/>
      <c r="T270" s="83"/>
    </row>
    <row r="271" spans="1:20" ht="16" x14ac:dyDescent="0.2">
      <c r="A271"/>
      <c r="B271" s="103">
        <v>5</v>
      </c>
      <c r="C271" s="243"/>
      <c r="D271" s="119">
        <v>257</v>
      </c>
      <c r="E271" s="25" t="str">
        <f>Tp_CHG!X24</f>
        <v>Transition Probability from state 6 to state 1 on day 14 (CHG)</v>
      </c>
      <c r="F271" s="40">
        <f t="shared" si="33"/>
        <v>1</v>
      </c>
      <c r="G271" s="156">
        <v>1</v>
      </c>
      <c r="H271" s="120">
        <f>Tp_CHG!AA24</f>
        <v>1</v>
      </c>
      <c r="I271" s="40" t="s">
        <v>58</v>
      </c>
      <c r="J271" s="40">
        <f t="shared" si="41"/>
        <v>0.8040036015459946</v>
      </c>
      <c r="K271" s="40">
        <f t="shared" si="42"/>
        <v>1.1959963984540054</v>
      </c>
      <c r="L271" s="40" t="s">
        <v>58</v>
      </c>
      <c r="M271" s="50" t="s">
        <v>266</v>
      </c>
      <c r="N271" s="190"/>
      <c r="O271" s="40">
        <f t="shared" ca="1" si="39"/>
        <v>0.83646755080767832</v>
      </c>
      <c r="P271" s="51">
        <f t="shared" si="34"/>
        <v>-1</v>
      </c>
      <c r="Q271" s="51">
        <f t="shared" si="35"/>
        <v>0</v>
      </c>
      <c r="R271" s="51">
        <f t="shared" si="43"/>
        <v>0.1</v>
      </c>
      <c r="S271"/>
      <c r="T271" s="83"/>
    </row>
    <row r="272" spans="1:20" ht="16" x14ac:dyDescent="0.2">
      <c r="A272"/>
      <c r="B272" s="103">
        <v>6</v>
      </c>
      <c r="C272" s="243"/>
      <c r="D272" s="119">
        <v>258</v>
      </c>
      <c r="E272" s="25" t="str">
        <f>Tp_CHG!X25</f>
        <v>Transition Probability from state 6 to state 1 on day 15 (CHG)</v>
      </c>
      <c r="F272" s="40">
        <f t="shared" ref="F272:F334" si="44">IFERROR(CHOOSE(G272,H272,J272,K272,N272),0)</f>
        <v>0.66666666666666663</v>
      </c>
      <c r="G272" s="156">
        <v>1</v>
      </c>
      <c r="H272" s="120">
        <f>Tp_CHG!AA25</f>
        <v>0.66666666666666663</v>
      </c>
      <c r="I272" s="40" t="s">
        <v>58</v>
      </c>
      <c r="J272" s="40">
        <f t="shared" si="41"/>
        <v>0.53600240103066299</v>
      </c>
      <c r="K272" s="40">
        <f t="shared" si="42"/>
        <v>0.79733093230267027</v>
      </c>
      <c r="L272" s="40" t="s">
        <v>26</v>
      </c>
      <c r="M272" s="50" t="s">
        <v>266</v>
      </c>
      <c r="N272" s="190">
        <f t="shared" ca="1" si="40"/>
        <v>0.56927871720940959</v>
      </c>
      <c r="O272" s="40">
        <f t="shared" ca="1" si="39"/>
        <v>7.7707280325381878E-2</v>
      </c>
      <c r="P272" s="51">
        <f t="shared" si="34"/>
        <v>32.666666666666664</v>
      </c>
      <c r="Q272" s="51">
        <f t="shared" si="35"/>
        <v>16.333333333333336</v>
      </c>
      <c r="R272" s="51">
        <f t="shared" si="43"/>
        <v>6.6666666666666666E-2</v>
      </c>
      <c r="S272"/>
      <c r="T272" s="83"/>
    </row>
    <row r="273" spans="1:20" ht="16" x14ac:dyDescent="0.2">
      <c r="A273"/>
      <c r="B273" s="103"/>
      <c r="C273" s="243"/>
      <c r="D273" s="119">
        <v>259</v>
      </c>
      <c r="E273" s="25" t="str">
        <f>Tp_CHG!X153</f>
        <v>Transition Probability from state 6 to state 5 on day 15 (CHG)</v>
      </c>
      <c r="F273" s="40">
        <f t="shared" si="44"/>
        <v>0.33333333333333331</v>
      </c>
      <c r="G273" s="156">
        <v>1</v>
      </c>
      <c r="H273" s="120">
        <f>Tp_CHG!AA153</f>
        <v>0.33333333333333331</v>
      </c>
      <c r="I273" s="40" t="s">
        <v>58</v>
      </c>
      <c r="J273" s="40">
        <f>IF(H273=0,0,_xlfn.NORM.INV(0.025,H273,R273))</f>
        <v>0.26800120051533149</v>
      </c>
      <c r="K273" s="40">
        <f>IF(H273=0,0,_xlfn.NORM.INV(0.975,H273,R273))</f>
        <v>0.39866546615133513</v>
      </c>
      <c r="L273" s="40" t="s">
        <v>26</v>
      </c>
      <c r="M273" s="50" t="s">
        <v>266</v>
      </c>
      <c r="N273" s="190">
        <f t="shared" ca="1" si="40"/>
        <v>0.32985910051246903</v>
      </c>
      <c r="O273" s="40">
        <f ca="1">RAND()</f>
        <v>0.46522100942196354</v>
      </c>
      <c r="P273" s="51">
        <f t="shared" ref="P273:P336" si="45">IFERROR(H273*((H273*(1-H273)/(R273^2))-1),0)</f>
        <v>66.333333333333329</v>
      </c>
      <c r="Q273" s="51">
        <f t="shared" ref="Q273:Q336" si="46">IFERROR((1-H273)*((H273*(1-H273))/(R273^2)-1),0)</f>
        <v>132.66666666666669</v>
      </c>
      <c r="R273" s="51">
        <f>assumedSE*H273</f>
        <v>3.3333333333333333E-2</v>
      </c>
      <c r="S273"/>
      <c r="T273" s="83"/>
    </row>
    <row r="274" spans="1:20" ht="16" x14ac:dyDescent="0.2">
      <c r="A274"/>
      <c r="B274" s="103">
        <v>7</v>
      </c>
      <c r="C274" s="243"/>
      <c r="D274" s="119">
        <v>260</v>
      </c>
      <c r="E274" s="25" t="str">
        <f>Tp_CHG!X26</f>
        <v>Transition Probability from state 6 to state 1 on day 16 (CHG)</v>
      </c>
      <c r="F274" s="40">
        <f t="shared" si="44"/>
        <v>1</v>
      </c>
      <c r="G274" s="156">
        <v>1</v>
      </c>
      <c r="H274" s="120">
        <f>Tp_CHG!AA26</f>
        <v>1</v>
      </c>
      <c r="I274" s="40" t="s">
        <v>58</v>
      </c>
      <c r="J274" s="40">
        <f t="shared" si="41"/>
        <v>0.8040036015459946</v>
      </c>
      <c r="K274" s="40">
        <f t="shared" si="42"/>
        <v>1.1959963984540054</v>
      </c>
      <c r="L274" s="40" t="s">
        <v>58</v>
      </c>
      <c r="M274" s="50" t="s">
        <v>266</v>
      </c>
      <c r="N274" s="190"/>
      <c r="O274" s="40">
        <f t="shared" ca="1" si="39"/>
        <v>0.39074935100763775</v>
      </c>
      <c r="P274" s="51">
        <f t="shared" si="45"/>
        <v>-1</v>
      </c>
      <c r="Q274" s="51">
        <f t="shared" si="46"/>
        <v>0</v>
      </c>
      <c r="R274" s="51">
        <f t="shared" si="43"/>
        <v>0.1</v>
      </c>
      <c r="S274"/>
      <c r="T274" s="83"/>
    </row>
    <row r="275" spans="1:20" ht="16" x14ac:dyDescent="0.2">
      <c r="A275"/>
      <c r="B275" s="103">
        <v>8</v>
      </c>
      <c r="C275" s="243"/>
      <c r="D275" s="119">
        <v>261</v>
      </c>
      <c r="E275" s="25" t="str">
        <f>Tp_CHG!X27</f>
        <v>Transition Probability from state 6 to state 1 on day 17 (CHG)</v>
      </c>
      <c r="F275" s="40">
        <f t="shared" si="44"/>
        <v>0</v>
      </c>
      <c r="G275" s="156">
        <v>1</v>
      </c>
      <c r="H275" s="120">
        <f>Tp_CHG!AA27</f>
        <v>0</v>
      </c>
      <c r="I275" s="40" t="s">
        <v>58</v>
      </c>
      <c r="J275" s="40">
        <f t="shared" si="41"/>
        <v>0</v>
      </c>
      <c r="K275" s="40">
        <f t="shared" si="42"/>
        <v>0</v>
      </c>
      <c r="L275" s="40" t="s">
        <v>58</v>
      </c>
      <c r="M275" s="50" t="s">
        <v>266</v>
      </c>
      <c r="N275" s="190"/>
      <c r="O275" s="40">
        <f t="shared" ca="1" si="39"/>
        <v>0.52630782986432167</v>
      </c>
      <c r="P275" s="51">
        <f t="shared" si="45"/>
        <v>0</v>
      </c>
      <c r="Q275" s="51">
        <f t="shared" si="46"/>
        <v>0</v>
      </c>
      <c r="R275" s="51">
        <f t="shared" si="43"/>
        <v>0</v>
      </c>
      <c r="S275"/>
      <c r="T275" s="83"/>
    </row>
    <row r="276" spans="1:20" ht="16" x14ac:dyDescent="0.2">
      <c r="A276"/>
      <c r="B276" s="103"/>
      <c r="C276" s="243"/>
      <c r="D276" s="119">
        <v>262</v>
      </c>
      <c r="E276" s="25" t="str">
        <f>Tp_CHG!X59</f>
        <v>Transition Probability from state 6 to state 2 on day 17 (CHG)</v>
      </c>
      <c r="F276" s="40">
        <f t="shared" si="44"/>
        <v>1</v>
      </c>
      <c r="G276" s="156">
        <v>1</v>
      </c>
      <c r="H276" s="120">
        <f>Tp_CHG!AA59</f>
        <v>1</v>
      </c>
      <c r="I276" s="40" t="s">
        <v>58</v>
      </c>
      <c r="J276" s="40">
        <f>IF(H276=0,0,_xlfn.NORM.INV(0.025,H276,R276))</f>
        <v>0.8040036015459946</v>
      </c>
      <c r="K276" s="40">
        <f>IF(H276=0,0,_xlfn.NORM.INV(0.975,H276,R276))</f>
        <v>1.1959963984540054</v>
      </c>
      <c r="L276" s="40" t="s">
        <v>58</v>
      </c>
      <c r="M276" s="50" t="s">
        <v>266</v>
      </c>
      <c r="N276" s="190"/>
      <c r="O276" s="40">
        <f ca="1">RAND()</f>
        <v>0.70689322125582255</v>
      </c>
      <c r="P276" s="51">
        <f t="shared" si="45"/>
        <v>-1</v>
      </c>
      <c r="Q276" s="51">
        <f t="shared" si="46"/>
        <v>0</v>
      </c>
      <c r="R276" s="51">
        <f>assumedSE*H276</f>
        <v>0.1</v>
      </c>
      <c r="S276"/>
      <c r="T276" s="83"/>
    </row>
    <row r="277" spans="1:20" ht="16" x14ac:dyDescent="0.2">
      <c r="A277"/>
      <c r="B277" s="103">
        <v>1</v>
      </c>
      <c r="C277" s="243"/>
      <c r="D277" s="119">
        <v>263</v>
      </c>
      <c r="E277" s="25" t="str">
        <f>Tp_CHG!X28</f>
        <v>Transition Probability from state 6 to state 1 on day 18 (CHG)</v>
      </c>
      <c r="F277" s="40">
        <f t="shared" si="44"/>
        <v>0</v>
      </c>
      <c r="G277" s="156">
        <v>1</v>
      </c>
      <c r="H277" s="120">
        <f>Tp_CHG!AA28</f>
        <v>0</v>
      </c>
      <c r="I277" s="40" t="s">
        <v>58</v>
      </c>
      <c r="J277" s="40">
        <f t="shared" si="41"/>
        <v>0</v>
      </c>
      <c r="K277" s="40">
        <f t="shared" si="42"/>
        <v>0</v>
      </c>
      <c r="L277" s="40" t="s">
        <v>58</v>
      </c>
      <c r="M277" s="50" t="s">
        <v>266</v>
      </c>
      <c r="N277" s="190"/>
      <c r="O277" s="40">
        <f t="shared" ca="1" si="39"/>
        <v>0.15170173914082719</v>
      </c>
      <c r="P277" s="51">
        <f t="shared" si="45"/>
        <v>0</v>
      </c>
      <c r="Q277" s="51">
        <f t="shared" si="46"/>
        <v>0</v>
      </c>
      <c r="R277" s="51">
        <f t="shared" si="43"/>
        <v>0</v>
      </c>
      <c r="S277"/>
      <c r="T277" s="83"/>
    </row>
    <row r="278" spans="1:20" ht="16" x14ac:dyDescent="0.2">
      <c r="A278"/>
      <c r="B278" s="103">
        <v>2</v>
      </c>
      <c r="C278" s="243"/>
      <c r="D278" s="119">
        <v>264</v>
      </c>
      <c r="E278" s="25" t="str">
        <f>Tp_CHG!X29</f>
        <v>Transition Probability from state 6 to state 1 on day 19 (CHG)</v>
      </c>
      <c r="F278" s="40">
        <f t="shared" si="44"/>
        <v>0</v>
      </c>
      <c r="G278" s="156">
        <v>1</v>
      </c>
      <c r="H278" s="120">
        <f>Tp_CHG!AA29</f>
        <v>0</v>
      </c>
      <c r="I278" s="40" t="s">
        <v>58</v>
      </c>
      <c r="J278" s="40">
        <f t="shared" si="41"/>
        <v>0</v>
      </c>
      <c r="K278" s="40">
        <f t="shared" si="42"/>
        <v>0</v>
      </c>
      <c r="L278" s="40" t="s">
        <v>58</v>
      </c>
      <c r="M278" s="50" t="s">
        <v>266</v>
      </c>
      <c r="N278" s="190"/>
      <c r="O278" s="40">
        <f t="shared" ca="1" si="39"/>
        <v>3.6318784352307731E-2</v>
      </c>
      <c r="P278" s="51">
        <f t="shared" si="45"/>
        <v>0</v>
      </c>
      <c r="Q278" s="51">
        <f t="shared" si="46"/>
        <v>0</v>
      </c>
      <c r="R278" s="51">
        <f t="shared" si="43"/>
        <v>0</v>
      </c>
      <c r="S278"/>
      <c r="T278" s="83"/>
    </row>
    <row r="279" spans="1:20" ht="16" x14ac:dyDescent="0.2">
      <c r="A279"/>
      <c r="B279" s="103">
        <v>3</v>
      </c>
      <c r="C279" s="243"/>
      <c r="D279" s="119">
        <v>265</v>
      </c>
      <c r="E279" s="25" t="str">
        <f>Tp_CHG!X30</f>
        <v>Transition Probability from state 6 to state 1 on day 20 (CHG)</v>
      </c>
      <c r="F279" s="40">
        <f t="shared" si="44"/>
        <v>0</v>
      </c>
      <c r="G279" s="156">
        <v>1</v>
      </c>
      <c r="H279" s="120">
        <f>Tp_CHG!AA30</f>
        <v>0</v>
      </c>
      <c r="I279" s="40" t="s">
        <v>58</v>
      </c>
      <c r="J279" s="40">
        <f t="shared" si="41"/>
        <v>0</v>
      </c>
      <c r="K279" s="40">
        <f t="shared" si="42"/>
        <v>0</v>
      </c>
      <c r="L279" s="40" t="s">
        <v>58</v>
      </c>
      <c r="M279" s="50" t="s">
        <v>266</v>
      </c>
      <c r="N279" s="190"/>
      <c r="O279" s="40">
        <f t="shared" ca="1" si="39"/>
        <v>0.73933700209132802</v>
      </c>
      <c r="P279" s="51">
        <f t="shared" si="45"/>
        <v>0</v>
      </c>
      <c r="Q279" s="51">
        <f t="shared" si="46"/>
        <v>0</v>
      </c>
      <c r="R279" s="51">
        <f t="shared" si="43"/>
        <v>0</v>
      </c>
      <c r="S279"/>
      <c r="T279" s="83"/>
    </row>
    <row r="280" spans="1:20" ht="16" x14ac:dyDescent="0.2">
      <c r="A280"/>
      <c r="B280" s="103">
        <v>4</v>
      </c>
      <c r="C280" s="243"/>
      <c r="D280" s="119">
        <v>266</v>
      </c>
      <c r="E280" s="25" t="str">
        <f>Tp_CHG!X31</f>
        <v>Transition Probability from state 6 to state 1 on day 21 (CHG)</v>
      </c>
      <c r="F280" s="40">
        <f t="shared" si="44"/>
        <v>1</v>
      </c>
      <c r="G280" s="156">
        <v>1</v>
      </c>
      <c r="H280" s="120">
        <f>Tp_CHG!AA31</f>
        <v>1</v>
      </c>
      <c r="I280" s="40" t="s">
        <v>58</v>
      </c>
      <c r="J280" s="40">
        <f t="shared" si="41"/>
        <v>0.8040036015459946</v>
      </c>
      <c r="K280" s="40">
        <f t="shared" si="42"/>
        <v>1.1959963984540054</v>
      </c>
      <c r="L280" s="40" t="s">
        <v>58</v>
      </c>
      <c r="M280" s="50" t="s">
        <v>266</v>
      </c>
      <c r="N280" s="190"/>
      <c r="O280" s="40">
        <f t="shared" ca="1" si="39"/>
        <v>0.30845646133780813</v>
      </c>
      <c r="P280" s="51">
        <f t="shared" si="45"/>
        <v>-1</v>
      </c>
      <c r="Q280" s="51">
        <f t="shared" si="46"/>
        <v>0</v>
      </c>
      <c r="R280" s="51">
        <f t="shared" si="43"/>
        <v>0.1</v>
      </c>
      <c r="S280"/>
      <c r="T280" s="83"/>
    </row>
    <row r="281" spans="1:20" ht="16" x14ac:dyDescent="0.2">
      <c r="A281"/>
      <c r="B281" s="103">
        <v>5</v>
      </c>
      <c r="C281" s="243"/>
      <c r="D281" s="119">
        <v>267</v>
      </c>
      <c r="E281" s="25" t="str">
        <f>Tp_CHG!X32</f>
        <v>Transition Probability from state 6 to state 1 on day 22 (CHG)</v>
      </c>
      <c r="F281" s="40">
        <f t="shared" si="44"/>
        <v>0</v>
      </c>
      <c r="G281" s="156">
        <v>1</v>
      </c>
      <c r="H281" s="120">
        <f>Tp_CHG!AA32</f>
        <v>0</v>
      </c>
      <c r="I281" s="40" t="s">
        <v>58</v>
      </c>
      <c r="J281" s="40">
        <f t="shared" si="41"/>
        <v>0</v>
      </c>
      <c r="K281" s="40">
        <f t="shared" si="42"/>
        <v>0</v>
      </c>
      <c r="L281" s="40" t="s">
        <v>58</v>
      </c>
      <c r="M281" s="50" t="s">
        <v>266</v>
      </c>
      <c r="N281" s="190"/>
      <c r="O281" s="40">
        <f t="shared" ca="1" si="39"/>
        <v>0.80565202511119938</v>
      </c>
      <c r="P281" s="51">
        <f t="shared" si="45"/>
        <v>0</v>
      </c>
      <c r="Q281" s="51">
        <f t="shared" si="46"/>
        <v>0</v>
      </c>
      <c r="R281" s="51">
        <f t="shared" si="43"/>
        <v>0</v>
      </c>
      <c r="S281"/>
      <c r="T281" s="83"/>
    </row>
    <row r="282" spans="1:20" ht="16" x14ac:dyDescent="0.2">
      <c r="A282"/>
      <c r="B282" s="103">
        <v>6</v>
      </c>
      <c r="C282" s="243"/>
      <c r="D282" s="119">
        <v>268</v>
      </c>
      <c r="E282" s="25" t="str">
        <f>Tp_CHG!X33</f>
        <v>Transition Probability from state 6 to state 1 on day 23 (CHG)</v>
      </c>
      <c r="F282" s="40">
        <f t="shared" si="44"/>
        <v>0</v>
      </c>
      <c r="G282" s="156">
        <v>1</v>
      </c>
      <c r="H282" s="120">
        <f>Tp_CHG!AA33</f>
        <v>0</v>
      </c>
      <c r="I282" s="40" t="s">
        <v>58</v>
      </c>
      <c r="J282" s="40">
        <f t="shared" si="41"/>
        <v>0</v>
      </c>
      <c r="K282" s="40">
        <f t="shared" si="42"/>
        <v>0</v>
      </c>
      <c r="L282" s="40" t="s">
        <v>58</v>
      </c>
      <c r="M282" s="50" t="s">
        <v>266</v>
      </c>
      <c r="N282" s="190"/>
      <c r="O282" s="40">
        <f t="shared" ca="1" si="39"/>
        <v>0.99922683744866092</v>
      </c>
      <c r="P282" s="51">
        <f t="shared" si="45"/>
        <v>0</v>
      </c>
      <c r="Q282" s="51">
        <f t="shared" si="46"/>
        <v>0</v>
      </c>
      <c r="R282" s="51">
        <f t="shared" si="43"/>
        <v>0</v>
      </c>
      <c r="S282"/>
      <c r="T282" s="83"/>
    </row>
    <row r="283" spans="1:20" ht="16" x14ac:dyDescent="0.2">
      <c r="A283"/>
      <c r="B283" s="103"/>
      <c r="C283" s="243"/>
      <c r="D283" s="119">
        <v>269</v>
      </c>
      <c r="E283" s="25" t="str">
        <f>Tp_CHG!X65</f>
        <v>Transition Probability from state 6 to state 2 on day 23 (CHG)</v>
      </c>
      <c r="F283" s="40">
        <f t="shared" si="44"/>
        <v>1</v>
      </c>
      <c r="G283" s="156">
        <v>1</v>
      </c>
      <c r="H283" s="120">
        <f>Tp_CHG!AA65</f>
        <v>1</v>
      </c>
      <c r="I283" s="40" t="s">
        <v>58</v>
      </c>
      <c r="J283" s="40">
        <f>IF(H283=0,0,_xlfn.NORM.INV(0.025,H283,R283))</f>
        <v>0.8040036015459946</v>
      </c>
      <c r="K283" s="40">
        <f>IF(H283=0,0,_xlfn.NORM.INV(0.975,H283,R283))</f>
        <v>1.1959963984540054</v>
      </c>
      <c r="L283" s="40" t="s">
        <v>58</v>
      </c>
      <c r="M283" s="50" t="s">
        <v>266</v>
      </c>
      <c r="N283" s="190"/>
      <c r="O283" s="40">
        <f ca="1">RAND()</f>
        <v>0.50261525889354219</v>
      </c>
      <c r="P283" s="51">
        <f t="shared" si="45"/>
        <v>-1</v>
      </c>
      <c r="Q283" s="51">
        <f t="shared" si="46"/>
        <v>0</v>
      </c>
      <c r="R283" s="51">
        <f>assumedSE*H283</f>
        <v>0.1</v>
      </c>
      <c r="S283"/>
      <c r="T283" s="83"/>
    </row>
    <row r="284" spans="1:20" ht="16" x14ac:dyDescent="0.2">
      <c r="A284"/>
      <c r="B284" s="103">
        <v>7</v>
      </c>
      <c r="C284" s="243"/>
      <c r="D284" s="119">
        <v>270</v>
      </c>
      <c r="E284" s="25" t="str">
        <f>Tp_CHG!X34</f>
        <v>Transition Probability from state 6 to state 1 on day 24 (CHG)</v>
      </c>
      <c r="F284" s="40">
        <f t="shared" si="44"/>
        <v>0</v>
      </c>
      <c r="G284" s="156">
        <v>1</v>
      </c>
      <c r="H284" s="120">
        <f>Tp_CHG!AA34</f>
        <v>0</v>
      </c>
      <c r="I284" s="40" t="s">
        <v>58</v>
      </c>
      <c r="J284" s="40">
        <f t="shared" si="41"/>
        <v>0</v>
      </c>
      <c r="K284" s="40">
        <f t="shared" si="42"/>
        <v>0</v>
      </c>
      <c r="L284" s="40" t="s">
        <v>58</v>
      </c>
      <c r="M284" s="50" t="s">
        <v>266</v>
      </c>
      <c r="N284" s="190"/>
      <c r="O284" s="40">
        <f t="shared" ca="1" si="39"/>
        <v>0.86986452025711214</v>
      </c>
      <c r="P284" s="51">
        <f t="shared" si="45"/>
        <v>0</v>
      </c>
      <c r="Q284" s="51">
        <f t="shared" si="46"/>
        <v>0</v>
      </c>
      <c r="R284" s="51">
        <f t="shared" si="43"/>
        <v>0</v>
      </c>
      <c r="S284"/>
      <c r="T284" s="83"/>
    </row>
    <row r="285" spans="1:20" ht="16" x14ac:dyDescent="0.2">
      <c r="A285"/>
      <c r="B285" s="103">
        <v>8</v>
      </c>
      <c r="C285" s="243"/>
      <c r="D285" s="119">
        <v>271</v>
      </c>
      <c r="E285" s="25" t="str">
        <f>Tp_CHG!X35</f>
        <v>Transition Probability from state 6 to state 1 on day 25 (CHG)</v>
      </c>
      <c r="F285" s="40">
        <f t="shared" si="44"/>
        <v>0</v>
      </c>
      <c r="G285" s="156">
        <v>1</v>
      </c>
      <c r="H285" s="120">
        <f>Tp_CHG!AA35</f>
        <v>0</v>
      </c>
      <c r="I285" s="40" t="s">
        <v>58</v>
      </c>
      <c r="J285" s="40">
        <f t="shared" si="41"/>
        <v>0</v>
      </c>
      <c r="K285" s="40">
        <f t="shared" si="42"/>
        <v>0</v>
      </c>
      <c r="L285" s="40" t="s">
        <v>58</v>
      </c>
      <c r="M285" s="50" t="s">
        <v>266</v>
      </c>
      <c r="N285" s="190"/>
      <c r="O285" s="40">
        <f t="shared" ca="1" si="39"/>
        <v>9.8279789827058761E-2</v>
      </c>
      <c r="P285" s="51">
        <f t="shared" si="45"/>
        <v>0</v>
      </c>
      <c r="Q285" s="51">
        <f t="shared" si="46"/>
        <v>0</v>
      </c>
      <c r="R285" s="51">
        <f t="shared" si="43"/>
        <v>0</v>
      </c>
      <c r="S285"/>
      <c r="T285" s="83"/>
    </row>
    <row r="286" spans="1:20" ht="16" x14ac:dyDescent="0.2">
      <c r="A286"/>
      <c r="B286" s="103"/>
      <c r="C286" s="243"/>
      <c r="D286" s="119">
        <v>272</v>
      </c>
      <c r="E286" s="25" t="str">
        <f>Tp_CHG!X163</f>
        <v>Transition Probability from state 6 to state 5 on day 25 (CHG)</v>
      </c>
      <c r="F286" s="40">
        <f t="shared" si="44"/>
        <v>1</v>
      </c>
      <c r="G286" s="156">
        <v>1</v>
      </c>
      <c r="H286" s="120">
        <f>Tp_CHG!AA163</f>
        <v>1</v>
      </c>
      <c r="I286" s="40" t="s">
        <v>58</v>
      </c>
      <c r="J286" s="40">
        <f>IF(H286=0,0,_xlfn.NORM.INV(0.025,H286,R286))</f>
        <v>0.8040036015459946</v>
      </c>
      <c r="K286" s="40">
        <f>IF(H286=0,0,_xlfn.NORM.INV(0.975,H286,R286))</f>
        <v>1.1959963984540054</v>
      </c>
      <c r="L286" s="40" t="s">
        <v>58</v>
      </c>
      <c r="M286" s="50" t="s">
        <v>266</v>
      </c>
      <c r="N286" s="190"/>
      <c r="O286" s="40">
        <f ca="1">RAND()</f>
        <v>0.55207769984554178</v>
      </c>
      <c r="P286" s="51">
        <f t="shared" si="45"/>
        <v>-1</v>
      </c>
      <c r="Q286" s="51">
        <f t="shared" si="46"/>
        <v>0</v>
      </c>
      <c r="R286" s="51">
        <f>assumedSE*H286</f>
        <v>0.1</v>
      </c>
      <c r="S286"/>
      <c r="T286" s="83"/>
    </row>
    <row r="287" spans="1:20" ht="16" x14ac:dyDescent="0.2">
      <c r="A287"/>
      <c r="B287" s="103">
        <v>1</v>
      </c>
      <c r="C287" s="243"/>
      <c r="D287" s="119">
        <v>273</v>
      </c>
      <c r="E287" s="25" t="str">
        <f>Tp_CHG!X36</f>
        <v>Transition Probability from state 6 to state 1 on day 26 (CHG)</v>
      </c>
      <c r="F287" s="40">
        <f t="shared" si="44"/>
        <v>0</v>
      </c>
      <c r="G287" s="156">
        <v>1</v>
      </c>
      <c r="H287" s="120">
        <f>Tp_CHG!AA36</f>
        <v>0</v>
      </c>
      <c r="I287" s="40" t="s">
        <v>58</v>
      </c>
      <c r="J287" s="40">
        <f t="shared" si="41"/>
        <v>0</v>
      </c>
      <c r="K287" s="40">
        <f t="shared" si="42"/>
        <v>0</v>
      </c>
      <c r="L287" s="40" t="s">
        <v>58</v>
      </c>
      <c r="M287" s="50" t="s">
        <v>266</v>
      </c>
      <c r="N287" s="190"/>
      <c r="O287" s="40">
        <f t="shared" ca="1" si="39"/>
        <v>0.46640741623790849</v>
      </c>
      <c r="P287" s="51">
        <f t="shared" si="45"/>
        <v>0</v>
      </c>
      <c r="Q287" s="51">
        <f t="shared" si="46"/>
        <v>0</v>
      </c>
      <c r="R287" s="51">
        <f t="shared" si="43"/>
        <v>0</v>
      </c>
      <c r="S287"/>
      <c r="T287" s="83"/>
    </row>
    <row r="288" spans="1:20" ht="16" x14ac:dyDescent="0.2">
      <c r="A288"/>
      <c r="B288" s="103">
        <v>2</v>
      </c>
      <c r="C288" s="243"/>
      <c r="D288" s="119">
        <v>274</v>
      </c>
      <c r="E288" s="25" t="str">
        <f>Tp_CHG!X37</f>
        <v>Transition Probability from state 6 to state 1 on day 27 (CHG)</v>
      </c>
      <c r="F288" s="40">
        <f t="shared" si="44"/>
        <v>0</v>
      </c>
      <c r="G288" s="156">
        <v>1</v>
      </c>
      <c r="H288" s="120">
        <f>Tp_CHG!AA37</f>
        <v>0</v>
      </c>
      <c r="I288" s="40" t="s">
        <v>58</v>
      </c>
      <c r="J288" s="40">
        <f t="shared" si="41"/>
        <v>0</v>
      </c>
      <c r="K288" s="40">
        <f t="shared" si="42"/>
        <v>0</v>
      </c>
      <c r="L288" s="40" t="s">
        <v>58</v>
      </c>
      <c r="M288" s="50" t="s">
        <v>266</v>
      </c>
      <c r="N288" s="190"/>
      <c r="O288" s="40">
        <f t="shared" ca="1" si="39"/>
        <v>0.1302978247530624</v>
      </c>
      <c r="P288" s="51">
        <f t="shared" si="45"/>
        <v>0</v>
      </c>
      <c r="Q288" s="51">
        <f t="shared" si="46"/>
        <v>0</v>
      </c>
      <c r="R288" s="51">
        <f t="shared" si="43"/>
        <v>0</v>
      </c>
      <c r="S288"/>
      <c r="T288" s="83"/>
    </row>
    <row r="289" spans="1:20" ht="16" x14ac:dyDescent="0.2">
      <c r="A289"/>
      <c r="B289" s="103"/>
      <c r="C289" s="243"/>
      <c r="D289" s="119">
        <v>275</v>
      </c>
      <c r="E289" s="25" t="str">
        <f>Tp_CHG!X69</f>
        <v>Transition Probability from state 6 to state 2 on day 27 (CHG)</v>
      </c>
      <c r="F289" s="40">
        <f t="shared" si="44"/>
        <v>1</v>
      </c>
      <c r="G289" s="156">
        <v>1</v>
      </c>
      <c r="H289" s="120">
        <f>Tp_CHG!AA69</f>
        <v>1</v>
      </c>
      <c r="I289" s="40" t="s">
        <v>58</v>
      </c>
      <c r="J289" s="40">
        <f>IF(H289=0,0,_xlfn.NORM.INV(0.025,H289,R289))</f>
        <v>0.8040036015459946</v>
      </c>
      <c r="K289" s="40">
        <f>IF(H289=0,0,_xlfn.NORM.INV(0.975,H289,R289))</f>
        <v>1.1959963984540054</v>
      </c>
      <c r="L289" s="40" t="s">
        <v>58</v>
      </c>
      <c r="M289" s="50" t="s">
        <v>266</v>
      </c>
      <c r="N289" s="190"/>
      <c r="O289" s="40">
        <f ca="1">RAND()</f>
        <v>0.38513375895583479</v>
      </c>
      <c r="P289" s="51">
        <f t="shared" si="45"/>
        <v>-1</v>
      </c>
      <c r="Q289" s="51">
        <f t="shared" si="46"/>
        <v>0</v>
      </c>
      <c r="R289" s="51">
        <f>assumedSE*H289</f>
        <v>0.1</v>
      </c>
      <c r="S289"/>
      <c r="T289" s="83"/>
    </row>
    <row r="290" spans="1:20" ht="16" x14ac:dyDescent="0.2">
      <c r="A290"/>
      <c r="B290" s="103">
        <v>3</v>
      </c>
      <c r="C290" s="243"/>
      <c r="D290" s="119">
        <v>276</v>
      </c>
      <c r="E290" s="25" t="str">
        <f>Tp_CHG!X38</f>
        <v>Transition Probability from state 6 to state 1 on day 28 (CHG)</v>
      </c>
      <c r="F290" s="40">
        <f t="shared" si="44"/>
        <v>1</v>
      </c>
      <c r="G290" s="156">
        <v>1</v>
      </c>
      <c r="H290" s="120">
        <f>Tp_CHG!AA38</f>
        <v>1</v>
      </c>
      <c r="I290" s="40" t="s">
        <v>58</v>
      </c>
      <c r="J290" s="40">
        <f t="shared" si="41"/>
        <v>0.8040036015459946</v>
      </c>
      <c r="K290" s="40">
        <f t="shared" si="42"/>
        <v>1.1959963984540054</v>
      </c>
      <c r="L290" s="40" t="s">
        <v>58</v>
      </c>
      <c r="M290" s="50" t="s">
        <v>266</v>
      </c>
      <c r="N290" s="190"/>
      <c r="O290" s="40">
        <f t="shared" ca="1" si="39"/>
        <v>0.93185228791072339</v>
      </c>
      <c r="P290" s="51">
        <f t="shared" si="45"/>
        <v>-1</v>
      </c>
      <c r="Q290" s="51">
        <f t="shared" si="46"/>
        <v>0</v>
      </c>
      <c r="R290" s="51">
        <f t="shared" si="43"/>
        <v>0.1</v>
      </c>
      <c r="S290"/>
      <c r="T290" s="83"/>
    </row>
    <row r="291" spans="1:20" ht="16" x14ac:dyDescent="0.2">
      <c r="A291"/>
      <c r="B291" s="103">
        <v>4</v>
      </c>
      <c r="C291" s="243"/>
      <c r="D291" s="119">
        <v>277</v>
      </c>
      <c r="E291" s="25" t="str">
        <f>Tp_CHG!X39</f>
        <v>Transition Probability from state 6 to state 1 on day 29 (CHG)</v>
      </c>
      <c r="F291" s="40">
        <f t="shared" si="44"/>
        <v>0</v>
      </c>
      <c r="G291" s="156">
        <v>1</v>
      </c>
      <c r="H291" s="120">
        <f>Tp_CHG!AA39</f>
        <v>0</v>
      </c>
      <c r="I291" s="40" t="s">
        <v>58</v>
      </c>
      <c r="J291" s="40">
        <f t="shared" si="41"/>
        <v>0</v>
      </c>
      <c r="K291" s="40">
        <f t="shared" si="42"/>
        <v>0</v>
      </c>
      <c r="L291" s="40" t="s">
        <v>58</v>
      </c>
      <c r="M291" s="50" t="s">
        <v>266</v>
      </c>
      <c r="N291" s="190"/>
      <c r="O291" s="40">
        <f t="shared" ca="1" si="39"/>
        <v>0.82325841253386312</v>
      </c>
      <c r="P291" s="51">
        <f t="shared" si="45"/>
        <v>0</v>
      </c>
      <c r="Q291" s="51">
        <f t="shared" si="46"/>
        <v>0</v>
      </c>
      <c r="R291" s="51">
        <f t="shared" si="43"/>
        <v>0</v>
      </c>
      <c r="S291"/>
      <c r="T291" s="83"/>
    </row>
    <row r="292" spans="1:20" ht="16" x14ac:dyDescent="0.2">
      <c r="A292"/>
      <c r="B292" s="103">
        <v>5</v>
      </c>
      <c r="C292" s="243"/>
      <c r="D292" s="119">
        <v>278</v>
      </c>
      <c r="E292" s="25" t="str">
        <f>Tp_CHG!X40</f>
        <v>Transition Probability from state 6 to state 1 on day 30 (CHG)</v>
      </c>
      <c r="F292" s="40">
        <f t="shared" si="44"/>
        <v>1</v>
      </c>
      <c r="G292" s="156">
        <v>1</v>
      </c>
      <c r="H292" s="120">
        <f>Tp_CHG!AA40</f>
        <v>1</v>
      </c>
      <c r="I292" s="40" t="s">
        <v>58</v>
      </c>
      <c r="J292" s="40">
        <f t="shared" si="41"/>
        <v>0.8040036015459946</v>
      </c>
      <c r="K292" s="40">
        <f t="shared" si="42"/>
        <v>1.1959963984540054</v>
      </c>
      <c r="L292" s="40" t="s">
        <v>58</v>
      </c>
      <c r="M292" s="50" t="s">
        <v>266</v>
      </c>
      <c r="N292" s="190"/>
      <c r="O292" s="40">
        <f t="shared" ca="1" si="39"/>
        <v>0.68988790706517911</v>
      </c>
      <c r="P292" s="51">
        <f t="shared" si="45"/>
        <v>-1</v>
      </c>
      <c r="Q292" s="51">
        <f t="shared" si="46"/>
        <v>0</v>
      </c>
      <c r="R292" s="51">
        <f t="shared" si="43"/>
        <v>0.1</v>
      </c>
      <c r="S292"/>
      <c r="T292" s="83"/>
    </row>
    <row r="293" spans="1:20" ht="16" x14ac:dyDescent="0.2">
      <c r="A293"/>
      <c r="B293" s="103"/>
      <c r="C293" s="243"/>
      <c r="D293" s="119">
        <v>279</v>
      </c>
      <c r="E293" s="25" t="str">
        <f>Tp_CHG!I43</f>
        <v>Transition Probability from state 2 to state 2 on day 1 (CHG)</v>
      </c>
      <c r="F293" s="40">
        <f t="shared" si="44"/>
        <v>0</v>
      </c>
      <c r="G293" s="156">
        <v>1</v>
      </c>
      <c r="H293" s="120">
        <f>Tp_CHG!L43</f>
        <v>0</v>
      </c>
      <c r="I293" s="40" t="s">
        <v>58</v>
      </c>
      <c r="J293" s="40">
        <f t="shared" ref="J293:J295" si="47">IF(H293=0,0,_xlfn.NORM.INV(0.025,H293,R293))</f>
        <v>0</v>
      </c>
      <c r="K293" s="40">
        <f t="shared" ref="K293:K295" si="48">IF(H293=0,0,_xlfn.NORM.INV(0.975,H293,R293))</f>
        <v>0</v>
      </c>
      <c r="L293" s="40" t="s">
        <v>58</v>
      </c>
      <c r="M293" s="50" t="s">
        <v>266</v>
      </c>
      <c r="N293" s="190"/>
      <c r="O293" s="40">
        <f t="shared" ca="1" si="39"/>
        <v>0.42120822829887328</v>
      </c>
      <c r="P293" s="51">
        <f t="shared" si="45"/>
        <v>0</v>
      </c>
      <c r="Q293" s="51">
        <f t="shared" si="46"/>
        <v>0</v>
      </c>
      <c r="R293" s="51">
        <f t="shared" ref="R293:R295" si="49">assumedSE*H293</f>
        <v>0</v>
      </c>
      <c r="S293"/>
      <c r="T293" s="83"/>
    </row>
    <row r="294" spans="1:20" ht="16" x14ac:dyDescent="0.2">
      <c r="A294"/>
      <c r="B294" s="103"/>
      <c r="C294" s="243"/>
      <c r="D294" s="119">
        <v>280</v>
      </c>
      <c r="E294" s="25" t="str">
        <f>Tp_CHG!I44</f>
        <v>Transition Probability from state 2 to state 2 on day 2 (CHG)</v>
      </c>
      <c r="F294" s="40">
        <f t="shared" si="44"/>
        <v>0</v>
      </c>
      <c r="G294" s="156">
        <v>1</v>
      </c>
      <c r="H294" s="120">
        <f>Tp_CHG!L44</f>
        <v>0</v>
      </c>
      <c r="I294" s="40" t="s">
        <v>58</v>
      </c>
      <c r="J294" s="40">
        <f t="shared" si="47"/>
        <v>0</v>
      </c>
      <c r="K294" s="40">
        <f t="shared" si="48"/>
        <v>0</v>
      </c>
      <c r="L294" s="40" t="s">
        <v>58</v>
      </c>
      <c r="M294" s="50" t="s">
        <v>266</v>
      </c>
      <c r="N294" s="190"/>
      <c r="O294" s="40">
        <f t="shared" ca="1" si="39"/>
        <v>0.13728265336086576</v>
      </c>
      <c r="P294" s="51">
        <f t="shared" si="45"/>
        <v>0</v>
      </c>
      <c r="Q294" s="51">
        <f t="shared" si="46"/>
        <v>0</v>
      </c>
      <c r="R294" s="51">
        <f t="shared" si="49"/>
        <v>0</v>
      </c>
      <c r="S294"/>
      <c r="T294" s="83"/>
    </row>
    <row r="295" spans="1:20" ht="16" x14ac:dyDescent="0.2">
      <c r="A295"/>
      <c r="B295" s="103">
        <v>7</v>
      </c>
      <c r="C295" s="243"/>
      <c r="D295" s="119">
        <v>281</v>
      </c>
      <c r="E295" s="25" t="str">
        <f>Tp_CHG!I46</f>
        <v>Transition Probability from state 2 to state 2 on day 4 (CHG)</v>
      </c>
      <c r="F295" s="40">
        <f t="shared" si="44"/>
        <v>0</v>
      </c>
      <c r="G295" s="156">
        <v>1</v>
      </c>
      <c r="H295" s="120">
        <f>Tp_CHG!L46</f>
        <v>0</v>
      </c>
      <c r="I295" s="40" t="s">
        <v>58</v>
      </c>
      <c r="J295" s="40">
        <f t="shared" si="47"/>
        <v>0</v>
      </c>
      <c r="K295" s="40">
        <f t="shared" si="48"/>
        <v>0</v>
      </c>
      <c r="L295" s="40" t="s">
        <v>58</v>
      </c>
      <c r="M295" s="50" t="s">
        <v>266</v>
      </c>
      <c r="N295" s="190"/>
      <c r="O295" s="40">
        <f t="shared" ca="1" si="39"/>
        <v>0.46693738685364816</v>
      </c>
      <c r="P295" s="51">
        <f t="shared" si="45"/>
        <v>0</v>
      </c>
      <c r="Q295" s="51">
        <f t="shared" si="46"/>
        <v>0</v>
      </c>
      <c r="R295" s="51">
        <f t="shared" si="49"/>
        <v>0</v>
      </c>
      <c r="S295"/>
      <c r="T295" s="83"/>
    </row>
    <row r="296" spans="1:20" ht="14.5" customHeight="1" x14ac:dyDescent="0.2">
      <c r="A296"/>
      <c r="B296" s="103">
        <v>1</v>
      </c>
      <c r="C296" s="243"/>
      <c r="D296" s="119">
        <v>282</v>
      </c>
      <c r="E296" s="25" t="str">
        <f>Tp_CHG!I48</f>
        <v>Transition Probability from state 2 to state 2 on day 6 (CHG)</v>
      </c>
      <c r="F296" s="40">
        <f t="shared" si="44"/>
        <v>0</v>
      </c>
      <c r="G296" s="156">
        <v>1</v>
      </c>
      <c r="H296" s="120">
        <f>Tp_CHG!L48</f>
        <v>0</v>
      </c>
      <c r="I296" s="40" t="s">
        <v>58</v>
      </c>
      <c r="J296" s="40">
        <f t="shared" ref="J296:J321" si="50">IF(H296=0,0,_xlfn.NORM.INV(0.025,H296,R296))</f>
        <v>0</v>
      </c>
      <c r="K296" s="40">
        <f t="shared" ref="K296:K321" si="51">IF(H296=0,0,_xlfn.NORM.INV(0.975,H296,R296))</f>
        <v>0</v>
      </c>
      <c r="L296" s="40" t="s">
        <v>58</v>
      </c>
      <c r="M296" s="50" t="s">
        <v>266</v>
      </c>
      <c r="N296" s="190"/>
      <c r="O296" s="40">
        <f t="shared" ca="1" si="39"/>
        <v>0.5641469347272271</v>
      </c>
      <c r="P296" s="51">
        <f t="shared" si="45"/>
        <v>0</v>
      </c>
      <c r="Q296" s="51">
        <f t="shared" si="46"/>
        <v>0</v>
      </c>
      <c r="R296" s="51">
        <f t="shared" ref="R296:R321" si="52">assumedSE*H296</f>
        <v>0</v>
      </c>
      <c r="S296"/>
      <c r="T296" s="83"/>
    </row>
    <row r="297" spans="1:20" ht="16" x14ac:dyDescent="0.2">
      <c r="A297"/>
      <c r="B297" s="103">
        <v>3</v>
      </c>
      <c r="C297" s="243"/>
      <c r="D297" s="119">
        <v>283</v>
      </c>
      <c r="E297" s="25" t="str">
        <f>Tp_CHG!I50</f>
        <v>Transition Probability from state 2 to state 2 on day 8 (CHG)</v>
      </c>
      <c r="F297" s="40">
        <f t="shared" si="44"/>
        <v>0</v>
      </c>
      <c r="G297" s="156">
        <v>1</v>
      </c>
      <c r="H297" s="120">
        <f>Tp_CHG!L50</f>
        <v>0</v>
      </c>
      <c r="I297" s="40" t="s">
        <v>58</v>
      </c>
      <c r="J297" s="40">
        <f t="shared" si="50"/>
        <v>0</v>
      </c>
      <c r="K297" s="40">
        <f t="shared" si="51"/>
        <v>0</v>
      </c>
      <c r="L297" s="40" t="s">
        <v>58</v>
      </c>
      <c r="M297" s="50" t="s">
        <v>266</v>
      </c>
      <c r="N297" s="190"/>
      <c r="O297" s="40">
        <f t="shared" ca="1" si="39"/>
        <v>0.53124141555327453</v>
      </c>
      <c r="P297" s="51">
        <f t="shared" si="45"/>
        <v>0</v>
      </c>
      <c r="Q297" s="51">
        <f t="shared" si="46"/>
        <v>0</v>
      </c>
      <c r="R297" s="51">
        <f t="shared" si="52"/>
        <v>0</v>
      </c>
      <c r="S297"/>
      <c r="T297" s="83"/>
    </row>
    <row r="298" spans="1:20" ht="16" x14ac:dyDescent="0.2">
      <c r="A298"/>
      <c r="B298" s="103">
        <v>4</v>
      </c>
      <c r="C298" s="243"/>
      <c r="D298" s="119">
        <v>284</v>
      </c>
      <c r="E298" s="25" t="str">
        <f>Tp_CHG!I51</f>
        <v>Transition Probability from state 2 to state 2 on day 9 (CHG)</v>
      </c>
      <c r="F298" s="40">
        <f t="shared" si="44"/>
        <v>0</v>
      </c>
      <c r="G298" s="156">
        <v>1</v>
      </c>
      <c r="H298" s="120">
        <f>Tp_CHG!L51</f>
        <v>0</v>
      </c>
      <c r="I298" s="40" t="s">
        <v>58</v>
      </c>
      <c r="J298" s="40">
        <f t="shared" si="50"/>
        <v>0</v>
      </c>
      <c r="K298" s="40">
        <f t="shared" si="51"/>
        <v>0</v>
      </c>
      <c r="L298" s="40" t="s">
        <v>58</v>
      </c>
      <c r="M298" s="50" t="s">
        <v>266</v>
      </c>
      <c r="N298" s="190"/>
      <c r="O298" s="40">
        <f t="shared" ca="1" si="39"/>
        <v>0.27799466281991503</v>
      </c>
      <c r="P298" s="51">
        <f t="shared" si="45"/>
        <v>0</v>
      </c>
      <c r="Q298" s="51">
        <f t="shared" si="46"/>
        <v>0</v>
      </c>
      <c r="R298" s="51">
        <f t="shared" si="52"/>
        <v>0</v>
      </c>
      <c r="S298"/>
      <c r="T298" s="83"/>
    </row>
    <row r="299" spans="1:20" ht="16" x14ac:dyDescent="0.2">
      <c r="A299"/>
      <c r="B299" s="103">
        <v>5</v>
      </c>
      <c r="C299" s="243"/>
      <c r="D299" s="119">
        <v>285</v>
      </c>
      <c r="E299" s="25" t="str">
        <f>Tp_CHG!I52</f>
        <v>Transition Probability from state 2 to state 2 on day 10 (CHG)</v>
      </c>
      <c r="F299" s="40">
        <f t="shared" si="44"/>
        <v>0</v>
      </c>
      <c r="G299" s="156">
        <v>1</v>
      </c>
      <c r="H299" s="120">
        <f>Tp_CHG!L52</f>
        <v>0</v>
      </c>
      <c r="I299" s="40" t="s">
        <v>58</v>
      </c>
      <c r="J299" s="40">
        <f t="shared" si="50"/>
        <v>0</v>
      </c>
      <c r="K299" s="40">
        <f t="shared" si="51"/>
        <v>0</v>
      </c>
      <c r="L299" s="40" t="s">
        <v>58</v>
      </c>
      <c r="M299" s="50" t="s">
        <v>266</v>
      </c>
      <c r="N299" s="190"/>
      <c r="O299" s="40">
        <f t="shared" ca="1" si="39"/>
        <v>0.15279583116164774</v>
      </c>
      <c r="P299" s="51">
        <f t="shared" si="45"/>
        <v>0</v>
      </c>
      <c r="Q299" s="51">
        <f t="shared" si="46"/>
        <v>0</v>
      </c>
      <c r="R299" s="51">
        <f t="shared" si="52"/>
        <v>0</v>
      </c>
      <c r="S299"/>
      <c r="T299" s="83"/>
    </row>
    <row r="300" spans="1:20" ht="16" x14ac:dyDescent="0.2">
      <c r="A300"/>
      <c r="B300" s="103">
        <v>6</v>
      </c>
      <c r="C300" s="243"/>
      <c r="D300" s="119">
        <v>286</v>
      </c>
      <c r="E300" s="25" t="str">
        <f>Tp_CHG!I53</f>
        <v>Transition Probability from state 2 to state 2 on day 11 (CHG)</v>
      </c>
      <c r="F300" s="40">
        <f t="shared" si="44"/>
        <v>0</v>
      </c>
      <c r="G300" s="156">
        <v>1</v>
      </c>
      <c r="H300" s="120">
        <f>Tp_CHG!L53</f>
        <v>0</v>
      </c>
      <c r="I300" s="40" t="s">
        <v>58</v>
      </c>
      <c r="J300" s="40">
        <f t="shared" si="50"/>
        <v>0</v>
      </c>
      <c r="K300" s="40">
        <f t="shared" si="51"/>
        <v>0</v>
      </c>
      <c r="L300" s="40" t="s">
        <v>58</v>
      </c>
      <c r="M300" s="50" t="s">
        <v>266</v>
      </c>
      <c r="N300" s="190"/>
      <c r="O300" s="40">
        <f t="shared" ca="1" si="39"/>
        <v>0.1904698822451254</v>
      </c>
      <c r="P300" s="51">
        <f t="shared" si="45"/>
        <v>0</v>
      </c>
      <c r="Q300" s="51">
        <f t="shared" si="46"/>
        <v>0</v>
      </c>
      <c r="R300" s="51">
        <f t="shared" si="52"/>
        <v>0</v>
      </c>
      <c r="S300"/>
      <c r="T300" s="83"/>
    </row>
    <row r="301" spans="1:20" ht="16" x14ac:dyDescent="0.2">
      <c r="A301"/>
      <c r="B301" s="103">
        <v>7</v>
      </c>
      <c r="C301" s="243"/>
      <c r="D301" s="119">
        <v>287</v>
      </c>
      <c r="E301" s="25" t="str">
        <f>Tp_CHG!I54</f>
        <v>Transition Probability from state 2 to state 2 on day 12 (CHG)</v>
      </c>
      <c r="F301" s="40">
        <f t="shared" si="44"/>
        <v>0</v>
      </c>
      <c r="G301" s="156">
        <v>1</v>
      </c>
      <c r="H301" s="120">
        <f>Tp_CHG!L54</f>
        <v>0</v>
      </c>
      <c r="I301" s="40" t="s">
        <v>58</v>
      </c>
      <c r="J301" s="40">
        <f t="shared" si="50"/>
        <v>0</v>
      </c>
      <c r="K301" s="40">
        <f t="shared" si="51"/>
        <v>0</v>
      </c>
      <c r="L301" s="40" t="s">
        <v>58</v>
      </c>
      <c r="M301" s="50" t="s">
        <v>266</v>
      </c>
      <c r="N301" s="190"/>
      <c r="O301" s="40">
        <f t="shared" ca="1" si="39"/>
        <v>0.68676134539880451</v>
      </c>
      <c r="P301" s="51">
        <f t="shared" si="45"/>
        <v>0</v>
      </c>
      <c r="Q301" s="51">
        <f t="shared" si="46"/>
        <v>0</v>
      </c>
      <c r="R301" s="51">
        <f t="shared" si="52"/>
        <v>0</v>
      </c>
      <c r="S301"/>
      <c r="T301" s="83"/>
    </row>
    <row r="302" spans="1:20" ht="16" x14ac:dyDescent="0.2">
      <c r="A302"/>
      <c r="B302" s="103">
        <v>1</v>
      </c>
      <c r="C302" s="243"/>
      <c r="D302" s="119">
        <v>288</v>
      </c>
      <c r="E302" s="25" t="str">
        <f>Tp_CHG!I56</f>
        <v>Transition Probability from state 2 to state 2 on day 14 (CHG)</v>
      </c>
      <c r="F302" s="40">
        <f t="shared" si="44"/>
        <v>0</v>
      </c>
      <c r="G302" s="156">
        <v>1</v>
      </c>
      <c r="H302" s="120">
        <f>Tp_CHG!L56</f>
        <v>0</v>
      </c>
      <c r="I302" s="40" t="s">
        <v>58</v>
      </c>
      <c r="J302" s="40">
        <f t="shared" si="50"/>
        <v>0</v>
      </c>
      <c r="K302" s="40">
        <f t="shared" si="51"/>
        <v>0</v>
      </c>
      <c r="L302" s="40" t="s">
        <v>58</v>
      </c>
      <c r="M302" s="50" t="s">
        <v>266</v>
      </c>
      <c r="N302" s="190"/>
      <c r="O302" s="40">
        <f t="shared" ref="O302:O360" ca="1" si="53">RAND()</f>
        <v>4.9443223790867186E-2</v>
      </c>
      <c r="P302" s="51">
        <f t="shared" si="45"/>
        <v>0</v>
      </c>
      <c r="Q302" s="51">
        <f t="shared" si="46"/>
        <v>0</v>
      </c>
      <c r="R302" s="51">
        <f t="shared" si="52"/>
        <v>0</v>
      </c>
      <c r="S302"/>
      <c r="T302" s="83"/>
    </row>
    <row r="303" spans="1:20" ht="16" x14ac:dyDescent="0.2">
      <c r="A303"/>
      <c r="B303" s="103">
        <v>2</v>
      </c>
      <c r="C303" s="243"/>
      <c r="D303" s="119">
        <v>289</v>
      </c>
      <c r="E303" s="25" t="str">
        <f>Tp_CHG!I57</f>
        <v>Transition Probability from state 2 to state 2 on day 15 (CHG)</v>
      </c>
      <c r="F303" s="40">
        <f t="shared" si="44"/>
        <v>0</v>
      </c>
      <c r="G303" s="156">
        <v>1</v>
      </c>
      <c r="H303" s="120">
        <f>Tp_CHG!L57</f>
        <v>0</v>
      </c>
      <c r="I303" s="40" t="s">
        <v>58</v>
      </c>
      <c r="J303" s="40">
        <f t="shared" si="50"/>
        <v>0</v>
      </c>
      <c r="K303" s="40">
        <f t="shared" si="51"/>
        <v>0</v>
      </c>
      <c r="L303" s="40" t="s">
        <v>58</v>
      </c>
      <c r="M303" s="50" t="s">
        <v>266</v>
      </c>
      <c r="N303" s="190"/>
      <c r="O303" s="40">
        <f t="shared" ca="1" si="53"/>
        <v>0.6399559980801649</v>
      </c>
      <c r="P303" s="51">
        <f t="shared" si="45"/>
        <v>0</v>
      </c>
      <c r="Q303" s="51">
        <f t="shared" si="46"/>
        <v>0</v>
      </c>
      <c r="R303" s="51">
        <f t="shared" si="52"/>
        <v>0</v>
      </c>
      <c r="S303"/>
      <c r="T303" s="83"/>
    </row>
    <row r="304" spans="1:20" ht="16" x14ac:dyDescent="0.2">
      <c r="A304"/>
      <c r="B304" s="103">
        <v>3</v>
      </c>
      <c r="C304" s="243"/>
      <c r="D304" s="119">
        <v>290</v>
      </c>
      <c r="E304" s="25" t="str">
        <f>Tp_CHG!I58</f>
        <v>Transition Probability from state 2 to state 2 on day 16 (CHG)</v>
      </c>
      <c r="F304" s="40">
        <f t="shared" si="44"/>
        <v>0</v>
      </c>
      <c r="G304" s="156">
        <v>1</v>
      </c>
      <c r="H304" s="120">
        <f>Tp_CHG!L58</f>
        <v>0</v>
      </c>
      <c r="I304" s="40" t="s">
        <v>58</v>
      </c>
      <c r="J304" s="40">
        <f t="shared" si="50"/>
        <v>0</v>
      </c>
      <c r="K304" s="40">
        <f t="shared" si="51"/>
        <v>0</v>
      </c>
      <c r="L304" s="40" t="s">
        <v>58</v>
      </c>
      <c r="M304" s="50" t="s">
        <v>266</v>
      </c>
      <c r="N304" s="190"/>
      <c r="O304" s="40">
        <f t="shared" ca="1" si="53"/>
        <v>0.91815179025338711</v>
      </c>
      <c r="P304" s="51">
        <f t="shared" si="45"/>
        <v>0</v>
      </c>
      <c r="Q304" s="51">
        <f t="shared" si="46"/>
        <v>0</v>
      </c>
      <c r="R304" s="51">
        <f t="shared" si="52"/>
        <v>0</v>
      </c>
      <c r="S304"/>
      <c r="T304" s="83"/>
    </row>
    <row r="305" spans="1:20" ht="16" x14ac:dyDescent="0.2">
      <c r="A305"/>
      <c r="B305" s="103">
        <v>5</v>
      </c>
      <c r="C305" s="243"/>
      <c r="D305" s="119">
        <v>291</v>
      </c>
      <c r="E305" s="25" t="str">
        <f>Tp_CHG!I60</f>
        <v>Transition Probability from state 2 to state 2 on day 18 (CHG)</v>
      </c>
      <c r="F305" s="40">
        <f t="shared" si="44"/>
        <v>0</v>
      </c>
      <c r="G305" s="156">
        <v>1</v>
      </c>
      <c r="H305" s="120">
        <f>Tp_CHG!L60</f>
        <v>0</v>
      </c>
      <c r="I305" s="40" t="s">
        <v>58</v>
      </c>
      <c r="J305" s="40">
        <f t="shared" si="50"/>
        <v>0</v>
      </c>
      <c r="K305" s="40">
        <f t="shared" si="51"/>
        <v>0</v>
      </c>
      <c r="L305" s="40" t="s">
        <v>58</v>
      </c>
      <c r="M305" s="50" t="s">
        <v>266</v>
      </c>
      <c r="N305" s="190"/>
      <c r="O305" s="40">
        <f t="shared" ca="1" si="53"/>
        <v>0.95556776785272968</v>
      </c>
      <c r="P305" s="51">
        <f t="shared" si="45"/>
        <v>0</v>
      </c>
      <c r="Q305" s="51">
        <f t="shared" si="46"/>
        <v>0</v>
      </c>
      <c r="R305" s="51">
        <f t="shared" si="52"/>
        <v>0</v>
      </c>
      <c r="S305"/>
      <c r="T305" s="83"/>
    </row>
    <row r="306" spans="1:20" ht="16" x14ac:dyDescent="0.2">
      <c r="A306"/>
      <c r="B306" s="103">
        <v>6</v>
      </c>
      <c r="C306" s="243"/>
      <c r="D306" s="119">
        <v>292</v>
      </c>
      <c r="E306" s="25" t="str">
        <f>Tp_CHG!I61</f>
        <v>Transition Probability from state 2 to state 2 on day 19 (CHG)</v>
      </c>
      <c r="F306" s="40">
        <f t="shared" si="44"/>
        <v>0</v>
      </c>
      <c r="G306" s="156">
        <v>1</v>
      </c>
      <c r="H306" s="120">
        <f>Tp_CHG!L61</f>
        <v>0</v>
      </c>
      <c r="I306" s="40" t="s">
        <v>58</v>
      </c>
      <c r="J306" s="40">
        <f t="shared" si="50"/>
        <v>0</v>
      </c>
      <c r="K306" s="40">
        <f t="shared" si="51"/>
        <v>0</v>
      </c>
      <c r="L306" s="40" t="s">
        <v>58</v>
      </c>
      <c r="M306" s="50" t="s">
        <v>266</v>
      </c>
      <c r="N306" s="190"/>
      <c r="O306" s="40">
        <f t="shared" ca="1" si="53"/>
        <v>0.18828461803368357</v>
      </c>
      <c r="P306" s="51">
        <f t="shared" si="45"/>
        <v>0</v>
      </c>
      <c r="Q306" s="51">
        <f t="shared" si="46"/>
        <v>0</v>
      </c>
      <c r="R306" s="51">
        <f t="shared" si="52"/>
        <v>0</v>
      </c>
      <c r="S306"/>
      <c r="T306" s="83"/>
    </row>
    <row r="307" spans="1:20" ht="16" x14ac:dyDescent="0.2">
      <c r="A307"/>
      <c r="B307" s="103">
        <v>7</v>
      </c>
      <c r="C307" s="243"/>
      <c r="D307" s="119">
        <v>293</v>
      </c>
      <c r="E307" s="25" t="str">
        <f>Tp_CHG!I62</f>
        <v>Transition Probability from state 2 to state 2 on day 20 (CHG)</v>
      </c>
      <c r="F307" s="40">
        <f t="shared" si="44"/>
        <v>0</v>
      </c>
      <c r="G307" s="156">
        <v>1</v>
      </c>
      <c r="H307" s="120">
        <f>Tp_CHG!L62</f>
        <v>0</v>
      </c>
      <c r="I307" s="40" t="s">
        <v>58</v>
      </c>
      <c r="J307" s="40">
        <f t="shared" si="50"/>
        <v>0</v>
      </c>
      <c r="K307" s="40">
        <f t="shared" si="51"/>
        <v>0</v>
      </c>
      <c r="L307" s="40" t="s">
        <v>58</v>
      </c>
      <c r="M307" s="50" t="s">
        <v>266</v>
      </c>
      <c r="N307" s="190"/>
      <c r="O307" s="40">
        <f t="shared" ca="1" si="53"/>
        <v>0.32729049979710023</v>
      </c>
      <c r="P307" s="51">
        <f t="shared" si="45"/>
        <v>0</v>
      </c>
      <c r="Q307" s="51">
        <f t="shared" si="46"/>
        <v>0</v>
      </c>
      <c r="R307" s="51">
        <f t="shared" si="52"/>
        <v>0</v>
      </c>
      <c r="S307"/>
      <c r="T307" s="83"/>
    </row>
    <row r="308" spans="1:20" ht="16" x14ac:dyDescent="0.2">
      <c r="A308"/>
      <c r="B308" s="103">
        <v>8</v>
      </c>
      <c r="C308" s="243"/>
      <c r="D308" s="119">
        <v>294</v>
      </c>
      <c r="E308" s="25" t="str">
        <f>Tp_CHG!I63</f>
        <v>Transition Probability from state 2 to state 2 on day 21 (CHG)</v>
      </c>
      <c r="F308" s="40">
        <f t="shared" si="44"/>
        <v>0</v>
      </c>
      <c r="G308" s="156">
        <v>1</v>
      </c>
      <c r="H308" s="120">
        <f>Tp_CHG!L63</f>
        <v>0</v>
      </c>
      <c r="I308" s="40" t="s">
        <v>58</v>
      </c>
      <c r="J308" s="40">
        <f t="shared" si="50"/>
        <v>0</v>
      </c>
      <c r="K308" s="40">
        <f t="shared" si="51"/>
        <v>0</v>
      </c>
      <c r="L308" s="40" t="s">
        <v>58</v>
      </c>
      <c r="M308" s="50" t="s">
        <v>266</v>
      </c>
      <c r="N308" s="190"/>
      <c r="O308" s="40">
        <f t="shared" ca="1" si="53"/>
        <v>0.10793489432868941</v>
      </c>
      <c r="P308" s="51">
        <f t="shared" si="45"/>
        <v>0</v>
      </c>
      <c r="Q308" s="51">
        <f t="shared" si="46"/>
        <v>0</v>
      </c>
      <c r="R308" s="51">
        <f t="shared" si="52"/>
        <v>0</v>
      </c>
      <c r="S308"/>
      <c r="T308" s="83"/>
    </row>
    <row r="309" spans="1:20" ht="16" x14ac:dyDescent="0.2">
      <c r="A309"/>
      <c r="B309" s="103">
        <v>1</v>
      </c>
      <c r="C309" s="243"/>
      <c r="D309" s="119">
        <v>295</v>
      </c>
      <c r="E309" s="25" t="str">
        <f>Tp_CHG!I64</f>
        <v>Transition Probability from state 2 to state 2 on day 22 (CHG)</v>
      </c>
      <c r="F309" s="40">
        <f t="shared" si="44"/>
        <v>0</v>
      </c>
      <c r="G309" s="156">
        <v>1</v>
      </c>
      <c r="H309" s="120">
        <f>Tp_CHG!L64</f>
        <v>0</v>
      </c>
      <c r="I309" s="40" t="s">
        <v>58</v>
      </c>
      <c r="J309" s="40">
        <f t="shared" si="50"/>
        <v>0</v>
      </c>
      <c r="K309" s="40">
        <f t="shared" si="51"/>
        <v>0</v>
      </c>
      <c r="L309" s="40" t="s">
        <v>58</v>
      </c>
      <c r="M309" s="50" t="s">
        <v>266</v>
      </c>
      <c r="N309" s="190"/>
      <c r="O309" s="40">
        <f t="shared" ca="1" si="53"/>
        <v>0.61144992108210239</v>
      </c>
      <c r="P309" s="51">
        <f t="shared" si="45"/>
        <v>0</v>
      </c>
      <c r="Q309" s="51">
        <f t="shared" si="46"/>
        <v>0</v>
      </c>
      <c r="R309" s="51">
        <f t="shared" si="52"/>
        <v>0</v>
      </c>
      <c r="S309"/>
      <c r="T309" s="83"/>
    </row>
    <row r="310" spans="1:20" ht="16" x14ac:dyDescent="0.2">
      <c r="A310"/>
      <c r="B310" s="103">
        <v>2</v>
      </c>
      <c r="C310" s="243"/>
      <c r="D310" s="119">
        <v>296</v>
      </c>
      <c r="E310" s="25" t="str">
        <f>Tp_CHG!I65</f>
        <v>Transition Probability from state 2 to state 2 on day 23 (CHG)</v>
      </c>
      <c r="F310" s="40">
        <f t="shared" si="44"/>
        <v>0</v>
      </c>
      <c r="G310" s="156">
        <v>1</v>
      </c>
      <c r="H310" s="120">
        <f>Tp_CHG!L65</f>
        <v>0</v>
      </c>
      <c r="I310" s="40" t="s">
        <v>58</v>
      </c>
      <c r="J310" s="40">
        <f t="shared" si="50"/>
        <v>0</v>
      </c>
      <c r="K310" s="40">
        <f t="shared" si="51"/>
        <v>0</v>
      </c>
      <c r="L310" s="40" t="s">
        <v>58</v>
      </c>
      <c r="M310" s="50" t="s">
        <v>266</v>
      </c>
      <c r="N310" s="190"/>
      <c r="O310" s="40">
        <f t="shared" ca="1" si="53"/>
        <v>0.75753908981415619</v>
      </c>
      <c r="P310" s="51">
        <f t="shared" si="45"/>
        <v>0</v>
      </c>
      <c r="Q310" s="51">
        <f t="shared" si="46"/>
        <v>0</v>
      </c>
      <c r="R310" s="51">
        <f t="shared" si="52"/>
        <v>0</v>
      </c>
      <c r="S310"/>
      <c r="T310" s="83"/>
    </row>
    <row r="311" spans="1:20" ht="16" x14ac:dyDescent="0.2">
      <c r="A311"/>
      <c r="B311" s="103">
        <v>3</v>
      </c>
      <c r="C311" s="243"/>
      <c r="D311" s="119">
        <v>297</v>
      </c>
      <c r="E311" s="25" t="str">
        <f>Tp_CHG!I66</f>
        <v>Transition Probability from state 2 to state 2 on day 24 (CHG)</v>
      </c>
      <c r="F311" s="40">
        <f t="shared" si="44"/>
        <v>0</v>
      </c>
      <c r="G311" s="156">
        <v>1</v>
      </c>
      <c r="H311" s="120">
        <f>Tp_CHG!L66</f>
        <v>0</v>
      </c>
      <c r="I311" s="40" t="s">
        <v>58</v>
      </c>
      <c r="J311" s="40">
        <f t="shared" si="50"/>
        <v>0</v>
      </c>
      <c r="K311" s="40">
        <f t="shared" si="51"/>
        <v>0</v>
      </c>
      <c r="L311" s="40" t="s">
        <v>58</v>
      </c>
      <c r="M311" s="50" t="s">
        <v>266</v>
      </c>
      <c r="N311" s="190"/>
      <c r="O311" s="40">
        <f t="shared" ca="1" si="53"/>
        <v>0.93614913638246111</v>
      </c>
      <c r="P311" s="51">
        <f t="shared" si="45"/>
        <v>0</v>
      </c>
      <c r="Q311" s="51">
        <f t="shared" si="46"/>
        <v>0</v>
      </c>
      <c r="R311" s="51">
        <f t="shared" si="52"/>
        <v>0</v>
      </c>
      <c r="S311"/>
      <c r="T311" s="83"/>
    </row>
    <row r="312" spans="1:20" ht="16" x14ac:dyDescent="0.2">
      <c r="A312"/>
      <c r="B312" s="103">
        <v>5</v>
      </c>
      <c r="C312" s="243"/>
      <c r="D312" s="119">
        <v>298</v>
      </c>
      <c r="E312" s="25" t="str">
        <f>Tp_CHG!I68</f>
        <v>Transition Probability from state 2 to state 2 on day 26 (CHG)</v>
      </c>
      <c r="F312" s="40">
        <f t="shared" si="44"/>
        <v>0</v>
      </c>
      <c r="G312" s="156">
        <v>1</v>
      </c>
      <c r="H312" s="120">
        <f>Tp_CHG!L68</f>
        <v>0</v>
      </c>
      <c r="I312" s="40" t="s">
        <v>58</v>
      </c>
      <c r="J312" s="40">
        <f t="shared" si="50"/>
        <v>0</v>
      </c>
      <c r="K312" s="40">
        <f t="shared" si="51"/>
        <v>0</v>
      </c>
      <c r="L312" s="40" t="s">
        <v>58</v>
      </c>
      <c r="M312" s="50" t="s">
        <v>266</v>
      </c>
      <c r="N312" s="190"/>
      <c r="O312" s="40">
        <f t="shared" ca="1" si="53"/>
        <v>0.14680361421026833</v>
      </c>
      <c r="P312" s="51">
        <f t="shared" si="45"/>
        <v>0</v>
      </c>
      <c r="Q312" s="51">
        <f t="shared" si="46"/>
        <v>0</v>
      </c>
      <c r="R312" s="51">
        <f t="shared" si="52"/>
        <v>0</v>
      </c>
      <c r="S312"/>
      <c r="T312" s="83"/>
    </row>
    <row r="313" spans="1:20" ht="16" x14ac:dyDescent="0.2">
      <c r="A313"/>
      <c r="B313" s="103">
        <v>7</v>
      </c>
      <c r="C313" s="243"/>
      <c r="D313" s="119">
        <v>300</v>
      </c>
      <c r="E313" s="25" t="str">
        <f>Tp_CHG!I70</f>
        <v>Transition Probability from state 2 to state 2 on day 28 (CHG)</v>
      </c>
      <c r="F313" s="40">
        <f t="shared" si="44"/>
        <v>0</v>
      </c>
      <c r="G313" s="156">
        <v>1</v>
      </c>
      <c r="H313" s="120">
        <f>Tp_CHG!L70</f>
        <v>0</v>
      </c>
      <c r="I313" s="40" t="s">
        <v>58</v>
      </c>
      <c r="J313" s="40">
        <f t="shared" si="50"/>
        <v>0</v>
      </c>
      <c r="K313" s="40">
        <f t="shared" si="51"/>
        <v>0</v>
      </c>
      <c r="L313" s="40" t="s">
        <v>58</v>
      </c>
      <c r="M313" s="50" t="s">
        <v>266</v>
      </c>
      <c r="N313" s="190"/>
      <c r="O313" s="40">
        <f t="shared" ca="1" si="53"/>
        <v>0.27236030787038323</v>
      </c>
      <c r="P313" s="51">
        <f t="shared" si="45"/>
        <v>0</v>
      </c>
      <c r="Q313" s="51">
        <f t="shared" si="46"/>
        <v>0</v>
      </c>
      <c r="R313" s="51">
        <f t="shared" si="52"/>
        <v>0</v>
      </c>
      <c r="S313"/>
      <c r="T313" s="83"/>
    </row>
    <row r="314" spans="1:20" ht="16" x14ac:dyDescent="0.2">
      <c r="A314"/>
      <c r="B314" s="103">
        <v>8</v>
      </c>
      <c r="C314" s="243"/>
      <c r="D314" s="119">
        <v>301</v>
      </c>
      <c r="E314" s="25" t="str">
        <f>Tp_CHG!I71</f>
        <v>Transition Probability from state 2 to state 2 on day 29 (CHG)</v>
      </c>
      <c r="F314" s="40">
        <f t="shared" si="44"/>
        <v>0</v>
      </c>
      <c r="G314" s="156">
        <v>1</v>
      </c>
      <c r="H314" s="120">
        <f>Tp_CHG!L71</f>
        <v>0</v>
      </c>
      <c r="I314" s="40" t="s">
        <v>58</v>
      </c>
      <c r="J314" s="40">
        <f t="shared" si="50"/>
        <v>0</v>
      </c>
      <c r="K314" s="40">
        <f t="shared" si="51"/>
        <v>0</v>
      </c>
      <c r="L314" s="40" t="s">
        <v>58</v>
      </c>
      <c r="M314" s="50" t="s">
        <v>266</v>
      </c>
      <c r="N314" s="190"/>
      <c r="O314" s="40">
        <f t="shared" ca="1" si="53"/>
        <v>0.91006333701048514</v>
      </c>
      <c r="P314" s="51">
        <f t="shared" si="45"/>
        <v>0</v>
      </c>
      <c r="Q314" s="51">
        <f t="shared" si="46"/>
        <v>0</v>
      </c>
      <c r="R314" s="51">
        <f t="shared" si="52"/>
        <v>0</v>
      </c>
      <c r="S314"/>
      <c r="T314" s="83"/>
    </row>
    <row r="315" spans="1:20" ht="16" x14ac:dyDescent="0.2">
      <c r="A315"/>
      <c r="B315" s="103">
        <v>1</v>
      </c>
      <c r="C315" s="243"/>
      <c r="D315" s="119">
        <v>302</v>
      </c>
      <c r="E315" s="25" t="str">
        <f>Tp_CHG!I72</f>
        <v>Transition Probability from state 2 to state 2 on day 30 (CHG)</v>
      </c>
      <c r="F315" s="40">
        <f t="shared" si="44"/>
        <v>0</v>
      </c>
      <c r="G315" s="156">
        <v>1</v>
      </c>
      <c r="H315" s="120">
        <f>Tp_CHG!L72</f>
        <v>0</v>
      </c>
      <c r="I315" s="40" t="s">
        <v>58</v>
      </c>
      <c r="J315" s="40">
        <f t="shared" si="50"/>
        <v>0</v>
      </c>
      <c r="K315" s="40">
        <f t="shared" si="51"/>
        <v>0</v>
      </c>
      <c r="L315" s="40" t="s">
        <v>58</v>
      </c>
      <c r="M315" s="50" t="s">
        <v>266</v>
      </c>
      <c r="N315" s="190"/>
      <c r="O315" s="40">
        <f t="shared" ca="1" si="53"/>
        <v>0.94761220467008023</v>
      </c>
      <c r="P315" s="51">
        <f t="shared" si="45"/>
        <v>0</v>
      </c>
      <c r="Q315" s="51">
        <f t="shared" si="46"/>
        <v>0</v>
      </c>
      <c r="R315" s="51">
        <f t="shared" si="52"/>
        <v>0</v>
      </c>
      <c r="S315"/>
      <c r="T315" s="83"/>
    </row>
    <row r="316" spans="1:20" ht="16" x14ac:dyDescent="0.2">
      <c r="A316"/>
      <c r="B316" s="103">
        <v>2</v>
      </c>
      <c r="C316" s="243"/>
      <c r="D316" s="119">
        <v>303</v>
      </c>
      <c r="E316" s="25" t="str">
        <f>Tp_CHG!N43</f>
        <v>Transition Probability from state 3 to state 2 on day 1 (CHG)</v>
      </c>
      <c r="F316" s="40">
        <f t="shared" si="44"/>
        <v>0</v>
      </c>
      <c r="G316" s="156">
        <v>1</v>
      </c>
      <c r="H316" s="120">
        <f>Tp_CHG!Q43</f>
        <v>0</v>
      </c>
      <c r="I316" s="40" t="s">
        <v>58</v>
      </c>
      <c r="J316" s="40">
        <f t="shared" si="50"/>
        <v>0</v>
      </c>
      <c r="K316" s="40">
        <f t="shared" si="51"/>
        <v>0</v>
      </c>
      <c r="L316" s="40" t="s">
        <v>58</v>
      </c>
      <c r="M316" s="50" t="s">
        <v>266</v>
      </c>
      <c r="N316" s="190"/>
      <c r="O316" s="40">
        <f t="shared" ca="1" si="53"/>
        <v>0.73917685518479026</v>
      </c>
      <c r="P316" s="51">
        <f t="shared" si="45"/>
        <v>0</v>
      </c>
      <c r="Q316" s="51">
        <f t="shared" si="46"/>
        <v>0</v>
      </c>
      <c r="R316" s="51">
        <f t="shared" si="52"/>
        <v>0</v>
      </c>
      <c r="S316"/>
      <c r="T316" s="83"/>
    </row>
    <row r="317" spans="1:20" ht="16" x14ac:dyDescent="0.2">
      <c r="A317"/>
      <c r="B317" s="103">
        <v>3</v>
      </c>
      <c r="C317" s="243"/>
      <c r="D317" s="119">
        <v>304</v>
      </c>
      <c r="E317" s="25" t="str">
        <f>Tp_CHG!N44</f>
        <v>Transition Probability from state 3 to state 2 on day 2 (CHG)</v>
      </c>
      <c r="F317" s="40">
        <f t="shared" si="44"/>
        <v>0</v>
      </c>
      <c r="G317" s="156">
        <v>1</v>
      </c>
      <c r="H317" s="120">
        <f>Tp_CHG!Q44</f>
        <v>0</v>
      </c>
      <c r="I317" s="40" t="s">
        <v>58</v>
      </c>
      <c r="J317" s="40">
        <f t="shared" si="50"/>
        <v>0</v>
      </c>
      <c r="K317" s="40">
        <f t="shared" si="51"/>
        <v>0</v>
      </c>
      <c r="L317" s="40" t="s">
        <v>58</v>
      </c>
      <c r="M317" s="50" t="s">
        <v>266</v>
      </c>
      <c r="N317" s="190"/>
      <c r="O317" s="40">
        <f t="shared" ca="1" si="53"/>
        <v>0.85761367052153303</v>
      </c>
      <c r="P317" s="51">
        <f t="shared" si="45"/>
        <v>0</v>
      </c>
      <c r="Q317" s="51">
        <f t="shared" si="46"/>
        <v>0</v>
      </c>
      <c r="R317" s="51">
        <f t="shared" si="52"/>
        <v>0</v>
      </c>
      <c r="S317"/>
      <c r="T317" s="83"/>
    </row>
    <row r="318" spans="1:20" ht="16" x14ac:dyDescent="0.2">
      <c r="A318"/>
      <c r="B318" s="103">
        <v>4</v>
      </c>
      <c r="C318" s="243"/>
      <c r="D318" s="119">
        <v>305</v>
      </c>
      <c r="E318" s="25" t="str">
        <f>Tp_CHG!N45</f>
        <v>Transition Probability from state 3 to state 2 on day 3 (CHG)</v>
      </c>
      <c r="F318" s="40">
        <f t="shared" si="44"/>
        <v>0</v>
      </c>
      <c r="G318" s="156">
        <v>1</v>
      </c>
      <c r="H318" s="120">
        <f>Tp_CHG!Q45</f>
        <v>0</v>
      </c>
      <c r="I318" s="40" t="s">
        <v>58</v>
      </c>
      <c r="J318" s="40">
        <f t="shared" si="50"/>
        <v>0</v>
      </c>
      <c r="K318" s="40">
        <f t="shared" si="51"/>
        <v>0</v>
      </c>
      <c r="L318" s="40" t="s">
        <v>58</v>
      </c>
      <c r="M318" s="50" t="s">
        <v>266</v>
      </c>
      <c r="N318" s="190"/>
      <c r="O318" s="40">
        <f t="shared" ca="1" si="53"/>
        <v>0.62852959120464225</v>
      </c>
      <c r="P318" s="51">
        <f t="shared" si="45"/>
        <v>0</v>
      </c>
      <c r="Q318" s="51">
        <f t="shared" si="46"/>
        <v>0</v>
      </c>
      <c r="R318" s="51">
        <f t="shared" si="52"/>
        <v>0</v>
      </c>
      <c r="S318"/>
      <c r="T318" s="83"/>
    </row>
    <row r="319" spans="1:20" ht="16" x14ac:dyDescent="0.2">
      <c r="A319"/>
      <c r="B319" s="103">
        <v>5</v>
      </c>
      <c r="C319" s="243"/>
      <c r="D319" s="119">
        <v>306</v>
      </c>
      <c r="E319" s="25" t="str">
        <f>Tp_CHG!N46</f>
        <v>Transition Probability from state 3 to state 2 on day 4 (CHG)</v>
      </c>
      <c r="F319" s="40">
        <f t="shared" si="44"/>
        <v>0</v>
      </c>
      <c r="G319" s="156">
        <v>1</v>
      </c>
      <c r="H319" s="120">
        <f>Tp_CHG!Q46</f>
        <v>0</v>
      </c>
      <c r="I319" s="40" t="s">
        <v>58</v>
      </c>
      <c r="J319" s="40">
        <f t="shared" si="50"/>
        <v>0</v>
      </c>
      <c r="K319" s="40">
        <f t="shared" si="51"/>
        <v>0</v>
      </c>
      <c r="L319" s="40" t="s">
        <v>58</v>
      </c>
      <c r="M319" s="50" t="s">
        <v>266</v>
      </c>
      <c r="N319" s="190"/>
      <c r="O319" s="40">
        <f t="shared" ca="1" si="53"/>
        <v>0.11403967588426922</v>
      </c>
      <c r="P319" s="51">
        <f t="shared" si="45"/>
        <v>0</v>
      </c>
      <c r="Q319" s="51">
        <f t="shared" si="46"/>
        <v>0</v>
      </c>
      <c r="R319" s="51">
        <f t="shared" si="52"/>
        <v>0</v>
      </c>
      <c r="S319"/>
      <c r="T319" s="83"/>
    </row>
    <row r="320" spans="1:20" ht="16" x14ac:dyDescent="0.2">
      <c r="A320"/>
      <c r="B320" s="103">
        <v>6</v>
      </c>
      <c r="C320" s="243"/>
      <c r="D320" s="119">
        <v>307</v>
      </c>
      <c r="E320" s="25" t="str">
        <f>Tp_CHG!N47</f>
        <v>Transition Probability from state 3 to state 2 on day 5 (CHG)</v>
      </c>
      <c r="F320" s="40">
        <f t="shared" si="44"/>
        <v>0</v>
      </c>
      <c r="G320" s="156">
        <v>1</v>
      </c>
      <c r="H320" s="120">
        <f>Tp_CHG!Q47</f>
        <v>0</v>
      </c>
      <c r="I320" s="40" t="s">
        <v>58</v>
      </c>
      <c r="J320" s="40">
        <f t="shared" si="50"/>
        <v>0</v>
      </c>
      <c r="K320" s="40">
        <f t="shared" si="51"/>
        <v>0</v>
      </c>
      <c r="L320" s="40" t="s">
        <v>58</v>
      </c>
      <c r="M320" s="50" t="s">
        <v>266</v>
      </c>
      <c r="N320" s="190"/>
      <c r="O320" s="40">
        <f t="shared" ca="1" si="53"/>
        <v>0.98061928672375209</v>
      </c>
      <c r="P320" s="51">
        <f t="shared" si="45"/>
        <v>0</v>
      </c>
      <c r="Q320" s="51">
        <f t="shared" si="46"/>
        <v>0</v>
      </c>
      <c r="R320" s="51">
        <f t="shared" si="52"/>
        <v>0</v>
      </c>
      <c r="S320"/>
      <c r="T320" s="83"/>
    </row>
    <row r="321" spans="1:20" ht="16" x14ac:dyDescent="0.2">
      <c r="A321"/>
      <c r="B321" s="103">
        <v>7</v>
      </c>
      <c r="C321" s="243"/>
      <c r="D321" s="119">
        <v>308</v>
      </c>
      <c r="E321" s="25" t="str">
        <f>Tp_CHG!N48</f>
        <v>Transition Probability from state 3 to state 2 on day 6 (CHG)</v>
      </c>
      <c r="F321" s="40">
        <f t="shared" si="44"/>
        <v>0</v>
      </c>
      <c r="G321" s="156">
        <v>1</v>
      </c>
      <c r="H321" s="120">
        <f>Tp_CHG!Q48</f>
        <v>0</v>
      </c>
      <c r="I321" s="40" t="s">
        <v>58</v>
      </c>
      <c r="J321" s="40">
        <f t="shared" si="50"/>
        <v>0</v>
      </c>
      <c r="K321" s="40">
        <f t="shared" si="51"/>
        <v>0</v>
      </c>
      <c r="L321" s="40" t="s">
        <v>58</v>
      </c>
      <c r="M321" s="50" t="s">
        <v>266</v>
      </c>
      <c r="N321" s="190"/>
      <c r="O321" s="40">
        <f t="shared" ca="1" si="53"/>
        <v>0.21278430041834062</v>
      </c>
      <c r="P321" s="51">
        <f t="shared" si="45"/>
        <v>0</v>
      </c>
      <c r="Q321" s="51">
        <f t="shared" si="46"/>
        <v>0</v>
      </c>
      <c r="R321" s="51">
        <f t="shared" si="52"/>
        <v>0</v>
      </c>
      <c r="S321"/>
      <c r="T321" s="83"/>
    </row>
    <row r="322" spans="1:20" ht="16" x14ac:dyDescent="0.2">
      <c r="A322"/>
      <c r="B322" s="103">
        <v>8</v>
      </c>
      <c r="C322" s="243"/>
      <c r="D322" s="119">
        <v>309</v>
      </c>
      <c r="E322" s="25" t="str">
        <f>Tp_CHG!N49</f>
        <v>Transition Probability from state 3 to state 2 on day 7 (CHG)</v>
      </c>
      <c r="F322" s="40">
        <f t="shared" si="44"/>
        <v>0</v>
      </c>
      <c r="G322" s="156">
        <v>1</v>
      </c>
      <c r="H322" s="120">
        <f>Tp_CHG!Q49</f>
        <v>0</v>
      </c>
      <c r="I322" s="40" t="s">
        <v>58</v>
      </c>
      <c r="J322" s="40">
        <f t="shared" ref="J322:J352" si="54">IF(H322=0,0,_xlfn.NORM.INV(0.025,H322,R322))</f>
        <v>0</v>
      </c>
      <c r="K322" s="40">
        <f t="shared" ref="K322:K352" si="55">IF(H322=0,0,_xlfn.NORM.INV(0.975,H322,R322))</f>
        <v>0</v>
      </c>
      <c r="L322" s="40" t="s">
        <v>58</v>
      </c>
      <c r="M322" s="50" t="s">
        <v>266</v>
      </c>
      <c r="N322" s="190"/>
      <c r="O322" s="40">
        <f t="shared" ca="1" si="53"/>
        <v>0.79168590543503836</v>
      </c>
      <c r="P322" s="51">
        <f t="shared" si="45"/>
        <v>0</v>
      </c>
      <c r="Q322" s="51">
        <f t="shared" si="46"/>
        <v>0</v>
      </c>
      <c r="R322" s="51">
        <f t="shared" ref="R322:R352" si="56">assumedSE*H322</f>
        <v>0</v>
      </c>
      <c r="S322"/>
      <c r="T322" s="83"/>
    </row>
    <row r="323" spans="1:20" ht="16" x14ac:dyDescent="0.2">
      <c r="A323"/>
      <c r="B323" s="103">
        <v>1</v>
      </c>
      <c r="C323" s="243"/>
      <c r="D323" s="119">
        <v>310</v>
      </c>
      <c r="E323" s="25" t="str">
        <f>Tp_CHG!N50</f>
        <v>Transition Probability from state 3 to state 2 on day 8 (CHG)</v>
      </c>
      <c r="F323" s="40">
        <f t="shared" si="44"/>
        <v>0</v>
      </c>
      <c r="G323" s="156">
        <v>1</v>
      </c>
      <c r="H323" s="120">
        <f>Tp_CHG!Q50</f>
        <v>0</v>
      </c>
      <c r="I323" s="40" t="s">
        <v>58</v>
      </c>
      <c r="J323" s="40">
        <f t="shared" si="54"/>
        <v>0</v>
      </c>
      <c r="K323" s="40">
        <f t="shared" si="55"/>
        <v>0</v>
      </c>
      <c r="L323" s="40" t="s">
        <v>58</v>
      </c>
      <c r="M323" s="50" t="s">
        <v>266</v>
      </c>
      <c r="N323" s="190"/>
      <c r="O323" s="40">
        <f t="shared" ca="1" si="53"/>
        <v>0.49373321471374032</v>
      </c>
      <c r="P323" s="51">
        <f t="shared" si="45"/>
        <v>0</v>
      </c>
      <c r="Q323" s="51">
        <f t="shared" si="46"/>
        <v>0</v>
      </c>
      <c r="R323" s="51">
        <f t="shared" si="56"/>
        <v>0</v>
      </c>
      <c r="S323"/>
      <c r="T323" s="83"/>
    </row>
    <row r="324" spans="1:20" ht="16" x14ac:dyDescent="0.2">
      <c r="A324"/>
      <c r="B324" s="103">
        <v>2</v>
      </c>
      <c r="C324" s="243"/>
      <c r="D324" s="119">
        <v>311</v>
      </c>
      <c r="E324" s="25" t="str">
        <f>Tp_CHG!N51</f>
        <v>Transition Probability from state 3 to state 2 on day 9 (CHG)</v>
      </c>
      <c r="F324" s="40">
        <f t="shared" si="44"/>
        <v>0</v>
      </c>
      <c r="G324" s="156">
        <v>1</v>
      </c>
      <c r="H324" s="120">
        <f>Tp_CHG!Q51</f>
        <v>0</v>
      </c>
      <c r="I324" s="40" t="s">
        <v>58</v>
      </c>
      <c r="J324" s="40">
        <f t="shared" si="54"/>
        <v>0</v>
      </c>
      <c r="K324" s="40">
        <f t="shared" si="55"/>
        <v>0</v>
      </c>
      <c r="L324" s="40" t="s">
        <v>58</v>
      </c>
      <c r="M324" s="50" t="s">
        <v>266</v>
      </c>
      <c r="N324" s="190"/>
      <c r="O324" s="40">
        <f t="shared" ca="1" si="53"/>
        <v>0.86616619257193883</v>
      </c>
      <c r="P324" s="51">
        <f t="shared" si="45"/>
        <v>0</v>
      </c>
      <c r="Q324" s="51">
        <f t="shared" si="46"/>
        <v>0</v>
      </c>
      <c r="R324" s="51">
        <f t="shared" si="56"/>
        <v>0</v>
      </c>
      <c r="S324"/>
      <c r="T324" s="83"/>
    </row>
    <row r="325" spans="1:20" ht="16" x14ac:dyDescent="0.2">
      <c r="A325"/>
      <c r="B325" s="103">
        <v>3</v>
      </c>
      <c r="C325" s="243"/>
      <c r="D325" s="119">
        <v>312</v>
      </c>
      <c r="E325" s="25" t="str">
        <f>Tp_CHG!N52</f>
        <v>Transition Probability from state 3 to state 2 on day 10 (CHG)</v>
      </c>
      <c r="F325" s="40">
        <f t="shared" si="44"/>
        <v>0</v>
      </c>
      <c r="G325" s="156">
        <v>1</v>
      </c>
      <c r="H325" s="120">
        <f>Tp_CHG!Q52</f>
        <v>0</v>
      </c>
      <c r="I325" s="40" t="s">
        <v>58</v>
      </c>
      <c r="J325" s="40">
        <f t="shared" si="54"/>
        <v>0</v>
      </c>
      <c r="K325" s="40">
        <f t="shared" si="55"/>
        <v>0</v>
      </c>
      <c r="L325" s="40" t="s">
        <v>58</v>
      </c>
      <c r="M325" s="50" t="s">
        <v>266</v>
      </c>
      <c r="N325" s="190"/>
      <c r="O325" s="40">
        <f t="shared" ca="1" si="53"/>
        <v>0.98670257998683297</v>
      </c>
      <c r="P325" s="51">
        <f t="shared" si="45"/>
        <v>0</v>
      </c>
      <c r="Q325" s="51">
        <f t="shared" si="46"/>
        <v>0</v>
      </c>
      <c r="R325" s="51">
        <f t="shared" si="56"/>
        <v>0</v>
      </c>
      <c r="S325"/>
      <c r="T325" s="83"/>
    </row>
    <row r="326" spans="1:20" ht="16" x14ac:dyDescent="0.2">
      <c r="A326"/>
      <c r="B326" s="103">
        <v>4</v>
      </c>
      <c r="C326" s="243"/>
      <c r="D326" s="119">
        <v>313</v>
      </c>
      <c r="E326" s="25" t="str">
        <f>Tp_CHG!N53</f>
        <v>Transition Probability from state 3 to state 2 on day 11 (CHG)</v>
      </c>
      <c r="F326" s="40">
        <f t="shared" si="44"/>
        <v>0</v>
      </c>
      <c r="G326" s="156">
        <v>1</v>
      </c>
      <c r="H326" s="120">
        <f>Tp_CHG!Q53</f>
        <v>0</v>
      </c>
      <c r="I326" s="40" t="s">
        <v>58</v>
      </c>
      <c r="J326" s="40">
        <f t="shared" si="54"/>
        <v>0</v>
      </c>
      <c r="K326" s="40">
        <f t="shared" si="55"/>
        <v>0</v>
      </c>
      <c r="L326" s="40" t="s">
        <v>58</v>
      </c>
      <c r="M326" s="50" t="s">
        <v>266</v>
      </c>
      <c r="N326" s="190"/>
      <c r="O326" s="40">
        <f t="shared" ca="1" si="53"/>
        <v>2.772512397176452E-2</v>
      </c>
      <c r="P326" s="51">
        <f t="shared" si="45"/>
        <v>0</v>
      </c>
      <c r="Q326" s="51">
        <f t="shared" si="46"/>
        <v>0</v>
      </c>
      <c r="R326" s="51">
        <f t="shared" si="56"/>
        <v>0</v>
      </c>
      <c r="S326"/>
      <c r="T326" s="83"/>
    </row>
    <row r="327" spans="1:20" ht="16" x14ac:dyDescent="0.2">
      <c r="A327"/>
      <c r="B327" s="103">
        <v>5</v>
      </c>
      <c r="C327" s="243"/>
      <c r="D327" s="119">
        <v>314</v>
      </c>
      <c r="E327" s="25" t="str">
        <f>Tp_CHG!N54</f>
        <v>Transition Probability from state 3 to state 2 on day 12 (CHG)</v>
      </c>
      <c r="F327" s="40">
        <f t="shared" si="44"/>
        <v>0</v>
      </c>
      <c r="G327" s="156">
        <v>1</v>
      </c>
      <c r="H327" s="120">
        <f>Tp_CHG!Q54</f>
        <v>0</v>
      </c>
      <c r="I327" s="40" t="s">
        <v>58</v>
      </c>
      <c r="J327" s="40">
        <f t="shared" si="54"/>
        <v>0</v>
      </c>
      <c r="K327" s="40">
        <f t="shared" si="55"/>
        <v>0</v>
      </c>
      <c r="L327" s="40" t="s">
        <v>58</v>
      </c>
      <c r="M327" s="50" t="s">
        <v>266</v>
      </c>
      <c r="N327" s="190"/>
      <c r="O327" s="40">
        <f t="shared" ca="1" si="53"/>
        <v>0.78891237807121084</v>
      </c>
      <c r="P327" s="51">
        <f t="shared" si="45"/>
        <v>0</v>
      </c>
      <c r="Q327" s="51">
        <f t="shared" si="46"/>
        <v>0</v>
      </c>
      <c r="R327" s="51">
        <f t="shared" si="56"/>
        <v>0</v>
      </c>
      <c r="S327"/>
      <c r="T327" s="83"/>
    </row>
    <row r="328" spans="1:20" ht="16" x14ac:dyDescent="0.2">
      <c r="A328"/>
      <c r="B328" s="103">
        <v>6</v>
      </c>
      <c r="C328" s="243"/>
      <c r="D328" s="119">
        <v>315</v>
      </c>
      <c r="E328" s="25" t="str">
        <f>Tp_CHG!N55</f>
        <v>Transition Probability from state 3 to state 2 on day 13 (CHG)</v>
      </c>
      <c r="F328" s="40">
        <f t="shared" si="44"/>
        <v>0</v>
      </c>
      <c r="G328" s="156">
        <v>1</v>
      </c>
      <c r="H328" s="120">
        <f>Tp_CHG!Q55</f>
        <v>0</v>
      </c>
      <c r="I328" s="40" t="s">
        <v>58</v>
      </c>
      <c r="J328" s="40">
        <f t="shared" si="54"/>
        <v>0</v>
      </c>
      <c r="K328" s="40">
        <f t="shared" si="55"/>
        <v>0</v>
      </c>
      <c r="L328" s="40" t="s">
        <v>58</v>
      </c>
      <c r="M328" s="50" t="s">
        <v>266</v>
      </c>
      <c r="N328" s="190"/>
      <c r="O328" s="40">
        <f t="shared" ca="1" si="53"/>
        <v>0.25169235527230804</v>
      </c>
      <c r="P328" s="51">
        <f t="shared" si="45"/>
        <v>0</v>
      </c>
      <c r="Q328" s="51">
        <f t="shared" si="46"/>
        <v>0</v>
      </c>
      <c r="R328" s="51">
        <f t="shared" si="56"/>
        <v>0</v>
      </c>
      <c r="S328"/>
      <c r="T328" s="83"/>
    </row>
    <row r="329" spans="1:20" ht="16" x14ac:dyDescent="0.2">
      <c r="A329"/>
      <c r="B329" s="103">
        <v>7</v>
      </c>
      <c r="C329" s="243"/>
      <c r="D329" s="119">
        <v>316</v>
      </c>
      <c r="E329" s="25" t="str">
        <f>Tp_CHG!N56</f>
        <v>Transition Probability from state 3 to state 2 on day 14 (CHG)</v>
      </c>
      <c r="F329" s="40">
        <f t="shared" si="44"/>
        <v>0</v>
      </c>
      <c r="G329" s="156">
        <v>1</v>
      </c>
      <c r="H329" s="120">
        <f>Tp_CHG!Q56</f>
        <v>0</v>
      </c>
      <c r="I329" s="40" t="s">
        <v>58</v>
      </c>
      <c r="J329" s="40">
        <f t="shared" si="54"/>
        <v>0</v>
      </c>
      <c r="K329" s="40">
        <f t="shared" si="55"/>
        <v>0</v>
      </c>
      <c r="L329" s="40" t="s">
        <v>58</v>
      </c>
      <c r="M329" s="50" t="s">
        <v>266</v>
      </c>
      <c r="N329" s="190"/>
      <c r="O329" s="40">
        <f t="shared" ca="1" si="53"/>
        <v>0.45608814613789972</v>
      </c>
      <c r="P329" s="51">
        <f t="shared" si="45"/>
        <v>0</v>
      </c>
      <c r="Q329" s="51">
        <f t="shared" si="46"/>
        <v>0</v>
      </c>
      <c r="R329" s="51">
        <f t="shared" si="56"/>
        <v>0</v>
      </c>
      <c r="S329"/>
      <c r="T329" s="83"/>
    </row>
    <row r="330" spans="1:20" ht="16" x14ac:dyDescent="0.2">
      <c r="A330"/>
      <c r="B330" s="103">
        <v>8</v>
      </c>
      <c r="C330" s="243"/>
      <c r="D330" s="119">
        <v>317</v>
      </c>
      <c r="E330" s="25" t="str">
        <f>Tp_CHG!N57</f>
        <v>Transition Probability from state 3 to state 2 on day 15 (CHG)</v>
      </c>
      <c r="F330" s="40">
        <f t="shared" si="44"/>
        <v>0</v>
      </c>
      <c r="G330" s="156">
        <v>1</v>
      </c>
      <c r="H330" s="120">
        <f>Tp_CHG!Q57</f>
        <v>0</v>
      </c>
      <c r="I330" s="40" t="s">
        <v>58</v>
      </c>
      <c r="J330" s="40">
        <f t="shared" si="54"/>
        <v>0</v>
      </c>
      <c r="K330" s="40">
        <f t="shared" si="55"/>
        <v>0</v>
      </c>
      <c r="L330" s="40" t="s">
        <v>58</v>
      </c>
      <c r="M330" s="50" t="s">
        <v>266</v>
      </c>
      <c r="N330" s="190"/>
      <c r="O330" s="40">
        <f t="shared" ca="1" si="53"/>
        <v>0.5988956045323639</v>
      </c>
      <c r="P330" s="51">
        <f t="shared" si="45"/>
        <v>0</v>
      </c>
      <c r="Q330" s="51">
        <f t="shared" si="46"/>
        <v>0</v>
      </c>
      <c r="R330" s="51">
        <f t="shared" si="56"/>
        <v>0</v>
      </c>
      <c r="S330"/>
      <c r="T330" s="83"/>
    </row>
    <row r="331" spans="1:20" ht="16" x14ac:dyDescent="0.2">
      <c r="A331"/>
      <c r="B331" s="103">
        <v>1</v>
      </c>
      <c r="C331" s="243"/>
      <c r="D331" s="119">
        <v>318</v>
      </c>
      <c r="E331" s="25" t="str">
        <f>Tp_CHG!N58</f>
        <v>Transition Probability from state 3 to state 2 on day 16 (CHG)</v>
      </c>
      <c r="F331" s="40">
        <f t="shared" si="44"/>
        <v>0</v>
      </c>
      <c r="G331" s="156">
        <v>1</v>
      </c>
      <c r="H331" s="120">
        <f>Tp_CHG!Q58</f>
        <v>0</v>
      </c>
      <c r="I331" s="40" t="s">
        <v>58</v>
      </c>
      <c r="J331" s="40">
        <f t="shared" si="54"/>
        <v>0</v>
      </c>
      <c r="K331" s="40">
        <f t="shared" si="55"/>
        <v>0</v>
      </c>
      <c r="L331" s="40" t="s">
        <v>58</v>
      </c>
      <c r="M331" s="50" t="s">
        <v>266</v>
      </c>
      <c r="N331" s="190"/>
      <c r="O331" s="40">
        <f t="shared" ca="1" si="53"/>
        <v>0.88248934755443631</v>
      </c>
      <c r="P331" s="51">
        <f t="shared" si="45"/>
        <v>0</v>
      </c>
      <c r="Q331" s="51">
        <f t="shared" si="46"/>
        <v>0</v>
      </c>
      <c r="R331" s="51">
        <f t="shared" si="56"/>
        <v>0</v>
      </c>
      <c r="S331"/>
      <c r="T331" s="83"/>
    </row>
    <row r="332" spans="1:20" ht="16" x14ac:dyDescent="0.2">
      <c r="A332"/>
      <c r="B332" s="103">
        <v>2</v>
      </c>
      <c r="C332" s="243"/>
      <c r="D332" s="119">
        <v>319</v>
      </c>
      <c r="E332" s="25" t="str">
        <f>Tp_CHG!N59</f>
        <v>Transition Probability from state 3 to state 2 on day 17 (CHG)</v>
      </c>
      <c r="F332" s="40">
        <f t="shared" si="44"/>
        <v>0</v>
      </c>
      <c r="G332" s="156">
        <v>1</v>
      </c>
      <c r="H332" s="120">
        <f>Tp_CHG!Q59</f>
        <v>0</v>
      </c>
      <c r="I332" s="40" t="s">
        <v>58</v>
      </c>
      <c r="J332" s="40">
        <f t="shared" si="54"/>
        <v>0</v>
      </c>
      <c r="K332" s="40">
        <f t="shared" si="55"/>
        <v>0</v>
      </c>
      <c r="L332" s="40" t="s">
        <v>58</v>
      </c>
      <c r="M332" s="50" t="s">
        <v>266</v>
      </c>
      <c r="N332" s="190"/>
      <c r="O332" s="40">
        <f t="shared" ca="1" si="53"/>
        <v>1.8427500422080856E-2</v>
      </c>
      <c r="P332" s="51">
        <f t="shared" si="45"/>
        <v>0</v>
      </c>
      <c r="Q332" s="51">
        <f t="shared" si="46"/>
        <v>0</v>
      </c>
      <c r="R332" s="51">
        <f t="shared" si="56"/>
        <v>0</v>
      </c>
      <c r="S332"/>
      <c r="T332" s="83"/>
    </row>
    <row r="333" spans="1:20" ht="16" x14ac:dyDescent="0.2">
      <c r="A333"/>
      <c r="B333" s="103">
        <v>3</v>
      </c>
      <c r="C333" s="243"/>
      <c r="D333" s="119">
        <v>320</v>
      </c>
      <c r="E333" s="25" t="str">
        <f>Tp_CHG!N60</f>
        <v>Transition Probability from state 3 to state 2 on day 18 (CHG)</v>
      </c>
      <c r="F333" s="40">
        <f t="shared" si="44"/>
        <v>0</v>
      </c>
      <c r="G333" s="156">
        <v>1</v>
      </c>
      <c r="H333" s="120">
        <f>Tp_CHG!Q60</f>
        <v>0</v>
      </c>
      <c r="I333" s="40" t="s">
        <v>58</v>
      </c>
      <c r="J333" s="40">
        <f t="shared" si="54"/>
        <v>0</v>
      </c>
      <c r="K333" s="40">
        <f t="shared" si="55"/>
        <v>0</v>
      </c>
      <c r="L333" s="40" t="s">
        <v>58</v>
      </c>
      <c r="M333" s="50" t="s">
        <v>266</v>
      </c>
      <c r="N333" s="190"/>
      <c r="O333" s="40">
        <f t="shared" ca="1" si="53"/>
        <v>0.94537655303282686</v>
      </c>
      <c r="P333" s="51">
        <f t="shared" si="45"/>
        <v>0</v>
      </c>
      <c r="Q333" s="51">
        <f t="shared" si="46"/>
        <v>0</v>
      </c>
      <c r="R333" s="51">
        <f t="shared" si="56"/>
        <v>0</v>
      </c>
      <c r="S333"/>
      <c r="T333" s="83"/>
    </row>
    <row r="334" spans="1:20" ht="16" x14ac:dyDescent="0.2">
      <c r="A334"/>
      <c r="B334" s="103">
        <v>4</v>
      </c>
      <c r="C334" s="243"/>
      <c r="D334" s="119">
        <v>321</v>
      </c>
      <c r="E334" s="25" t="str">
        <f>Tp_CHG!N61</f>
        <v>Transition Probability from state 3 to state 2 on day 19 (CHG)</v>
      </c>
      <c r="F334" s="40">
        <f t="shared" si="44"/>
        <v>0</v>
      </c>
      <c r="G334" s="156">
        <v>1</v>
      </c>
      <c r="H334" s="120">
        <f>Tp_CHG!Q61</f>
        <v>0</v>
      </c>
      <c r="I334" s="40" t="s">
        <v>58</v>
      </c>
      <c r="J334" s="40">
        <f t="shared" si="54"/>
        <v>0</v>
      </c>
      <c r="K334" s="40">
        <f t="shared" si="55"/>
        <v>0</v>
      </c>
      <c r="L334" s="40" t="s">
        <v>58</v>
      </c>
      <c r="M334" s="50" t="s">
        <v>266</v>
      </c>
      <c r="N334" s="190"/>
      <c r="O334" s="40">
        <f t="shared" ca="1" si="53"/>
        <v>0.12753561271758274</v>
      </c>
      <c r="P334" s="51">
        <f t="shared" si="45"/>
        <v>0</v>
      </c>
      <c r="Q334" s="51">
        <f t="shared" si="46"/>
        <v>0</v>
      </c>
      <c r="R334" s="51">
        <f t="shared" si="56"/>
        <v>0</v>
      </c>
      <c r="S334"/>
      <c r="T334" s="83"/>
    </row>
    <row r="335" spans="1:20" ht="16" x14ac:dyDescent="0.2">
      <c r="A335"/>
      <c r="B335" s="103">
        <v>5</v>
      </c>
      <c r="C335" s="243"/>
      <c r="D335" s="119">
        <v>322</v>
      </c>
      <c r="E335" s="25" t="str">
        <f>Tp_CHG!N62</f>
        <v>Transition Probability from state 3 to state 2 on day 20 (CHG)</v>
      </c>
      <c r="F335" s="40">
        <f t="shared" ref="F335:F398" si="57">IFERROR(CHOOSE(G335,H335,J335,K335,N335),0)</f>
        <v>0</v>
      </c>
      <c r="G335" s="156">
        <v>1</v>
      </c>
      <c r="H335" s="120">
        <f>Tp_CHG!Q62</f>
        <v>0</v>
      </c>
      <c r="I335" s="40" t="s">
        <v>58</v>
      </c>
      <c r="J335" s="40">
        <f t="shared" si="54"/>
        <v>0</v>
      </c>
      <c r="K335" s="40">
        <f t="shared" si="55"/>
        <v>0</v>
      </c>
      <c r="L335" s="40" t="s">
        <v>58</v>
      </c>
      <c r="M335" s="50" t="s">
        <v>266</v>
      </c>
      <c r="N335" s="190"/>
      <c r="O335" s="40">
        <f t="shared" ca="1" si="53"/>
        <v>7.2677129436701904E-2</v>
      </c>
      <c r="P335" s="51">
        <f t="shared" si="45"/>
        <v>0</v>
      </c>
      <c r="Q335" s="51">
        <f t="shared" si="46"/>
        <v>0</v>
      </c>
      <c r="R335" s="51">
        <f t="shared" si="56"/>
        <v>0</v>
      </c>
      <c r="S335"/>
      <c r="T335" s="83"/>
    </row>
    <row r="336" spans="1:20" ht="16" x14ac:dyDescent="0.2">
      <c r="A336"/>
      <c r="B336" s="103">
        <v>6</v>
      </c>
      <c r="C336" s="243"/>
      <c r="D336" s="119">
        <v>323</v>
      </c>
      <c r="E336" s="25" t="str">
        <f>Tp_CHG!N63</f>
        <v>Transition Probability from state 3 to state 2 on day 21 (CHG)</v>
      </c>
      <c r="F336" s="40">
        <f t="shared" si="57"/>
        <v>0</v>
      </c>
      <c r="G336" s="156">
        <v>1</v>
      </c>
      <c r="H336" s="120">
        <f>Tp_CHG!Q63</f>
        <v>0</v>
      </c>
      <c r="I336" s="40" t="s">
        <v>58</v>
      </c>
      <c r="J336" s="40">
        <f t="shared" si="54"/>
        <v>0</v>
      </c>
      <c r="K336" s="40">
        <f t="shared" si="55"/>
        <v>0</v>
      </c>
      <c r="L336" s="40" t="s">
        <v>58</v>
      </c>
      <c r="M336" s="50" t="s">
        <v>266</v>
      </c>
      <c r="N336" s="190"/>
      <c r="O336" s="40">
        <f t="shared" ca="1" si="53"/>
        <v>0.5150435531365124</v>
      </c>
      <c r="P336" s="51">
        <f t="shared" si="45"/>
        <v>0</v>
      </c>
      <c r="Q336" s="51">
        <f t="shared" si="46"/>
        <v>0</v>
      </c>
      <c r="R336" s="51">
        <f t="shared" si="56"/>
        <v>0</v>
      </c>
      <c r="S336"/>
      <c r="T336" s="83"/>
    </row>
    <row r="337" spans="1:20" ht="16" x14ac:dyDescent="0.2">
      <c r="A337"/>
      <c r="B337" s="103">
        <v>7</v>
      </c>
      <c r="C337" s="243"/>
      <c r="D337" s="119">
        <v>324</v>
      </c>
      <c r="E337" s="25" t="str">
        <f>Tp_CHG!N64</f>
        <v>Transition Probability from state 3 to state 2 on day 22 (CHG)</v>
      </c>
      <c r="F337" s="40">
        <f t="shared" si="57"/>
        <v>0</v>
      </c>
      <c r="G337" s="156">
        <v>1</v>
      </c>
      <c r="H337" s="120">
        <f>Tp_CHG!Q64</f>
        <v>0</v>
      </c>
      <c r="I337" s="40" t="s">
        <v>58</v>
      </c>
      <c r="J337" s="40">
        <f t="shared" si="54"/>
        <v>0</v>
      </c>
      <c r="K337" s="40">
        <f t="shared" si="55"/>
        <v>0</v>
      </c>
      <c r="L337" s="40" t="s">
        <v>58</v>
      </c>
      <c r="M337" s="50" t="s">
        <v>266</v>
      </c>
      <c r="N337" s="190"/>
      <c r="O337" s="40">
        <f t="shared" ca="1" si="53"/>
        <v>0.60965617561981766</v>
      </c>
      <c r="P337" s="51">
        <f t="shared" ref="P337:P400" si="58">IFERROR(H337*((H337*(1-H337)/(R337^2))-1),0)</f>
        <v>0</v>
      </c>
      <c r="Q337" s="51">
        <f t="shared" ref="Q337:Q400" si="59">IFERROR((1-H337)*((H337*(1-H337))/(R337^2)-1),0)</f>
        <v>0</v>
      </c>
      <c r="R337" s="51">
        <f t="shared" si="56"/>
        <v>0</v>
      </c>
      <c r="S337"/>
      <c r="T337" s="83"/>
    </row>
    <row r="338" spans="1:20" ht="16" x14ac:dyDescent="0.2">
      <c r="A338"/>
      <c r="B338" s="103">
        <v>8</v>
      </c>
      <c r="C338" s="243"/>
      <c r="D338" s="119">
        <v>325</v>
      </c>
      <c r="E338" s="25" t="str">
        <f>Tp_CHG!N65</f>
        <v>Transition Probability from state 3 to state 2 on day 23 (CHG)</v>
      </c>
      <c r="F338" s="40">
        <f t="shared" si="57"/>
        <v>0</v>
      </c>
      <c r="G338" s="156">
        <v>1</v>
      </c>
      <c r="H338" s="120">
        <f>Tp_CHG!Q65</f>
        <v>0</v>
      </c>
      <c r="I338" s="40" t="s">
        <v>58</v>
      </c>
      <c r="J338" s="40">
        <f t="shared" si="54"/>
        <v>0</v>
      </c>
      <c r="K338" s="40">
        <f t="shared" si="55"/>
        <v>0</v>
      </c>
      <c r="L338" s="40" t="s">
        <v>58</v>
      </c>
      <c r="M338" s="50" t="s">
        <v>266</v>
      </c>
      <c r="N338" s="190"/>
      <c r="O338" s="40">
        <f t="shared" ca="1" si="53"/>
        <v>0.90258640378226285</v>
      </c>
      <c r="P338" s="51">
        <f t="shared" si="58"/>
        <v>0</v>
      </c>
      <c r="Q338" s="51">
        <f t="shared" si="59"/>
        <v>0</v>
      </c>
      <c r="R338" s="51">
        <f t="shared" si="56"/>
        <v>0</v>
      </c>
      <c r="S338"/>
      <c r="T338" s="83"/>
    </row>
    <row r="339" spans="1:20" ht="16" x14ac:dyDescent="0.2">
      <c r="A339"/>
      <c r="B339" s="103">
        <v>1</v>
      </c>
      <c r="C339" s="243"/>
      <c r="D339" s="119">
        <v>326</v>
      </c>
      <c r="E339" s="25" t="str">
        <f>Tp_CHG!N66</f>
        <v>Transition Probability from state 3 to state 2 on day 24 (CHG)</v>
      </c>
      <c r="F339" s="40">
        <f t="shared" si="57"/>
        <v>0</v>
      </c>
      <c r="G339" s="156">
        <v>1</v>
      </c>
      <c r="H339" s="120">
        <f>Tp_CHG!Q66</f>
        <v>0</v>
      </c>
      <c r="I339" s="40" t="s">
        <v>58</v>
      </c>
      <c r="J339" s="40">
        <f t="shared" si="54"/>
        <v>0</v>
      </c>
      <c r="K339" s="40">
        <f t="shared" si="55"/>
        <v>0</v>
      </c>
      <c r="L339" s="40" t="s">
        <v>58</v>
      </c>
      <c r="M339" s="50" t="s">
        <v>266</v>
      </c>
      <c r="N339" s="190"/>
      <c r="O339" s="40">
        <f t="shared" ca="1" si="53"/>
        <v>0.871285241383569</v>
      </c>
      <c r="P339" s="51">
        <f t="shared" si="58"/>
        <v>0</v>
      </c>
      <c r="Q339" s="51">
        <f t="shared" si="59"/>
        <v>0</v>
      </c>
      <c r="R339" s="51">
        <f t="shared" si="56"/>
        <v>0</v>
      </c>
      <c r="S339"/>
      <c r="T339" s="83"/>
    </row>
    <row r="340" spans="1:20" ht="16" x14ac:dyDescent="0.2">
      <c r="A340"/>
      <c r="B340" s="103">
        <v>2</v>
      </c>
      <c r="C340" s="243"/>
      <c r="D340" s="119">
        <v>327</v>
      </c>
      <c r="E340" s="25" t="str">
        <f>Tp_CHG!N67</f>
        <v>Transition Probability from state 3 to state 2 on day 25 (CHG)</v>
      </c>
      <c r="F340" s="40">
        <f t="shared" si="57"/>
        <v>0</v>
      </c>
      <c r="G340" s="156">
        <v>1</v>
      </c>
      <c r="H340" s="120">
        <f>Tp_CHG!Q67</f>
        <v>0</v>
      </c>
      <c r="I340" s="40" t="s">
        <v>58</v>
      </c>
      <c r="J340" s="40">
        <f t="shared" si="54"/>
        <v>0</v>
      </c>
      <c r="K340" s="40">
        <f t="shared" si="55"/>
        <v>0</v>
      </c>
      <c r="L340" s="40" t="s">
        <v>58</v>
      </c>
      <c r="M340" s="50" t="s">
        <v>266</v>
      </c>
      <c r="N340" s="190"/>
      <c r="O340" s="40">
        <f t="shared" ca="1" si="53"/>
        <v>0.63479043392766388</v>
      </c>
      <c r="P340" s="51">
        <f t="shared" si="58"/>
        <v>0</v>
      </c>
      <c r="Q340" s="51">
        <f t="shared" si="59"/>
        <v>0</v>
      </c>
      <c r="R340" s="51">
        <f t="shared" si="56"/>
        <v>0</v>
      </c>
      <c r="S340"/>
      <c r="T340" s="83"/>
    </row>
    <row r="341" spans="1:20" ht="16" x14ac:dyDescent="0.2">
      <c r="A341"/>
      <c r="B341" s="103">
        <v>3</v>
      </c>
      <c r="C341" s="243"/>
      <c r="D341" s="119">
        <v>328</v>
      </c>
      <c r="E341" s="25" t="str">
        <f>Tp_CHG!N68</f>
        <v>Transition Probability from state 3 to state 2 on day 26 (CHG)</v>
      </c>
      <c r="F341" s="40">
        <f t="shared" si="57"/>
        <v>0</v>
      </c>
      <c r="G341" s="156">
        <v>1</v>
      </c>
      <c r="H341" s="120">
        <f>Tp_CHG!Q68</f>
        <v>0</v>
      </c>
      <c r="I341" s="40" t="s">
        <v>58</v>
      </c>
      <c r="J341" s="40">
        <f t="shared" si="54"/>
        <v>0</v>
      </c>
      <c r="K341" s="40">
        <f t="shared" si="55"/>
        <v>0</v>
      </c>
      <c r="L341" s="40" t="s">
        <v>58</v>
      </c>
      <c r="M341" s="50" t="s">
        <v>266</v>
      </c>
      <c r="N341" s="190"/>
      <c r="O341" s="40">
        <f t="shared" ca="1" si="53"/>
        <v>9.8052573108944885E-2</v>
      </c>
      <c r="P341" s="51">
        <f t="shared" si="58"/>
        <v>0</v>
      </c>
      <c r="Q341" s="51">
        <f t="shared" si="59"/>
        <v>0</v>
      </c>
      <c r="R341" s="51">
        <f t="shared" si="56"/>
        <v>0</v>
      </c>
      <c r="S341"/>
      <c r="T341" s="83"/>
    </row>
    <row r="342" spans="1:20" ht="16" x14ac:dyDescent="0.2">
      <c r="A342"/>
      <c r="B342" s="103">
        <v>4</v>
      </c>
      <c r="C342" s="243"/>
      <c r="D342" s="119">
        <v>329</v>
      </c>
      <c r="E342" s="25" t="str">
        <f>Tp_CHG!N69</f>
        <v>Transition Probability from state 3 to state 2 on day 27 (CHG)</v>
      </c>
      <c r="F342" s="40">
        <f t="shared" si="57"/>
        <v>0</v>
      </c>
      <c r="G342" s="156">
        <v>1</v>
      </c>
      <c r="H342" s="120">
        <f>Tp_CHG!Q69</f>
        <v>0</v>
      </c>
      <c r="I342" s="40" t="s">
        <v>58</v>
      </c>
      <c r="J342" s="40">
        <f t="shared" si="54"/>
        <v>0</v>
      </c>
      <c r="K342" s="40">
        <f t="shared" si="55"/>
        <v>0</v>
      </c>
      <c r="L342" s="40" t="s">
        <v>58</v>
      </c>
      <c r="M342" s="50" t="s">
        <v>266</v>
      </c>
      <c r="N342" s="190"/>
      <c r="O342" s="40">
        <f t="shared" ca="1" si="53"/>
        <v>0.58835009687143769</v>
      </c>
      <c r="P342" s="51">
        <f t="shared" si="58"/>
        <v>0</v>
      </c>
      <c r="Q342" s="51">
        <f t="shared" si="59"/>
        <v>0</v>
      </c>
      <c r="R342" s="51">
        <f t="shared" si="56"/>
        <v>0</v>
      </c>
      <c r="S342"/>
      <c r="T342" s="83"/>
    </row>
    <row r="343" spans="1:20" ht="16" x14ac:dyDescent="0.2">
      <c r="A343"/>
      <c r="B343" s="103">
        <v>5</v>
      </c>
      <c r="C343" s="243"/>
      <c r="D343" s="119">
        <v>330</v>
      </c>
      <c r="E343" s="25" t="str">
        <f>Tp_CHG!N70</f>
        <v>Transition Probability from state 3 to state 2 on day 28 (CHG)</v>
      </c>
      <c r="F343" s="40">
        <f t="shared" si="57"/>
        <v>0</v>
      </c>
      <c r="G343" s="156">
        <v>1</v>
      </c>
      <c r="H343" s="120">
        <f>Tp_CHG!Q70</f>
        <v>0</v>
      </c>
      <c r="I343" s="40" t="s">
        <v>58</v>
      </c>
      <c r="J343" s="40">
        <f t="shared" si="54"/>
        <v>0</v>
      </c>
      <c r="K343" s="40">
        <f t="shared" si="55"/>
        <v>0</v>
      </c>
      <c r="L343" s="40" t="s">
        <v>58</v>
      </c>
      <c r="M343" s="50" t="s">
        <v>266</v>
      </c>
      <c r="N343" s="190"/>
      <c r="O343" s="40">
        <f t="shared" ca="1" si="53"/>
        <v>7.5329635491261704E-2</v>
      </c>
      <c r="P343" s="51">
        <f t="shared" si="58"/>
        <v>0</v>
      </c>
      <c r="Q343" s="51">
        <f t="shared" si="59"/>
        <v>0</v>
      </c>
      <c r="R343" s="51">
        <f t="shared" si="56"/>
        <v>0</v>
      </c>
      <c r="S343"/>
      <c r="T343" s="83"/>
    </row>
    <row r="344" spans="1:20" ht="16" x14ac:dyDescent="0.2">
      <c r="A344"/>
      <c r="B344" s="103">
        <v>6</v>
      </c>
      <c r="C344" s="243"/>
      <c r="D344" s="119">
        <v>331</v>
      </c>
      <c r="E344" s="25" t="str">
        <f>Tp_CHG!N71</f>
        <v>Transition Probability from state 3 to state 2 on day 29 (CHG)</v>
      </c>
      <c r="F344" s="40">
        <f t="shared" si="57"/>
        <v>0</v>
      </c>
      <c r="G344" s="156">
        <v>1</v>
      </c>
      <c r="H344" s="120">
        <f>Tp_CHG!Q71</f>
        <v>0</v>
      </c>
      <c r="I344" s="40" t="s">
        <v>58</v>
      </c>
      <c r="J344" s="40">
        <f t="shared" si="54"/>
        <v>0</v>
      </c>
      <c r="K344" s="40">
        <f t="shared" si="55"/>
        <v>0</v>
      </c>
      <c r="L344" s="40" t="s">
        <v>58</v>
      </c>
      <c r="M344" s="50" t="s">
        <v>266</v>
      </c>
      <c r="N344" s="190"/>
      <c r="O344" s="40">
        <f t="shared" ca="1" si="53"/>
        <v>0.61465131152699737</v>
      </c>
      <c r="P344" s="51">
        <f t="shared" si="58"/>
        <v>0</v>
      </c>
      <c r="Q344" s="51">
        <f t="shared" si="59"/>
        <v>0</v>
      </c>
      <c r="R344" s="51">
        <f t="shared" si="56"/>
        <v>0</v>
      </c>
      <c r="S344"/>
      <c r="T344" s="83"/>
    </row>
    <row r="345" spans="1:20" ht="16" x14ac:dyDescent="0.2">
      <c r="A345"/>
      <c r="B345" s="103">
        <v>7</v>
      </c>
      <c r="C345" s="243"/>
      <c r="D345" s="119">
        <v>332</v>
      </c>
      <c r="E345" s="25" t="str">
        <f>Tp_CHG!N72</f>
        <v>Transition Probability from state 3 to state 2 on day 30 (CHG)</v>
      </c>
      <c r="F345" s="40">
        <f t="shared" si="57"/>
        <v>0</v>
      </c>
      <c r="G345" s="156">
        <v>1</v>
      </c>
      <c r="H345" s="120">
        <f>Tp_CHG!Q72</f>
        <v>0</v>
      </c>
      <c r="I345" s="40" t="s">
        <v>58</v>
      </c>
      <c r="J345" s="40">
        <f t="shared" si="54"/>
        <v>0</v>
      </c>
      <c r="K345" s="40">
        <f t="shared" si="55"/>
        <v>0</v>
      </c>
      <c r="L345" s="40" t="s">
        <v>58</v>
      </c>
      <c r="M345" s="50" t="s">
        <v>266</v>
      </c>
      <c r="N345" s="190"/>
      <c r="O345" s="40">
        <f t="shared" ca="1" si="53"/>
        <v>0.14347577029217429</v>
      </c>
      <c r="P345" s="51">
        <f t="shared" si="58"/>
        <v>0</v>
      </c>
      <c r="Q345" s="51">
        <f t="shared" si="59"/>
        <v>0</v>
      </c>
      <c r="R345" s="51">
        <f t="shared" si="56"/>
        <v>0</v>
      </c>
      <c r="S345"/>
      <c r="T345" s="83"/>
    </row>
    <row r="346" spans="1:20" ht="16" x14ac:dyDescent="0.2">
      <c r="A346"/>
      <c r="B346" s="103">
        <v>8</v>
      </c>
      <c r="C346" s="243"/>
      <c r="D346" s="119">
        <v>333</v>
      </c>
      <c r="E346" s="25" t="str">
        <f>Tp_CHG!S43</f>
        <v>Transition Probability from state 4 to state 2 on day 1 (CHG)</v>
      </c>
      <c r="F346" s="40">
        <f t="shared" si="57"/>
        <v>0</v>
      </c>
      <c r="G346" s="156">
        <v>1</v>
      </c>
      <c r="H346" s="120">
        <f>Tp_CHG!V43</f>
        <v>0</v>
      </c>
      <c r="I346" s="40" t="s">
        <v>58</v>
      </c>
      <c r="J346" s="40">
        <f t="shared" si="54"/>
        <v>0</v>
      </c>
      <c r="K346" s="40">
        <f t="shared" si="55"/>
        <v>0</v>
      </c>
      <c r="L346" s="40" t="s">
        <v>58</v>
      </c>
      <c r="M346" s="50" t="s">
        <v>266</v>
      </c>
      <c r="N346" s="190"/>
      <c r="O346" s="40">
        <f t="shared" ca="1" si="53"/>
        <v>0.89979094965441875</v>
      </c>
      <c r="P346" s="51">
        <f t="shared" si="58"/>
        <v>0</v>
      </c>
      <c r="Q346" s="51">
        <f t="shared" si="59"/>
        <v>0</v>
      </c>
      <c r="R346" s="51">
        <f t="shared" si="56"/>
        <v>0</v>
      </c>
      <c r="S346"/>
      <c r="T346" s="83"/>
    </row>
    <row r="347" spans="1:20" ht="16" x14ac:dyDescent="0.2">
      <c r="A347"/>
      <c r="B347" s="103">
        <v>1</v>
      </c>
      <c r="C347" s="243"/>
      <c r="D347" s="119">
        <v>334</v>
      </c>
      <c r="E347" s="25" t="str">
        <f>Tp_CHG!S44</f>
        <v>Transition Probability from state 4 to state 2 on day 2 (CHG)</v>
      </c>
      <c r="F347" s="40">
        <f t="shared" si="57"/>
        <v>0</v>
      </c>
      <c r="G347" s="156">
        <v>1</v>
      </c>
      <c r="H347" s="120">
        <f>Tp_CHG!V44</f>
        <v>0</v>
      </c>
      <c r="I347" s="40" t="s">
        <v>58</v>
      </c>
      <c r="J347" s="40">
        <f t="shared" si="54"/>
        <v>0</v>
      </c>
      <c r="K347" s="40">
        <f t="shared" si="55"/>
        <v>0</v>
      </c>
      <c r="L347" s="40" t="s">
        <v>58</v>
      </c>
      <c r="M347" s="50" t="s">
        <v>266</v>
      </c>
      <c r="N347" s="190"/>
      <c r="O347" s="40">
        <f t="shared" ca="1" si="53"/>
        <v>0.36451586610585351</v>
      </c>
      <c r="P347" s="51">
        <f t="shared" si="58"/>
        <v>0</v>
      </c>
      <c r="Q347" s="51">
        <f t="shared" si="59"/>
        <v>0</v>
      </c>
      <c r="R347" s="51">
        <f t="shared" si="56"/>
        <v>0</v>
      </c>
      <c r="S347"/>
      <c r="T347" s="83"/>
    </row>
    <row r="348" spans="1:20" ht="16" x14ac:dyDescent="0.2">
      <c r="A348"/>
      <c r="B348" s="103">
        <v>2</v>
      </c>
      <c r="C348" s="243"/>
      <c r="D348" s="119">
        <v>335</v>
      </c>
      <c r="E348" s="25" t="str">
        <f>Tp_CHG!S45</f>
        <v>Transition Probability from state 4 to state 2 on day 3 (CHG)</v>
      </c>
      <c r="F348" s="40">
        <f t="shared" si="57"/>
        <v>0</v>
      </c>
      <c r="G348" s="156">
        <v>1</v>
      </c>
      <c r="H348" s="120">
        <f>Tp_CHG!V45</f>
        <v>0</v>
      </c>
      <c r="I348" s="40" t="s">
        <v>58</v>
      </c>
      <c r="J348" s="40">
        <f t="shared" si="54"/>
        <v>0</v>
      </c>
      <c r="K348" s="40">
        <f t="shared" si="55"/>
        <v>0</v>
      </c>
      <c r="L348" s="40" t="s">
        <v>58</v>
      </c>
      <c r="M348" s="50" t="s">
        <v>266</v>
      </c>
      <c r="N348" s="190"/>
      <c r="O348" s="40">
        <f t="shared" ca="1" si="53"/>
        <v>0.70514667293309019</v>
      </c>
      <c r="P348" s="51">
        <f t="shared" si="58"/>
        <v>0</v>
      </c>
      <c r="Q348" s="51">
        <f t="shared" si="59"/>
        <v>0</v>
      </c>
      <c r="R348" s="51">
        <f t="shared" si="56"/>
        <v>0</v>
      </c>
      <c r="S348"/>
      <c r="T348" s="83"/>
    </row>
    <row r="349" spans="1:20" ht="16" x14ac:dyDescent="0.2">
      <c r="A349"/>
      <c r="B349" s="103">
        <v>3</v>
      </c>
      <c r="C349" s="243"/>
      <c r="D349" s="119">
        <v>336</v>
      </c>
      <c r="E349" s="25" t="str">
        <f>Tp_CHG!S46</f>
        <v>Transition Probability from state 4 to state 2 on day 4 (CHG)</v>
      </c>
      <c r="F349" s="40">
        <f t="shared" si="57"/>
        <v>0</v>
      </c>
      <c r="G349" s="156">
        <v>1</v>
      </c>
      <c r="H349" s="120">
        <f>Tp_CHG!V46</f>
        <v>0</v>
      </c>
      <c r="I349" s="40" t="s">
        <v>58</v>
      </c>
      <c r="J349" s="40">
        <f t="shared" si="54"/>
        <v>0</v>
      </c>
      <c r="K349" s="40">
        <f t="shared" si="55"/>
        <v>0</v>
      </c>
      <c r="L349" s="40" t="s">
        <v>58</v>
      </c>
      <c r="M349" s="50" t="s">
        <v>266</v>
      </c>
      <c r="N349" s="190"/>
      <c r="O349" s="40">
        <f t="shared" ca="1" si="53"/>
        <v>0.98043413132292578</v>
      </c>
      <c r="P349" s="51">
        <f t="shared" si="58"/>
        <v>0</v>
      </c>
      <c r="Q349" s="51">
        <f t="shared" si="59"/>
        <v>0</v>
      </c>
      <c r="R349" s="51">
        <f t="shared" si="56"/>
        <v>0</v>
      </c>
      <c r="S349"/>
      <c r="T349" s="83"/>
    </row>
    <row r="350" spans="1:20" ht="16" x14ac:dyDescent="0.2">
      <c r="A350"/>
      <c r="B350" s="103">
        <v>4</v>
      </c>
      <c r="C350" s="243"/>
      <c r="D350" s="119">
        <v>337</v>
      </c>
      <c r="E350" s="25" t="str">
        <f>Tp_CHG!S47</f>
        <v>Transition Probability from state 4 to state 2 on day 5 (CHG)</v>
      </c>
      <c r="F350" s="40">
        <f t="shared" si="57"/>
        <v>0</v>
      </c>
      <c r="G350" s="156">
        <v>1</v>
      </c>
      <c r="H350" s="120">
        <f>Tp_CHG!V47</f>
        <v>0</v>
      </c>
      <c r="I350" s="40" t="s">
        <v>58</v>
      </c>
      <c r="J350" s="40">
        <f t="shared" si="54"/>
        <v>0</v>
      </c>
      <c r="K350" s="40">
        <f t="shared" si="55"/>
        <v>0</v>
      </c>
      <c r="L350" s="40" t="s">
        <v>58</v>
      </c>
      <c r="M350" s="50" t="s">
        <v>266</v>
      </c>
      <c r="N350" s="190"/>
      <c r="O350" s="40">
        <f t="shared" ca="1" si="53"/>
        <v>0.16825704735131231</v>
      </c>
      <c r="P350" s="51">
        <f t="shared" si="58"/>
        <v>0</v>
      </c>
      <c r="Q350" s="51">
        <f t="shared" si="59"/>
        <v>0</v>
      </c>
      <c r="R350" s="51">
        <f t="shared" si="56"/>
        <v>0</v>
      </c>
      <c r="S350"/>
      <c r="T350" s="83"/>
    </row>
    <row r="351" spans="1:20" ht="16" x14ac:dyDescent="0.2">
      <c r="A351"/>
      <c r="B351" s="103">
        <v>5</v>
      </c>
      <c r="C351" s="243"/>
      <c r="D351" s="119">
        <v>338</v>
      </c>
      <c r="E351" s="25" t="str">
        <f>Tp_CHG!S48</f>
        <v>Transition Probability from state 4 to state 2 on day 6 (CHG)</v>
      </c>
      <c r="F351" s="40">
        <f t="shared" si="57"/>
        <v>0</v>
      </c>
      <c r="G351" s="156">
        <v>1</v>
      </c>
      <c r="H351" s="120">
        <f>Tp_CHG!V48</f>
        <v>0</v>
      </c>
      <c r="I351" s="40" t="s">
        <v>58</v>
      </c>
      <c r="J351" s="40">
        <f t="shared" si="54"/>
        <v>0</v>
      </c>
      <c r="K351" s="40">
        <f t="shared" si="55"/>
        <v>0</v>
      </c>
      <c r="L351" s="40" t="s">
        <v>58</v>
      </c>
      <c r="M351" s="50" t="s">
        <v>266</v>
      </c>
      <c r="N351" s="190"/>
      <c r="O351" s="40">
        <f t="shared" ca="1" si="53"/>
        <v>0.4591334761483763</v>
      </c>
      <c r="P351" s="51">
        <f t="shared" si="58"/>
        <v>0</v>
      </c>
      <c r="Q351" s="51">
        <f t="shared" si="59"/>
        <v>0</v>
      </c>
      <c r="R351" s="51">
        <f t="shared" si="56"/>
        <v>0</v>
      </c>
      <c r="S351"/>
      <c r="T351" s="83"/>
    </row>
    <row r="352" spans="1:20" ht="16" x14ac:dyDescent="0.2">
      <c r="A352"/>
      <c r="B352" s="103">
        <v>6</v>
      </c>
      <c r="C352" s="243"/>
      <c r="D352" s="119">
        <v>339</v>
      </c>
      <c r="E352" s="25" t="str">
        <f>Tp_CHG!S49</f>
        <v>Transition Probability from state 4 to state 2 on day 7 (CHG)</v>
      </c>
      <c r="F352" s="40">
        <f t="shared" si="57"/>
        <v>0</v>
      </c>
      <c r="G352" s="156">
        <v>1</v>
      </c>
      <c r="H352" s="120">
        <f>Tp_CHG!V49</f>
        <v>0</v>
      </c>
      <c r="I352" s="40" t="s">
        <v>58</v>
      </c>
      <c r="J352" s="40">
        <f t="shared" si="54"/>
        <v>0</v>
      </c>
      <c r="K352" s="40">
        <f t="shared" si="55"/>
        <v>0</v>
      </c>
      <c r="L352" s="40" t="s">
        <v>58</v>
      </c>
      <c r="M352" s="50" t="s">
        <v>266</v>
      </c>
      <c r="N352" s="190"/>
      <c r="O352" s="40">
        <f t="shared" ca="1" si="53"/>
        <v>6.197585530047578E-2</v>
      </c>
      <c r="P352" s="51">
        <f t="shared" si="58"/>
        <v>0</v>
      </c>
      <c r="Q352" s="51">
        <f t="shared" si="59"/>
        <v>0</v>
      </c>
      <c r="R352" s="51">
        <f t="shared" si="56"/>
        <v>0</v>
      </c>
      <c r="S352"/>
      <c r="T352" s="83"/>
    </row>
    <row r="353" spans="1:20" ht="16" x14ac:dyDescent="0.2">
      <c r="A353"/>
      <c r="B353" s="103">
        <v>8</v>
      </c>
      <c r="C353" s="243"/>
      <c r="D353" s="119">
        <v>340</v>
      </c>
      <c r="E353" s="25" t="str">
        <f>Tp_CHG!S51</f>
        <v>Transition Probability from state 4 to state 2 on day 9 (CHG)</v>
      </c>
      <c r="F353" s="40">
        <f t="shared" si="57"/>
        <v>0</v>
      </c>
      <c r="G353" s="156">
        <v>1</v>
      </c>
      <c r="H353" s="120">
        <f>Tp_CHG!V51</f>
        <v>0</v>
      </c>
      <c r="I353" s="40" t="s">
        <v>58</v>
      </c>
      <c r="J353" s="40">
        <f t="shared" ref="J353:J384" si="60">IF(H353=0,0,_xlfn.NORM.INV(0.025,H353,R353))</f>
        <v>0</v>
      </c>
      <c r="K353" s="40">
        <f t="shared" ref="K353:K384" si="61">IF(H353=0,0,_xlfn.NORM.INV(0.975,H353,R353))</f>
        <v>0</v>
      </c>
      <c r="L353" s="40" t="s">
        <v>58</v>
      </c>
      <c r="M353" s="50" t="s">
        <v>266</v>
      </c>
      <c r="N353" s="190"/>
      <c r="O353" s="40">
        <f t="shared" ca="1" si="53"/>
        <v>0.10665188594303099</v>
      </c>
      <c r="P353" s="51">
        <f t="shared" si="58"/>
        <v>0</v>
      </c>
      <c r="Q353" s="51">
        <f t="shared" si="59"/>
        <v>0</v>
      </c>
      <c r="R353" s="51">
        <f t="shared" ref="R353:R384" si="62">assumedSE*H353</f>
        <v>0</v>
      </c>
      <c r="S353"/>
      <c r="T353" s="83"/>
    </row>
    <row r="354" spans="1:20" ht="14.5" customHeight="1" x14ac:dyDescent="0.2">
      <c r="A354"/>
      <c r="B354" s="103">
        <v>1</v>
      </c>
      <c r="C354" s="243"/>
      <c r="D354" s="119">
        <v>341</v>
      </c>
      <c r="E354" s="25" t="str">
        <f>Tp_CHG!S52</f>
        <v>Transition Probability from state 4 to state 2 on day 10 (CHG)</v>
      </c>
      <c r="F354" s="40">
        <f t="shared" si="57"/>
        <v>0</v>
      </c>
      <c r="G354" s="156">
        <v>1</v>
      </c>
      <c r="H354" s="120">
        <f>Tp_CHG!V52</f>
        <v>0</v>
      </c>
      <c r="I354" s="40" t="s">
        <v>58</v>
      </c>
      <c r="J354" s="40">
        <f t="shared" si="60"/>
        <v>0</v>
      </c>
      <c r="K354" s="40">
        <f t="shared" si="61"/>
        <v>0</v>
      </c>
      <c r="L354" s="40" t="s">
        <v>58</v>
      </c>
      <c r="M354" s="50" t="s">
        <v>266</v>
      </c>
      <c r="N354" s="190"/>
      <c r="O354" s="40">
        <f t="shared" ca="1" si="53"/>
        <v>0.58924143580075128</v>
      </c>
      <c r="P354" s="51">
        <f t="shared" si="58"/>
        <v>0</v>
      </c>
      <c r="Q354" s="51">
        <f t="shared" si="59"/>
        <v>0</v>
      </c>
      <c r="R354" s="51">
        <f t="shared" si="62"/>
        <v>0</v>
      </c>
      <c r="S354"/>
      <c r="T354" s="83"/>
    </row>
    <row r="355" spans="1:20" ht="16" x14ac:dyDescent="0.2">
      <c r="A355"/>
      <c r="B355" s="103">
        <v>2</v>
      </c>
      <c r="C355" s="243"/>
      <c r="D355" s="119">
        <v>342</v>
      </c>
      <c r="E355" s="25" t="str">
        <f>Tp_CHG!S53</f>
        <v>Transition Probability from state 4 to state 2 on day 11 (CHG)</v>
      </c>
      <c r="F355" s="40">
        <f t="shared" si="57"/>
        <v>0</v>
      </c>
      <c r="G355" s="156">
        <v>1</v>
      </c>
      <c r="H355" s="120">
        <f>Tp_CHG!V53</f>
        <v>0</v>
      </c>
      <c r="I355" s="40" t="s">
        <v>58</v>
      </c>
      <c r="J355" s="40">
        <f t="shared" si="60"/>
        <v>0</v>
      </c>
      <c r="K355" s="40">
        <f t="shared" si="61"/>
        <v>0</v>
      </c>
      <c r="L355" s="40" t="s">
        <v>58</v>
      </c>
      <c r="M355" s="50" t="s">
        <v>266</v>
      </c>
      <c r="N355" s="190"/>
      <c r="O355" s="40">
        <f t="shared" ca="1" si="53"/>
        <v>0.66833525434778052</v>
      </c>
      <c r="P355" s="51">
        <f t="shared" si="58"/>
        <v>0</v>
      </c>
      <c r="Q355" s="51">
        <f t="shared" si="59"/>
        <v>0</v>
      </c>
      <c r="R355" s="51">
        <f t="shared" si="62"/>
        <v>0</v>
      </c>
      <c r="S355"/>
      <c r="T355" s="83"/>
    </row>
    <row r="356" spans="1:20" ht="16" x14ac:dyDescent="0.2">
      <c r="A356"/>
      <c r="B356" s="103">
        <v>3</v>
      </c>
      <c r="C356" s="243"/>
      <c r="D356" s="119">
        <v>343</v>
      </c>
      <c r="E356" s="25" t="str">
        <f>Tp_CHG!S54</f>
        <v>Transition Probability from state 4 to state 2 on day 12 (CHG)</v>
      </c>
      <c r="F356" s="40">
        <f t="shared" si="57"/>
        <v>0</v>
      </c>
      <c r="G356" s="156">
        <v>1</v>
      </c>
      <c r="H356" s="120">
        <f>Tp_CHG!V54</f>
        <v>0</v>
      </c>
      <c r="I356" s="40" t="s">
        <v>58</v>
      </c>
      <c r="J356" s="40">
        <f t="shared" si="60"/>
        <v>0</v>
      </c>
      <c r="K356" s="40">
        <f t="shared" si="61"/>
        <v>0</v>
      </c>
      <c r="L356" s="40" t="s">
        <v>58</v>
      </c>
      <c r="M356" s="50" t="s">
        <v>266</v>
      </c>
      <c r="N356" s="190"/>
      <c r="O356" s="40">
        <f t="shared" ca="1" si="53"/>
        <v>0.73629029691519021</v>
      </c>
      <c r="P356" s="51">
        <f t="shared" si="58"/>
        <v>0</v>
      </c>
      <c r="Q356" s="51">
        <f t="shared" si="59"/>
        <v>0</v>
      </c>
      <c r="R356" s="51">
        <f t="shared" si="62"/>
        <v>0</v>
      </c>
      <c r="S356"/>
      <c r="T356" s="83"/>
    </row>
    <row r="357" spans="1:20" ht="16" x14ac:dyDescent="0.2">
      <c r="A357"/>
      <c r="B357" s="103">
        <v>4</v>
      </c>
      <c r="C357" s="243"/>
      <c r="D357" s="119">
        <v>344</v>
      </c>
      <c r="E357" s="25" t="str">
        <f>Tp_CHG!S55</f>
        <v>Transition Probability from state 4 to state 2 on day 13 (CHG)</v>
      </c>
      <c r="F357" s="40">
        <f t="shared" si="57"/>
        <v>0</v>
      </c>
      <c r="G357" s="156">
        <v>1</v>
      </c>
      <c r="H357" s="120">
        <f>Tp_CHG!V55</f>
        <v>0</v>
      </c>
      <c r="I357" s="40" t="s">
        <v>58</v>
      </c>
      <c r="J357" s="40">
        <f t="shared" si="60"/>
        <v>0</v>
      </c>
      <c r="K357" s="40">
        <f t="shared" si="61"/>
        <v>0</v>
      </c>
      <c r="L357" s="40" t="s">
        <v>58</v>
      </c>
      <c r="M357" s="50" t="s">
        <v>266</v>
      </c>
      <c r="N357" s="190"/>
      <c r="O357" s="40">
        <f t="shared" ca="1" si="53"/>
        <v>0.19018909779345072</v>
      </c>
      <c r="P357" s="51">
        <f t="shared" si="58"/>
        <v>0</v>
      </c>
      <c r="Q357" s="51">
        <f t="shared" si="59"/>
        <v>0</v>
      </c>
      <c r="R357" s="51">
        <f t="shared" si="62"/>
        <v>0</v>
      </c>
      <c r="S357"/>
      <c r="T357" s="83"/>
    </row>
    <row r="358" spans="1:20" ht="16" x14ac:dyDescent="0.2">
      <c r="A358"/>
      <c r="B358" s="103">
        <v>5</v>
      </c>
      <c r="C358" s="243"/>
      <c r="D358" s="119">
        <v>345</v>
      </c>
      <c r="E358" s="25" t="str">
        <f>Tp_CHG!S56</f>
        <v>Transition Probability from state 4 to state 2 on day 14 (CHG)</v>
      </c>
      <c r="F358" s="40">
        <f t="shared" si="57"/>
        <v>0</v>
      </c>
      <c r="G358" s="156">
        <v>1</v>
      </c>
      <c r="H358" s="120">
        <f>Tp_CHG!V56</f>
        <v>0</v>
      </c>
      <c r="I358" s="40" t="s">
        <v>58</v>
      </c>
      <c r="J358" s="40">
        <f t="shared" si="60"/>
        <v>0</v>
      </c>
      <c r="K358" s="40">
        <f t="shared" si="61"/>
        <v>0</v>
      </c>
      <c r="L358" s="40" t="s">
        <v>58</v>
      </c>
      <c r="M358" s="50" t="s">
        <v>266</v>
      </c>
      <c r="N358" s="190"/>
      <c r="O358" s="40">
        <f t="shared" ca="1" si="53"/>
        <v>0.94796559284492576</v>
      </c>
      <c r="P358" s="51">
        <f t="shared" si="58"/>
        <v>0</v>
      </c>
      <c r="Q358" s="51">
        <f t="shared" si="59"/>
        <v>0</v>
      </c>
      <c r="R358" s="51">
        <f t="shared" si="62"/>
        <v>0</v>
      </c>
      <c r="S358"/>
      <c r="T358" s="83"/>
    </row>
    <row r="359" spans="1:20" ht="16" x14ac:dyDescent="0.2">
      <c r="A359"/>
      <c r="B359" s="103">
        <v>6</v>
      </c>
      <c r="C359" s="243"/>
      <c r="D359" s="119">
        <v>346</v>
      </c>
      <c r="E359" s="25" t="str">
        <f>Tp_CHG!S57</f>
        <v>Transition Probability from state 4 to state 2 on day 15 (CHG)</v>
      </c>
      <c r="F359" s="40">
        <f t="shared" si="57"/>
        <v>0</v>
      </c>
      <c r="G359" s="156">
        <v>1</v>
      </c>
      <c r="H359" s="120">
        <f>Tp_CHG!V57</f>
        <v>0</v>
      </c>
      <c r="I359" s="40" t="s">
        <v>58</v>
      </c>
      <c r="J359" s="40">
        <f t="shared" si="60"/>
        <v>0</v>
      </c>
      <c r="K359" s="40">
        <f t="shared" si="61"/>
        <v>0</v>
      </c>
      <c r="L359" s="40" t="s">
        <v>58</v>
      </c>
      <c r="M359" s="50" t="s">
        <v>266</v>
      </c>
      <c r="N359" s="190"/>
      <c r="O359" s="40">
        <f t="shared" ca="1" si="53"/>
        <v>0.22232748560100402</v>
      </c>
      <c r="P359" s="51">
        <f t="shared" si="58"/>
        <v>0</v>
      </c>
      <c r="Q359" s="51">
        <f t="shared" si="59"/>
        <v>0</v>
      </c>
      <c r="R359" s="51">
        <f t="shared" si="62"/>
        <v>0</v>
      </c>
      <c r="S359"/>
      <c r="T359" s="83"/>
    </row>
    <row r="360" spans="1:20" ht="16" x14ac:dyDescent="0.2">
      <c r="A360"/>
      <c r="B360" s="103">
        <v>7</v>
      </c>
      <c r="C360" s="243"/>
      <c r="D360" s="119">
        <v>347</v>
      </c>
      <c r="E360" s="25" t="str">
        <f>Tp_CHG!S58</f>
        <v>Transition Probability from state 4 to state 2 on day 16 (CHG)</v>
      </c>
      <c r="F360" s="40">
        <f t="shared" si="57"/>
        <v>0</v>
      </c>
      <c r="G360" s="156">
        <v>1</v>
      </c>
      <c r="H360" s="120">
        <f>Tp_CHG!V58</f>
        <v>0</v>
      </c>
      <c r="I360" s="40" t="s">
        <v>58</v>
      </c>
      <c r="J360" s="40">
        <f t="shared" si="60"/>
        <v>0</v>
      </c>
      <c r="K360" s="40">
        <f t="shared" si="61"/>
        <v>0</v>
      </c>
      <c r="L360" s="40" t="s">
        <v>58</v>
      </c>
      <c r="M360" s="50" t="s">
        <v>266</v>
      </c>
      <c r="N360" s="190"/>
      <c r="O360" s="40">
        <f t="shared" ca="1" si="53"/>
        <v>0.68508786840577707</v>
      </c>
      <c r="P360" s="51">
        <f t="shared" si="58"/>
        <v>0</v>
      </c>
      <c r="Q360" s="51">
        <f t="shared" si="59"/>
        <v>0</v>
      </c>
      <c r="R360" s="51">
        <f t="shared" si="62"/>
        <v>0</v>
      </c>
      <c r="S360"/>
      <c r="T360" s="83"/>
    </row>
    <row r="361" spans="1:20" ht="16" x14ac:dyDescent="0.2">
      <c r="A361"/>
      <c r="B361" s="103">
        <v>8</v>
      </c>
      <c r="C361" s="243"/>
      <c r="D361" s="119">
        <v>348</v>
      </c>
      <c r="E361" s="25" t="str">
        <f>Tp_CHG!S59</f>
        <v>Transition Probability from state 4 to state 2 on day 17 (CHG)</v>
      </c>
      <c r="F361" s="40">
        <f t="shared" si="57"/>
        <v>0</v>
      </c>
      <c r="G361" s="156">
        <v>1</v>
      </c>
      <c r="H361" s="120">
        <f>Tp_CHG!V59</f>
        <v>0</v>
      </c>
      <c r="I361" s="40" t="s">
        <v>58</v>
      </c>
      <c r="J361" s="40">
        <f t="shared" si="60"/>
        <v>0</v>
      </c>
      <c r="K361" s="40">
        <f t="shared" si="61"/>
        <v>0</v>
      </c>
      <c r="L361" s="40" t="s">
        <v>58</v>
      </c>
      <c r="M361" s="50" t="s">
        <v>266</v>
      </c>
      <c r="N361" s="190"/>
      <c r="O361" s="40">
        <f t="shared" ref="O361:O420" ca="1" si="63">RAND()</f>
        <v>0.14171486439547976</v>
      </c>
      <c r="P361" s="51">
        <f t="shared" si="58"/>
        <v>0</v>
      </c>
      <c r="Q361" s="51">
        <f t="shared" si="59"/>
        <v>0</v>
      </c>
      <c r="R361" s="51">
        <f t="shared" si="62"/>
        <v>0</v>
      </c>
      <c r="S361"/>
      <c r="T361" s="83"/>
    </row>
    <row r="362" spans="1:20" ht="16" x14ac:dyDescent="0.2">
      <c r="A362"/>
      <c r="B362" s="103">
        <v>1</v>
      </c>
      <c r="C362" s="243"/>
      <c r="D362" s="119">
        <v>349</v>
      </c>
      <c r="E362" s="25" t="str">
        <f>Tp_CHG!S60</f>
        <v>Transition Probability from state 4 to state 2 on day 18 (CHG)</v>
      </c>
      <c r="F362" s="40">
        <f t="shared" si="57"/>
        <v>0</v>
      </c>
      <c r="G362" s="156">
        <v>1</v>
      </c>
      <c r="H362" s="120">
        <f>Tp_CHG!V60</f>
        <v>0</v>
      </c>
      <c r="I362" s="40" t="s">
        <v>58</v>
      </c>
      <c r="J362" s="40">
        <f t="shared" si="60"/>
        <v>0</v>
      </c>
      <c r="K362" s="40">
        <f t="shared" si="61"/>
        <v>0</v>
      </c>
      <c r="L362" s="40" t="s">
        <v>58</v>
      </c>
      <c r="M362" s="50" t="s">
        <v>266</v>
      </c>
      <c r="N362" s="190"/>
      <c r="O362" s="40">
        <f t="shared" ca="1" si="63"/>
        <v>5.1039842480661735E-2</v>
      </c>
      <c r="P362" s="51">
        <f t="shared" si="58"/>
        <v>0</v>
      </c>
      <c r="Q362" s="51">
        <f t="shared" si="59"/>
        <v>0</v>
      </c>
      <c r="R362" s="51">
        <f t="shared" si="62"/>
        <v>0</v>
      </c>
      <c r="S362"/>
      <c r="T362" s="83"/>
    </row>
    <row r="363" spans="1:20" ht="16" x14ac:dyDescent="0.2">
      <c r="A363"/>
      <c r="B363" s="103">
        <v>2</v>
      </c>
      <c r="C363" s="243"/>
      <c r="D363" s="119">
        <v>350</v>
      </c>
      <c r="E363" s="25" t="str">
        <f>Tp_CHG!S61</f>
        <v>Transition Probability from state 4 to state 2 on day 19 (CHG)</v>
      </c>
      <c r="F363" s="40">
        <f t="shared" si="57"/>
        <v>0</v>
      </c>
      <c r="G363" s="156">
        <v>1</v>
      </c>
      <c r="H363" s="120">
        <f>Tp_CHG!V61</f>
        <v>0</v>
      </c>
      <c r="I363" s="40" t="s">
        <v>58</v>
      </c>
      <c r="J363" s="40">
        <f t="shared" si="60"/>
        <v>0</v>
      </c>
      <c r="K363" s="40">
        <f t="shared" si="61"/>
        <v>0</v>
      </c>
      <c r="L363" s="40" t="s">
        <v>58</v>
      </c>
      <c r="M363" s="50" t="s">
        <v>266</v>
      </c>
      <c r="N363" s="190"/>
      <c r="O363" s="40">
        <f t="shared" ca="1" si="63"/>
        <v>0.61094276754385646</v>
      </c>
      <c r="P363" s="51">
        <f t="shared" si="58"/>
        <v>0</v>
      </c>
      <c r="Q363" s="51">
        <f t="shared" si="59"/>
        <v>0</v>
      </c>
      <c r="R363" s="51">
        <f t="shared" si="62"/>
        <v>0</v>
      </c>
      <c r="S363"/>
      <c r="T363" s="83"/>
    </row>
    <row r="364" spans="1:20" ht="16" x14ac:dyDescent="0.2">
      <c r="A364"/>
      <c r="B364" s="103">
        <v>3</v>
      </c>
      <c r="C364" s="243"/>
      <c r="D364" s="119">
        <v>351</v>
      </c>
      <c r="E364" s="25" t="str">
        <f>Tp_CHG!S62</f>
        <v>Transition Probability from state 4 to state 2 on day 20 (CHG)</v>
      </c>
      <c r="F364" s="40">
        <f t="shared" si="57"/>
        <v>0</v>
      </c>
      <c r="G364" s="156">
        <v>1</v>
      </c>
      <c r="H364" s="120">
        <f>Tp_CHG!V62</f>
        <v>0</v>
      </c>
      <c r="I364" s="40" t="s">
        <v>58</v>
      </c>
      <c r="J364" s="40">
        <f t="shared" si="60"/>
        <v>0</v>
      </c>
      <c r="K364" s="40">
        <f t="shared" si="61"/>
        <v>0</v>
      </c>
      <c r="L364" s="40" t="s">
        <v>58</v>
      </c>
      <c r="M364" s="50" t="s">
        <v>266</v>
      </c>
      <c r="N364" s="190"/>
      <c r="O364" s="40">
        <f t="shared" ca="1" si="63"/>
        <v>0.68125675428426635</v>
      </c>
      <c r="P364" s="51">
        <f t="shared" si="58"/>
        <v>0</v>
      </c>
      <c r="Q364" s="51">
        <f t="shared" si="59"/>
        <v>0</v>
      </c>
      <c r="R364" s="51">
        <f t="shared" si="62"/>
        <v>0</v>
      </c>
      <c r="S364"/>
      <c r="T364" s="83"/>
    </row>
    <row r="365" spans="1:20" ht="16" x14ac:dyDescent="0.2">
      <c r="A365"/>
      <c r="B365" s="103">
        <v>4</v>
      </c>
      <c r="C365" s="243"/>
      <c r="D365" s="119">
        <v>352</v>
      </c>
      <c r="E365" s="25" t="str">
        <f>Tp_CHG!S63</f>
        <v>Transition Probability from state 4 to state 2 on day 21 (CHG)</v>
      </c>
      <c r="F365" s="40">
        <f t="shared" si="57"/>
        <v>0</v>
      </c>
      <c r="G365" s="156">
        <v>1</v>
      </c>
      <c r="H365" s="120">
        <f>Tp_CHG!V63</f>
        <v>0</v>
      </c>
      <c r="I365" s="40" t="s">
        <v>58</v>
      </c>
      <c r="J365" s="40">
        <f t="shared" si="60"/>
        <v>0</v>
      </c>
      <c r="K365" s="40">
        <f t="shared" si="61"/>
        <v>0</v>
      </c>
      <c r="L365" s="40" t="s">
        <v>58</v>
      </c>
      <c r="M365" s="50" t="s">
        <v>266</v>
      </c>
      <c r="N365" s="190"/>
      <c r="O365" s="40">
        <f t="shared" ca="1" si="63"/>
        <v>0.20613428648503362</v>
      </c>
      <c r="P365" s="51">
        <f t="shared" si="58"/>
        <v>0</v>
      </c>
      <c r="Q365" s="51">
        <f t="shared" si="59"/>
        <v>0</v>
      </c>
      <c r="R365" s="51">
        <f t="shared" si="62"/>
        <v>0</v>
      </c>
      <c r="S365"/>
      <c r="T365" s="83"/>
    </row>
    <row r="366" spans="1:20" ht="16" x14ac:dyDescent="0.2">
      <c r="A366"/>
      <c r="B366" s="103">
        <v>5</v>
      </c>
      <c r="C366" s="243"/>
      <c r="D366" s="119">
        <v>353</v>
      </c>
      <c r="E366" s="25" t="str">
        <f>Tp_CHG!S64</f>
        <v>Transition Probability from state 4 to state 2 on day 22 (CHG)</v>
      </c>
      <c r="F366" s="40">
        <f t="shared" si="57"/>
        <v>0</v>
      </c>
      <c r="G366" s="156">
        <v>1</v>
      </c>
      <c r="H366" s="120">
        <f>Tp_CHG!V64</f>
        <v>0</v>
      </c>
      <c r="I366" s="40" t="s">
        <v>58</v>
      </c>
      <c r="J366" s="40">
        <f t="shared" si="60"/>
        <v>0</v>
      </c>
      <c r="K366" s="40">
        <f t="shared" si="61"/>
        <v>0</v>
      </c>
      <c r="L366" s="40" t="s">
        <v>58</v>
      </c>
      <c r="M366" s="50" t="s">
        <v>266</v>
      </c>
      <c r="N366" s="190"/>
      <c r="O366" s="40">
        <f t="shared" ca="1" si="63"/>
        <v>0.10339662812951544</v>
      </c>
      <c r="P366" s="51">
        <f t="shared" si="58"/>
        <v>0</v>
      </c>
      <c r="Q366" s="51">
        <f t="shared" si="59"/>
        <v>0</v>
      </c>
      <c r="R366" s="51">
        <f t="shared" si="62"/>
        <v>0</v>
      </c>
      <c r="S366"/>
      <c r="T366" s="83"/>
    </row>
    <row r="367" spans="1:20" ht="16" x14ac:dyDescent="0.2">
      <c r="A367"/>
      <c r="B367" s="103">
        <v>6</v>
      </c>
      <c r="C367" s="243"/>
      <c r="D367" s="119">
        <v>354</v>
      </c>
      <c r="E367" s="25" t="str">
        <f>Tp_CHG!S65</f>
        <v>Transition Probability from state 4 to state 2 on day 23 (CHG)</v>
      </c>
      <c r="F367" s="40">
        <f t="shared" si="57"/>
        <v>0</v>
      </c>
      <c r="G367" s="156">
        <v>1</v>
      </c>
      <c r="H367" s="120">
        <f>Tp_CHG!V65</f>
        <v>0</v>
      </c>
      <c r="I367" s="40" t="s">
        <v>58</v>
      </c>
      <c r="J367" s="40">
        <f t="shared" si="60"/>
        <v>0</v>
      </c>
      <c r="K367" s="40">
        <f t="shared" si="61"/>
        <v>0</v>
      </c>
      <c r="L367" s="40" t="s">
        <v>58</v>
      </c>
      <c r="M367" s="50" t="s">
        <v>266</v>
      </c>
      <c r="N367" s="190"/>
      <c r="O367" s="40">
        <f t="shared" ca="1" si="63"/>
        <v>0.48699499415616487</v>
      </c>
      <c r="P367" s="51">
        <f t="shared" si="58"/>
        <v>0</v>
      </c>
      <c r="Q367" s="51">
        <f t="shared" si="59"/>
        <v>0</v>
      </c>
      <c r="R367" s="51">
        <f t="shared" si="62"/>
        <v>0</v>
      </c>
      <c r="S367"/>
      <c r="T367" s="83"/>
    </row>
    <row r="368" spans="1:20" ht="16" x14ac:dyDescent="0.2">
      <c r="A368"/>
      <c r="B368" s="103">
        <v>7</v>
      </c>
      <c r="C368" s="243"/>
      <c r="D368" s="119">
        <v>355</v>
      </c>
      <c r="E368" s="25" t="str">
        <f>Tp_CHG!S66</f>
        <v>Transition Probability from state 4 to state 2 on day 24 (CHG)</v>
      </c>
      <c r="F368" s="40">
        <f t="shared" si="57"/>
        <v>0</v>
      </c>
      <c r="G368" s="156">
        <v>1</v>
      </c>
      <c r="H368" s="120">
        <f>Tp_CHG!V66</f>
        <v>0</v>
      </c>
      <c r="I368" s="40" t="s">
        <v>58</v>
      </c>
      <c r="J368" s="40">
        <f t="shared" si="60"/>
        <v>0</v>
      </c>
      <c r="K368" s="40">
        <f t="shared" si="61"/>
        <v>0</v>
      </c>
      <c r="L368" s="40" t="s">
        <v>58</v>
      </c>
      <c r="M368" s="50" t="s">
        <v>266</v>
      </c>
      <c r="N368" s="190"/>
      <c r="O368" s="40">
        <f t="shared" ca="1" si="63"/>
        <v>0.88184476742857321</v>
      </c>
      <c r="P368" s="51">
        <f t="shared" si="58"/>
        <v>0</v>
      </c>
      <c r="Q368" s="51">
        <f t="shared" si="59"/>
        <v>0</v>
      </c>
      <c r="R368" s="51">
        <f t="shared" si="62"/>
        <v>0</v>
      </c>
      <c r="S368"/>
      <c r="T368" s="83"/>
    </row>
    <row r="369" spans="1:20" ht="16" x14ac:dyDescent="0.2">
      <c r="A369"/>
      <c r="B369" s="103">
        <v>8</v>
      </c>
      <c r="C369" s="243"/>
      <c r="D369" s="119">
        <v>356</v>
      </c>
      <c r="E369" s="25" t="str">
        <f>Tp_CHG!S67</f>
        <v>Transition Probability from state 4 to state 2 on day 25 (CHG)</v>
      </c>
      <c r="F369" s="40">
        <f t="shared" si="57"/>
        <v>0</v>
      </c>
      <c r="G369" s="156">
        <v>1</v>
      </c>
      <c r="H369" s="120">
        <f>Tp_CHG!V67</f>
        <v>0</v>
      </c>
      <c r="I369" s="40" t="s">
        <v>58</v>
      </c>
      <c r="J369" s="40">
        <f t="shared" si="60"/>
        <v>0</v>
      </c>
      <c r="K369" s="40">
        <f t="shared" si="61"/>
        <v>0</v>
      </c>
      <c r="L369" s="40" t="s">
        <v>58</v>
      </c>
      <c r="M369" s="50" t="s">
        <v>266</v>
      </c>
      <c r="N369" s="190"/>
      <c r="O369" s="40">
        <f t="shared" ca="1" si="63"/>
        <v>7.4733817487223853E-2</v>
      </c>
      <c r="P369" s="51">
        <f t="shared" si="58"/>
        <v>0</v>
      </c>
      <c r="Q369" s="51">
        <f t="shared" si="59"/>
        <v>0</v>
      </c>
      <c r="R369" s="51">
        <f t="shared" si="62"/>
        <v>0</v>
      </c>
      <c r="S369"/>
      <c r="T369" s="83"/>
    </row>
    <row r="370" spans="1:20" ht="16" x14ac:dyDescent="0.2">
      <c r="A370"/>
      <c r="B370" s="103">
        <v>1</v>
      </c>
      <c r="C370" s="243"/>
      <c r="D370" s="119">
        <v>357</v>
      </c>
      <c r="E370" s="25" t="str">
        <f>Tp_CHG!S68</f>
        <v>Transition Probability from state 4 to state 2 on day 26 (CHG)</v>
      </c>
      <c r="F370" s="40">
        <f t="shared" si="57"/>
        <v>0</v>
      </c>
      <c r="G370" s="156">
        <v>1</v>
      </c>
      <c r="H370" s="120">
        <f>Tp_CHG!V68</f>
        <v>0</v>
      </c>
      <c r="I370" s="40" t="s">
        <v>58</v>
      </c>
      <c r="J370" s="40">
        <f t="shared" si="60"/>
        <v>0</v>
      </c>
      <c r="K370" s="40">
        <f t="shared" si="61"/>
        <v>0</v>
      </c>
      <c r="L370" s="40" t="s">
        <v>58</v>
      </c>
      <c r="M370" s="50" t="s">
        <v>266</v>
      </c>
      <c r="N370" s="190"/>
      <c r="O370" s="40">
        <f t="shared" ca="1" si="63"/>
        <v>0.57891782521603519</v>
      </c>
      <c r="P370" s="51">
        <f t="shared" si="58"/>
        <v>0</v>
      </c>
      <c r="Q370" s="51">
        <f t="shared" si="59"/>
        <v>0</v>
      </c>
      <c r="R370" s="51">
        <f t="shared" si="62"/>
        <v>0</v>
      </c>
      <c r="S370"/>
      <c r="T370" s="83"/>
    </row>
    <row r="371" spans="1:20" ht="16" x14ac:dyDescent="0.2">
      <c r="A371"/>
      <c r="B371" s="103">
        <v>2</v>
      </c>
      <c r="C371" s="243"/>
      <c r="D371" s="119">
        <v>358</v>
      </c>
      <c r="E371" s="25" t="str">
        <f>Tp_CHG!S69</f>
        <v>Transition Probability from state 4 to state 2 on day 27 (CHG)</v>
      </c>
      <c r="F371" s="40">
        <f t="shared" si="57"/>
        <v>0</v>
      </c>
      <c r="G371" s="156">
        <v>1</v>
      </c>
      <c r="H371" s="120">
        <f>Tp_CHG!V69</f>
        <v>0</v>
      </c>
      <c r="I371" s="40" t="s">
        <v>58</v>
      </c>
      <c r="J371" s="40">
        <f t="shared" si="60"/>
        <v>0</v>
      </c>
      <c r="K371" s="40">
        <f t="shared" si="61"/>
        <v>0</v>
      </c>
      <c r="L371" s="40" t="s">
        <v>58</v>
      </c>
      <c r="M371" s="50" t="s">
        <v>266</v>
      </c>
      <c r="N371" s="190"/>
      <c r="O371" s="40">
        <f t="shared" ca="1" si="63"/>
        <v>0.27306908940173502</v>
      </c>
      <c r="P371" s="51">
        <f t="shared" si="58"/>
        <v>0</v>
      </c>
      <c r="Q371" s="51">
        <f t="shared" si="59"/>
        <v>0</v>
      </c>
      <c r="R371" s="51">
        <f t="shared" si="62"/>
        <v>0</v>
      </c>
      <c r="S371"/>
      <c r="T371" s="83"/>
    </row>
    <row r="372" spans="1:20" ht="16" x14ac:dyDescent="0.2">
      <c r="A372"/>
      <c r="B372" s="103">
        <v>3</v>
      </c>
      <c r="C372" s="243"/>
      <c r="D372" s="119">
        <v>359</v>
      </c>
      <c r="E372" s="25" t="str">
        <f>Tp_CHG!S70</f>
        <v>Transition Probability from state 4 to state 2 on day 28 (CHG)</v>
      </c>
      <c r="F372" s="40">
        <f t="shared" si="57"/>
        <v>0</v>
      </c>
      <c r="G372" s="156">
        <v>1</v>
      </c>
      <c r="H372" s="120">
        <f>Tp_CHG!V70</f>
        <v>0</v>
      </c>
      <c r="I372" s="40" t="s">
        <v>58</v>
      </c>
      <c r="J372" s="40">
        <f t="shared" si="60"/>
        <v>0</v>
      </c>
      <c r="K372" s="40">
        <f t="shared" si="61"/>
        <v>0</v>
      </c>
      <c r="L372" s="40" t="s">
        <v>58</v>
      </c>
      <c r="M372" s="50" t="s">
        <v>266</v>
      </c>
      <c r="N372" s="190"/>
      <c r="O372" s="40">
        <f t="shared" ca="1" si="63"/>
        <v>0.6491079745634234</v>
      </c>
      <c r="P372" s="51">
        <f t="shared" si="58"/>
        <v>0</v>
      </c>
      <c r="Q372" s="51">
        <f t="shared" si="59"/>
        <v>0</v>
      </c>
      <c r="R372" s="51">
        <f t="shared" si="62"/>
        <v>0</v>
      </c>
      <c r="S372"/>
      <c r="T372" s="83"/>
    </row>
    <row r="373" spans="1:20" ht="16" x14ac:dyDescent="0.2">
      <c r="A373"/>
      <c r="B373" s="103">
        <v>4</v>
      </c>
      <c r="C373" s="243"/>
      <c r="D373" s="119">
        <v>360</v>
      </c>
      <c r="E373" s="25" t="str">
        <f>Tp_CHG!S71</f>
        <v>Transition Probability from state 4 to state 2 on day 29 (CHG)</v>
      </c>
      <c r="F373" s="40">
        <f t="shared" si="57"/>
        <v>0</v>
      </c>
      <c r="G373" s="156">
        <v>1</v>
      </c>
      <c r="H373" s="120">
        <f>Tp_CHG!V71</f>
        <v>0</v>
      </c>
      <c r="I373" s="40" t="s">
        <v>58</v>
      </c>
      <c r="J373" s="40">
        <f t="shared" si="60"/>
        <v>0</v>
      </c>
      <c r="K373" s="40">
        <f t="shared" si="61"/>
        <v>0</v>
      </c>
      <c r="L373" s="40" t="s">
        <v>58</v>
      </c>
      <c r="M373" s="50" t="s">
        <v>266</v>
      </c>
      <c r="N373" s="190"/>
      <c r="O373" s="40">
        <f t="shared" ca="1" si="63"/>
        <v>0.25682777233895637</v>
      </c>
      <c r="P373" s="51">
        <f t="shared" si="58"/>
        <v>0</v>
      </c>
      <c r="Q373" s="51">
        <f t="shared" si="59"/>
        <v>0</v>
      </c>
      <c r="R373" s="51">
        <f t="shared" si="62"/>
        <v>0</v>
      </c>
      <c r="S373"/>
      <c r="T373" s="83"/>
    </row>
    <row r="374" spans="1:20" ht="16" x14ac:dyDescent="0.2">
      <c r="A374"/>
      <c r="B374" s="103">
        <v>5</v>
      </c>
      <c r="C374" s="243"/>
      <c r="D374" s="119">
        <v>361</v>
      </c>
      <c r="E374" s="25" t="str">
        <f>Tp_CHG!S72</f>
        <v>Transition Probability from state 4 to state 2 on day 30 (CHG)</v>
      </c>
      <c r="F374" s="40">
        <f t="shared" si="57"/>
        <v>0</v>
      </c>
      <c r="G374" s="156">
        <v>1</v>
      </c>
      <c r="H374" s="120">
        <f>Tp_CHG!V72</f>
        <v>0</v>
      </c>
      <c r="I374" s="40" t="s">
        <v>58</v>
      </c>
      <c r="J374" s="40">
        <f t="shared" si="60"/>
        <v>0</v>
      </c>
      <c r="K374" s="40">
        <f t="shared" si="61"/>
        <v>0</v>
      </c>
      <c r="L374" s="40" t="s">
        <v>58</v>
      </c>
      <c r="M374" s="50" t="s">
        <v>266</v>
      </c>
      <c r="N374" s="190"/>
      <c r="O374" s="40">
        <f t="shared" ca="1" si="63"/>
        <v>0.37235833694941556</v>
      </c>
      <c r="P374" s="51">
        <f t="shared" si="58"/>
        <v>0</v>
      </c>
      <c r="Q374" s="51">
        <f t="shared" si="59"/>
        <v>0</v>
      </c>
      <c r="R374" s="51">
        <f t="shared" si="62"/>
        <v>0</v>
      </c>
      <c r="S374"/>
      <c r="T374" s="83"/>
    </row>
    <row r="375" spans="1:20" ht="16" x14ac:dyDescent="0.2">
      <c r="A375"/>
      <c r="B375" s="103">
        <v>6</v>
      </c>
      <c r="C375" s="243"/>
      <c r="D375" s="119">
        <v>362</v>
      </c>
      <c r="E375" s="25" t="str">
        <f>Tp_CHG!X43</f>
        <v>Transition Probability from state 6 to state 2 on day 1 (CHG)</v>
      </c>
      <c r="F375" s="40">
        <f t="shared" si="57"/>
        <v>0</v>
      </c>
      <c r="G375" s="156">
        <v>1</v>
      </c>
      <c r="H375" s="120">
        <f>Tp_CHG!AA43</f>
        <v>0</v>
      </c>
      <c r="I375" s="40" t="s">
        <v>58</v>
      </c>
      <c r="J375" s="40">
        <f t="shared" si="60"/>
        <v>0</v>
      </c>
      <c r="K375" s="40">
        <f t="shared" si="61"/>
        <v>0</v>
      </c>
      <c r="L375" s="40" t="s">
        <v>58</v>
      </c>
      <c r="M375" s="50" t="s">
        <v>266</v>
      </c>
      <c r="N375" s="190"/>
      <c r="O375" s="40">
        <f t="shared" ca="1" si="63"/>
        <v>0.98722034348921972</v>
      </c>
      <c r="P375" s="51">
        <f t="shared" si="58"/>
        <v>0</v>
      </c>
      <c r="Q375" s="51">
        <f t="shared" si="59"/>
        <v>0</v>
      </c>
      <c r="R375" s="51">
        <f t="shared" si="62"/>
        <v>0</v>
      </c>
      <c r="S375"/>
      <c r="T375" s="83"/>
    </row>
    <row r="376" spans="1:20" ht="16" x14ac:dyDescent="0.2">
      <c r="A376"/>
      <c r="B376" s="103">
        <v>7</v>
      </c>
      <c r="C376" s="243"/>
      <c r="D376" s="119">
        <v>363</v>
      </c>
      <c r="E376" s="25" t="str">
        <f>Tp_CHG!X44</f>
        <v>Transition Probability from state 6 to state 2 on day 2 (CHG)</v>
      </c>
      <c r="F376" s="40">
        <f t="shared" si="57"/>
        <v>0</v>
      </c>
      <c r="G376" s="156">
        <v>1</v>
      </c>
      <c r="H376" s="120">
        <f>Tp_CHG!AA44</f>
        <v>0</v>
      </c>
      <c r="I376" s="40" t="s">
        <v>58</v>
      </c>
      <c r="J376" s="40">
        <f t="shared" si="60"/>
        <v>0</v>
      </c>
      <c r="K376" s="40">
        <f t="shared" si="61"/>
        <v>0</v>
      </c>
      <c r="L376" s="40" t="s">
        <v>58</v>
      </c>
      <c r="M376" s="50" t="s">
        <v>266</v>
      </c>
      <c r="N376" s="190"/>
      <c r="O376" s="40">
        <f t="shared" ca="1" si="63"/>
        <v>0.99520081543263483</v>
      </c>
      <c r="P376" s="51">
        <f t="shared" si="58"/>
        <v>0</v>
      </c>
      <c r="Q376" s="51">
        <f t="shared" si="59"/>
        <v>0</v>
      </c>
      <c r="R376" s="51">
        <f t="shared" si="62"/>
        <v>0</v>
      </c>
      <c r="S376"/>
      <c r="T376" s="83"/>
    </row>
    <row r="377" spans="1:20" ht="16" x14ac:dyDescent="0.2">
      <c r="A377"/>
      <c r="B377" s="103">
        <v>8</v>
      </c>
      <c r="C377" s="243"/>
      <c r="D377" s="119">
        <v>364</v>
      </c>
      <c r="E377" s="25" t="str">
        <f>Tp_CHG!X45</f>
        <v>Transition Probability from state 6 to state 2 on day 3 (CHG)</v>
      </c>
      <c r="F377" s="40">
        <f t="shared" si="57"/>
        <v>0</v>
      </c>
      <c r="G377" s="156">
        <v>1</v>
      </c>
      <c r="H377" s="120">
        <f>Tp_CHG!AA45</f>
        <v>0</v>
      </c>
      <c r="I377" s="40" t="s">
        <v>58</v>
      </c>
      <c r="J377" s="40">
        <f t="shared" si="60"/>
        <v>0</v>
      </c>
      <c r="K377" s="40">
        <f t="shared" si="61"/>
        <v>0</v>
      </c>
      <c r="L377" s="40" t="s">
        <v>58</v>
      </c>
      <c r="M377" s="50" t="s">
        <v>266</v>
      </c>
      <c r="N377" s="190"/>
      <c r="O377" s="40">
        <f t="shared" ca="1" si="63"/>
        <v>0.70486990456821608</v>
      </c>
      <c r="P377" s="51">
        <f t="shared" si="58"/>
        <v>0</v>
      </c>
      <c r="Q377" s="51">
        <f t="shared" si="59"/>
        <v>0</v>
      </c>
      <c r="R377" s="51">
        <f t="shared" si="62"/>
        <v>0</v>
      </c>
      <c r="S377"/>
      <c r="T377" s="83"/>
    </row>
    <row r="378" spans="1:20" ht="16" x14ac:dyDescent="0.2">
      <c r="A378"/>
      <c r="B378" s="103">
        <v>1</v>
      </c>
      <c r="C378" s="243"/>
      <c r="D378" s="119">
        <v>365</v>
      </c>
      <c r="E378" s="25" t="str">
        <f>Tp_CHG!X46</f>
        <v>Transition Probability from state 6 to state 2 on day 4 (CHG)</v>
      </c>
      <c r="F378" s="40">
        <f t="shared" si="57"/>
        <v>0</v>
      </c>
      <c r="G378" s="156">
        <v>1</v>
      </c>
      <c r="H378" s="120">
        <f>Tp_CHG!AA46</f>
        <v>0</v>
      </c>
      <c r="I378" s="40" t="s">
        <v>58</v>
      </c>
      <c r="J378" s="40">
        <f t="shared" si="60"/>
        <v>0</v>
      </c>
      <c r="K378" s="40">
        <f t="shared" si="61"/>
        <v>0</v>
      </c>
      <c r="L378" s="40" t="s">
        <v>58</v>
      </c>
      <c r="M378" s="50" t="s">
        <v>266</v>
      </c>
      <c r="N378" s="190"/>
      <c r="O378" s="40">
        <f t="shared" ca="1" si="63"/>
        <v>0.44856245135004025</v>
      </c>
      <c r="P378" s="51">
        <f t="shared" si="58"/>
        <v>0</v>
      </c>
      <c r="Q378" s="51">
        <f t="shared" si="59"/>
        <v>0</v>
      </c>
      <c r="R378" s="51">
        <f t="shared" si="62"/>
        <v>0</v>
      </c>
      <c r="S378"/>
      <c r="T378" s="83"/>
    </row>
    <row r="379" spans="1:20" ht="16" x14ac:dyDescent="0.2">
      <c r="A379"/>
      <c r="B379" s="103">
        <v>2</v>
      </c>
      <c r="C379" s="243"/>
      <c r="D379" s="119">
        <v>366</v>
      </c>
      <c r="E379" s="25" t="str">
        <f>Tp_CHG!X47</f>
        <v>Transition Probability from state 6 to state 2 on day 5 (CHG)</v>
      </c>
      <c r="F379" s="40">
        <f t="shared" si="57"/>
        <v>0</v>
      </c>
      <c r="G379" s="156">
        <v>1</v>
      </c>
      <c r="H379" s="120">
        <f>Tp_CHG!AA47</f>
        <v>0</v>
      </c>
      <c r="I379" s="40" t="s">
        <v>58</v>
      </c>
      <c r="J379" s="40">
        <f t="shared" si="60"/>
        <v>0</v>
      </c>
      <c r="K379" s="40">
        <f t="shared" si="61"/>
        <v>0</v>
      </c>
      <c r="L379" s="40" t="s">
        <v>58</v>
      </c>
      <c r="M379" s="50" t="s">
        <v>266</v>
      </c>
      <c r="N379" s="190"/>
      <c r="O379" s="40">
        <f t="shared" ca="1" si="63"/>
        <v>0.80336915330804026</v>
      </c>
      <c r="P379" s="51">
        <f t="shared" si="58"/>
        <v>0</v>
      </c>
      <c r="Q379" s="51">
        <f t="shared" si="59"/>
        <v>0</v>
      </c>
      <c r="R379" s="51">
        <f t="shared" si="62"/>
        <v>0</v>
      </c>
      <c r="S379"/>
      <c r="T379" s="83"/>
    </row>
    <row r="380" spans="1:20" ht="16" x14ac:dyDescent="0.2">
      <c r="A380"/>
      <c r="B380" s="103">
        <v>3</v>
      </c>
      <c r="C380" s="243"/>
      <c r="D380" s="119">
        <v>367</v>
      </c>
      <c r="E380" s="25" t="str">
        <f>Tp_CHG!X48</f>
        <v>Transition Probability from state 6 to state 2 on day 6 (CHG)</v>
      </c>
      <c r="F380" s="40">
        <f t="shared" si="57"/>
        <v>0</v>
      </c>
      <c r="G380" s="156">
        <v>1</v>
      </c>
      <c r="H380" s="120">
        <f>Tp_CHG!AA48</f>
        <v>0</v>
      </c>
      <c r="I380" s="40" t="s">
        <v>58</v>
      </c>
      <c r="J380" s="40">
        <f t="shared" si="60"/>
        <v>0</v>
      </c>
      <c r="K380" s="40">
        <f t="shared" si="61"/>
        <v>0</v>
      </c>
      <c r="L380" s="40" t="s">
        <v>58</v>
      </c>
      <c r="M380" s="50" t="s">
        <v>266</v>
      </c>
      <c r="N380" s="190"/>
      <c r="O380" s="40">
        <f t="shared" ca="1" si="63"/>
        <v>0.21658624047239983</v>
      </c>
      <c r="P380" s="51">
        <f t="shared" si="58"/>
        <v>0</v>
      </c>
      <c r="Q380" s="51">
        <f t="shared" si="59"/>
        <v>0</v>
      </c>
      <c r="R380" s="51">
        <f t="shared" si="62"/>
        <v>0</v>
      </c>
      <c r="S380"/>
      <c r="T380" s="83"/>
    </row>
    <row r="381" spans="1:20" ht="16" x14ac:dyDescent="0.2">
      <c r="A381"/>
      <c r="B381" s="103">
        <v>4</v>
      </c>
      <c r="C381" s="243"/>
      <c r="D381" s="119">
        <v>368</v>
      </c>
      <c r="E381" s="25" t="str">
        <f>Tp_CHG!X49</f>
        <v>Transition Probability from state 6 to state 2 on day 7 (CHG)</v>
      </c>
      <c r="F381" s="40">
        <f t="shared" si="57"/>
        <v>0</v>
      </c>
      <c r="G381" s="156">
        <v>1</v>
      </c>
      <c r="H381" s="120">
        <f>Tp_CHG!AA49</f>
        <v>0</v>
      </c>
      <c r="I381" s="40" t="s">
        <v>58</v>
      </c>
      <c r="J381" s="40">
        <f t="shared" si="60"/>
        <v>0</v>
      </c>
      <c r="K381" s="40">
        <f t="shared" si="61"/>
        <v>0</v>
      </c>
      <c r="L381" s="40" t="s">
        <v>58</v>
      </c>
      <c r="M381" s="50" t="s">
        <v>266</v>
      </c>
      <c r="N381" s="190"/>
      <c r="O381" s="40">
        <f t="shared" ca="1" si="63"/>
        <v>0.57549491595208913</v>
      </c>
      <c r="P381" s="51">
        <f t="shared" si="58"/>
        <v>0</v>
      </c>
      <c r="Q381" s="51">
        <f t="shared" si="59"/>
        <v>0</v>
      </c>
      <c r="R381" s="51">
        <f t="shared" si="62"/>
        <v>0</v>
      </c>
      <c r="S381"/>
      <c r="T381" s="83"/>
    </row>
    <row r="382" spans="1:20" ht="16" x14ac:dyDescent="0.2">
      <c r="A382"/>
      <c r="B382" s="103">
        <v>5</v>
      </c>
      <c r="C382" s="243"/>
      <c r="D382" s="119">
        <v>369</v>
      </c>
      <c r="E382" s="25" t="str">
        <f>Tp_CHG!X50</f>
        <v>Transition Probability from state 6 to state 2 on day 8 (CHG)</v>
      </c>
      <c r="F382" s="40">
        <f t="shared" si="57"/>
        <v>0</v>
      </c>
      <c r="G382" s="156">
        <v>1</v>
      </c>
      <c r="H382" s="120">
        <f>Tp_CHG!AA50</f>
        <v>0</v>
      </c>
      <c r="I382" s="40" t="s">
        <v>58</v>
      </c>
      <c r="J382" s="40">
        <f t="shared" si="60"/>
        <v>0</v>
      </c>
      <c r="K382" s="40">
        <f t="shared" si="61"/>
        <v>0</v>
      </c>
      <c r="L382" s="40" t="s">
        <v>58</v>
      </c>
      <c r="M382" s="50" t="s">
        <v>266</v>
      </c>
      <c r="N382" s="190"/>
      <c r="O382" s="40">
        <f t="shared" ca="1" si="63"/>
        <v>0.13191528945613717</v>
      </c>
      <c r="P382" s="51">
        <f t="shared" si="58"/>
        <v>0</v>
      </c>
      <c r="Q382" s="51">
        <f t="shared" si="59"/>
        <v>0</v>
      </c>
      <c r="R382" s="51">
        <f t="shared" si="62"/>
        <v>0</v>
      </c>
      <c r="S382"/>
      <c r="T382" s="83"/>
    </row>
    <row r="383" spans="1:20" ht="16" x14ac:dyDescent="0.2">
      <c r="A383"/>
      <c r="B383" s="103">
        <v>6</v>
      </c>
      <c r="C383" s="243"/>
      <c r="D383" s="119">
        <v>370</v>
      </c>
      <c r="E383" s="25" t="str">
        <f>Tp_CHG!X51</f>
        <v>Transition Probability from state 6 to state 2 on day 9 (CHG)</v>
      </c>
      <c r="F383" s="40">
        <f t="shared" si="57"/>
        <v>0</v>
      </c>
      <c r="G383" s="156">
        <v>1</v>
      </c>
      <c r="H383" s="120">
        <f>Tp_CHG!AA51</f>
        <v>0</v>
      </c>
      <c r="I383" s="40" t="s">
        <v>58</v>
      </c>
      <c r="J383" s="40">
        <f t="shared" si="60"/>
        <v>0</v>
      </c>
      <c r="K383" s="40">
        <f t="shared" si="61"/>
        <v>0</v>
      </c>
      <c r="L383" s="40" t="s">
        <v>58</v>
      </c>
      <c r="M383" s="50" t="s">
        <v>266</v>
      </c>
      <c r="N383" s="190"/>
      <c r="O383" s="40">
        <f t="shared" ca="1" si="63"/>
        <v>0.93314682679704219</v>
      </c>
      <c r="P383" s="51">
        <f t="shared" si="58"/>
        <v>0</v>
      </c>
      <c r="Q383" s="51">
        <f t="shared" si="59"/>
        <v>0</v>
      </c>
      <c r="R383" s="51">
        <f t="shared" si="62"/>
        <v>0</v>
      </c>
      <c r="S383"/>
      <c r="T383" s="83"/>
    </row>
    <row r="384" spans="1:20" ht="16" x14ac:dyDescent="0.2">
      <c r="A384"/>
      <c r="B384" s="103">
        <v>7</v>
      </c>
      <c r="C384" s="243"/>
      <c r="D384" s="119">
        <v>371</v>
      </c>
      <c r="E384" s="25" t="str">
        <f>Tp_CHG!X52</f>
        <v>Transition Probability from state 6 to state 2 on day 10 (CHG)</v>
      </c>
      <c r="F384" s="40">
        <f t="shared" si="57"/>
        <v>0</v>
      </c>
      <c r="G384" s="156">
        <v>1</v>
      </c>
      <c r="H384" s="120">
        <f>Tp_CHG!AA52</f>
        <v>0</v>
      </c>
      <c r="I384" s="40" t="s">
        <v>58</v>
      </c>
      <c r="J384" s="40">
        <f t="shared" si="60"/>
        <v>0</v>
      </c>
      <c r="K384" s="40">
        <f t="shared" si="61"/>
        <v>0</v>
      </c>
      <c r="L384" s="40" t="s">
        <v>58</v>
      </c>
      <c r="M384" s="50" t="s">
        <v>266</v>
      </c>
      <c r="N384" s="190"/>
      <c r="O384" s="40">
        <f t="shared" ca="1" si="63"/>
        <v>0.30064754396681126</v>
      </c>
      <c r="P384" s="51">
        <f t="shared" si="58"/>
        <v>0</v>
      </c>
      <c r="Q384" s="51">
        <f t="shared" si="59"/>
        <v>0</v>
      </c>
      <c r="R384" s="51">
        <f t="shared" si="62"/>
        <v>0</v>
      </c>
      <c r="S384"/>
      <c r="T384" s="83"/>
    </row>
    <row r="385" spans="1:20" ht="16" x14ac:dyDescent="0.2">
      <c r="A385"/>
      <c r="B385" s="103">
        <v>8</v>
      </c>
      <c r="C385" s="243"/>
      <c r="D385" s="119">
        <v>372</v>
      </c>
      <c r="E385" s="25" t="str">
        <f>Tp_CHG!X53</f>
        <v>Transition Probability from state 6 to state 2 on day 11 (CHG)</v>
      </c>
      <c r="F385" s="40">
        <f t="shared" si="57"/>
        <v>0</v>
      </c>
      <c r="G385" s="156">
        <v>1</v>
      </c>
      <c r="H385" s="120">
        <f>Tp_CHG!AA53</f>
        <v>0</v>
      </c>
      <c r="I385" s="40" t="s">
        <v>58</v>
      </c>
      <c r="J385" s="40">
        <f t="shared" ref="J385:J400" si="64">IF(H385=0,0,_xlfn.NORM.INV(0.025,H385,R385))</f>
        <v>0</v>
      </c>
      <c r="K385" s="40">
        <f t="shared" ref="K385:K400" si="65">IF(H385=0,0,_xlfn.NORM.INV(0.975,H385,R385))</f>
        <v>0</v>
      </c>
      <c r="L385" s="40" t="s">
        <v>58</v>
      </c>
      <c r="M385" s="50" t="s">
        <v>266</v>
      </c>
      <c r="N385" s="190"/>
      <c r="O385" s="40">
        <f t="shared" ca="1" si="63"/>
        <v>0.26610015152618949</v>
      </c>
      <c r="P385" s="51">
        <f t="shared" si="58"/>
        <v>0</v>
      </c>
      <c r="Q385" s="51">
        <f t="shared" si="59"/>
        <v>0</v>
      </c>
      <c r="R385" s="51">
        <f t="shared" ref="R385:R400" si="66">assumedSE*H385</f>
        <v>0</v>
      </c>
      <c r="S385"/>
      <c r="T385" s="83"/>
    </row>
    <row r="386" spans="1:20" ht="16" x14ac:dyDescent="0.2">
      <c r="A386"/>
      <c r="B386" s="103">
        <v>2</v>
      </c>
      <c r="C386" s="243"/>
      <c r="D386" s="119">
        <v>373</v>
      </c>
      <c r="E386" s="25" t="str">
        <f>Tp_CHG!X55</f>
        <v>Transition Probability from state 6 to state 2 on day 13 (CHG)</v>
      </c>
      <c r="F386" s="40">
        <f t="shared" si="57"/>
        <v>0</v>
      </c>
      <c r="G386" s="156">
        <v>1</v>
      </c>
      <c r="H386" s="120">
        <f>Tp_CHG!AA55</f>
        <v>0</v>
      </c>
      <c r="I386" s="40" t="s">
        <v>58</v>
      </c>
      <c r="J386" s="40">
        <f t="shared" si="64"/>
        <v>0</v>
      </c>
      <c r="K386" s="40">
        <f t="shared" si="65"/>
        <v>0</v>
      </c>
      <c r="L386" s="40" t="s">
        <v>58</v>
      </c>
      <c r="M386" s="50" t="s">
        <v>266</v>
      </c>
      <c r="N386" s="190"/>
      <c r="O386" s="40">
        <f t="shared" ca="1" si="63"/>
        <v>0.50874138518353107</v>
      </c>
      <c r="P386" s="51">
        <f t="shared" si="58"/>
        <v>0</v>
      </c>
      <c r="Q386" s="51">
        <f t="shared" si="59"/>
        <v>0</v>
      </c>
      <c r="R386" s="51">
        <f t="shared" si="66"/>
        <v>0</v>
      </c>
      <c r="S386"/>
      <c r="T386" s="83"/>
    </row>
    <row r="387" spans="1:20" ht="16" x14ac:dyDescent="0.2">
      <c r="A387"/>
      <c r="B387" s="103">
        <v>3</v>
      </c>
      <c r="C387" s="243"/>
      <c r="D387" s="119">
        <v>374</v>
      </c>
      <c r="E387" s="25" t="str">
        <f>Tp_CHG!X56</f>
        <v>Transition Probability from state 6 to state 2 on day 14 (CHG)</v>
      </c>
      <c r="F387" s="40">
        <f t="shared" si="57"/>
        <v>0</v>
      </c>
      <c r="G387" s="156">
        <v>1</v>
      </c>
      <c r="H387" s="120">
        <f>Tp_CHG!AA56</f>
        <v>0</v>
      </c>
      <c r="I387" s="40" t="s">
        <v>58</v>
      </c>
      <c r="J387" s="40">
        <f t="shared" si="64"/>
        <v>0</v>
      </c>
      <c r="K387" s="40">
        <f t="shared" si="65"/>
        <v>0</v>
      </c>
      <c r="L387" s="40" t="s">
        <v>58</v>
      </c>
      <c r="M387" s="50" t="s">
        <v>266</v>
      </c>
      <c r="N387" s="190"/>
      <c r="O387" s="40">
        <f t="shared" ca="1" si="63"/>
        <v>0.53359581189166938</v>
      </c>
      <c r="P387" s="51">
        <f t="shared" si="58"/>
        <v>0</v>
      </c>
      <c r="Q387" s="51">
        <f t="shared" si="59"/>
        <v>0</v>
      </c>
      <c r="R387" s="51">
        <f t="shared" si="66"/>
        <v>0</v>
      </c>
      <c r="S387"/>
      <c r="T387" s="83"/>
    </row>
    <row r="388" spans="1:20" ht="16" x14ac:dyDescent="0.2">
      <c r="A388"/>
      <c r="B388" s="103">
        <v>4</v>
      </c>
      <c r="C388" s="243"/>
      <c r="D388" s="119">
        <v>375</v>
      </c>
      <c r="E388" s="25" t="str">
        <f>Tp_CHG!X57</f>
        <v>Transition Probability from state 6 to state 2 on day 15 (CHG)</v>
      </c>
      <c r="F388" s="40">
        <f t="shared" si="57"/>
        <v>0</v>
      </c>
      <c r="G388" s="156">
        <v>1</v>
      </c>
      <c r="H388" s="120">
        <f>Tp_CHG!AA57</f>
        <v>0</v>
      </c>
      <c r="I388" s="40" t="s">
        <v>58</v>
      </c>
      <c r="J388" s="40">
        <f t="shared" si="64"/>
        <v>0</v>
      </c>
      <c r="K388" s="40">
        <f t="shared" si="65"/>
        <v>0</v>
      </c>
      <c r="L388" s="40" t="s">
        <v>58</v>
      </c>
      <c r="M388" s="50" t="s">
        <v>266</v>
      </c>
      <c r="N388" s="190"/>
      <c r="O388" s="40">
        <f t="shared" ca="1" si="63"/>
        <v>0.54967997480477659</v>
      </c>
      <c r="P388" s="51">
        <f t="shared" si="58"/>
        <v>0</v>
      </c>
      <c r="Q388" s="51">
        <f t="shared" si="59"/>
        <v>0</v>
      </c>
      <c r="R388" s="51">
        <f t="shared" si="66"/>
        <v>0</v>
      </c>
      <c r="S388"/>
      <c r="T388" s="83"/>
    </row>
    <row r="389" spans="1:20" ht="16" x14ac:dyDescent="0.2">
      <c r="A389"/>
      <c r="B389" s="103">
        <v>5</v>
      </c>
      <c r="C389" s="243"/>
      <c r="D389" s="119">
        <v>376</v>
      </c>
      <c r="E389" s="25" t="str">
        <f>Tp_CHG!X58</f>
        <v>Transition Probability from state 6 to state 2 on day 16 (CHG)</v>
      </c>
      <c r="F389" s="40">
        <f t="shared" si="57"/>
        <v>0</v>
      </c>
      <c r="G389" s="156">
        <v>1</v>
      </c>
      <c r="H389" s="120">
        <f>Tp_CHG!AA58</f>
        <v>0</v>
      </c>
      <c r="I389" s="40" t="s">
        <v>58</v>
      </c>
      <c r="J389" s="40">
        <f t="shared" si="64"/>
        <v>0</v>
      </c>
      <c r="K389" s="40">
        <f t="shared" si="65"/>
        <v>0</v>
      </c>
      <c r="L389" s="40" t="s">
        <v>58</v>
      </c>
      <c r="M389" s="50" t="s">
        <v>266</v>
      </c>
      <c r="N389" s="190"/>
      <c r="O389" s="40">
        <f t="shared" ca="1" si="63"/>
        <v>0.44792202078006715</v>
      </c>
      <c r="P389" s="51">
        <f t="shared" si="58"/>
        <v>0</v>
      </c>
      <c r="Q389" s="51">
        <f t="shared" si="59"/>
        <v>0</v>
      </c>
      <c r="R389" s="51">
        <f t="shared" si="66"/>
        <v>0</v>
      </c>
      <c r="S389"/>
      <c r="T389" s="83"/>
    </row>
    <row r="390" spans="1:20" ht="16" x14ac:dyDescent="0.2">
      <c r="A390"/>
      <c r="B390" s="103">
        <v>7</v>
      </c>
      <c r="C390" s="243"/>
      <c r="D390" s="119">
        <v>377</v>
      </c>
      <c r="E390" s="25" t="str">
        <f>Tp_CHG!X60</f>
        <v>Transition Probability from state 6 to state 2 on day 18 (CHG)</v>
      </c>
      <c r="F390" s="40">
        <f t="shared" si="57"/>
        <v>0</v>
      </c>
      <c r="G390" s="156">
        <v>1</v>
      </c>
      <c r="H390" s="120">
        <f>Tp_CHG!AA60</f>
        <v>0</v>
      </c>
      <c r="I390" s="40" t="s">
        <v>58</v>
      </c>
      <c r="J390" s="40">
        <f t="shared" si="64"/>
        <v>0</v>
      </c>
      <c r="K390" s="40">
        <f t="shared" si="65"/>
        <v>0</v>
      </c>
      <c r="L390" s="40" t="s">
        <v>58</v>
      </c>
      <c r="M390" s="50" t="s">
        <v>266</v>
      </c>
      <c r="N390" s="190"/>
      <c r="O390" s="40">
        <f t="shared" ca="1" si="63"/>
        <v>0.21882018884882848</v>
      </c>
      <c r="P390" s="51">
        <f t="shared" si="58"/>
        <v>0</v>
      </c>
      <c r="Q390" s="51">
        <f t="shared" si="59"/>
        <v>0</v>
      </c>
      <c r="R390" s="51">
        <f t="shared" si="66"/>
        <v>0</v>
      </c>
      <c r="S390"/>
      <c r="T390" s="83"/>
    </row>
    <row r="391" spans="1:20" ht="16" x14ac:dyDescent="0.2">
      <c r="A391"/>
      <c r="B391" s="103">
        <v>8</v>
      </c>
      <c r="C391" s="243"/>
      <c r="D391" s="119">
        <v>378</v>
      </c>
      <c r="E391" s="25" t="str">
        <f>Tp_CHG!X61</f>
        <v>Transition Probability from state 6 to state 2 on day 19 (CHG)</v>
      </c>
      <c r="F391" s="40">
        <f t="shared" si="57"/>
        <v>0</v>
      </c>
      <c r="G391" s="156">
        <v>1</v>
      </c>
      <c r="H391" s="120">
        <f>Tp_CHG!AA61</f>
        <v>0</v>
      </c>
      <c r="I391" s="40" t="s">
        <v>58</v>
      </c>
      <c r="J391" s="40">
        <f t="shared" si="64"/>
        <v>0</v>
      </c>
      <c r="K391" s="40">
        <f t="shared" si="65"/>
        <v>0</v>
      </c>
      <c r="L391" s="40" t="s">
        <v>58</v>
      </c>
      <c r="M391" s="50" t="s">
        <v>266</v>
      </c>
      <c r="N391" s="190"/>
      <c r="O391" s="40">
        <f t="shared" ca="1" si="63"/>
        <v>0.23725292275501497</v>
      </c>
      <c r="P391" s="51">
        <f t="shared" si="58"/>
        <v>0</v>
      </c>
      <c r="Q391" s="51">
        <f t="shared" si="59"/>
        <v>0</v>
      </c>
      <c r="R391" s="51">
        <f t="shared" si="66"/>
        <v>0</v>
      </c>
      <c r="S391"/>
      <c r="T391" s="83"/>
    </row>
    <row r="392" spans="1:20" ht="16" x14ac:dyDescent="0.2">
      <c r="A392"/>
      <c r="B392" s="103">
        <v>1</v>
      </c>
      <c r="C392" s="243"/>
      <c r="D392" s="119">
        <v>379</v>
      </c>
      <c r="E392" s="25" t="str">
        <f>Tp_CHG!X62</f>
        <v>Transition Probability from state 6 to state 2 on day 20 (CHG)</v>
      </c>
      <c r="F392" s="40">
        <f t="shared" si="57"/>
        <v>0</v>
      </c>
      <c r="G392" s="156">
        <v>1</v>
      </c>
      <c r="H392" s="120">
        <f>Tp_CHG!AA62</f>
        <v>0</v>
      </c>
      <c r="I392" s="40" t="s">
        <v>58</v>
      </c>
      <c r="J392" s="40">
        <f t="shared" si="64"/>
        <v>0</v>
      </c>
      <c r="K392" s="40">
        <f t="shared" si="65"/>
        <v>0</v>
      </c>
      <c r="L392" s="40" t="s">
        <v>58</v>
      </c>
      <c r="M392" s="50" t="s">
        <v>266</v>
      </c>
      <c r="N392" s="190"/>
      <c r="O392" s="40">
        <f t="shared" ca="1" si="63"/>
        <v>0.98928153758588366</v>
      </c>
      <c r="P392" s="51">
        <f t="shared" si="58"/>
        <v>0</v>
      </c>
      <c r="Q392" s="51">
        <f t="shared" si="59"/>
        <v>0</v>
      </c>
      <c r="R392" s="51">
        <f t="shared" si="66"/>
        <v>0</v>
      </c>
      <c r="S392"/>
      <c r="T392" s="83"/>
    </row>
    <row r="393" spans="1:20" ht="16" x14ac:dyDescent="0.2">
      <c r="A393"/>
      <c r="B393" s="103">
        <v>2</v>
      </c>
      <c r="C393" s="243"/>
      <c r="D393" s="119">
        <v>380</v>
      </c>
      <c r="E393" s="25" t="str">
        <f>Tp_CHG!X63</f>
        <v>Transition Probability from state 6 to state 2 on day 21 (CHG)</v>
      </c>
      <c r="F393" s="40">
        <f t="shared" si="57"/>
        <v>0</v>
      </c>
      <c r="G393" s="156">
        <v>1</v>
      </c>
      <c r="H393" s="120">
        <f>Tp_CHG!AA63</f>
        <v>0</v>
      </c>
      <c r="I393" s="40" t="s">
        <v>58</v>
      </c>
      <c r="J393" s="40">
        <f t="shared" si="64"/>
        <v>0</v>
      </c>
      <c r="K393" s="40">
        <f t="shared" si="65"/>
        <v>0</v>
      </c>
      <c r="L393" s="40" t="s">
        <v>58</v>
      </c>
      <c r="M393" s="50" t="s">
        <v>266</v>
      </c>
      <c r="N393" s="190"/>
      <c r="O393" s="40">
        <f t="shared" ca="1" si="63"/>
        <v>1.8633983084684003E-2</v>
      </c>
      <c r="P393" s="51">
        <f t="shared" si="58"/>
        <v>0</v>
      </c>
      <c r="Q393" s="51">
        <f t="shared" si="59"/>
        <v>0</v>
      </c>
      <c r="R393" s="51">
        <f t="shared" si="66"/>
        <v>0</v>
      </c>
      <c r="S393"/>
      <c r="T393" s="83"/>
    </row>
    <row r="394" spans="1:20" ht="16" x14ac:dyDescent="0.2">
      <c r="A394"/>
      <c r="B394" s="103">
        <v>3</v>
      </c>
      <c r="C394" s="243"/>
      <c r="D394" s="119">
        <v>381</v>
      </c>
      <c r="E394" s="25" t="str">
        <f>Tp_CHG!X64</f>
        <v>Transition Probability from state 6 to state 2 on day 22 (CHG)</v>
      </c>
      <c r="F394" s="40">
        <f t="shared" si="57"/>
        <v>0</v>
      </c>
      <c r="G394" s="156">
        <v>1</v>
      </c>
      <c r="H394" s="120">
        <f>Tp_CHG!AA64</f>
        <v>0</v>
      </c>
      <c r="I394" s="40" t="s">
        <v>58</v>
      </c>
      <c r="J394" s="40">
        <f t="shared" si="64"/>
        <v>0</v>
      </c>
      <c r="K394" s="40">
        <f t="shared" si="65"/>
        <v>0</v>
      </c>
      <c r="L394" s="40" t="s">
        <v>58</v>
      </c>
      <c r="M394" s="50" t="s">
        <v>266</v>
      </c>
      <c r="N394" s="190"/>
      <c r="O394" s="40">
        <f t="shared" ca="1" si="63"/>
        <v>2.9215560819457642E-2</v>
      </c>
      <c r="P394" s="51">
        <f t="shared" si="58"/>
        <v>0</v>
      </c>
      <c r="Q394" s="51">
        <f t="shared" si="59"/>
        <v>0</v>
      </c>
      <c r="R394" s="51">
        <f t="shared" si="66"/>
        <v>0</v>
      </c>
      <c r="S394"/>
      <c r="T394" s="83"/>
    </row>
    <row r="395" spans="1:20" ht="16" x14ac:dyDescent="0.2">
      <c r="A395"/>
      <c r="B395" s="103">
        <v>5</v>
      </c>
      <c r="C395" s="243"/>
      <c r="D395" s="119">
        <v>382</v>
      </c>
      <c r="E395" s="25" t="str">
        <f>Tp_CHG!X66</f>
        <v>Transition Probability from state 6 to state 2 on day 24 (CHG)</v>
      </c>
      <c r="F395" s="40">
        <f t="shared" si="57"/>
        <v>0</v>
      </c>
      <c r="G395" s="156">
        <v>1</v>
      </c>
      <c r="H395" s="120">
        <f>Tp_CHG!AA66</f>
        <v>0</v>
      </c>
      <c r="I395" s="40" t="s">
        <v>58</v>
      </c>
      <c r="J395" s="40">
        <f t="shared" si="64"/>
        <v>0</v>
      </c>
      <c r="K395" s="40">
        <f t="shared" si="65"/>
        <v>0</v>
      </c>
      <c r="L395" s="40" t="s">
        <v>58</v>
      </c>
      <c r="M395" s="50" t="s">
        <v>266</v>
      </c>
      <c r="N395" s="190"/>
      <c r="O395" s="40">
        <f t="shared" ca="1" si="63"/>
        <v>0.90440885702553531</v>
      </c>
      <c r="P395" s="51">
        <f t="shared" si="58"/>
        <v>0</v>
      </c>
      <c r="Q395" s="51">
        <f t="shared" si="59"/>
        <v>0</v>
      </c>
      <c r="R395" s="51">
        <f t="shared" si="66"/>
        <v>0</v>
      </c>
      <c r="S395"/>
      <c r="T395" s="83"/>
    </row>
    <row r="396" spans="1:20" ht="16" x14ac:dyDescent="0.2">
      <c r="A396"/>
      <c r="B396" s="103">
        <v>6</v>
      </c>
      <c r="C396" s="243"/>
      <c r="D396" s="119">
        <v>383</v>
      </c>
      <c r="E396" s="25" t="str">
        <f>Tp_CHG!X67</f>
        <v>Transition Probability from state 6 to state 2 on day 25 (CHG)</v>
      </c>
      <c r="F396" s="40">
        <f t="shared" si="57"/>
        <v>0</v>
      </c>
      <c r="G396" s="156">
        <v>1</v>
      </c>
      <c r="H396" s="120">
        <f>Tp_CHG!AA67</f>
        <v>0</v>
      </c>
      <c r="I396" s="40" t="s">
        <v>58</v>
      </c>
      <c r="J396" s="40">
        <f t="shared" si="64"/>
        <v>0</v>
      </c>
      <c r="K396" s="40">
        <f t="shared" si="65"/>
        <v>0</v>
      </c>
      <c r="L396" s="40" t="s">
        <v>58</v>
      </c>
      <c r="M396" s="50" t="s">
        <v>266</v>
      </c>
      <c r="N396" s="190"/>
      <c r="O396" s="40">
        <f t="shared" ca="1" si="63"/>
        <v>0.37648247129929924</v>
      </c>
      <c r="P396" s="51">
        <f t="shared" si="58"/>
        <v>0</v>
      </c>
      <c r="Q396" s="51">
        <f t="shared" si="59"/>
        <v>0</v>
      </c>
      <c r="R396" s="51">
        <f t="shared" si="66"/>
        <v>0</v>
      </c>
      <c r="S396"/>
      <c r="T396" s="83"/>
    </row>
    <row r="397" spans="1:20" ht="16" x14ac:dyDescent="0.2">
      <c r="A397"/>
      <c r="B397" s="103">
        <v>7</v>
      </c>
      <c r="C397" s="243"/>
      <c r="D397" s="119">
        <v>384</v>
      </c>
      <c r="E397" s="25" t="str">
        <f>Tp_CHG!X68</f>
        <v>Transition Probability from state 6 to state 2 on day 26 (CHG)</v>
      </c>
      <c r="F397" s="40">
        <f t="shared" si="57"/>
        <v>0</v>
      </c>
      <c r="G397" s="156">
        <v>1</v>
      </c>
      <c r="H397" s="120">
        <f>Tp_CHG!AA68</f>
        <v>0</v>
      </c>
      <c r="I397" s="40" t="s">
        <v>58</v>
      </c>
      <c r="J397" s="40">
        <f t="shared" si="64"/>
        <v>0</v>
      </c>
      <c r="K397" s="40">
        <f t="shared" si="65"/>
        <v>0</v>
      </c>
      <c r="L397" s="40" t="s">
        <v>58</v>
      </c>
      <c r="M397" s="50" t="s">
        <v>266</v>
      </c>
      <c r="N397" s="190"/>
      <c r="O397" s="40">
        <f t="shared" ca="1" si="63"/>
        <v>0.93139678407095272</v>
      </c>
      <c r="P397" s="51">
        <f t="shared" si="58"/>
        <v>0</v>
      </c>
      <c r="Q397" s="51">
        <f t="shared" si="59"/>
        <v>0</v>
      </c>
      <c r="R397" s="51">
        <f t="shared" si="66"/>
        <v>0</v>
      </c>
      <c r="S397"/>
      <c r="T397" s="83"/>
    </row>
    <row r="398" spans="1:20" ht="16" x14ac:dyDescent="0.2">
      <c r="A398"/>
      <c r="B398" s="103">
        <v>1</v>
      </c>
      <c r="C398" s="243"/>
      <c r="D398" s="119">
        <v>385</v>
      </c>
      <c r="E398" s="25" t="str">
        <f>Tp_CHG!X70</f>
        <v>Transition Probability from state 6 to state 2 on day 28 (CHG)</v>
      </c>
      <c r="F398" s="40">
        <f t="shared" si="57"/>
        <v>0</v>
      </c>
      <c r="G398" s="156">
        <v>1</v>
      </c>
      <c r="H398" s="120">
        <f>Tp_CHG!AA70</f>
        <v>0</v>
      </c>
      <c r="I398" s="40" t="s">
        <v>58</v>
      </c>
      <c r="J398" s="40">
        <f t="shared" si="64"/>
        <v>0</v>
      </c>
      <c r="K398" s="40">
        <f t="shared" si="65"/>
        <v>0</v>
      </c>
      <c r="L398" s="40" t="s">
        <v>58</v>
      </c>
      <c r="M398" s="50" t="s">
        <v>266</v>
      </c>
      <c r="N398" s="190"/>
      <c r="O398" s="40">
        <f t="shared" ca="1" si="63"/>
        <v>0.76433203339605971</v>
      </c>
      <c r="P398" s="51">
        <f t="shared" si="58"/>
        <v>0</v>
      </c>
      <c r="Q398" s="51">
        <f t="shared" si="59"/>
        <v>0</v>
      </c>
      <c r="R398" s="51">
        <f t="shared" si="66"/>
        <v>0</v>
      </c>
      <c r="S398"/>
      <c r="T398" s="83"/>
    </row>
    <row r="399" spans="1:20" ht="16" x14ac:dyDescent="0.2">
      <c r="A399"/>
      <c r="B399" s="103">
        <v>2</v>
      </c>
      <c r="C399" s="243"/>
      <c r="D399" s="119">
        <v>386</v>
      </c>
      <c r="E399" s="25" t="str">
        <f>Tp_CHG!X71</f>
        <v>Transition Probability from state 6 to state 2 on day 29 (CHG)</v>
      </c>
      <c r="F399" s="40">
        <f t="shared" ref="F399:F462" si="67">IFERROR(CHOOSE(G399,H399,J399,K399,N399),0)</f>
        <v>0</v>
      </c>
      <c r="G399" s="156">
        <v>1</v>
      </c>
      <c r="H399" s="120">
        <f>Tp_CHG!AA71</f>
        <v>0</v>
      </c>
      <c r="I399" s="40" t="s">
        <v>58</v>
      </c>
      <c r="J399" s="40">
        <f t="shared" si="64"/>
        <v>0</v>
      </c>
      <c r="K399" s="40">
        <f t="shared" si="65"/>
        <v>0</v>
      </c>
      <c r="L399" s="40" t="s">
        <v>58</v>
      </c>
      <c r="M399" s="50" t="s">
        <v>266</v>
      </c>
      <c r="N399" s="190"/>
      <c r="O399" s="40">
        <f t="shared" ca="1" si="63"/>
        <v>0.51908984827794513</v>
      </c>
      <c r="P399" s="51">
        <f t="shared" si="58"/>
        <v>0</v>
      </c>
      <c r="Q399" s="51">
        <f t="shared" si="59"/>
        <v>0</v>
      </c>
      <c r="R399" s="51">
        <f t="shared" si="66"/>
        <v>0</v>
      </c>
      <c r="S399"/>
      <c r="T399" s="83"/>
    </row>
    <row r="400" spans="1:20" ht="16" x14ac:dyDescent="0.2">
      <c r="A400"/>
      <c r="B400" s="103">
        <v>3</v>
      </c>
      <c r="C400" s="243"/>
      <c r="D400" s="119">
        <v>387</v>
      </c>
      <c r="E400" s="25" t="str">
        <f>Tp_CHG!X72</f>
        <v>Transition Probability from state 6 to state 2 on day 30 (CHG)</v>
      </c>
      <c r="F400" s="40">
        <f t="shared" si="67"/>
        <v>0</v>
      </c>
      <c r="G400" s="156">
        <v>1</v>
      </c>
      <c r="H400" s="120">
        <f>Tp_CHG!AA72</f>
        <v>0</v>
      </c>
      <c r="I400" s="40" t="s">
        <v>58</v>
      </c>
      <c r="J400" s="40">
        <f t="shared" si="64"/>
        <v>0</v>
      </c>
      <c r="K400" s="40">
        <f t="shared" si="65"/>
        <v>0</v>
      </c>
      <c r="L400" s="40" t="s">
        <v>58</v>
      </c>
      <c r="M400" s="50" t="s">
        <v>266</v>
      </c>
      <c r="N400" s="190"/>
      <c r="O400" s="40">
        <f t="shared" ca="1" si="63"/>
        <v>0.59090254314491952</v>
      </c>
      <c r="P400" s="51">
        <f t="shared" si="58"/>
        <v>0</v>
      </c>
      <c r="Q400" s="51">
        <f t="shared" si="59"/>
        <v>0</v>
      </c>
      <c r="R400" s="51">
        <f t="shared" si="66"/>
        <v>0</v>
      </c>
      <c r="S400"/>
      <c r="T400" s="83"/>
    </row>
    <row r="401" spans="1:20" ht="16" x14ac:dyDescent="0.2">
      <c r="A401"/>
      <c r="B401" s="103">
        <v>4</v>
      </c>
      <c r="C401" s="243"/>
      <c r="D401" s="119">
        <v>388</v>
      </c>
      <c r="E401" s="25" t="str">
        <f>Tp_CHG!D75</f>
        <v>Transition Probability from state 1 to state 3 on day 1 (CHG)</v>
      </c>
      <c r="F401" s="40">
        <f t="shared" si="67"/>
        <v>0</v>
      </c>
      <c r="G401" s="156">
        <v>1</v>
      </c>
      <c r="H401" s="120">
        <f>Tp_CHG!G75</f>
        <v>0</v>
      </c>
      <c r="I401" s="40" t="s">
        <v>58</v>
      </c>
      <c r="J401" s="40">
        <f>IF(H401=0,0,_xlfn.NORM.INV(0.025,H401,R401))</f>
        <v>0</v>
      </c>
      <c r="K401" s="40">
        <f>IF(H401=0,0,_xlfn.NORM.INV(0.975,H401,R401))</f>
        <v>0</v>
      </c>
      <c r="L401" s="40" t="s">
        <v>58</v>
      </c>
      <c r="M401" s="50" t="s">
        <v>266</v>
      </c>
      <c r="N401" s="190"/>
      <c r="O401" s="40">
        <f ca="1">RAND()</f>
        <v>0.10529291456202161</v>
      </c>
      <c r="P401" s="51">
        <f t="shared" ref="P401:P464" si="68">IFERROR(H401*((H401*(1-H401)/(R401^2))-1),0)</f>
        <v>0</v>
      </c>
      <c r="Q401" s="51">
        <f t="shared" ref="Q401:Q464" si="69">IFERROR((1-H401)*((H401*(1-H401))/(R401^2)-1),0)</f>
        <v>0</v>
      </c>
      <c r="R401" s="51">
        <f>assumedSE*H401</f>
        <v>0</v>
      </c>
      <c r="S401"/>
      <c r="T401" s="83"/>
    </row>
    <row r="402" spans="1:20" ht="16" x14ac:dyDescent="0.2">
      <c r="A402"/>
      <c r="B402" s="103">
        <v>5</v>
      </c>
      <c r="C402" s="243"/>
      <c r="D402" s="119">
        <v>389</v>
      </c>
      <c r="E402" s="25" t="str">
        <f>Tp_CHG!D76</f>
        <v>Transition Probability from state 1 to state 3 on day 2 (CHG)</v>
      </c>
      <c r="F402" s="40">
        <f t="shared" si="67"/>
        <v>0</v>
      </c>
      <c r="G402" s="156">
        <v>1</v>
      </c>
      <c r="H402" s="120">
        <f>Tp_CHG!G76</f>
        <v>0</v>
      </c>
      <c r="I402" s="40" t="s">
        <v>58</v>
      </c>
      <c r="J402" s="40">
        <f>IF(H402=0,0,_xlfn.NORM.INV(0.025,H402,R402))</f>
        <v>0</v>
      </c>
      <c r="K402" s="40">
        <f>IF(H402=0,0,_xlfn.NORM.INV(0.975,H402,R402))</f>
        <v>0</v>
      </c>
      <c r="L402" s="40" t="s">
        <v>58</v>
      </c>
      <c r="M402" s="50" t="s">
        <v>266</v>
      </c>
      <c r="N402" s="190"/>
      <c r="O402" s="40">
        <f ca="1">RAND()</f>
        <v>0.79169993331729749</v>
      </c>
      <c r="P402" s="51">
        <f t="shared" si="68"/>
        <v>0</v>
      </c>
      <c r="Q402" s="51">
        <f t="shared" si="69"/>
        <v>0</v>
      </c>
      <c r="R402" s="51">
        <f>assumedSE*H402</f>
        <v>0</v>
      </c>
      <c r="S402"/>
      <c r="T402" s="83"/>
    </row>
    <row r="403" spans="1:20" ht="16" x14ac:dyDescent="0.2">
      <c r="A403"/>
      <c r="B403" s="103">
        <v>6</v>
      </c>
      <c r="C403" s="243"/>
      <c r="D403" s="119">
        <v>390</v>
      </c>
      <c r="E403" s="25" t="str">
        <f>Tp_CHG!D77</f>
        <v>Transition Probability from state 1 to state 3 on day 3 (CHG)</v>
      </c>
      <c r="F403" s="40">
        <f t="shared" si="67"/>
        <v>0</v>
      </c>
      <c r="G403" s="156">
        <v>1</v>
      </c>
      <c r="H403" s="120">
        <f>Tp_CHG!G77</f>
        <v>0</v>
      </c>
      <c r="I403" s="40" t="s">
        <v>58</v>
      </c>
      <c r="J403" s="40">
        <f t="shared" ref="J403:J434" si="70">IF(H403=0,0,_xlfn.NORM.INV(0.025,H403,R403))</f>
        <v>0</v>
      </c>
      <c r="K403" s="40">
        <f t="shared" ref="K403:K434" si="71">IF(H403=0,0,_xlfn.NORM.INV(0.975,H403,R403))</f>
        <v>0</v>
      </c>
      <c r="L403" s="40" t="s">
        <v>58</v>
      </c>
      <c r="M403" s="50" t="s">
        <v>266</v>
      </c>
      <c r="N403" s="190"/>
      <c r="O403" s="40">
        <f t="shared" ca="1" si="63"/>
        <v>0.86505548714723624</v>
      </c>
      <c r="P403" s="51">
        <f t="shared" si="68"/>
        <v>0</v>
      </c>
      <c r="Q403" s="51">
        <f t="shared" si="69"/>
        <v>0</v>
      </c>
      <c r="R403" s="51">
        <f t="shared" ref="R403:R434" si="72">assumedSE*H403</f>
        <v>0</v>
      </c>
      <c r="S403"/>
      <c r="T403" s="83"/>
    </row>
    <row r="404" spans="1:20" ht="16" x14ac:dyDescent="0.2">
      <c r="A404"/>
      <c r="B404" s="103">
        <v>7</v>
      </c>
      <c r="C404" s="243"/>
      <c r="D404" s="119">
        <v>391</v>
      </c>
      <c r="E404" s="25" t="str">
        <f>Tp_CHG!D78</f>
        <v>Transition Probability from state 1 to state 3 on day 4 (CHG)</v>
      </c>
      <c r="F404" s="40">
        <f t="shared" si="67"/>
        <v>0</v>
      </c>
      <c r="G404" s="156">
        <v>1</v>
      </c>
      <c r="H404" s="120">
        <f>Tp_CHG!G78</f>
        <v>0</v>
      </c>
      <c r="I404" s="40" t="s">
        <v>58</v>
      </c>
      <c r="J404" s="40">
        <f t="shared" si="70"/>
        <v>0</v>
      </c>
      <c r="K404" s="40">
        <f t="shared" si="71"/>
        <v>0</v>
      </c>
      <c r="L404" s="40" t="s">
        <v>58</v>
      </c>
      <c r="M404" s="50" t="s">
        <v>266</v>
      </c>
      <c r="N404" s="190"/>
      <c r="O404" s="40">
        <f t="shared" ca="1" si="63"/>
        <v>0.78921409026392852</v>
      </c>
      <c r="P404" s="51">
        <f t="shared" si="68"/>
        <v>0</v>
      </c>
      <c r="Q404" s="51">
        <f t="shared" si="69"/>
        <v>0</v>
      </c>
      <c r="R404" s="51">
        <f t="shared" si="72"/>
        <v>0</v>
      </c>
      <c r="S404"/>
      <c r="T404" s="83"/>
    </row>
    <row r="405" spans="1:20" ht="16" x14ac:dyDescent="0.2">
      <c r="A405"/>
      <c r="B405" s="103">
        <v>8</v>
      </c>
      <c r="C405" s="243"/>
      <c r="D405" s="119">
        <v>392</v>
      </c>
      <c r="E405" s="25" t="str">
        <f>Tp_CHG!D79</f>
        <v>Transition Probability from state 1 to state 3 on day 5 (CHG)</v>
      </c>
      <c r="F405" s="40">
        <f t="shared" si="67"/>
        <v>0</v>
      </c>
      <c r="G405" s="156">
        <v>1</v>
      </c>
      <c r="H405" s="120">
        <f>Tp_CHG!G79</f>
        <v>0</v>
      </c>
      <c r="I405" s="40" t="s">
        <v>58</v>
      </c>
      <c r="J405" s="40">
        <f t="shared" si="70"/>
        <v>0</v>
      </c>
      <c r="K405" s="40">
        <f t="shared" si="71"/>
        <v>0</v>
      </c>
      <c r="L405" s="40" t="s">
        <v>58</v>
      </c>
      <c r="M405" s="50" t="s">
        <v>266</v>
      </c>
      <c r="N405" s="190"/>
      <c r="O405" s="40">
        <f t="shared" ca="1" si="63"/>
        <v>0.26983289932176557</v>
      </c>
      <c r="P405" s="51">
        <f t="shared" si="68"/>
        <v>0</v>
      </c>
      <c r="Q405" s="51">
        <f t="shared" si="69"/>
        <v>0</v>
      </c>
      <c r="R405" s="51">
        <f t="shared" si="72"/>
        <v>0</v>
      </c>
      <c r="S405"/>
      <c r="T405" s="83"/>
    </row>
    <row r="406" spans="1:20" ht="16" x14ac:dyDescent="0.2">
      <c r="A406"/>
      <c r="B406" s="103">
        <v>1</v>
      </c>
      <c r="C406" s="243"/>
      <c r="D406" s="119">
        <v>393</v>
      </c>
      <c r="E406" s="25" t="str">
        <f>Tp_CHG!D80</f>
        <v>Transition Probability from state 1 to state 3 on day 6 (CHG)</v>
      </c>
      <c r="F406" s="40">
        <f t="shared" si="67"/>
        <v>0</v>
      </c>
      <c r="G406" s="156">
        <v>1</v>
      </c>
      <c r="H406" s="120">
        <f>Tp_CHG!G80</f>
        <v>0</v>
      </c>
      <c r="I406" s="40" t="s">
        <v>58</v>
      </c>
      <c r="J406" s="40">
        <f t="shared" si="70"/>
        <v>0</v>
      </c>
      <c r="K406" s="40">
        <f t="shared" si="71"/>
        <v>0</v>
      </c>
      <c r="L406" s="40" t="s">
        <v>58</v>
      </c>
      <c r="M406" s="50" t="s">
        <v>266</v>
      </c>
      <c r="N406" s="190"/>
      <c r="O406" s="40">
        <f t="shared" ca="1" si="63"/>
        <v>0.4333023584957878</v>
      </c>
      <c r="P406" s="51">
        <f t="shared" si="68"/>
        <v>0</v>
      </c>
      <c r="Q406" s="51">
        <f t="shared" si="69"/>
        <v>0</v>
      </c>
      <c r="R406" s="51">
        <f t="shared" si="72"/>
        <v>0</v>
      </c>
      <c r="S406"/>
      <c r="T406" s="83"/>
    </row>
    <row r="407" spans="1:20" ht="16" x14ac:dyDescent="0.2">
      <c r="A407"/>
      <c r="B407" s="103">
        <v>2</v>
      </c>
      <c r="C407" s="243"/>
      <c r="D407" s="119">
        <v>394</v>
      </c>
      <c r="E407" s="25" t="str">
        <f>Tp_CHG!D81</f>
        <v>Transition Probability from state 1 to state 3 on day 7 (CHG)</v>
      </c>
      <c r="F407" s="40">
        <f t="shared" si="67"/>
        <v>0</v>
      </c>
      <c r="G407" s="156">
        <v>1</v>
      </c>
      <c r="H407" s="120">
        <f>Tp_CHG!G81</f>
        <v>0</v>
      </c>
      <c r="I407" s="40" t="s">
        <v>58</v>
      </c>
      <c r="J407" s="40">
        <f t="shared" si="70"/>
        <v>0</v>
      </c>
      <c r="K407" s="40">
        <f t="shared" si="71"/>
        <v>0</v>
      </c>
      <c r="L407" s="40" t="s">
        <v>58</v>
      </c>
      <c r="M407" s="50" t="s">
        <v>266</v>
      </c>
      <c r="N407" s="190"/>
      <c r="O407" s="40">
        <f t="shared" ca="1" si="63"/>
        <v>0.44103505166790447</v>
      </c>
      <c r="P407" s="51">
        <f t="shared" si="68"/>
        <v>0</v>
      </c>
      <c r="Q407" s="51">
        <f t="shared" si="69"/>
        <v>0</v>
      </c>
      <c r="R407" s="51">
        <f t="shared" si="72"/>
        <v>0</v>
      </c>
      <c r="S407"/>
      <c r="T407" s="83"/>
    </row>
    <row r="408" spans="1:20" ht="16" x14ac:dyDescent="0.2">
      <c r="A408"/>
      <c r="B408" s="103">
        <v>3</v>
      </c>
      <c r="C408" s="243"/>
      <c r="D408" s="119">
        <v>395</v>
      </c>
      <c r="E408" s="25" t="str">
        <f>Tp_CHG!D82</f>
        <v>Transition Probability from state 1 to state 3 on day 8 (CHG)</v>
      </c>
      <c r="F408" s="40">
        <f t="shared" si="67"/>
        <v>0</v>
      </c>
      <c r="G408" s="156">
        <v>1</v>
      </c>
      <c r="H408" s="120">
        <f>Tp_CHG!G82</f>
        <v>0</v>
      </c>
      <c r="I408" s="40" t="s">
        <v>58</v>
      </c>
      <c r="J408" s="40">
        <f t="shared" si="70"/>
        <v>0</v>
      </c>
      <c r="K408" s="40">
        <f t="shared" si="71"/>
        <v>0</v>
      </c>
      <c r="L408" s="40" t="s">
        <v>58</v>
      </c>
      <c r="M408" s="50" t="s">
        <v>266</v>
      </c>
      <c r="N408" s="190"/>
      <c r="O408" s="40">
        <f t="shared" ca="1" si="63"/>
        <v>0.34004859794661879</v>
      </c>
      <c r="P408" s="51">
        <f t="shared" si="68"/>
        <v>0</v>
      </c>
      <c r="Q408" s="51">
        <f t="shared" si="69"/>
        <v>0</v>
      </c>
      <c r="R408" s="51">
        <f t="shared" si="72"/>
        <v>0</v>
      </c>
      <c r="S408"/>
      <c r="T408" s="83"/>
    </row>
    <row r="409" spans="1:20" ht="16" x14ac:dyDescent="0.2">
      <c r="A409"/>
      <c r="B409" s="103">
        <v>4</v>
      </c>
      <c r="C409" s="243"/>
      <c r="D409" s="119">
        <v>396</v>
      </c>
      <c r="E409" s="25" t="str">
        <f>Tp_CHG!D83</f>
        <v>Transition Probability from state 1 to state 3 on day 9 (CHG)</v>
      </c>
      <c r="F409" s="40">
        <f t="shared" si="67"/>
        <v>0</v>
      </c>
      <c r="G409" s="156">
        <v>1</v>
      </c>
      <c r="H409" s="120">
        <f>Tp_CHG!G83</f>
        <v>0</v>
      </c>
      <c r="I409" s="40" t="s">
        <v>58</v>
      </c>
      <c r="J409" s="40">
        <f t="shared" si="70"/>
        <v>0</v>
      </c>
      <c r="K409" s="40">
        <f t="shared" si="71"/>
        <v>0</v>
      </c>
      <c r="L409" s="40" t="s">
        <v>58</v>
      </c>
      <c r="M409" s="50" t="s">
        <v>266</v>
      </c>
      <c r="N409" s="190"/>
      <c r="O409" s="40">
        <f t="shared" ca="1" si="63"/>
        <v>0.68780196840548424</v>
      </c>
      <c r="P409" s="51">
        <f t="shared" si="68"/>
        <v>0</v>
      </c>
      <c r="Q409" s="51">
        <f t="shared" si="69"/>
        <v>0</v>
      </c>
      <c r="R409" s="51">
        <f t="shared" si="72"/>
        <v>0</v>
      </c>
      <c r="S409"/>
      <c r="T409" s="83"/>
    </row>
    <row r="410" spans="1:20" ht="16" x14ac:dyDescent="0.2">
      <c r="A410"/>
      <c r="B410" s="103">
        <v>5</v>
      </c>
      <c r="C410" s="243"/>
      <c r="D410" s="119">
        <v>397</v>
      </c>
      <c r="E410" s="25" t="str">
        <f>Tp_CHG!D84</f>
        <v>Transition Probability from state 1 to state 3 on day 10 (CHG)</v>
      </c>
      <c r="F410" s="40">
        <f t="shared" si="67"/>
        <v>0</v>
      </c>
      <c r="G410" s="156">
        <v>1</v>
      </c>
      <c r="H410" s="120">
        <f>Tp_CHG!G84</f>
        <v>0</v>
      </c>
      <c r="I410" s="40" t="s">
        <v>58</v>
      </c>
      <c r="J410" s="40">
        <f t="shared" si="70"/>
        <v>0</v>
      </c>
      <c r="K410" s="40">
        <f t="shared" si="71"/>
        <v>0</v>
      </c>
      <c r="L410" s="40" t="s">
        <v>58</v>
      </c>
      <c r="M410" s="50" t="s">
        <v>266</v>
      </c>
      <c r="N410" s="190"/>
      <c r="O410" s="40">
        <f t="shared" ca="1" si="63"/>
        <v>7.4230361804576317E-2</v>
      </c>
      <c r="P410" s="51">
        <f t="shared" si="68"/>
        <v>0</v>
      </c>
      <c r="Q410" s="51">
        <f t="shared" si="69"/>
        <v>0</v>
      </c>
      <c r="R410" s="51">
        <f t="shared" si="72"/>
        <v>0</v>
      </c>
      <c r="S410"/>
      <c r="T410" s="83"/>
    </row>
    <row r="411" spans="1:20" ht="16" x14ac:dyDescent="0.2">
      <c r="A411"/>
      <c r="B411" s="103">
        <v>6</v>
      </c>
      <c r="C411" s="243"/>
      <c r="D411" s="119">
        <v>398</v>
      </c>
      <c r="E411" s="25" t="str">
        <f>Tp_CHG!D85</f>
        <v>Transition Probability from state 1 to state 3 on day 11 (CHG)</v>
      </c>
      <c r="F411" s="40">
        <f t="shared" si="67"/>
        <v>0</v>
      </c>
      <c r="G411" s="156">
        <v>1</v>
      </c>
      <c r="H411" s="120">
        <f>Tp_CHG!G85</f>
        <v>0</v>
      </c>
      <c r="I411" s="40" t="s">
        <v>58</v>
      </c>
      <c r="J411" s="40">
        <f t="shared" si="70"/>
        <v>0</v>
      </c>
      <c r="K411" s="40">
        <f t="shared" si="71"/>
        <v>0</v>
      </c>
      <c r="L411" s="40" t="s">
        <v>58</v>
      </c>
      <c r="M411" s="50" t="s">
        <v>266</v>
      </c>
      <c r="N411" s="190"/>
      <c r="O411" s="40">
        <f t="shared" ca="1" si="63"/>
        <v>0.94467091749058374</v>
      </c>
      <c r="P411" s="51">
        <f t="shared" si="68"/>
        <v>0</v>
      </c>
      <c r="Q411" s="51">
        <f t="shared" si="69"/>
        <v>0</v>
      </c>
      <c r="R411" s="51">
        <f t="shared" si="72"/>
        <v>0</v>
      </c>
      <c r="S411"/>
      <c r="T411" s="83"/>
    </row>
    <row r="412" spans="1:20" ht="16" x14ac:dyDescent="0.2">
      <c r="A412"/>
      <c r="B412" s="103">
        <v>7</v>
      </c>
      <c r="C412" s="243"/>
      <c r="D412" s="119">
        <v>399</v>
      </c>
      <c r="E412" s="25" t="str">
        <f>Tp_CHG!D86</f>
        <v>Transition Probability from state 1 to state 3 on day 12 (CHG)</v>
      </c>
      <c r="F412" s="40">
        <f t="shared" si="67"/>
        <v>0</v>
      </c>
      <c r="G412" s="156">
        <v>1</v>
      </c>
      <c r="H412" s="120">
        <f>Tp_CHG!G86</f>
        <v>0</v>
      </c>
      <c r="I412" s="40" t="s">
        <v>58</v>
      </c>
      <c r="J412" s="40">
        <f t="shared" si="70"/>
        <v>0</v>
      </c>
      <c r="K412" s="40">
        <f t="shared" si="71"/>
        <v>0</v>
      </c>
      <c r="L412" s="40" t="s">
        <v>58</v>
      </c>
      <c r="M412" s="50" t="s">
        <v>266</v>
      </c>
      <c r="N412" s="190"/>
      <c r="O412" s="40">
        <f t="shared" ca="1" si="63"/>
        <v>0.89627623383841959</v>
      </c>
      <c r="P412" s="51">
        <f t="shared" si="68"/>
        <v>0</v>
      </c>
      <c r="Q412" s="51">
        <f t="shared" si="69"/>
        <v>0</v>
      </c>
      <c r="R412" s="51">
        <f t="shared" si="72"/>
        <v>0</v>
      </c>
      <c r="S412"/>
      <c r="T412" s="83"/>
    </row>
    <row r="413" spans="1:20" ht="16" x14ac:dyDescent="0.2">
      <c r="A413"/>
      <c r="B413" s="103">
        <v>8</v>
      </c>
      <c r="C413" s="243"/>
      <c r="D413" s="119">
        <v>400</v>
      </c>
      <c r="E413" s="25" t="str">
        <f>Tp_CHG!D87</f>
        <v>Transition Probability from state 1 to state 3 on day 13 (CHG)</v>
      </c>
      <c r="F413" s="40">
        <f t="shared" si="67"/>
        <v>0</v>
      </c>
      <c r="G413" s="156">
        <v>1</v>
      </c>
      <c r="H413" s="120">
        <f>Tp_CHG!G87</f>
        <v>0</v>
      </c>
      <c r="I413" s="40" t="s">
        <v>58</v>
      </c>
      <c r="J413" s="40">
        <f t="shared" si="70"/>
        <v>0</v>
      </c>
      <c r="K413" s="40">
        <f t="shared" si="71"/>
        <v>0</v>
      </c>
      <c r="L413" s="40" t="s">
        <v>58</v>
      </c>
      <c r="M413" s="50" t="s">
        <v>266</v>
      </c>
      <c r="N413" s="190"/>
      <c r="O413" s="40">
        <f t="shared" ca="1" si="63"/>
        <v>0.96790473210119676</v>
      </c>
      <c r="P413" s="51">
        <f t="shared" si="68"/>
        <v>0</v>
      </c>
      <c r="Q413" s="51">
        <f t="shared" si="69"/>
        <v>0</v>
      </c>
      <c r="R413" s="51">
        <f t="shared" si="72"/>
        <v>0</v>
      </c>
      <c r="S413"/>
      <c r="T413" s="83"/>
    </row>
    <row r="414" spans="1:20" ht="14.5" customHeight="1" x14ac:dyDescent="0.2">
      <c r="A414"/>
      <c r="B414" s="103">
        <v>1</v>
      </c>
      <c r="C414" s="243"/>
      <c r="D414" s="119">
        <v>401</v>
      </c>
      <c r="E414" s="25" t="str">
        <f>Tp_CHG!D88</f>
        <v>Transition Probability from state 1 to state 3 on day 14 (CHG)</v>
      </c>
      <c r="F414" s="40">
        <f t="shared" si="67"/>
        <v>0</v>
      </c>
      <c r="G414" s="156">
        <v>1</v>
      </c>
      <c r="H414" s="120">
        <f>Tp_CHG!G88</f>
        <v>0</v>
      </c>
      <c r="I414" s="40" t="s">
        <v>58</v>
      </c>
      <c r="J414" s="40">
        <f t="shared" si="70"/>
        <v>0</v>
      </c>
      <c r="K414" s="40">
        <f t="shared" si="71"/>
        <v>0</v>
      </c>
      <c r="L414" s="40" t="s">
        <v>58</v>
      </c>
      <c r="M414" s="50" t="s">
        <v>266</v>
      </c>
      <c r="N414" s="190"/>
      <c r="O414" s="40">
        <f t="shared" ca="1" si="63"/>
        <v>0.50671162162502392</v>
      </c>
      <c r="P414" s="51">
        <f t="shared" si="68"/>
        <v>0</v>
      </c>
      <c r="Q414" s="51">
        <f t="shared" si="69"/>
        <v>0</v>
      </c>
      <c r="R414" s="51">
        <f t="shared" si="72"/>
        <v>0</v>
      </c>
      <c r="S414"/>
      <c r="T414" s="83"/>
    </row>
    <row r="415" spans="1:20" ht="16" x14ac:dyDescent="0.2">
      <c r="A415"/>
      <c r="B415" s="103">
        <v>2</v>
      </c>
      <c r="C415" s="243"/>
      <c r="D415" s="119">
        <v>402</v>
      </c>
      <c r="E415" s="25" t="str">
        <f>Tp_CHG!D89</f>
        <v>Transition Probability from state 1 to state 3 on day 15 (CHG)</v>
      </c>
      <c r="F415" s="40">
        <f t="shared" si="67"/>
        <v>0</v>
      </c>
      <c r="G415" s="156">
        <v>1</v>
      </c>
      <c r="H415" s="120">
        <f>Tp_CHG!G89</f>
        <v>0</v>
      </c>
      <c r="I415" s="40" t="s">
        <v>58</v>
      </c>
      <c r="J415" s="40">
        <f t="shared" si="70"/>
        <v>0</v>
      </c>
      <c r="K415" s="40">
        <f t="shared" si="71"/>
        <v>0</v>
      </c>
      <c r="L415" s="40" t="s">
        <v>58</v>
      </c>
      <c r="M415" s="50" t="s">
        <v>266</v>
      </c>
      <c r="N415" s="190"/>
      <c r="O415" s="40">
        <f t="shared" ca="1" si="63"/>
        <v>0.85049707272526409</v>
      </c>
      <c r="P415" s="51">
        <f t="shared" si="68"/>
        <v>0</v>
      </c>
      <c r="Q415" s="51">
        <f t="shared" si="69"/>
        <v>0</v>
      </c>
      <c r="R415" s="51">
        <f t="shared" si="72"/>
        <v>0</v>
      </c>
      <c r="S415"/>
      <c r="T415" s="83"/>
    </row>
    <row r="416" spans="1:20" ht="16" x14ac:dyDescent="0.2">
      <c r="A416"/>
      <c r="B416" s="103">
        <v>3</v>
      </c>
      <c r="C416" s="243"/>
      <c r="D416" s="119">
        <v>403</v>
      </c>
      <c r="E416" s="25" t="str">
        <f>Tp_CHG!D90</f>
        <v>Transition Probability from state 1 to state 3 on day 16 (CHG)</v>
      </c>
      <c r="F416" s="40">
        <f t="shared" si="67"/>
        <v>0</v>
      </c>
      <c r="G416" s="156">
        <v>1</v>
      </c>
      <c r="H416" s="120">
        <f>Tp_CHG!G90</f>
        <v>0</v>
      </c>
      <c r="I416" s="40" t="s">
        <v>58</v>
      </c>
      <c r="J416" s="40">
        <f t="shared" si="70"/>
        <v>0</v>
      </c>
      <c r="K416" s="40">
        <f t="shared" si="71"/>
        <v>0</v>
      </c>
      <c r="L416" s="40" t="s">
        <v>58</v>
      </c>
      <c r="M416" s="50" t="s">
        <v>266</v>
      </c>
      <c r="N416" s="190"/>
      <c r="O416" s="40">
        <f t="shared" ca="1" si="63"/>
        <v>0.666904691761802</v>
      </c>
      <c r="P416" s="51">
        <f t="shared" si="68"/>
        <v>0</v>
      </c>
      <c r="Q416" s="51">
        <f t="shared" si="69"/>
        <v>0</v>
      </c>
      <c r="R416" s="51">
        <f t="shared" si="72"/>
        <v>0</v>
      </c>
      <c r="S416"/>
      <c r="T416" s="83"/>
    </row>
    <row r="417" spans="1:20" ht="16" x14ac:dyDescent="0.2">
      <c r="A417"/>
      <c r="B417" s="103">
        <v>4</v>
      </c>
      <c r="C417" s="243"/>
      <c r="D417" s="119">
        <v>404</v>
      </c>
      <c r="E417" s="25" t="str">
        <f>Tp_CHG!D91</f>
        <v>Transition Probability from state 1 to state 3 on day 17 (CHG)</v>
      </c>
      <c r="F417" s="40">
        <f t="shared" si="67"/>
        <v>0</v>
      </c>
      <c r="G417" s="156">
        <v>1</v>
      </c>
      <c r="H417" s="120">
        <f>Tp_CHG!G91</f>
        <v>0</v>
      </c>
      <c r="I417" s="40" t="s">
        <v>58</v>
      </c>
      <c r="J417" s="40">
        <f t="shared" si="70"/>
        <v>0</v>
      </c>
      <c r="K417" s="40">
        <f t="shared" si="71"/>
        <v>0</v>
      </c>
      <c r="L417" s="40" t="s">
        <v>58</v>
      </c>
      <c r="M417" s="50" t="s">
        <v>266</v>
      </c>
      <c r="N417" s="190"/>
      <c r="O417" s="40">
        <f t="shared" ca="1" si="63"/>
        <v>0.73866905661707571</v>
      </c>
      <c r="P417" s="51">
        <f t="shared" si="68"/>
        <v>0</v>
      </c>
      <c r="Q417" s="51">
        <f t="shared" si="69"/>
        <v>0</v>
      </c>
      <c r="R417" s="51">
        <f t="shared" si="72"/>
        <v>0</v>
      </c>
      <c r="S417"/>
      <c r="T417" s="83"/>
    </row>
    <row r="418" spans="1:20" ht="16" x14ac:dyDescent="0.2">
      <c r="A418"/>
      <c r="B418" s="103">
        <v>5</v>
      </c>
      <c r="C418" s="243"/>
      <c r="D418" s="119">
        <v>405</v>
      </c>
      <c r="E418" s="25" t="str">
        <f>Tp_CHG!D92</f>
        <v>Transition Probability from state 1 to state 3 on day 18 (CHG)</v>
      </c>
      <c r="F418" s="40">
        <f t="shared" si="67"/>
        <v>0</v>
      </c>
      <c r="G418" s="156">
        <v>1</v>
      </c>
      <c r="H418" s="120">
        <f>Tp_CHG!G92</f>
        <v>0</v>
      </c>
      <c r="I418" s="40" t="s">
        <v>58</v>
      </c>
      <c r="J418" s="40">
        <f t="shared" si="70"/>
        <v>0</v>
      </c>
      <c r="K418" s="40">
        <f t="shared" si="71"/>
        <v>0</v>
      </c>
      <c r="L418" s="40" t="s">
        <v>58</v>
      </c>
      <c r="M418" s="50" t="s">
        <v>266</v>
      </c>
      <c r="N418" s="190"/>
      <c r="O418" s="40">
        <f t="shared" ca="1" si="63"/>
        <v>0.66815318792604306</v>
      </c>
      <c r="P418" s="51">
        <f t="shared" si="68"/>
        <v>0</v>
      </c>
      <c r="Q418" s="51">
        <f t="shared" si="69"/>
        <v>0</v>
      </c>
      <c r="R418" s="51">
        <f t="shared" si="72"/>
        <v>0</v>
      </c>
      <c r="S418"/>
      <c r="T418" s="83"/>
    </row>
    <row r="419" spans="1:20" ht="16" x14ac:dyDescent="0.2">
      <c r="A419"/>
      <c r="B419" s="103">
        <v>6</v>
      </c>
      <c r="C419" s="243"/>
      <c r="D419" s="119">
        <v>406</v>
      </c>
      <c r="E419" s="25" t="str">
        <f>Tp_CHG!D93</f>
        <v>Transition Probability from state 1 to state 3 on day 19 (CHG)</v>
      </c>
      <c r="F419" s="40">
        <f t="shared" si="67"/>
        <v>0</v>
      </c>
      <c r="G419" s="156">
        <v>1</v>
      </c>
      <c r="H419" s="120">
        <f>Tp_CHG!G93</f>
        <v>0</v>
      </c>
      <c r="I419" s="40" t="s">
        <v>58</v>
      </c>
      <c r="J419" s="40">
        <f t="shared" si="70"/>
        <v>0</v>
      </c>
      <c r="K419" s="40">
        <f t="shared" si="71"/>
        <v>0</v>
      </c>
      <c r="L419" s="40" t="s">
        <v>58</v>
      </c>
      <c r="M419" s="50" t="s">
        <v>266</v>
      </c>
      <c r="N419" s="190"/>
      <c r="O419" s="40">
        <f t="shared" ca="1" si="63"/>
        <v>0.26208102269285194</v>
      </c>
      <c r="P419" s="51">
        <f t="shared" si="68"/>
        <v>0</v>
      </c>
      <c r="Q419" s="51">
        <f t="shared" si="69"/>
        <v>0</v>
      </c>
      <c r="R419" s="51">
        <f t="shared" si="72"/>
        <v>0</v>
      </c>
      <c r="S419"/>
      <c r="T419" s="83"/>
    </row>
    <row r="420" spans="1:20" ht="16" x14ac:dyDescent="0.2">
      <c r="A420"/>
      <c r="B420" s="103">
        <v>7</v>
      </c>
      <c r="C420" s="243"/>
      <c r="D420" s="119">
        <v>407</v>
      </c>
      <c r="E420" s="25" t="str">
        <f>Tp_CHG!D94</f>
        <v>Transition Probability from state 1 to state 3 on day 20 (CHG)</v>
      </c>
      <c r="F420" s="40">
        <f t="shared" si="67"/>
        <v>0</v>
      </c>
      <c r="G420" s="156">
        <v>1</v>
      </c>
      <c r="H420" s="120">
        <f>Tp_CHG!G94</f>
        <v>0</v>
      </c>
      <c r="I420" s="40" t="s">
        <v>58</v>
      </c>
      <c r="J420" s="40">
        <f t="shared" si="70"/>
        <v>0</v>
      </c>
      <c r="K420" s="40">
        <f t="shared" si="71"/>
        <v>0</v>
      </c>
      <c r="L420" s="40" t="s">
        <v>58</v>
      </c>
      <c r="M420" s="50" t="s">
        <v>266</v>
      </c>
      <c r="N420" s="190"/>
      <c r="O420" s="40">
        <f t="shared" ca="1" si="63"/>
        <v>0.7697858175693405</v>
      </c>
      <c r="P420" s="51">
        <f t="shared" si="68"/>
        <v>0</v>
      </c>
      <c r="Q420" s="51">
        <f t="shared" si="69"/>
        <v>0</v>
      </c>
      <c r="R420" s="51">
        <f t="shared" si="72"/>
        <v>0</v>
      </c>
      <c r="S420"/>
      <c r="T420" s="83"/>
    </row>
    <row r="421" spans="1:20" ht="16" x14ac:dyDescent="0.2">
      <c r="A421"/>
      <c r="B421" s="103">
        <v>8</v>
      </c>
      <c r="C421" s="243"/>
      <c r="D421" s="119">
        <v>408</v>
      </c>
      <c r="E421" s="25" t="str">
        <f>Tp_CHG!D95</f>
        <v>Transition Probability from state 1 to state 3 on day 21 (CHG)</v>
      </c>
      <c r="F421" s="40">
        <f t="shared" si="67"/>
        <v>0</v>
      </c>
      <c r="G421" s="156">
        <v>1</v>
      </c>
      <c r="H421" s="120">
        <f>Tp_CHG!G95</f>
        <v>0</v>
      </c>
      <c r="I421" s="40" t="s">
        <v>58</v>
      </c>
      <c r="J421" s="40">
        <f t="shared" si="70"/>
        <v>0</v>
      </c>
      <c r="K421" s="40">
        <f t="shared" si="71"/>
        <v>0</v>
      </c>
      <c r="L421" s="40" t="s">
        <v>58</v>
      </c>
      <c r="M421" s="50" t="s">
        <v>266</v>
      </c>
      <c r="N421" s="190"/>
      <c r="O421" s="40">
        <f t="shared" ref="O421:O484" ca="1" si="73">RAND()</f>
        <v>0.53042304378295535</v>
      </c>
      <c r="P421" s="51">
        <f t="shared" si="68"/>
        <v>0</v>
      </c>
      <c r="Q421" s="51">
        <f t="shared" si="69"/>
        <v>0</v>
      </c>
      <c r="R421" s="51">
        <f t="shared" si="72"/>
        <v>0</v>
      </c>
      <c r="S421"/>
      <c r="T421" s="83"/>
    </row>
    <row r="422" spans="1:20" ht="16" x14ac:dyDescent="0.2">
      <c r="A422"/>
      <c r="B422" s="103">
        <v>1</v>
      </c>
      <c r="C422" s="243"/>
      <c r="D422" s="119">
        <v>409</v>
      </c>
      <c r="E422" s="25" t="str">
        <f>Tp_CHG!D96</f>
        <v>Transition Probability from state 1 to state 3 on day 22 (CHG)</v>
      </c>
      <c r="F422" s="40">
        <f t="shared" si="67"/>
        <v>0</v>
      </c>
      <c r="G422" s="156">
        <v>1</v>
      </c>
      <c r="H422" s="120">
        <f>Tp_CHG!G96</f>
        <v>0</v>
      </c>
      <c r="I422" s="40" t="s">
        <v>58</v>
      </c>
      <c r="J422" s="40">
        <f t="shared" si="70"/>
        <v>0</v>
      </c>
      <c r="K422" s="40">
        <f t="shared" si="71"/>
        <v>0</v>
      </c>
      <c r="L422" s="40" t="s">
        <v>58</v>
      </c>
      <c r="M422" s="50" t="s">
        <v>266</v>
      </c>
      <c r="N422" s="190"/>
      <c r="O422" s="40">
        <f t="shared" ca="1" si="73"/>
        <v>0.43784057755829597</v>
      </c>
      <c r="P422" s="51">
        <f t="shared" si="68"/>
        <v>0</v>
      </c>
      <c r="Q422" s="51">
        <f t="shared" si="69"/>
        <v>0</v>
      </c>
      <c r="R422" s="51">
        <f t="shared" si="72"/>
        <v>0</v>
      </c>
      <c r="S422"/>
      <c r="T422" s="83"/>
    </row>
    <row r="423" spans="1:20" ht="16" x14ac:dyDescent="0.2">
      <c r="A423"/>
      <c r="B423" s="103">
        <v>2</v>
      </c>
      <c r="C423" s="243"/>
      <c r="D423" s="119">
        <v>410</v>
      </c>
      <c r="E423" s="25" t="str">
        <f>Tp_CHG!D97</f>
        <v>Transition Probability from state 1 to state 3 on day 23 (CHG)</v>
      </c>
      <c r="F423" s="40">
        <f t="shared" si="67"/>
        <v>0</v>
      </c>
      <c r="G423" s="156">
        <v>1</v>
      </c>
      <c r="H423" s="120">
        <f>Tp_CHG!G97</f>
        <v>0</v>
      </c>
      <c r="I423" s="40" t="s">
        <v>58</v>
      </c>
      <c r="J423" s="40">
        <f t="shared" si="70"/>
        <v>0</v>
      </c>
      <c r="K423" s="40">
        <f t="shared" si="71"/>
        <v>0</v>
      </c>
      <c r="L423" s="40" t="s">
        <v>58</v>
      </c>
      <c r="M423" s="50" t="s">
        <v>266</v>
      </c>
      <c r="N423" s="190"/>
      <c r="O423" s="40">
        <f t="shared" ca="1" si="73"/>
        <v>0.49006498682912669</v>
      </c>
      <c r="P423" s="51">
        <f t="shared" si="68"/>
        <v>0</v>
      </c>
      <c r="Q423" s="51">
        <f t="shared" si="69"/>
        <v>0</v>
      </c>
      <c r="R423" s="51">
        <f t="shared" si="72"/>
        <v>0</v>
      </c>
      <c r="S423"/>
      <c r="T423" s="83"/>
    </row>
    <row r="424" spans="1:20" ht="16" x14ac:dyDescent="0.2">
      <c r="A424"/>
      <c r="B424" s="103">
        <v>3</v>
      </c>
      <c r="C424" s="243"/>
      <c r="D424" s="119">
        <v>411</v>
      </c>
      <c r="E424" s="25" t="str">
        <f>Tp_CHG!D98</f>
        <v>Transition Probability from state 1 to state 3 on day 24 (CHG)</v>
      </c>
      <c r="F424" s="40">
        <f t="shared" si="67"/>
        <v>0</v>
      </c>
      <c r="G424" s="156">
        <v>1</v>
      </c>
      <c r="H424" s="120">
        <f>Tp_CHG!G98</f>
        <v>0</v>
      </c>
      <c r="I424" s="40" t="s">
        <v>58</v>
      </c>
      <c r="J424" s="40">
        <f t="shared" si="70"/>
        <v>0</v>
      </c>
      <c r="K424" s="40">
        <f t="shared" si="71"/>
        <v>0</v>
      </c>
      <c r="L424" s="40" t="s">
        <v>58</v>
      </c>
      <c r="M424" s="50" t="s">
        <v>266</v>
      </c>
      <c r="N424" s="190"/>
      <c r="O424" s="40">
        <f t="shared" ca="1" si="73"/>
        <v>0.22380671836277899</v>
      </c>
      <c r="P424" s="51">
        <f t="shared" si="68"/>
        <v>0</v>
      </c>
      <c r="Q424" s="51">
        <f t="shared" si="69"/>
        <v>0</v>
      </c>
      <c r="R424" s="51">
        <f t="shared" si="72"/>
        <v>0</v>
      </c>
      <c r="S424"/>
      <c r="T424" s="83"/>
    </row>
    <row r="425" spans="1:20" ht="16" x14ac:dyDescent="0.2">
      <c r="A425"/>
      <c r="B425" s="103">
        <v>4</v>
      </c>
      <c r="C425" s="243"/>
      <c r="D425" s="119">
        <v>412</v>
      </c>
      <c r="E425" s="25" t="str">
        <f>Tp_CHG!D99</f>
        <v>Transition Probability from state 1 to state 3 on day 25 (CHG)</v>
      </c>
      <c r="F425" s="40">
        <f t="shared" si="67"/>
        <v>0</v>
      </c>
      <c r="G425" s="156">
        <v>1</v>
      </c>
      <c r="H425" s="120">
        <f>Tp_CHG!G99</f>
        <v>0</v>
      </c>
      <c r="I425" s="40" t="s">
        <v>58</v>
      </c>
      <c r="J425" s="40">
        <f t="shared" si="70"/>
        <v>0</v>
      </c>
      <c r="K425" s="40">
        <f t="shared" si="71"/>
        <v>0</v>
      </c>
      <c r="L425" s="40" t="s">
        <v>58</v>
      </c>
      <c r="M425" s="50" t="s">
        <v>266</v>
      </c>
      <c r="N425" s="190"/>
      <c r="O425" s="40">
        <f t="shared" ca="1" si="73"/>
        <v>0.81381647350125064</v>
      </c>
      <c r="P425" s="51">
        <f t="shared" si="68"/>
        <v>0</v>
      </c>
      <c r="Q425" s="51">
        <f t="shared" si="69"/>
        <v>0</v>
      </c>
      <c r="R425" s="51">
        <f t="shared" si="72"/>
        <v>0</v>
      </c>
      <c r="S425"/>
      <c r="T425" s="83"/>
    </row>
    <row r="426" spans="1:20" ht="16" x14ac:dyDescent="0.2">
      <c r="A426"/>
      <c r="B426" s="103">
        <v>5</v>
      </c>
      <c r="C426" s="243"/>
      <c r="D426" s="119">
        <v>413</v>
      </c>
      <c r="E426" s="25" t="str">
        <f>Tp_CHG!D100</f>
        <v>Transition Probability from state 1 to state 3 on day 26 (CHG)</v>
      </c>
      <c r="F426" s="40">
        <f t="shared" si="67"/>
        <v>0</v>
      </c>
      <c r="G426" s="156">
        <v>1</v>
      </c>
      <c r="H426" s="120">
        <f>Tp_CHG!G100</f>
        <v>0</v>
      </c>
      <c r="I426" s="40" t="s">
        <v>58</v>
      </c>
      <c r="J426" s="40">
        <f t="shared" si="70"/>
        <v>0</v>
      </c>
      <c r="K426" s="40">
        <f t="shared" si="71"/>
        <v>0</v>
      </c>
      <c r="L426" s="40" t="s">
        <v>58</v>
      </c>
      <c r="M426" s="50" t="s">
        <v>266</v>
      </c>
      <c r="N426" s="190"/>
      <c r="O426" s="40">
        <f t="shared" ca="1" si="73"/>
        <v>0.19874600740857062</v>
      </c>
      <c r="P426" s="51">
        <f t="shared" si="68"/>
        <v>0</v>
      </c>
      <c r="Q426" s="51">
        <f t="shared" si="69"/>
        <v>0</v>
      </c>
      <c r="R426" s="51">
        <f t="shared" si="72"/>
        <v>0</v>
      </c>
      <c r="S426"/>
      <c r="T426" s="83"/>
    </row>
    <row r="427" spans="1:20" ht="16" x14ac:dyDescent="0.2">
      <c r="A427"/>
      <c r="B427" s="103">
        <v>6</v>
      </c>
      <c r="C427" s="243"/>
      <c r="D427" s="119">
        <v>414</v>
      </c>
      <c r="E427" s="25" t="str">
        <f>Tp_CHG!D101</f>
        <v>Transition Probability from state 1 to state 3 on day 27 (CHG)</v>
      </c>
      <c r="F427" s="40">
        <f t="shared" si="67"/>
        <v>0</v>
      </c>
      <c r="G427" s="156">
        <v>1</v>
      </c>
      <c r="H427" s="120">
        <f>Tp_CHG!G101</f>
        <v>0</v>
      </c>
      <c r="I427" s="40" t="s">
        <v>58</v>
      </c>
      <c r="J427" s="40">
        <f t="shared" si="70"/>
        <v>0</v>
      </c>
      <c r="K427" s="40">
        <f t="shared" si="71"/>
        <v>0</v>
      </c>
      <c r="L427" s="40" t="s">
        <v>58</v>
      </c>
      <c r="M427" s="50" t="s">
        <v>266</v>
      </c>
      <c r="N427" s="190"/>
      <c r="O427" s="40">
        <f t="shared" ca="1" si="73"/>
        <v>0.77431682815983482</v>
      </c>
      <c r="P427" s="51">
        <f t="shared" si="68"/>
        <v>0</v>
      </c>
      <c r="Q427" s="51">
        <f t="shared" si="69"/>
        <v>0</v>
      </c>
      <c r="R427" s="51">
        <f t="shared" si="72"/>
        <v>0</v>
      </c>
      <c r="S427"/>
      <c r="T427" s="83"/>
    </row>
    <row r="428" spans="1:20" ht="16" x14ac:dyDescent="0.2">
      <c r="A428"/>
      <c r="B428" s="103">
        <v>7</v>
      </c>
      <c r="C428" s="243"/>
      <c r="D428" s="119">
        <v>415</v>
      </c>
      <c r="E428" s="25" t="str">
        <f>Tp_CHG!D102</f>
        <v>Transition Probability from state 1 to state 3 on day 28 (CHG)</v>
      </c>
      <c r="F428" s="40">
        <f t="shared" si="67"/>
        <v>0</v>
      </c>
      <c r="G428" s="156">
        <v>1</v>
      </c>
      <c r="H428" s="120">
        <f>Tp_CHG!G102</f>
        <v>0</v>
      </c>
      <c r="I428" s="40" t="s">
        <v>58</v>
      </c>
      <c r="J428" s="40">
        <f t="shared" si="70"/>
        <v>0</v>
      </c>
      <c r="K428" s="40">
        <f t="shared" si="71"/>
        <v>0</v>
      </c>
      <c r="L428" s="40" t="s">
        <v>58</v>
      </c>
      <c r="M428" s="50" t="s">
        <v>266</v>
      </c>
      <c r="N428" s="190"/>
      <c r="O428" s="40">
        <f t="shared" ca="1" si="73"/>
        <v>0.29033241617654026</v>
      </c>
      <c r="P428" s="51">
        <f t="shared" si="68"/>
        <v>0</v>
      </c>
      <c r="Q428" s="51">
        <f t="shared" si="69"/>
        <v>0</v>
      </c>
      <c r="R428" s="51">
        <f t="shared" si="72"/>
        <v>0</v>
      </c>
      <c r="S428"/>
      <c r="T428" s="83"/>
    </row>
    <row r="429" spans="1:20" ht="16" x14ac:dyDescent="0.2">
      <c r="A429"/>
      <c r="B429" s="103">
        <v>8</v>
      </c>
      <c r="C429" s="243"/>
      <c r="D429" s="119">
        <v>416</v>
      </c>
      <c r="E429" s="25" t="str">
        <f>Tp_CHG!D103</f>
        <v>Transition Probability from state 1 to state 3 on day 29 (CHG)</v>
      </c>
      <c r="F429" s="40">
        <f t="shared" si="67"/>
        <v>0</v>
      </c>
      <c r="G429" s="156">
        <v>1</v>
      </c>
      <c r="H429" s="120">
        <f>Tp_CHG!G103</f>
        <v>0</v>
      </c>
      <c r="I429" s="40" t="s">
        <v>58</v>
      </c>
      <c r="J429" s="40">
        <f t="shared" si="70"/>
        <v>0</v>
      </c>
      <c r="K429" s="40">
        <f t="shared" si="71"/>
        <v>0</v>
      </c>
      <c r="L429" s="40" t="s">
        <v>58</v>
      </c>
      <c r="M429" s="50" t="s">
        <v>266</v>
      </c>
      <c r="N429" s="190"/>
      <c r="O429" s="40">
        <f t="shared" ca="1" si="73"/>
        <v>0.12498669061185519</v>
      </c>
      <c r="P429" s="51">
        <f t="shared" si="68"/>
        <v>0</v>
      </c>
      <c r="Q429" s="51">
        <f t="shared" si="69"/>
        <v>0</v>
      </c>
      <c r="R429" s="51">
        <f t="shared" si="72"/>
        <v>0</v>
      </c>
      <c r="S429"/>
      <c r="T429" s="83"/>
    </row>
    <row r="430" spans="1:20" ht="16" x14ac:dyDescent="0.2">
      <c r="A430"/>
      <c r="B430" s="103">
        <v>1</v>
      </c>
      <c r="C430" s="243"/>
      <c r="D430" s="119">
        <v>417</v>
      </c>
      <c r="E430" s="25" t="str">
        <f>Tp_CHG!D104</f>
        <v>Transition Probability from state 1 to state 3 on day 30 (CHG)</v>
      </c>
      <c r="F430" s="40">
        <f t="shared" si="67"/>
        <v>0</v>
      </c>
      <c r="G430" s="156">
        <v>1</v>
      </c>
      <c r="H430" s="120">
        <f>Tp_CHG!G104</f>
        <v>0</v>
      </c>
      <c r="I430" s="40" t="s">
        <v>58</v>
      </c>
      <c r="J430" s="40">
        <f t="shared" si="70"/>
        <v>0</v>
      </c>
      <c r="K430" s="40">
        <f t="shared" si="71"/>
        <v>0</v>
      </c>
      <c r="L430" s="40" t="s">
        <v>58</v>
      </c>
      <c r="M430" s="50" t="s">
        <v>266</v>
      </c>
      <c r="N430" s="190"/>
      <c r="O430" s="40">
        <f t="shared" ca="1" si="73"/>
        <v>0.60286546992512235</v>
      </c>
      <c r="P430" s="51">
        <f t="shared" si="68"/>
        <v>0</v>
      </c>
      <c r="Q430" s="51">
        <f t="shared" si="69"/>
        <v>0</v>
      </c>
      <c r="R430" s="51">
        <f t="shared" si="72"/>
        <v>0</v>
      </c>
      <c r="S430"/>
      <c r="T430" s="83"/>
    </row>
    <row r="431" spans="1:20" ht="16" x14ac:dyDescent="0.2">
      <c r="A431"/>
      <c r="B431" s="103">
        <v>2</v>
      </c>
      <c r="C431" s="243"/>
      <c r="D431" s="119">
        <v>418</v>
      </c>
      <c r="E431" s="25" t="str">
        <f>Tp_CHG!I75</f>
        <v>Transition Probability from state 2 to state 3 on day 1 (CHG)</v>
      </c>
      <c r="F431" s="40">
        <f t="shared" si="67"/>
        <v>0</v>
      </c>
      <c r="G431" s="156">
        <v>1</v>
      </c>
      <c r="H431" s="120">
        <f>Tp_CHG!L75</f>
        <v>0</v>
      </c>
      <c r="I431" s="40" t="s">
        <v>58</v>
      </c>
      <c r="J431" s="40">
        <f t="shared" si="70"/>
        <v>0</v>
      </c>
      <c r="K431" s="40">
        <f t="shared" si="71"/>
        <v>0</v>
      </c>
      <c r="L431" s="40" t="s">
        <v>58</v>
      </c>
      <c r="M431" s="50" t="s">
        <v>266</v>
      </c>
      <c r="N431" s="190"/>
      <c r="O431" s="40">
        <f t="shared" ca="1" si="73"/>
        <v>0.78707391845407804</v>
      </c>
      <c r="P431" s="51">
        <f t="shared" si="68"/>
        <v>0</v>
      </c>
      <c r="Q431" s="51">
        <f t="shared" si="69"/>
        <v>0</v>
      </c>
      <c r="R431" s="51">
        <f t="shared" si="72"/>
        <v>0</v>
      </c>
      <c r="S431"/>
      <c r="T431" s="83"/>
    </row>
    <row r="432" spans="1:20" ht="16" x14ac:dyDescent="0.2">
      <c r="A432"/>
      <c r="B432" s="103">
        <v>3</v>
      </c>
      <c r="C432" s="243"/>
      <c r="D432" s="119">
        <v>419</v>
      </c>
      <c r="E432" s="25" t="str">
        <f>Tp_CHG!I76</f>
        <v>Transition Probability from state 2 to state 3 on day 2 (CHG)</v>
      </c>
      <c r="F432" s="40">
        <f t="shared" si="67"/>
        <v>0</v>
      </c>
      <c r="G432" s="156">
        <v>1</v>
      </c>
      <c r="H432" s="120">
        <f>Tp_CHG!L76</f>
        <v>0</v>
      </c>
      <c r="I432" s="40" t="s">
        <v>58</v>
      </c>
      <c r="J432" s="40">
        <f t="shared" si="70"/>
        <v>0</v>
      </c>
      <c r="K432" s="40">
        <f t="shared" si="71"/>
        <v>0</v>
      </c>
      <c r="L432" s="40" t="s">
        <v>58</v>
      </c>
      <c r="M432" s="50" t="s">
        <v>266</v>
      </c>
      <c r="N432" s="190"/>
      <c r="O432" s="40">
        <f t="shared" ca="1" si="73"/>
        <v>0.71237031903004855</v>
      </c>
      <c r="P432" s="51">
        <f t="shared" si="68"/>
        <v>0</v>
      </c>
      <c r="Q432" s="51">
        <f t="shared" si="69"/>
        <v>0</v>
      </c>
      <c r="R432" s="51">
        <f t="shared" si="72"/>
        <v>0</v>
      </c>
      <c r="S432"/>
      <c r="T432" s="83"/>
    </row>
    <row r="433" spans="1:20" ht="16" x14ac:dyDescent="0.2">
      <c r="A433"/>
      <c r="B433" s="103">
        <v>4</v>
      </c>
      <c r="C433" s="243"/>
      <c r="D433" s="119">
        <v>420</v>
      </c>
      <c r="E433" s="25" t="str">
        <f>Tp_CHG!I77</f>
        <v>Transition Probability from state 2 to state 3 on day 3 (CHG)</v>
      </c>
      <c r="F433" s="40">
        <f t="shared" si="67"/>
        <v>0</v>
      </c>
      <c r="G433" s="156">
        <v>1</v>
      </c>
      <c r="H433" s="120">
        <f>Tp_CHG!L77</f>
        <v>0</v>
      </c>
      <c r="I433" s="40" t="s">
        <v>58</v>
      </c>
      <c r="J433" s="40">
        <f t="shared" si="70"/>
        <v>0</v>
      </c>
      <c r="K433" s="40">
        <f t="shared" si="71"/>
        <v>0</v>
      </c>
      <c r="L433" s="40" t="s">
        <v>58</v>
      </c>
      <c r="M433" s="50" t="s">
        <v>266</v>
      </c>
      <c r="N433" s="190"/>
      <c r="O433" s="40">
        <f t="shared" ca="1" si="73"/>
        <v>0.12759957288448642</v>
      </c>
      <c r="P433" s="51">
        <f t="shared" si="68"/>
        <v>0</v>
      </c>
      <c r="Q433" s="51">
        <f t="shared" si="69"/>
        <v>0</v>
      </c>
      <c r="R433" s="51">
        <f t="shared" si="72"/>
        <v>0</v>
      </c>
      <c r="S433"/>
      <c r="T433" s="83"/>
    </row>
    <row r="434" spans="1:20" ht="16" x14ac:dyDescent="0.2">
      <c r="A434"/>
      <c r="B434" s="103">
        <v>5</v>
      </c>
      <c r="C434" s="243"/>
      <c r="D434" s="119">
        <v>421</v>
      </c>
      <c r="E434" s="25" t="str">
        <f>Tp_CHG!I78</f>
        <v>Transition Probability from state 2 to state 3 on day 4 (CHG)</v>
      </c>
      <c r="F434" s="40">
        <f t="shared" si="67"/>
        <v>0</v>
      </c>
      <c r="G434" s="156">
        <v>1</v>
      </c>
      <c r="H434" s="120">
        <f>Tp_CHG!L78</f>
        <v>0</v>
      </c>
      <c r="I434" s="40" t="s">
        <v>58</v>
      </c>
      <c r="J434" s="40">
        <f t="shared" si="70"/>
        <v>0</v>
      </c>
      <c r="K434" s="40">
        <f t="shared" si="71"/>
        <v>0</v>
      </c>
      <c r="L434" s="40" t="s">
        <v>58</v>
      </c>
      <c r="M434" s="50" t="s">
        <v>266</v>
      </c>
      <c r="N434" s="190"/>
      <c r="O434" s="40">
        <f t="shared" ca="1" si="73"/>
        <v>0.70448363109890921</v>
      </c>
      <c r="P434" s="51">
        <f t="shared" si="68"/>
        <v>0</v>
      </c>
      <c r="Q434" s="51">
        <f t="shared" si="69"/>
        <v>0</v>
      </c>
      <c r="R434" s="51">
        <f t="shared" si="72"/>
        <v>0</v>
      </c>
      <c r="S434"/>
      <c r="T434" s="83"/>
    </row>
    <row r="435" spans="1:20" ht="16" x14ac:dyDescent="0.2">
      <c r="A435"/>
      <c r="B435" s="103">
        <v>6</v>
      </c>
      <c r="C435" s="243"/>
      <c r="D435" s="119">
        <v>422</v>
      </c>
      <c r="E435" s="25" t="str">
        <f>Tp_CHG!I79</f>
        <v>Transition Probability from state 2 to state 3 on day 5 (CHG)</v>
      </c>
      <c r="F435" s="40">
        <f t="shared" si="67"/>
        <v>0</v>
      </c>
      <c r="G435" s="156">
        <v>1</v>
      </c>
      <c r="H435" s="120">
        <f>Tp_CHG!L79</f>
        <v>0</v>
      </c>
      <c r="I435" s="40" t="s">
        <v>58</v>
      </c>
      <c r="J435" s="40">
        <f t="shared" ref="J435:J466" si="74">IF(H435=0,0,_xlfn.NORM.INV(0.025,H435,R435))</f>
        <v>0</v>
      </c>
      <c r="K435" s="40">
        <f t="shared" ref="K435:K466" si="75">IF(H435=0,0,_xlfn.NORM.INV(0.975,H435,R435))</f>
        <v>0</v>
      </c>
      <c r="L435" s="40" t="s">
        <v>58</v>
      </c>
      <c r="M435" s="50" t="s">
        <v>266</v>
      </c>
      <c r="N435" s="190"/>
      <c r="O435" s="40">
        <f t="shared" ca="1" si="73"/>
        <v>0.23002886848996695</v>
      </c>
      <c r="P435" s="51">
        <f t="shared" si="68"/>
        <v>0</v>
      </c>
      <c r="Q435" s="51">
        <f t="shared" si="69"/>
        <v>0</v>
      </c>
      <c r="R435" s="51">
        <f t="shared" ref="R435:R466" si="76">assumedSE*H435</f>
        <v>0</v>
      </c>
      <c r="S435"/>
      <c r="T435" s="83"/>
    </row>
    <row r="436" spans="1:20" ht="16" x14ac:dyDescent="0.2">
      <c r="A436"/>
      <c r="B436" s="103">
        <v>7</v>
      </c>
      <c r="C436" s="243"/>
      <c r="D436" s="119">
        <v>423</v>
      </c>
      <c r="E436" s="25" t="str">
        <f>Tp_CHG!I80</f>
        <v>Transition Probability from state 2 to state 3 on day 6 (CHG)</v>
      </c>
      <c r="F436" s="40">
        <f t="shared" si="67"/>
        <v>0</v>
      </c>
      <c r="G436" s="156">
        <v>1</v>
      </c>
      <c r="H436" s="120">
        <f>Tp_CHG!L80</f>
        <v>0</v>
      </c>
      <c r="I436" s="40" t="s">
        <v>58</v>
      </c>
      <c r="J436" s="40">
        <f t="shared" si="74"/>
        <v>0</v>
      </c>
      <c r="K436" s="40">
        <f t="shared" si="75"/>
        <v>0</v>
      </c>
      <c r="L436" s="40" t="s">
        <v>58</v>
      </c>
      <c r="M436" s="50" t="s">
        <v>266</v>
      </c>
      <c r="N436" s="190"/>
      <c r="O436" s="40">
        <f t="shared" ca="1" si="73"/>
        <v>0.58065752316658592</v>
      </c>
      <c r="P436" s="51">
        <f t="shared" si="68"/>
        <v>0</v>
      </c>
      <c r="Q436" s="51">
        <f t="shared" si="69"/>
        <v>0</v>
      </c>
      <c r="R436" s="51">
        <f t="shared" si="76"/>
        <v>0</v>
      </c>
      <c r="S436"/>
      <c r="T436" s="83"/>
    </row>
    <row r="437" spans="1:20" ht="16" x14ac:dyDescent="0.2">
      <c r="A437"/>
      <c r="B437" s="103">
        <v>8</v>
      </c>
      <c r="C437" s="243"/>
      <c r="D437" s="119">
        <v>424</v>
      </c>
      <c r="E437" s="25" t="str">
        <f>Tp_CHG!I81</f>
        <v>Transition Probability from state 2 to state 3 on day 7 (CHG)</v>
      </c>
      <c r="F437" s="40">
        <f t="shared" si="67"/>
        <v>0</v>
      </c>
      <c r="G437" s="156">
        <v>1</v>
      </c>
      <c r="H437" s="120">
        <f>Tp_CHG!L81</f>
        <v>0</v>
      </c>
      <c r="I437" s="40" t="s">
        <v>58</v>
      </c>
      <c r="J437" s="40">
        <f t="shared" si="74"/>
        <v>0</v>
      </c>
      <c r="K437" s="40">
        <f t="shared" si="75"/>
        <v>0</v>
      </c>
      <c r="L437" s="40" t="s">
        <v>58</v>
      </c>
      <c r="M437" s="50" t="s">
        <v>266</v>
      </c>
      <c r="N437" s="190"/>
      <c r="O437" s="40">
        <f t="shared" ca="1" si="73"/>
        <v>0.62312696079842178</v>
      </c>
      <c r="P437" s="51">
        <f t="shared" si="68"/>
        <v>0</v>
      </c>
      <c r="Q437" s="51">
        <f t="shared" si="69"/>
        <v>0</v>
      </c>
      <c r="R437" s="51">
        <f t="shared" si="76"/>
        <v>0</v>
      </c>
      <c r="S437"/>
      <c r="T437" s="83"/>
    </row>
    <row r="438" spans="1:20" ht="16" x14ac:dyDescent="0.2">
      <c r="A438"/>
      <c r="B438" s="103">
        <v>1</v>
      </c>
      <c r="C438" s="243"/>
      <c r="D438" s="119">
        <v>425</v>
      </c>
      <c r="E438" s="25" t="str">
        <f>Tp_CHG!I82</f>
        <v>Transition Probability from state 2 to state 3 on day 8 (CHG)</v>
      </c>
      <c r="F438" s="40">
        <f t="shared" si="67"/>
        <v>0</v>
      </c>
      <c r="G438" s="156">
        <v>1</v>
      </c>
      <c r="H438" s="120">
        <f>Tp_CHG!L82</f>
        <v>0</v>
      </c>
      <c r="I438" s="40" t="s">
        <v>58</v>
      </c>
      <c r="J438" s="40">
        <f t="shared" si="74"/>
        <v>0</v>
      </c>
      <c r="K438" s="40">
        <f t="shared" si="75"/>
        <v>0</v>
      </c>
      <c r="L438" s="40" t="s">
        <v>58</v>
      </c>
      <c r="M438" s="50" t="s">
        <v>266</v>
      </c>
      <c r="N438" s="190"/>
      <c r="O438" s="40">
        <f t="shared" ca="1" si="73"/>
        <v>0.10882457874698326</v>
      </c>
      <c r="P438" s="51">
        <f t="shared" si="68"/>
        <v>0</v>
      </c>
      <c r="Q438" s="51">
        <f t="shared" si="69"/>
        <v>0</v>
      </c>
      <c r="R438" s="51">
        <f t="shared" si="76"/>
        <v>0</v>
      </c>
      <c r="S438"/>
      <c r="T438" s="83"/>
    </row>
    <row r="439" spans="1:20" ht="16" x14ac:dyDescent="0.2">
      <c r="A439"/>
      <c r="B439" s="103">
        <v>2</v>
      </c>
      <c r="C439" s="243"/>
      <c r="D439" s="119">
        <v>426</v>
      </c>
      <c r="E439" s="25" t="str">
        <f>Tp_CHG!I83</f>
        <v>Transition Probability from state 2 to state 3 on day 9 (CHG)</v>
      </c>
      <c r="F439" s="40">
        <f t="shared" si="67"/>
        <v>0</v>
      </c>
      <c r="G439" s="156">
        <v>1</v>
      </c>
      <c r="H439" s="120">
        <f>Tp_CHG!L83</f>
        <v>0</v>
      </c>
      <c r="I439" s="40" t="s">
        <v>58</v>
      </c>
      <c r="J439" s="40">
        <f t="shared" si="74"/>
        <v>0</v>
      </c>
      <c r="K439" s="40">
        <f t="shared" si="75"/>
        <v>0</v>
      </c>
      <c r="L439" s="40" t="s">
        <v>58</v>
      </c>
      <c r="M439" s="50" t="s">
        <v>266</v>
      </c>
      <c r="N439" s="190"/>
      <c r="O439" s="40">
        <f t="shared" ca="1" si="73"/>
        <v>0.6936070831639729</v>
      </c>
      <c r="P439" s="51">
        <f t="shared" si="68"/>
        <v>0</v>
      </c>
      <c r="Q439" s="51">
        <f t="shared" si="69"/>
        <v>0</v>
      </c>
      <c r="R439" s="51">
        <f t="shared" si="76"/>
        <v>0</v>
      </c>
      <c r="S439"/>
      <c r="T439" s="83"/>
    </row>
    <row r="440" spans="1:20" ht="16" x14ac:dyDescent="0.2">
      <c r="A440"/>
      <c r="B440" s="103">
        <v>3</v>
      </c>
      <c r="C440" s="243"/>
      <c r="D440" s="119">
        <v>427</v>
      </c>
      <c r="E440" s="25" t="str">
        <f>Tp_CHG!I84</f>
        <v>Transition Probability from state 2 to state 3 on day 10 (CHG)</v>
      </c>
      <c r="F440" s="40">
        <f t="shared" si="67"/>
        <v>0</v>
      </c>
      <c r="G440" s="156">
        <v>1</v>
      </c>
      <c r="H440" s="120">
        <f>Tp_CHG!L84</f>
        <v>0</v>
      </c>
      <c r="I440" s="40" t="s">
        <v>58</v>
      </c>
      <c r="J440" s="40">
        <f t="shared" si="74"/>
        <v>0</v>
      </c>
      <c r="K440" s="40">
        <f t="shared" si="75"/>
        <v>0</v>
      </c>
      <c r="L440" s="40" t="s">
        <v>58</v>
      </c>
      <c r="M440" s="50" t="s">
        <v>266</v>
      </c>
      <c r="N440" s="190"/>
      <c r="O440" s="40">
        <f t="shared" ca="1" si="73"/>
        <v>0.88375991689503874</v>
      </c>
      <c r="P440" s="51">
        <f t="shared" si="68"/>
        <v>0</v>
      </c>
      <c r="Q440" s="51">
        <f t="shared" si="69"/>
        <v>0</v>
      </c>
      <c r="R440" s="51">
        <f t="shared" si="76"/>
        <v>0</v>
      </c>
      <c r="S440"/>
      <c r="T440" s="83"/>
    </row>
    <row r="441" spans="1:20" ht="16" x14ac:dyDescent="0.2">
      <c r="A441"/>
      <c r="B441" s="103">
        <v>4</v>
      </c>
      <c r="C441" s="243"/>
      <c r="D441" s="119">
        <v>428</v>
      </c>
      <c r="E441" s="25" t="str">
        <f>Tp_CHG!I85</f>
        <v>Transition Probability from state 2 to state 3 on day 11 (CHG)</v>
      </c>
      <c r="F441" s="40">
        <f t="shared" si="67"/>
        <v>0</v>
      </c>
      <c r="G441" s="156">
        <v>1</v>
      </c>
      <c r="H441" s="120">
        <f>Tp_CHG!L85</f>
        <v>0</v>
      </c>
      <c r="I441" s="40" t="s">
        <v>58</v>
      </c>
      <c r="J441" s="40">
        <f t="shared" si="74"/>
        <v>0</v>
      </c>
      <c r="K441" s="40">
        <f t="shared" si="75"/>
        <v>0</v>
      </c>
      <c r="L441" s="40" t="s">
        <v>58</v>
      </c>
      <c r="M441" s="50" t="s">
        <v>266</v>
      </c>
      <c r="N441" s="190"/>
      <c r="O441" s="40">
        <f t="shared" ca="1" si="73"/>
        <v>0.80191985167380064</v>
      </c>
      <c r="P441" s="51">
        <f t="shared" si="68"/>
        <v>0</v>
      </c>
      <c r="Q441" s="51">
        <f t="shared" si="69"/>
        <v>0</v>
      </c>
      <c r="R441" s="51">
        <f t="shared" si="76"/>
        <v>0</v>
      </c>
      <c r="S441"/>
      <c r="T441" s="83"/>
    </row>
    <row r="442" spans="1:20" ht="16" x14ac:dyDescent="0.2">
      <c r="A442"/>
      <c r="B442" s="103">
        <v>5</v>
      </c>
      <c r="C442" s="243"/>
      <c r="D442" s="119">
        <v>429</v>
      </c>
      <c r="E442" s="25" t="str">
        <f>Tp_CHG!I86</f>
        <v>Transition Probability from state 2 to state 3 on day 12 (CHG)</v>
      </c>
      <c r="F442" s="40">
        <f t="shared" si="67"/>
        <v>0</v>
      </c>
      <c r="G442" s="156">
        <v>1</v>
      </c>
      <c r="H442" s="120">
        <f>Tp_CHG!L86</f>
        <v>0</v>
      </c>
      <c r="I442" s="40" t="s">
        <v>58</v>
      </c>
      <c r="J442" s="40">
        <f t="shared" si="74"/>
        <v>0</v>
      </c>
      <c r="K442" s="40">
        <f t="shared" si="75"/>
        <v>0</v>
      </c>
      <c r="L442" s="40" t="s">
        <v>58</v>
      </c>
      <c r="M442" s="50" t="s">
        <v>266</v>
      </c>
      <c r="N442" s="190"/>
      <c r="O442" s="40">
        <f t="shared" ca="1" si="73"/>
        <v>2.4488906776680475E-2</v>
      </c>
      <c r="P442" s="51">
        <f t="shared" si="68"/>
        <v>0</v>
      </c>
      <c r="Q442" s="51">
        <f t="shared" si="69"/>
        <v>0</v>
      </c>
      <c r="R442" s="51">
        <f t="shared" si="76"/>
        <v>0</v>
      </c>
      <c r="S442"/>
      <c r="T442" s="83"/>
    </row>
    <row r="443" spans="1:20" ht="16" x14ac:dyDescent="0.2">
      <c r="A443"/>
      <c r="B443" s="103">
        <v>6</v>
      </c>
      <c r="C443" s="243"/>
      <c r="D443" s="119">
        <v>430</v>
      </c>
      <c r="E443" s="25" t="str">
        <f>Tp_CHG!I87</f>
        <v>Transition Probability from state 2 to state 3 on day 13 (CHG)</v>
      </c>
      <c r="F443" s="40">
        <f t="shared" si="67"/>
        <v>0</v>
      </c>
      <c r="G443" s="156">
        <v>1</v>
      </c>
      <c r="H443" s="120">
        <f>Tp_CHG!L87</f>
        <v>0</v>
      </c>
      <c r="I443" s="40" t="s">
        <v>58</v>
      </c>
      <c r="J443" s="40">
        <f t="shared" si="74"/>
        <v>0</v>
      </c>
      <c r="K443" s="40">
        <f t="shared" si="75"/>
        <v>0</v>
      </c>
      <c r="L443" s="40" t="s">
        <v>58</v>
      </c>
      <c r="M443" s="50" t="s">
        <v>266</v>
      </c>
      <c r="N443" s="190"/>
      <c r="O443" s="40">
        <f t="shared" ca="1" si="73"/>
        <v>0.88180354425293295</v>
      </c>
      <c r="P443" s="51">
        <f t="shared" si="68"/>
        <v>0</v>
      </c>
      <c r="Q443" s="51">
        <f t="shared" si="69"/>
        <v>0</v>
      </c>
      <c r="R443" s="51">
        <f t="shared" si="76"/>
        <v>0</v>
      </c>
      <c r="S443"/>
      <c r="T443" s="83"/>
    </row>
    <row r="444" spans="1:20" ht="16" x14ac:dyDescent="0.2">
      <c r="A444"/>
      <c r="B444" s="103">
        <v>7</v>
      </c>
      <c r="C444" s="243"/>
      <c r="D444" s="119">
        <v>431</v>
      </c>
      <c r="E444" s="25" t="str">
        <f>Tp_CHG!I88</f>
        <v>Transition Probability from state 2 to state 3 on day 14 (CHG)</v>
      </c>
      <c r="F444" s="40">
        <f t="shared" si="67"/>
        <v>0</v>
      </c>
      <c r="G444" s="156">
        <v>1</v>
      </c>
      <c r="H444" s="120">
        <f>Tp_CHG!L88</f>
        <v>0</v>
      </c>
      <c r="I444" s="40" t="s">
        <v>58</v>
      </c>
      <c r="J444" s="40">
        <f t="shared" si="74"/>
        <v>0</v>
      </c>
      <c r="K444" s="40">
        <f t="shared" si="75"/>
        <v>0</v>
      </c>
      <c r="L444" s="40" t="s">
        <v>58</v>
      </c>
      <c r="M444" s="50" t="s">
        <v>266</v>
      </c>
      <c r="N444" s="190"/>
      <c r="O444" s="40">
        <f t="shared" ca="1" si="73"/>
        <v>0.14464729174900703</v>
      </c>
      <c r="P444" s="51">
        <f t="shared" si="68"/>
        <v>0</v>
      </c>
      <c r="Q444" s="51">
        <f t="shared" si="69"/>
        <v>0</v>
      </c>
      <c r="R444" s="51">
        <f t="shared" si="76"/>
        <v>0</v>
      </c>
      <c r="S444"/>
      <c r="T444" s="83"/>
    </row>
    <row r="445" spans="1:20" ht="16" x14ac:dyDescent="0.2">
      <c r="A445"/>
      <c r="B445" s="103">
        <v>8</v>
      </c>
      <c r="C445" s="243"/>
      <c r="D445" s="119">
        <v>432</v>
      </c>
      <c r="E445" s="25" t="str">
        <f>Tp_CHG!I89</f>
        <v>Transition Probability from state 2 to state 3 on day 15 (CHG)</v>
      </c>
      <c r="F445" s="40">
        <f t="shared" si="67"/>
        <v>0</v>
      </c>
      <c r="G445" s="156">
        <v>1</v>
      </c>
      <c r="H445" s="120">
        <f>Tp_CHG!L89</f>
        <v>0</v>
      </c>
      <c r="I445" s="40" t="s">
        <v>58</v>
      </c>
      <c r="J445" s="40">
        <f t="shared" si="74"/>
        <v>0</v>
      </c>
      <c r="K445" s="40">
        <f t="shared" si="75"/>
        <v>0</v>
      </c>
      <c r="L445" s="40" t="s">
        <v>58</v>
      </c>
      <c r="M445" s="50" t="s">
        <v>266</v>
      </c>
      <c r="N445" s="190"/>
      <c r="O445" s="40">
        <f t="shared" ca="1" si="73"/>
        <v>0.63209240762343522</v>
      </c>
      <c r="P445" s="51">
        <f t="shared" si="68"/>
        <v>0</v>
      </c>
      <c r="Q445" s="51">
        <f t="shared" si="69"/>
        <v>0</v>
      </c>
      <c r="R445" s="51">
        <f t="shared" si="76"/>
        <v>0</v>
      </c>
      <c r="S445"/>
      <c r="T445" s="83"/>
    </row>
    <row r="446" spans="1:20" ht="16" x14ac:dyDescent="0.2">
      <c r="A446"/>
      <c r="B446" s="103">
        <v>1</v>
      </c>
      <c r="C446" s="243"/>
      <c r="D446" s="119">
        <v>433</v>
      </c>
      <c r="E446" s="25" t="str">
        <f>Tp_CHG!I90</f>
        <v>Transition Probability from state 2 to state 3 on day 16 (CHG)</v>
      </c>
      <c r="F446" s="40">
        <f t="shared" si="67"/>
        <v>0</v>
      </c>
      <c r="G446" s="156">
        <v>1</v>
      </c>
      <c r="H446" s="120">
        <f>Tp_CHG!L90</f>
        <v>0</v>
      </c>
      <c r="I446" s="40" t="s">
        <v>58</v>
      </c>
      <c r="J446" s="40">
        <f t="shared" si="74"/>
        <v>0</v>
      </c>
      <c r="K446" s="40">
        <f t="shared" si="75"/>
        <v>0</v>
      </c>
      <c r="L446" s="40" t="s">
        <v>58</v>
      </c>
      <c r="M446" s="50" t="s">
        <v>266</v>
      </c>
      <c r="N446" s="190"/>
      <c r="O446" s="40">
        <f t="shared" ca="1" si="73"/>
        <v>0.10387663445942252</v>
      </c>
      <c r="P446" s="51">
        <f t="shared" si="68"/>
        <v>0</v>
      </c>
      <c r="Q446" s="51">
        <f t="shared" si="69"/>
        <v>0</v>
      </c>
      <c r="R446" s="51">
        <f t="shared" si="76"/>
        <v>0</v>
      </c>
      <c r="S446"/>
      <c r="T446" s="83"/>
    </row>
    <row r="447" spans="1:20" ht="16" x14ac:dyDescent="0.2">
      <c r="A447"/>
      <c r="B447" s="103">
        <v>2</v>
      </c>
      <c r="C447" s="243"/>
      <c r="D447" s="119">
        <v>434</v>
      </c>
      <c r="E447" s="25" t="str">
        <f>Tp_CHG!I91</f>
        <v>Transition Probability from state 2 to state 3 on day 17 (CHG)</v>
      </c>
      <c r="F447" s="40">
        <f t="shared" si="67"/>
        <v>0</v>
      </c>
      <c r="G447" s="156">
        <v>1</v>
      </c>
      <c r="H447" s="120">
        <f>Tp_CHG!L91</f>
        <v>0</v>
      </c>
      <c r="I447" s="40" t="s">
        <v>58</v>
      </c>
      <c r="J447" s="40">
        <f t="shared" si="74"/>
        <v>0</v>
      </c>
      <c r="K447" s="40">
        <f t="shared" si="75"/>
        <v>0</v>
      </c>
      <c r="L447" s="40" t="s">
        <v>58</v>
      </c>
      <c r="M447" s="50" t="s">
        <v>266</v>
      </c>
      <c r="N447" s="190"/>
      <c r="O447" s="40">
        <f t="shared" ca="1" si="73"/>
        <v>0.38974979787458552</v>
      </c>
      <c r="P447" s="51">
        <f t="shared" si="68"/>
        <v>0</v>
      </c>
      <c r="Q447" s="51">
        <f t="shared" si="69"/>
        <v>0</v>
      </c>
      <c r="R447" s="51">
        <f t="shared" si="76"/>
        <v>0</v>
      </c>
      <c r="S447"/>
      <c r="T447" s="83"/>
    </row>
    <row r="448" spans="1:20" ht="16" x14ac:dyDescent="0.2">
      <c r="A448"/>
      <c r="B448" s="103">
        <v>3</v>
      </c>
      <c r="C448" s="243"/>
      <c r="D448" s="119">
        <v>435</v>
      </c>
      <c r="E448" s="25" t="str">
        <f>Tp_CHG!I92</f>
        <v>Transition Probability from state 2 to state 3 on day 18 (CHG)</v>
      </c>
      <c r="F448" s="40">
        <f t="shared" si="67"/>
        <v>0</v>
      </c>
      <c r="G448" s="156">
        <v>1</v>
      </c>
      <c r="H448" s="120">
        <f>Tp_CHG!L92</f>
        <v>0</v>
      </c>
      <c r="I448" s="40" t="s">
        <v>58</v>
      </c>
      <c r="J448" s="40">
        <f t="shared" si="74"/>
        <v>0</v>
      </c>
      <c r="K448" s="40">
        <f t="shared" si="75"/>
        <v>0</v>
      </c>
      <c r="L448" s="40" t="s">
        <v>58</v>
      </c>
      <c r="M448" s="50" t="s">
        <v>266</v>
      </c>
      <c r="N448" s="190"/>
      <c r="O448" s="40">
        <f t="shared" ca="1" si="73"/>
        <v>0.86868556940704134</v>
      </c>
      <c r="P448" s="51">
        <f t="shared" si="68"/>
        <v>0</v>
      </c>
      <c r="Q448" s="51">
        <f t="shared" si="69"/>
        <v>0</v>
      </c>
      <c r="R448" s="51">
        <f t="shared" si="76"/>
        <v>0</v>
      </c>
      <c r="S448"/>
      <c r="T448" s="83"/>
    </row>
    <row r="449" spans="1:20" ht="16" x14ac:dyDescent="0.2">
      <c r="A449"/>
      <c r="B449" s="103">
        <v>4</v>
      </c>
      <c r="C449" s="243"/>
      <c r="D449" s="119">
        <v>436</v>
      </c>
      <c r="E449" s="25" t="str">
        <f>Tp_CHG!I93</f>
        <v>Transition Probability from state 2 to state 3 on day 19 (CHG)</v>
      </c>
      <c r="F449" s="40">
        <f t="shared" si="67"/>
        <v>0</v>
      </c>
      <c r="G449" s="156">
        <v>1</v>
      </c>
      <c r="H449" s="120">
        <f>Tp_CHG!L93</f>
        <v>0</v>
      </c>
      <c r="I449" s="40" t="s">
        <v>58</v>
      </c>
      <c r="J449" s="40">
        <f t="shared" si="74"/>
        <v>0</v>
      </c>
      <c r="K449" s="40">
        <f t="shared" si="75"/>
        <v>0</v>
      </c>
      <c r="L449" s="40" t="s">
        <v>58</v>
      </c>
      <c r="M449" s="50" t="s">
        <v>266</v>
      </c>
      <c r="N449" s="190"/>
      <c r="O449" s="40">
        <f t="shared" ca="1" si="73"/>
        <v>0.25650755546620929</v>
      </c>
      <c r="P449" s="51">
        <f t="shared" si="68"/>
        <v>0</v>
      </c>
      <c r="Q449" s="51">
        <f t="shared" si="69"/>
        <v>0</v>
      </c>
      <c r="R449" s="51">
        <f t="shared" si="76"/>
        <v>0</v>
      </c>
      <c r="S449"/>
      <c r="T449" s="83"/>
    </row>
    <row r="450" spans="1:20" ht="16" x14ac:dyDescent="0.2">
      <c r="A450"/>
      <c r="B450" s="103">
        <v>5</v>
      </c>
      <c r="C450" s="243"/>
      <c r="D450" s="119">
        <v>437</v>
      </c>
      <c r="E450" s="25" t="str">
        <f>Tp_CHG!I94</f>
        <v>Transition Probability from state 2 to state 3 on day 20 (CHG)</v>
      </c>
      <c r="F450" s="40">
        <f t="shared" si="67"/>
        <v>0</v>
      </c>
      <c r="G450" s="156">
        <v>1</v>
      </c>
      <c r="H450" s="120">
        <f>Tp_CHG!L94</f>
        <v>0</v>
      </c>
      <c r="I450" s="40" t="s">
        <v>58</v>
      </c>
      <c r="J450" s="40">
        <f t="shared" si="74"/>
        <v>0</v>
      </c>
      <c r="K450" s="40">
        <f t="shared" si="75"/>
        <v>0</v>
      </c>
      <c r="L450" s="40" t="s">
        <v>58</v>
      </c>
      <c r="M450" s="50" t="s">
        <v>266</v>
      </c>
      <c r="N450" s="190"/>
      <c r="O450" s="40">
        <f t="shared" ca="1" si="73"/>
        <v>0.99174682658298263</v>
      </c>
      <c r="P450" s="51">
        <f t="shared" si="68"/>
        <v>0</v>
      </c>
      <c r="Q450" s="51">
        <f t="shared" si="69"/>
        <v>0</v>
      </c>
      <c r="R450" s="51">
        <f t="shared" si="76"/>
        <v>0</v>
      </c>
      <c r="S450"/>
      <c r="T450" s="83"/>
    </row>
    <row r="451" spans="1:20" ht="16" x14ac:dyDescent="0.2">
      <c r="A451"/>
      <c r="B451" s="103">
        <v>6</v>
      </c>
      <c r="C451" s="243"/>
      <c r="D451" s="119">
        <v>438</v>
      </c>
      <c r="E451" s="25" t="str">
        <f>Tp_CHG!I95</f>
        <v>Transition Probability from state 2 to state 3 on day 21 (CHG)</v>
      </c>
      <c r="F451" s="40">
        <f t="shared" si="67"/>
        <v>0</v>
      </c>
      <c r="G451" s="156">
        <v>1</v>
      </c>
      <c r="H451" s="120">
        <f>Tp_CHG!L95</f>
        <v>0</v>
      </c>
      <c r="I451" s="40" t="s">
        <v>58</v>
      </c>
      <c r="J451" s="40">
        <f t="shared" si="74"/>
        <v>0</v>
      </c>
      <c r="K451" s="40">
        <f t="shared" si="75"/>
        <v>0</v>
      </c>
      <c r="L451" s="40" t="s">
        <v>58</v>
      </c>
      <c r="M451" s="50" t="s">
        <v>266</v>
      </c>
      <c r="N451" s="190"/>
      <c r="O451" s="40">
        <f t="shared" ca="1" si="73"/>
        <v>0.34259619916242778</v>
      </c>
      <c r="P451" s="51">
        <f t="shared" si="68"/>
        <v>0</v>
      </c>
      <c r="Q451" s="51">
        <f t="shared" si="69"/>
        <v>0</v>
      </c>
      <c r="R451" s="51">
        <f t="shared" si="76"/>
        <v>0</v>
      </c>
      <c r="S451"/>
      <c r="T451" s="83"/>
    </row>
    <row r="452" spans="1:20" ht="16" x14ac:dyDescent="0.2">
      <c r="A452"/>
      <c r="B452" s="103">
        <v>7</v>
      </c>
      <c r="C452" s="243"/>
      <c r="D452" s="119">
        <v>439</v>
      </c>
      <c r="E452" s="25" t="str">
        <f>Tp_CHG!I96</f>
        <v>Transition Probability from state 2 to state 3 on day 22 (CHG)</v>
      </c>
      <c r="F452" s="40">
        <f t="shared" si="67"/>
        <v>0</v>
      </c>
      <c r="G452" s="156">
        <v>1</v>
      </c>
      <c r="H452" s="120">
        <f>Tp_CHG!L96</f>
        <v>0</v>
      </c>
      <c r="I452" s="40" t="s">
        <v>58</v>
      </c>
      <c r="J452" s="40">
        <f t="shared" si="74"/>
        <v>0</v>
      </c>
      <c r="K452" s="40">
        <f t="shared" si="75"/>
        <v>0</v>
      </c>
      <c r="L452" s="40" t="s">
        <v>58</v>
      </c>
      <c r="M452" s="50" t="s">
        <v>266</v>
      </c>
      <c r="N452" s="190"/>
      <c r="O452" s="40">
        <f t="shared" ca="1" si="73"/>
        <v>0.27376424642693398</v>
      </c>
      <c r="P452" s="51">
        <f t="shared" si="68"/>
        <v>0</v>
      </c>
      <c r="Q452" s="51">
        <f t="shared" si="69"/>
        <v>0</v>
      </c>
      <c r="R452" s="51">
        <f t="shared" si="76"/>
        <v>0</v>
      </c>
      <c r="S452"/>
      <c r="T452" s="83"/>
    </row>
    <row r="453" spans="1:20" ht="16" x14ac:dyDescent="0.2">
      <c r="A453"/>
      <c r="B453" s="103">
        <v>8</v>
      </c>
      <c r="C453" s="243"/>
      <c r="D453" s="119">
        <v>440</v>
      </c>
      <c r="E453" s="25" t="str">
        <f>Tp_CHG!I97</f>
        <v>Transition Probability from state 2 to state 3 on day 23 (CHG)</v>
      </c>
      <c r="F453" s="40">
        <f t="shared" si="67"/>
        <v>0</v>
      </c>
      <c r="G453" s="156">
        <v>1</v>
      </c>
      <c r="H453" s="120">
        <f>Tp_CHG!L97</f>
        <v>0</v>
      </c>
      <c r="I453" s="40" t="s">
        <v>58</v>
      </c>
      <c r="J453" s="40">
        <f t="shared" si="74"/>
        <v>0</v>
      </c>
      <c r="K453" s="40">
        <f t="shared" si="75"/>
        <v>0</v>
      </c>
      <c r="L453" s="40" t="s">
        <v>58</v>
      </c>
      <c r="M453" s="50" t="s">
        <v>266</v>
      </c>
      <c r="N453" s="190"/>
      <c r="O453" s="40">
        <f t="shared" ca="1" si="73"/>
        <v>0.59896604212646609</v>
      </c>
      <c r="P453" s="51">
        <f t="shared" si="68"/>
        <v>0</v>
      </c>
      <c r="Q453" s="51">
        <f t="shared" si="69"/>
        <v>0</v>
      </c>
      <c r="R453" s="51">
        <f t="shared" si="76"/>
        <v>0</v>
      </c>
      <c r="S453"/>
      <c r="T453" s="83"/>
    </row>
    <row r="454" spans="1:20" ht="16" x14ac:dyDescent="0.2">
      <c r="A454"/>
      <c r="B454" s="103">
        <v>1</v>
      </c>
      <c r="C454" s="243"/>
      <c r="D454" s="119">
        <v>441</v>
      </c>
      <c r="E454" s="25" t="str">
        <f>Tp_CHG!I98</f>
        <v>Transition Probability from state 2 to state 3 on day 24 (CHG)</v>
      </c>
      <c r="F454" s="40">
        <f t="shared" si="67"/>
        <v>0</v>
      </c>
      <c r="G454" s="156">
        <v>1</v>
      </c>
      <c r="H454" s="120">
        <f>Tp_CHG!L98</f>
        <v>0</v>
      </c>
      <c r="I454" s="40" t="s">
        <v>58</v>
      </c>
      <c r="J454" s="40">
        <f t="shared" si="74"/>
        <v>0</v>
      </c>
      <c r="K454" s="40">
        <f t="shared" si="75"/>
        <v>0</v>
      </c>
      <c r="L454" s="40" t="s">
        <v>58</v>
      </c>
      <c r="M454" s="50" t="s">
        <v>266</v>
      </c>
      <c r="N454" s="190"/>
      <c r="O454" s="40">
        <f t="shared" ca="1" si="73"/>
        <v>0.44801225675880452</v>
      </c>
      <c r="P454" s="51">
        <f t="shared" si="68"/>
        <v>0</v>
      </c>
      <c r="Q454" s="51">
        <f t="shared" si="69"/>
        <v>0</v>
      </c>
      <c r="R454" s="51">
        <f t="shared" si="76"/>
        <v>0</v>
      </c>
      <c r="S454"/>
      <c r="T454" s="83"/>
    </row>
    <row r="455" spans="1:20" ht="16" x14ac:dyDescent="0.2">
      <c r="A455"/>
      <c r="B455" s="103">
        <v>2</v>
      </c>
      <c r="C455" s="243"/>
      <c r="D455" s="119">
        <v>442</v>
      </c>
      <c r="E455" s="25" t="str">
        <f>Tp_CHG!I99</f>
        <v>Transition Probability from state 2 to state 3 on day 25 (CHG)</v>
      </c>
      <c r="F455" s="40">
        <f t="shared" si="67"/>
        <v>0</v>
      </c>
      <c r="G455" s="156">
        <v>1</v>
      </c>
      <c r="H455" s="120">
        <f>Tp_CHG!L99</f>
        <v>0</v>
      </c>
      <c r="I455" s="40" t="s">
        <v>58</v>
      </c>
      <c r="J455" s="40">
        <f t="shared" si="74"/>
        <v>0</v>
      </c>
      <c r="K455" s="40">
        <f t="shared" si="75"/>
        <v>0</v>
      </c>
      <c r="L455" s="40" t="s">
        <v>58</v>
      </c>
      <c r="M455" s="50" t="s">
        <v>266</v>
      </c>
      <c r="N455" s="190"/>
      <c r="O455" s="40">
        <f t="shared" ca="1" si="73"/>
        <v>6.9941755784343917E-2</v>
      </c>
      <c r="P455" s="51">
        <f t="shared" si="68"/>
        <v>0</v>
      </c>
      <c r="Q455" s="51">
        <f t="shared" si="69"/>
        <v>0</v>
      </c>
      <c r="R455" s="51">
        <f t="shared" si="76"/>
        <v>0</v>
      </c>
      <c r="S455"/>
      <c r="T455" s="83"/>
    </row>
    <row r="456" spans="1:20" ht="16" x14ac:dyDescent="0.2">
      <c r="A456"/>
      <c r="B456" s="103">
        <v>3</v>
      </c>
      <c r="C456" s="243"/>
      <c r="D456" s="119">
        <v>443</v>
      </c>
      <c r="E456" s="25" t="str">
        <f>Tp_CHG!I100</f>
        <v>Transition Probability from state 2 to state 3 on day 26 (CHG)</v>
      </c>
      <c r="F456" s="40">
        <f t="shared" si="67"/>
        <v>0</v>
      </c>
      <c r="G456" s="156">
        <v>1</v>
      </c>
      <c r="H456" s="120">
        <f>Tp_CHG!L100</f>
        <v>0</v>
      </c>
      <c r="I456" s="40" t="s">
        <v>58</v>
      </c>
      <c r="J456" s="40">
        <f t="shared" si="74"/>
        <v>0</v>
      </c>
      <c r="K456" s="40">
        <f t="shared" si="75"/>
        <v>0</v>
      </c>
      <c r="L456" s="40" t="s">
        <v>58</v>
      </c>
      <c r="M456" s="50" t="s">
        <v>266</v>
      </c>
      <c r="N456" s="190"/>
      <c r="O456" s="40">
        <f t="shared" ca="1" si="73"/>
        <v>4.7076156164513772E-2</v>
      </c>
      <c r="P456" s="51">
        <f t="shared" si="68"/>
        <v>0</v>
      </c>
      <c r="Q456" s="51">
        <f t="shared" si="69"/>
        <v>0</v>
      </c>
      <c r="R456" s="51">
        <f t="shared" si="76"/>
        <v>0</v>
      </c>
      <c r="S456"/>
      <c r="T456" s="83"/>
    </row>
    <row r="457" spans="1:20" ht="16" x14ac:dyDescent="0.2">
      <c r="A457"/>
      <c r="B457" s="103">
        <v>4</v>
      </c>
      <c r="C457" s="243"/>
      <c r="D457" s="119">
        <v>444</v>
      </c>
      <c r="E457" s="25" t="str">
        <f>Tp_CHG!I101</f>
        <v>Transition Probability from state 2 to state 3 on day 27 (CHG)</v>
      </c>
      <c r="F457" s="40">
        <f t="shared" si="67"/>
        <v>0</v>
      </c>
      <c r="G457" s="156">
        <v>1</v>
      </c>
      <c r="H457" s="120">
        <f>Tp_CHG!L101</f>
        <v>0</v>
      </c>
      <c r="I457" s="40" t="s">
        <v>58</v>
      </c>
      <c r="J457" s="40">
        <f t="shared" si="74"/>
        <v>0</v>
      </c>
      <c r="K457" s="40">
        <f t="shared" si="75"/>
        <v>0</v>
      </c>
      <c r="L457" s="40" t="s">
        <v>58</v>
      </c>
      <c r="M457" s="50" t="s">
        <v>266</v>
      </c>
      <c r="N457" s="190"/>
      <c r="O457" s="40">
        <f t="shared" ca="1" si="73"/>
        <v>0.36804130898590803</v>
      </c>
      <c r="P457" s="51">
        <f t="shared" si="68"/>
        <v>0</v>
      </c>
      <c r="Q457" s="51">
        <f t="shared" si="69"/>
        <v>0</v>
      </c>
      <c r="R457" s="51">
        <f t="shared" si="76"/>
        <v>0</v>
      </c>
      <c r="S457"/>
      <c r="T457" s="83"/>
    </row>
    <row r="458" spans="1:20" ht="16" x14ac:dyDescent="0.2">
      <c r="A458"/>
      <c r="B458" s="103">
        <v>5</v>
      </c>
      <c r="C458" s="243"/>
      <c r="D458" s="119">
        <v>445</v>
      </c>
      <c r="E458" s="25" t="str">
        <f>Tp_CHG!I102</f>
        <v>Transition Probability from state 2 to state 3 on day 28 (CHG)</v>
      </c>
      <c r="F458" s="40">
        <f t="shared" si="67"/>
        <v>0</v>
      </c>
      <c r="G458" s="156">
        <v>1</v>
      </c>
      <c r="H458" s="120">
        <f>Tp_CHG!L102</f>
        <v>0</v>
      </c>
      <c r="I458" s="40" t="s">
        <v>58</v>
      </c>
      <c r="J458" s="40">
        <f t="shared" si="74"/>
        <v>0</v>
      </c>
      <c r="K458" s="40">
        <f t="shared" si="75"/>
        <v>0</v>
      </c>
      <c r="L458" s="40" t="s">
        <v>58</v>
      </c>
      <c r="M458" s="50" t="s">
        <v>266</v>
      </c>
      <c r="N458" s="190"/>
      <c r="O458" s="40">
        <f t="shared" ca="1" si="73"/>
        <v>0.50266335478517221</v>
      </c>
      <c r="P458" s="51">
        <f t="shared" si="68"/>
        <v>0</v>
      </c>
      <c r="Q458" s="51">
        <f t="shared" si="69"/>
        <v>0</v>
      </c>
      <c r="R458" s="51">
        <f t="shared" si="76"/>
        <v>0</v>
      </c>
      <c r="S458"/>
      <c r="T458" s="83"/>
    </row>
    <row r="459" spans="1:20" ht="16" x14ac:dyDescent="0.2">
      <c r="A459"/>
      <c r="B459" s="103">
        <v>6</v>
      </c>
      <c r="C459" s="243"/>
      <c r="D459" s="119">
        <v>446</v>
      </c>
      <c r="E459" s="25" t="str">
        <f>Tp_CHG!I103</f>
        <v>Transition Probability from state 2 to state 3 on day 29 (CHG)</v>
      </c>
      <c r="F459" s="40">
        <f t="shared" si="67"/>
        <v>0</v>
      </c>
      <c r="G459" s="156">
        <v>1</v>
      </c>
      <c r="H459" s="120">
        <f>Tp_CHG!L103</f>
        <v>0</v>
      </c>
      <c r="I459" s="40" t="s">
        <v>58</v>
      </c>
      <c r="J459" s="40">
        <f t="shared" si="74"/>
        <v>0</v>
      </c>
      <c r="K459" s="40">
        <f t="shared" si="75"/>
        <v>0</v>
      </c>
      <c r="L459" s="40" t="s">
        <v>58</v>
      </c>
      <c r="M459" s="50" t="s">
        <v>266</v>
      </c>
      <c r="N459" s="190"/>
      <c r="O459" s="40">
        <f t="shared" ca="1" si="73"/>
        <v>0.42133162291789417</v>
      </c>
      <c r="P459" s="51">
        <f t="shared" si="68"/>
        <v>0</v>
      </c>
      <c r="Q459" s="51">
        <f t="shared" si="69"/>
        <v>0</v>
      </c>
      <c r="R459" s="51">
        <f t="shared" si="76"/>
        <v>0</v>
      </c>
      <c r="S459"/>
      <c r="T459" s="83"/>
    </row>
    <row r="460" spans="1:20" ht="16" x14ac:dyDescent="0.2">
      <c r="A460"/>
      <c r="B460" s="103">
        <v>7</v>
      </c>
      <c r="C460" s="243"/>
      <c r="D460" s="119">
        <v>447</v>
      </c>
      <c r="E460" s="25" t="str">
        <f>Tp_CHG!I104</f>
        <v>Transition Probability from state 2 to state 3 on day 30 (CHG)</v>
      </c>
      <c r="F460" s="40">
        <f t="shared" si="67"/>
        <v>0</v>
      </c>
      <c r="G460" s="156">
        <v>1</v>
      </c>
      <c r="H460" s="120">
        <f>Tp_CHG!L104</f>
        <v>0</v>
      </c>
      <c r="I460" s="40" t="s">
        <v>58</v>
      </c>
      <c r="J460" s="40">
        <f t="shared" si="74"/>
        <v>0</v>
      </c>
      <c r="K460" s="40">
        <f t="shared" si="75"/>
        <v>0</v>
      </c>
      <c r="L460" s="40" t="s">
        <v>58</v>
      </c>
      <c r="M460" s="50" t="s">
        <v>266</v>
      </c>
      <c r="N460" s="190"/>
      <c r="O460" s="40">
        <f t="shared" ca="1" si="73"/>
        <v>0.34198275394911315</v>
      </c>
      <c r="P460" s="51">
        <f t="shared" si="68"/>
        <v>0</v>
      </c>
      <c r="Q460" s="51">
        <f t="shared" si="69"/>
        <v>0</v>
      </c>
      <c r="R460" s="51">
        <f t="shared" si="76"/>
        <v>0</v>
      </c>
      <c r="S460"/>
      <c r="T460" s="83"/>
    </row>
    <row r="461" spans="1:20" ht="16" x14ac:dyDescent="0.2">
      <c r="A461"/>
      <c r="B461" s="103">
        <v>8</v>
      </c>
      <c r="C461" s="243"/>
      <c r="D461" s="119">
        <v>448</v>
      </c>
      <c r="E461" s="25" t="str">
        <f>Tp_CHG!N75</f>
        <v>Transition Probability from state 3 to state 3 on day 1 (CHG)</v>
      </c>
      <c r="F461" s="40">
        <f t="shared" si="67"/>
        <v>0</v>
      </c>
      <c r="G461" s="156">
        <v>1</v>
      </c>
      <c r="H461" s="120">
        <f>Tp_CHG!Q75</f>
        <v>0</v>
      </c>
      <c r="I461" s="40" t="s">
        <v>58</v>
      </c>
      <c r="J461" s="40">
        <f t="shared" si="74"/>
        <v>0</v>
      </c>
      <c r="K461" s="40">
        <f t="shared" si="75"/>
        <v>0</v>
      </c>
      <c r="L461" s="40" t="s">
        <v>58</v>
      </c>
      <c r="M461" s="50" t="s">
        <v>266</v>
      </c>
      <c r="N461" s="190"/>
      <c r="O461" s="40">
        <f t="shared" ca="1" si="73"/>
        <v>0.42897333562441309</v>
      </c>
      <c r="P461" s="51">
        <f t="shared" si="68"/>
        <v>0</v>
      </c>
      <c r="Q461" s="51">
        <f t="shared" si="69"/>
        <v>0</v>
      </c>
      <c r="R461" s="51">
        <f t="shared" si="76"/>
        <v>0</v>
      </c>
      <c r="S461"/>
      <c r="T461" s="83"/>
    </row>
    <row r="462" spans="1:20" ht="16" x14ac:dyDescent="0.2">
      <c r="A462"/>
      <c r="B462" s="103">
        <v>1</v>
      </c>
      <c r="C462" s="243"/>
      <c r="D462" s="119">
        <v>449</v>
      </c>
      <c r="E462" s="25" t="str">
        <f>Tp_CHG!N76</f>
        <v>Transition Probability from state 3 to state 3 on day 2 (CHG)</v>
      </c>
      <c r="F462" s="40">
        <f t="shared" si="67"/>
        <v>0</v>
      </c>
      <c r="G462" s="156">
        <v>1</v>
      </c>
      <c r="H462" s="120">
        <f>Tp_CHG!Q76</f>
        <v>0</v>
      </c>
      <c r="I462" s="40" t="s">
        <v>58</v>
      </c>
      <c r="J462" s="40">
        <f t="shared" si="74"/>
        <v>0</v>
      </c>
      <c r="K462" s="40">
        <f t="shared" si="75"/>
        <v>0</v>
      </c>
      <c r="L462" s="40" t="s">
        <v>58</v>
      </c>
      <c r="M462" s="50" t="s">
        <v>266</v>
      </c>
      <c r="N462" s="190"/>
      <c r="O462" s="40">
        <f t="shared" ca="1" si="73"/>
        <v>0.99614739725707258</v>
      </c>
      <c r="P462" s="51">
        <f t="shared" si="68"/>
        <v>0</v>
      </c>
      <c r="Q462" s="51">
        <f t="shared" si="69"/>
        <v>0</v>
      </c>
      <c r="R462" s="51">
        <f t="shared" si="76"/>
        <v>0</v>
      </c>
      <c r="S462"/>
      <c r="T462" s="83"/>
    </row>
    <row r="463" spans="1:20" ht="16" x14ac:dyDescent="0.2">
      <c r="A463"/>
      <c r="B463" s="103">
        <v>2</v>
      </c>
      <c r="C463" s="243"/>
      <c r="D463" s="119">
        <v>450</v>
      </c>
      <c r="E463" s="25" t="str">
        <f>Tp_CHG!N77</f>
        <v>Transition Probability from state 3 to state 3 on day 3 (CHG)</v>
      </c>
      <c r="F463" s="40">
        <f t="shared" ref="F463:F526" si="77">IFERROR(CHOOSE(G463,H463,J463,K463,N463),0)</f>
        <v>0</v>
      </c>
      <c r="G463" s="156">
        <v>1</v>
      </c>
      <c r="H463" s="120">
        <f>Tp_CHG!Q77</f>
        <v>0</v>
      </c>
      <c r="I463" s="40" t="s">
        <v>58</v>
      </c>
      <c r="J463" s="40">
        <f t="shared" si="74"/>
        <v>0</v>
      </c>
      <c r="K463" s="40">
        <f t="shared" si="75"/>
        <v>0</v>
      </c>
      <c r="L463" s="40" t="s">
        <v>58</v>
      </c>
      <c r="M463" s="50" t="s">
        <v>266</v>
      </c>
      <c r="N463" s="190"/>
      <c r="O463" s="40">
        <f t="shared" ca="1" si="73"/>
        <v>0.16368073882899137</v>
      </c>
      <c r="P463" s="51">
        <f t="shared" si="68"/>
        <v>0</v>
      </c>
      <c r="Q463" s="51">
        <f t="shared" si="69"/>
        <v>0</v>
      </c>
      <c r="R463" s="51">
        <f t="shared" si="76"/>
        <v>0</v>
      </c>
      <c r="S463"/>
      <c r="T463" s="83"/>
    </row>
    <row r="464" spans="1:20" ht="16" x14ac:dyDescent="0.2">
      <c r="A464"/>
      <c r="B464" s="103">
        <v>3</v>
      </c>
      <c r="C464" s="243"/>
      <c r="D464" s="119">
        <v>451</v>
      </c>
      <c r="E464" s="25" t="str">
        <f>Tp_CHG!N78</f>
        <v>Transition Probability from state 3 to state 3 on day 4 (CHG)</v>
      </c>
      <c r="F464" s="40">
        <f t="shared" si="77"/>
        <v>0</v>
      </c>
      <c r="G464" s="156">
        <v>1</v>
      </c>
      <c r="H464" s="120">
        <f>Tp_CHG!Q78</f>
        <v>0</v>
      </c>
      <c r="I464" s="40" t="s">
        <v>58</v>
      </c>
      <c r="J464" s="40">
        <f t="shared" si="74"/>
        <v>0</v>
      </c>
      <c r="K464" s="40">
        <f t="shared" si="75"/>
        <v>0</v>
      </c>
      <c r="L464" s="40" t="s">
        <v>58</v>
      </c>
      <c r="M464" s="50" t="s">
        <v>266</v>
      </c>
      <c r="N464" s="190"/>
      <c r="O464" s="40">
        <f t="shared" ca="1" si="73"/>
        <v>0.5214595824143845</v>
      </c>
      <c r="P464" s="51">
        <f t="shared" si="68"/>
        <v>0</v>
      </c>
      <c r="Q464" s="51">
        <f t="shared" si="69"/>
        <v>0</v>
      </c>
      <c r="R464" s="51">
        <f t="shared" si="76"/>
        <v>0</v>
      </c>
      <c r="S464"/>
      <c r="T464" s="83"/>
    </row>
    <row r="465" spans="1:20" ht="16" x14ac:dyDescent="0.2">
      <c r="A465"/>
      <c r="B465" s="103">
        <v>4</v>
      </c>
      <c r="C465" s="243"/>
      <c r="D465" s="119">
        <v>452</v>
      </c>
      <c r="E465" s="25" t="str">
        <f>Tp_CHG!N79</f>
        <v>Transition Probability from state 3 to state 3 on day 5 (CHG)</v>
      </c>
      <c r="F465" s="40">
        <f t="shared" si="77"/>
        <v>0</v>
      </c>
      <c r="G465" s="156">
        <v>1</v>
      </c>
      <c r="H465" s="120">
        <f>Tp_CHG!Q79</f>
        <v>0</v>
      </c>
      <c r="I465" s="40" t="s">
        <v>58</v>
      </c>
      <c r="J465" s="40">
        <f t="shared" si="74"/>
        <v>0</v>
      </c>
      <c r="K465" s="40">
        <f t="shared" si="75"/>
        <v>0</v>
      </c>
      <c r="L465" s="40" t="s">
        <v>58</v>
      </c>
      <c r="M465" s="50" t="s">
        <v>266</v>
      </c>
      <c r="N465" s="190"/>
      <c r="O465" s="40">
        <f t="shared" ca="1" si="73"/>
        <v>0.80832434951808685</v>
      </c>
      <c r="P465" s="51">
        <f t="shared" ref="P465:P528" si="78">IFERROR(H465*((H465*(1-H465)/(R465^2))-1),0)</f>
        <v>0</v>
      </c>
      <c r="Q465" s="51">
        <f t="shared" ref="Q465:Q528" si="79">IFERROR((1-H465)*((H465*(1-H465))/(R465^2)-1),0)</f>
        <v>0</v>
      </c>
      <c r="R465" s="51">
        <f t="shared" si="76"/>
        <v>0</v>
      </c>
      <c r="S465"/>
      <c r="T465" s="83"/>
    </row>
    <row r="466" spans="1:20" ht="16" x14ac:dyDescent="0.2">
      <c r="A466"/>
      <c r="B466" s="103">
        <v>5</v>
      </c>
      <c r="C466" s="243"/>
      <c r="D466" s="119">
        <v>453</v>
      </c>
      <c r="E466" s="25" t="str">
        <f>Tp_CHG!N80</f>
        <v>Transition Probability from state 3 to state 3 on day 6 (CHG)</v>
      </c>
      <c r="F466" s="40">
        <f t="shared" si="77"/>
        <v>0</v>
      </c>
      <c r="G466" s="156">
        <v>1</v>
      </c>
      <c r="H466" s="120">
        <f>Tp_CHG!Q80</f>
        <v>0</v>
      </c>
      <c r="I466" s="40" t="s">
        <v>58</v>
      </c>
      <c r="J466" s="40">
        <f t="shared" si="74"/>
        <v>0</v>
      </c>
      <c r="K466" s="40">
        <f t="shared" si="75"/>
        <v>0</v>
      </c>
      <c r="L466" s="40" t="s">
        <v>58</v>
      </c>
      <c r="M466" s="50" t="s">
        <v>266</v>
      </c>
      <c r="N466" s="190"/>
      <c r="O466" s="40">
        <f t="shared" ca="1" si="73"/>
        <v>0.70983069967878321</v>
      </c>
      <c r="P466" s="51">
        <f t="shared" si="78"/>
        <v>0</v>
      </c>
      <c r="Q466" s="51">
        <f t="shared" si="79"/>
        <v>0</v>
      </c>
      <c r="R466" s="51">
        <f t="shared" si="76"/>
        <v>0</v>
      </c>
      <c r="S466"/>
      <c r="T466" s="83"/>
    </row>
    <row r="467" spans="1:20" ht="16" x14ac:dyDescent="0.2">
      <c r="A467"/>
      <c r="B467" s="103">
        <v>6</v>
      </c>
      <c r="C467" s="243"/>
      <c r="D467" s="119">
        <v>454</v>
      </c>
      <c r="E467" s="25" t="str">
        <f>Tp_CHG!N81</f>
        <v>Transition Probability from state 3 to state 3 on day 7 (CHG)</v>
      </c>
      <c r="F467" s="40">
        <f t="shared" si="77"/>
        <v>0</v>
      </c>
      <c r="G467" s="156">
        <v>1</v>
      </c>
      <c r="H467" s="120">
        <f>Tp_CHG!Q81</f>
        <v>0</v>
      </c>
      <c r="I467" s="40" t="s">
        <v>58</v>
      </c>
      <c r="J467" s="40">
        <f t="shared" ref="J467:J498" si="80">IF(H467=0,0,_xlfn.NORM.INV(0.025,H467,R467))</f>
        <v>0</v>
      </c>
      <c r="K467" s="40">
        <f t="shared" ref="K467:K498" si="81">IF(H467=0,0,_xlfn.NORM.INV(0.975,H467,R467))</f>
        <v>0</v>
      </c>
      <c r="L467" s="40" t="s">
        <v>58</v>
      </c>
      <c r="M467" s="50" t="s">
        <v>266</v>
      </c>
      <c r="N467" s="190"/>
      <c r="O467" s="40">
        <f t="shared" ca="1" si="73"/>
        <v>0.80023375801867835</v>
      </c>
      <c r="P467" s="51">
        <f t="shared" si="78"/>
        <v>0</v>
      </c>
      <c r="Q467" s="51">
        <f t="shared" si="79"/>
        <v>0</v>
      </c>
      <c r="R467" s="51">
        <f t="shared" ref="R467:R498" si="82">assumedSE*H467</f>
        <v>0</v>
      </c>
      <c r="S467"/>
      <c r="T467" s="83"/>
    </row>
    <row r="468" spans="1:20" ht="16" x14ac:dyDescent="0.2">
      <c r="A468"/>
      <c r="B468" s="103">
        <v>7</v>
      </c>
      <c r="C468" s="243"/>
      <c r="D468" s="119">
        <v>455</v>
      </c>
      <c r="E468" s="25" t="str">
        <f>Tp_CHG!N82</f>
        <v>Transition Probability from state 3 to state 3 on day 8 (CHG)</v>
      </c>
      <c r="F468" s="40">
        <f t="shared" si="77"/>
        <v>0</v>
      </c>
      <c r="G468" s="156">
        <v>1</v>
      </c>
      <c r="H468" s="120">
        <f>Tp_CHG!Q82</f>
        <v>0</v>
      </c>
      <c r="I468" s="40" t="s">
        <v>58</v>
      </c>
      <c r="J468" s="40">
        <f t="shared" si="80"/>
        <v>0</v>
      </c>
      <c r="K468" s="40">
        <f t="shared" si="81"/>
        <v>0</v>
      </c>
      <c r="L468" s="40" t="s">
        <v>58</v>
      </c>
      <c r="M468" s="50" t="s">
        <v>266</v>
      </c>
      <c r="N468" s="190"/>
      <c r="O468" s="40">
        <f t="shared" ca="1" si="73"/>
        <v>0.27272489638051789</v>
      </c>
      <c r="P468" s="51">
        <f t="shared" si="78"/>
        <v>0</v>
      </c>
      <c r="Q468" s="51">
        <f t="shared" si="79"/>
        <v>0</v>
      </c>
      <c r="R468" s="51">
        <f t="shared" si="82"/>
        <v>0</v>
      </c>
      <c r="S468"/>
      <c r="T468" s="83"/>
    </row>
    <row r="469" spans="1:20" ht="16" x14ac:dyDescent="0.2">
      <c r="A469"/>
      <c r="B469" s="103">
        <v>8</v>
      </c>
      <c r="C469" s="243"/>
      <c r="D469" s="119">
        <v>456</v>
      </c>
      <c r="E469" s="25" t="str">
        <f>Tp_CHG!N83</f>
        <v>Transition Probability from state 3 to state 3 on day 9 (CHG)</v>
      </c>
      <c r="F469" s="40">
        <f t="shared" si="77"/>
        <v>0</v>
      </c>
      <c r="G469" s="156">
        <v>1</v>
      </c>
      <c r="H469" s="120">
        <f>Tp_CHG!Q83</f>
        <v>0</v>
      </c>
      <c r="I469" s="40" t="s">
        <v>58</v>
      </c>
      <c r="J469" s="40">
        <f t="shared" si="80"/>
        <v>0</v>
      </c>
      <c r="K469" s="40">
        <f t="shared" si="81"/>
        <v>0</v>
      </c>
      <c r="L469" s="40" t="s">
        <v>58</v>
      </c>
      <c r="M469" s="50" t="s">
        <v>266</v>
      </c>
      <c r="N469" s="190"/>
      <c r="O469" s="40">
        <f t="shared" ca="1" si="73"/>
        <v>1.115529912275337E-2</v>
      </c>
      <c r="P469" s="51">
        <f t="shared" si="78"/>
        <v>0</v>
      </c>
      <c r="Q469" s="51">
        <f t="shared" si="79"/>
        <v>0</v>
      </c>
      <c r="R469" s="51">
        <f t="shared" si="82"/>
        <v>0</v>
      </c>
      <c r="S469"/>
      <c r="T469" s="83"/>
    </row>
    <row r="470" spans="1:20" ht="16" x14ac:dyDescent="0.2">
      <c r="A470"/>
      <c r="B470" s="103">
        <v>1</v>
      </c>
      <c r="C470" s="243"/>
      <c r="D470" s="119">
        <v>457</v>
      </c>
      <c r="E470" s="25" t="str">
        <f>Tp_CHG!N84</f>
        <v>Transition Probability from state 3 to state 3 on day 10 (CHG)</v>
      </c>
      <c r="F470" s="40">
        <f t="shared" si="77"/>
        <v>0</v>
      </c>
      <c r="G470" s="156">
        <v>1</v>
      </c>
      <c r="H470" s="120">
        <f>Tp_CHG!Q84</f>
        <v>0</v>
      </c>
      <c r="I470" s="40" t="s">
        <v>58</v>
      </c>
      <c r="J470" s="40">
        <f t="shared" si="80"/>
        <v>0</v>
      </c>
      <c r="K470" s="40">
        <f t="shared" si="81"/>
        <v>0</v>
      </c>
      <c r="L470" s="40" t="s">
        <v>58</v>
      </c>
      <c r="M470" s="50" t="s">
        <v>266</v>
      </c>
      <c r="N470" s="190"/>
      <c r="O470" s="40">
        <f t="shared" ca="1" si="73"/>
        <v>0.59201285812762461</v>
      </c>
      <c r="P470" s="51">
        <f t="shared" si="78"/>
        <v>0</v>
      </c>
      <c r="Q470" s="51">
        <f t="shared" si="79"/>
        <v>0</v>
      </c>
      <c r="R470" s="51">
        <f t="shared" si="82"/>
        <v>0</v>
      </c>
      <c r="S470"/>
      <c r="T470" s="83"/>
    </row>
    <row r="471" spans="1:20" ht="16" x14ac:dyDescent="0.2">
      <c r="A471"/>
      <c r="B471" s="103">
        <v>2</v>
      </c>
      <c r="C471" s="243"/>
      <c r="D471" s="119">
        <v>458</v>
      </c>
      <c r="E471" s="25" t="str">
        <f>Tp_CHG!N85</f>
        <v>Transition Probability from state 3 to state 3 on day 11 (CHG)</v>
      </c>
      <c r="F471" s="40">
        <f t="shared" si="77"/>
        <v>0</v>
      </c>
      <c r="G471" s="156">
        <v>1</v>
      </c>
      <c r="H471" s="120">
        <f>Tp_CHG!Q85</f>
        <v>0</v>
      </c>
      <c r="I471" s="40" t="s">
        <v>58</v>
      </c>
      <c r="J471" s="40">
        <f t="shared" si="80"/>
        <v>0</v>
      </c>
      <c r="K471" s="40">
        <f t="shared" si="81"/>
        <v>0</v>
      </c>
      <c r="L471" s="40" t="s">
        <v>58</v>
      </c>
      <c r="M471" s="50" t="s">
        <v>266</v>
      </c>
      <c r="N471" s="190"/>
      <c r="O471" s="40">
        <f t="shared" ca="1" si="73"/>
        <v>0.35157749065198174</v>
      </c>
      <c r="P471" s="51">
        <f t="shared" si="78"/>
        <v>0</v>
      </c>
      <c r="Q471" s="51">
        <f t="shared" si="79"/>
        <v>0</v>
      </c>
      <c r="R471" s="51">
        <f t="shared" si="82"/>
        <v>0</v>
      </c>
      <c r="S471"/>
      <c r="T471" s="83"/>
    </row>
    <row r="472" spans="1:20" ht="16" x14ac:dyDescent="0.2">
      <c r="A472"/>
      <c r="B472" s="103">
        <v>3</v>
      </c>
      <c r="C472" s="243"/>
      <c r="D472" s="119">
        <v>459</v>
      </c>
      <c r="E472" s="25" t="str">
        <f>Tp_CHG!N86</f>
        <v>Transition Probability from state 3 to state 3 on day 12 (CHG)</v>
      </c>
      <c r="F472" s="40">
        <f t="shared" si="77"/>
        <v>0</v>
      </c>
      <c r="G472" s="156">
        <v>1</v>
      </c>
      <c r="H472" s="120">
        <f>Tp_CHG!Q86</f>
        <v>0</v>
      </c>
      <c r="I472" s="40" t="s">
        <v>58</v>
      </c>
      <c r="J472" s="40">
        <f t="shared" si="80"/>
        <v>0</v>
      </c>
      <c r="K472" s="40">
        <f t="shared" si="81"/>
        <v>0</v>
      </c>
      <c r="L472" s="40" t="s">
        <v>58</v>
      </c>
      <c r="M472" s="50" t="s">
        <v>266</v>
      </c>
      <c r="N472" s="190"/>
      <c r="O472" s="40">
        <f t="shared" ca="1" si="73"/>
        <v>0.816094102207227</v>
      </c>
      <c r="P472" s="51">
        <f t="shared" si="78"/>
        <v>0</v>
      </c>
      <c r="Q472" s="51">
        <f t="shared" si="79"/>
        <v>0</v>
      </c>
      <c r="R472" s="51">
        <f t="shared" si="82"/>
        <v>0</v>
      </c>
      <c r="S472"/>
      <c r="T472" s="83"/>
    </row>
    <row r="473" spans="1:20" ht="16" x14ac:dyDescent="0.2">
      <c r="A473"/>
      <c r="B473" s="103"/>
      <c r="C473" s="243"/>
      <c r="D473" s="119">
        <v>460</v>
      </c>
      <c r="E473" s="25" t="str">
        <f>Tp_CHG!N87</f>
        <v>Transition Probability from state 3 to state 3 on day 13 (CHG)</v>
      </c>
      <c r="F473" s="40">
        <f t="shared" si="77"/>
        <v>0</v>
      </c>
      <c r="G473" s="156">
        <v>1</v>
      </c>
      <c r="H473" s="120">
        <f>Tp_CHG!Q87</f>
        <v>0</v>
      </c>
      <c r="I473" s="40" t="s">
        <v>58</v>
      </c>
      <c r="J473" s="40">
        <f t="shared" si="80"/>
        <v>0</v>
      </c>
      <c r="K473" s="40">
        <f t="shared" si="81"/>
        <v>0</v>
      </c>
      <c r="L473" s="40" t="s">
        <v>58</v>
      </c>
      <c r="M473" s="50" t="s">
        <v>266</v>
      </c>
      <c r="N473" s="190"/>
      <c r="O473" s="40">
        <f t="shared" ca="1" si="73"/>
        <v>0.19682669246480944</v>
      </c>
      <c r="P473" s="51">
        <f t="shared" si="78"/>
        <v>0</v>
      </c>
      <c r="Q473" s="51">
        <f t="shared" si="79"/>
        <v>0</v>
      </c>
      <c r="R473" s="51">
        <f t="shared" si="82"/>
        <v>0</v>
      </c>
      <c r="S473"/>
      <c r="T473" s="83"/>
    </row>
    <row r="474" spans="1:20" ht="16" x14ac:dyDescent="0.2">
      <c r="A474"/>
      <c r="B474" s="103"/>
      <c r="C474" s="243"/>
      <c r="D474" s="119">
        <v>461</v>
      </c>
      <c r="E474" s="25" t="str">
        <f>Tp_CHG!N88</f>
        <v>Transition Probability from state 3 to state 3 on day 14 (CHG)</v>
      </c>
      <c r="F474" s="40">
        <f t="shared" si="77"/>
        <v>0</v>
      </c>
      <c r="G474" s="156">
        <v>1</v>
      </c>
      <c r="H474" s="120">
        <f>Tp_CHG!Q88</f>
        <v>0</v>
      </c>
      <c r="I474" s="40" t="s">
        <v>58</v>
      </c>
      <c r="J474" s="40">
        <f t="shared" si="80"/>
        <v>0</v>
      </c>
      <c r="K474" s="40">
        <f t="shared" si="81"/>
        <v>0</v>
      </c>
      <c r="L474" s="40" t="s">
        <v>58</v>
      </c>
      <c r="M474" s="50" t="s">
        <v>266</v>
      </c>
      <c r="N474" s="190"/>
      <c r="O474" s="40">
        <f t="shared" ca="1" si="73"/>
        <v>0.83237493258058326</v>
      </c>
      <c r="P474" s="51">
        <f t="shared" si="78"/>
        <v>0</v>
      </c>
      <c r="Q474" s="51">
        <f t="shared" si="79"/>
        <v>0</v>
      </c>
      <c r="R474" s="51">
        <f t="shared" si="82"/>
        <v>0</v>
      </c>
      <c r="S474"/>
      <c r="T474" s="83"/>
    </row>
    <row r="475" spans="1:20" ht="16" x14ac:dyDescent="0.2">
      <c r="A475"/>
      <c r="B475" s="103"/>
      <c r="C475" s="243"/>
      <c r="D475" s="119">
        <v>462</v>
      </c>
      <c r="E475" s="25" t="str">
        <f>Tp_CHG!N89</f>
        <v>Transition Probability from state 3 to state 3 on day 15 (CHG)</v>
      </c>
      <c r="F475" s="40">
        <f t="shared" si="77"/>
        <v>0</v>
      </c>
      <c r="G475" s="156">
        <v>1</v>
      </c>
      <c r="H475" s="120">
        <f>Tp_CHG!Q89</f>
        <v>0</v>
      </c>
      <c r="I475" s="40" t="s">
        <v>58</v>
      </c>
      <c r="J475" s="40">
        <f t="shared" si="80"/>
        <v>0</v>
      </c>
      <c r="K475" s="40">
        <f t="shared" si="81"/>
        <v>0</v>
      </c>
      <c r="L475" s="40" t="s">
        <v>58</v>
      </c>
      <c r="M475" s="50" t="s">
        <v>266</v>
      </c>
      <c r="N475" s="190"/>
      <c r="O475" s="40">
        <f t="shared" ca="1" si="73"/>
        <v>0.23899172827030801</v>
      </c>
      <c r="P475" s="51">
        <f t="shared" si="78"/>
        <v>0</v>
      </c>
      <c r="Q475" s="51">
        <f t="shared" si="79"/>
        <v>0</v>
      </c>
      <c r="R475" s="51">
        <f t="shared" si="82"/>
        <v>0</v>
      </c>
      <c r="S475"/>
      <c r="T475" s="83"/>
    </row>
    <row r="476" spans="1:20" ht="16" x14ac:dyDescent="0.2">
      <c r="A476"/>
      <c r="B476" s="103"/>
      <c r="C476" s="243"/>
      <c r="D476" s="119">
        <v>463</v>
      </c>
      <c r="E476" s="25" t="str">
        <f>Tp_CHG!N90</f>
        <v>Transition Probability from state 3 to state 3 on day 16 (CHG)</v>
      </c>
      <c r="F476" s="40">
        <f t="shared" si="77"/>
        <v>0</v>
      </c>
      <c r="G476" s="156">
        <v>1</v>
      </c>
      <c r="H476" s="120">
        <f>Tp_CHG!Q90</f>
        <v>0</v>
      </c>
      <c r="I476" s="40" t="s">
        <v>58</v>
      </c>
      <c r="J476" s="40">
        <f t="shared" si="80"/>
        <v>0</v>
      </c>
      <c r="K476" s="40">
        <f t="shared" si="81"/>
        <v>0</v>
      </c>
      <c r="L476" s="40" t="s">
        <v>58</v>
      </c>
      <c r="M476" s="50" t="s">
        <v>266</v>
      </c>
      <c r="N476" s="190"/>
      <c r="O476" s="40">
        <f t="shared" ca="1" si="73"/>
        <v>0.76200765164540429</v>
      </c>
      <c r="P476" s="51">
        <f t="shared" si="78"/>
        <v>0</v>
      </c>
      <c r="Q476" s="51">
        <f t="shared" si="79"/>
        <v>0</v>
      </c>
      <c r="R476" s="51">
        <f t="shared" si="82"/>
        <v>0</v>
      </c>
      <c r="S476"/>
      <c r="T476" s="83"/>
    </row>
    <row r="477" spans="1:20" ht="16" x14ac:dyDescent="0.2">
      <c r="A477"/>
      <c r="B477" s="103"/>
      <c r="C477" s="243"/>
      <c r="D477" s="119">
        <v>464</v>
      </c>
      <c r="E477" s="25" t="str">
        <f>Tp_CHG!N91</f>
        <v>Transition Probability from state 3 to state 3 on day 17 (CHG)</v>
      </c>
      <c r="F477" s="40">
        <f t="shared" si="77"/>
        <v>0</v>
      </c>
      <c r="G477" s="156">
        <v>1</v>
      </c>
      <c r="H477" s="120">
        <f>Tp_CHG!Q91</f>
        <v>0</v>
      </c>
      <c r="I477" s="40" t="s">
        <v>58</v>
      </c>
      <c r="J477" s="40">
        <f t="shared" si="80"/>
        <v>0</v>
      </c>
      <c r="K477" s="40">
        <f t="shared" si="81"/>
        <v>0</v>
      </c>
      <c r="L477" s="40" t="s">
        <v>58</v>
      </c>
      <c r="M477" s="50" t="s">
        <v>266</v>
      </c>
      <c r="N477" s="190"/>
      <c r="O477" s="40">
        <f t="shared" ca="1" si="73"/>
        <v>0.64518525029352636</v>
      </c>
      <c r="P477" s="51">
        <f t="shared" si="78"/>
        <v>0</v>
      </c>
      <c r="Q477" s="51">
        <f t="shared" si="79"/>
        <v>0</v>
      </c>
      <c r="R477" s="51">
        <f t="shared" si="82"/>
        <v>0</v>
      </c>
      <c r="S477"/>
      <c r="T477" s="83"/>
    </row>
    <row r="478" spans="1:20" ht="16" x14ac:dyDescent="0.2">
      <c r="A478"/>
      <c r="B478" s="103"/>
      <c r="C478" s="243"/>
      <c r="D478" s="119">
        <v>465</v>
      </c>
      <c r="E478" s="25" t="str">
        <f>Tp_CHG!N92</f>
        <v>Transition Probability from state 3 to state 3 on day 18 (CHG)</v>
      </c>
      <c r="F478" s="40">
        <f t="shared" si="77"/>
        <v>0</v>
      </c>
      <c r="G478" s="156">
        <v>1</v>
      </c>
      <c r="H478" s="120">
        <f>Tp_CHG!Q92</f>
        <v>0</v>
      </c>
      <c r="I478" s="40" t="s">
        <v>58</v>
      </c>
      <c r="J478" s="40">
        <f t="shared" si="80"/>
        <v>0</v>
      </c>
      <c r="K478" s="40">
        <f t="shared" si="81"/>
        <v>0</v>
      </c>
      <c r="L478" s="40" t="s">
        <v>58</v>
      </c>
      <c r="M478" s="50" t="s">
        <v>266</v>
      </c>
      <c r="N478" s="190"/>
      <c r="O478" s="40">
        <f t="shared" ca="1" si="73"/>
        <v>0.46652620672685596</v>
      </c>
      <c r="P478" s="51">
        <f t="shared" si="78"/>
        <v>0</v>
      </c>
      <c r="Q478" s="51">
        <f t="shared" si="79"/>
        <v>0</v>
      </c>
      <c r="R478" s="51">
        <f t="shared" si="82"/>
        <v>0</v>
      </c>
      <c r="S478"/>
      <c r="T478" s="83"/>
    </row>
    <row r="479" spans="1:20" ht="16" x14ac:dyDescent="0.2">
      <c r="A479"/>
      <c r="B479" s="103"/>
      <c r="C479" s="243"/>
      <c r="D479" s="119">
        <v>466</v>
      </c>
      <c r="E479" s="25" t="str">
        <f>Tp_CHG!N93</f>
        <v>Transition Probability from state 3 to state 3 on day 19 (CHG)</v>
      </c>
      <c r="F479" s="40">
        <f t="shared" si="77"/>
        <v>0</v>
      </c>
      <c r="G479" s="156">
        <v>1</v>
      </c>
      <c r="H479" s="120">
        <f>Tp_CHG!Q93</f>
        <v>0</v>
      </c>
      <c r="I479" s="40" t="s">
        <v>58</v>
      </c>
      <c r="J479" s="40">
        <f t="shared" si="80"/>
        <v>0</v>
      </c>
      <c r="K479" s="40">
        <f t="shared" si="81"/>
        <v>0</v>
      </c>
      <c r="L479" s="40" t="s">
        <v>58</v>
      </c>
      <c r="M479" s="50" t="s">
        <v>266</v>
      </c>
      <c r="N479" s="190"/>
      <c r="O479" s="40">
        <f t="shared" ca="1" si="73"/>
        <v>0.98418726521407429</v>
      </c>
      <c r="P479" s="51">
        <f t="shared" si="78"/>
        <v>0</v>
      </c>
      <c r="Q479" s="51">
        <f t="shared" si="79"/>
        <v>0</v>
      </c>
      <c r="R479" s="51">
        <f t="shared" si="82"/>
        <v>0</v>
      </c>
      <c r="S479"/>
      <c r="T479" s="83"/>
    </row>
    <row r="480" spans="1:20" ht="16" x14ac:dyDescent="0.2">
      <c r="A480"/>
      <c r="B480" s="103"/>
      <c r="C480" s="243"/>
      <c r="D480" s="119">
        <v>467</v>
      </c>
      <c r="E480" s="25" t="str">
        <f>Tp_CHG!N94</f>
        <v>Transition Probability from state 3 to state 3 on day 20 (CHG)</v>
      </c>
      <c r="F480" s="40">
        <f t="shared" si="77"/>
        <v>0</v>
      </c>
      <c r="G480" s="156">
        <v>1</v>
      </c>
      <c r="H480" s="120">
        <f>Tp_CHG!Q94</f>
        <v>0</v>
      </c>
      <c r="I480" s="40" t="s">
        <v>58</v>
      </c>
      <c r="J480" s="40">
        <f t="shared" si="80"/>
        <v>0</v>
      </c>
      <c r="K480" s="40">
        <f t="shared" si="81"/>
        <v>0</v>
      </c>
      <c r="L480" s="40" t="s">
        <v>58</v>
      </c>
      <c r="M480" s="50" t="s">
        <v>266</v>
      </c>
      <c r="N480" s="190"/>
      <c r="O480" s="40">
        <f t="shared" ca="1" si="73"/>
        <v>0.80918493847105488</v>
      </c>
      <c r="P480" s="51">
        <f t="shared" si="78"/>
        <v>0</v>
      </c>
      <c r="Q480" s="51">
        <f t="shared" si="79"/>
        <v>0</v>
      </c>
      <c r="R480" s="51">
        <f t="shared" si="82"/>
        <v>0</v>
      </c>
      <c r="S480"/>
      <c r="T480" s="83"/>
    </row>
    <row r="481" spans="1:20" ht="16" x14ac:dyDescent="0.2">
      <c r="A481"/>
      <c r="B481" s="103"/>
      <c r="C481" s="243"/>
      <c r="D481" s="119">
        <v>468</v>
      </c>
      <c r="E481" s="25" t="str">
        <f>Tp_CHG!N95</f>
        <v>Transition Probability from state 3 to state 3 on day 21 (CHG)</v>
      </c>
      <c r="F481" s="40">
        <f t="shared" si="77"/>
        <v>0</v>
      </c>
      <c r="G481" s="156">
        <v>1</v>
      </c>
      <c r="H481" s="120">
        <f>Tp_CHG!Q95</f>
        <v>0</v>
      </c>
      <c r="I481" s="40" t="s">
        <v>58</v>
      </c>
      <c r="J481" s="40">
        <f t="shared" si="80"/>
        <v>0</v>
      </c>
      <c r="K481" s="40">
        <f t="shared" si="81"/>
        <v>0</v>
      </c>
      <c r="L481" s="40" t="s">
        <v>58</v>
      </c>
      <c r="M481" s="50" t="s">
        <v>266</v>
      </c>
      <c r="N481" s="190"/>
      <c r="O481" s="40">
        <f t="shared" ca="1" si="73"/>
        <v>0.18976669707760141</v>
      </c>
      <c r="P481" s="51">
        <f t="shared" si="78"/>
        <v>0</v>
      </c>
      <c r="Q481" s="51">
        <f t="shared" si="79"/>
        <v>0</v>
      </c>
      <c r="R481" s="51">
        <f t="shared" si="82"/>
        <v>0</v>
      </c>
      <c r="S481"/>
      <c r="T481" s="83"/>
    </row>
    <row r="482" spans="1:20" ht="16" x14ac:dyDescent="0.2">
      <c r="A482"/>
      <c r="B482" s="103"/>
      <c r="C482" s="243"/>
      <c r="D482" s="119">
        <v>469</v>
      </c>
      <c r="E482" s="25" t="str">
        <f>Tp_CHG!N96</f>
        <v>Transition Probability from state 3 to state 3 on day 22 (CHG)</v>
      </c>
      <c r="F482" s="40">
        <f t="shared" si="77"/>
        <v>0</v>
      </c>
      <c r="G482" s="156">
        <v>1</v>
      </c>
      <c r="H482" s="120">
        <f>Tp_CHG!Q96</f>
        <v>0</v>
      </c>
      <c r="I482" s="40" t="s">
        <v>58</v>
      </c>
      <c r="J482" s="40">
        <f t="shared" si="80"/>
        <v>0</v>
      </c>
      <c r="K482" s="40">
        <f t="shared" si="81"/>
        <v>0</v>
      </c>
      <c r="L482" s="40" t="s">
        <v>58</v>
      </c>
      <c r="M482" s="50" t="s">
        <v>266</v>
      </c>
      <c r="N482" s="190"/>
      <c r="O482" s="40">
        <f t="shared" ca="1" si="73"/>
        <v>0.61502775672977461</v>
      </c>
      <c r="P482" s="51">
        <f t="shared" si="78"/>
        <v>0</v>
      </c>
      <c r="Q482" s="51">
        <f t="shared" si="79"/>
        <v>0</v>
      </c>
      <c r="R482" s="51">
        <f t="shared" si="82"/>
        <v>0</v>
      </c>
      <c r="S482"/>
      <c r="T482" s="83"/>
    </row>
    <row r="483" spans="1:20" ht="16" x14ac:dyDescent="0.2">
      <c r="A483"/>
      <c r="B483" s="103"/>
      <c r="C483" s="243"/>
      <c r="D483" s="119">
        <v>470</v>
      </c>
      <c r="E483" s="25" t="str">
        <f>Tp_CHG!N97</f>
        <v>Transition Probability from state 3 to state 3 on day 23 (CHG)</v>
      </c>
      <c r="F483" s="40">
        <f t="shared" si="77"/>
        <v>0</v>
      </c>
      <c r="G483" s="156">
        <v>1</v>
      </c>
      <c r="H483" s="120">
        <f>Tp_CHG!Q97</f>
        <v>0</v>
      </c>
      <c r="I483" s="40" t="s">
        <v>58</v>
      </c>
      <c r="J483" s="40">
        <f t="shared" si="80"/>
        <v>0</v>
      </c>
      <c r="K483" s="40">
        <f t="shared" si="81"/>
        <v>0</v>
      </c>
      <c r="L483" s="40" t="s">
        <v>58</v>
      </c>
      <c r="M483" s="50" t="s">
        <v>266</v>
      </c>
      <c r="N483" s="190"/>
      <c r="O483" s="40">
        <f t="shared" ca="1" si="73"/>
        <v>0.8424939859108681</v>
      </c>
      <c r="P483" s="51">
        <f t="shared" si="78"/>
        <v>0</v>
      </c>
      <c r="Q483" s="51">
        <f t="shared" si="79"/>
        <v>0</v>
      </c>
      <c r="R483" s="51">
        <f t="shared" si="82"/>
        <v>0</v>
      </c>
      <c r="S483"/>
      <c r="T483" s="83"/>
    </row>
    <row r="484" spans="1:20" ht="16" x14ac:dyDescent="0.2">
      <c r="A484"/>
      <c r="B484" s="103"/>
      <c r="C484" s="243"/>
      <c r="D484" s="119">
        <v>471</v>
      </c>
      <c r="E484" s="25" t="str">
        <f>Tp_CHG!N98</f>
        <v>Transition Probability from state 3 to state 3 on day 24 (CHG)</v>
      </c>
      <c r="F484" s="40">
        <f t="shared" si="77"/>
        <v>0</v>
      </c>
      <c r="G484" s="156">
        <v>1</v>
      </c>
      <c r="H484" s="120">
        <f>Tp_CHG!Q98</f>
        <v>0</v>
      </c>
      <c r="I484" s="40" t="s">
        <v>58</v>
      </c>
      <c r="J484" s="40">
        <f t="shared" si="80"/>
        <v>0</v>
      </c>
      <c r="K484" s="40">
        <f t="shared" si="81"/>
        <v>0</v>
      </c>
      <c r="L484" s="40" t="s">
        <v>58</v>
      </c>
      <c r="M484" s="50" t="s">
        <v>266</v>
      </c>
      <c r="N484" s="190"/>
      <c r="O484" s="40">
        <f t="shared" ca="1" si="73"/>
        <v>9.0917379711267232E-3</v>
      </c>
      <c r="P484" s="51">
        <f t="shared" si="78"/>
        <v>0</v>
      </c>
      <c r="Q484" s="51">
        <f t="shared" si="79"/>
        <v>0</v>
      </c>
      <c r="R484" s="51">
        <f t="shared" si="82"/>
        <v>0</v>
      </c>
      <c r="S484"/>
      <c r="T484" s="83"/>
    </row>
    <row r="485" spans="1:20" ht="16" x14ac:dyDescent="0.2">
      <c r="A485"/>
      <c r="B485" s="103"/>
      <c r="C485" s="243"/>
      <c r="D485" s="119">
        <v>472</v>
      </c>
      <c r="E485" s="25" t="str">
        <f>Tp_CHG!N99</f>
        <v>Transition Probability from state 3 to state 3 on day 25 (CHG)</v>
      </c>
      <c r="F485" s="40">
        <f t="shared" si="77"/>
        <v>0</v>
      </c>
      <c r="G485" s="156">
        <v>1</v>
      </c>
      <c r="H485" s="120">
        <f>Tp_CHG!Q99</f>
        <v>0</v>
      </c>
      <c r="I485" s="40" t="s">
        <v>58</v>
      </c>
      <c r="J485" s="40">
        <f t="shared" si="80"/>
        <v>0</v>
      </c>
      <c r="K485" s="40">
        <f t="shared" si="81"/>
        <v>0</v>
      </c>
      <c r="L485" s="40" t="s">
        <v>58</v>
      </c>
      <c r="M485" s="50" t="s">
        <v>266</v>
      </c>
      <c r="N485" s="190"/>
      <c r="O485" s="40">
        <f t="shared" ref="O485:O548" ca="1" si="83">RAND()</f>
        <v>0.96184034697826026</v>
      </c>
      <c r="P485" s="51">
        <f t="shared" si="78"/>
        <v>0</v>
      </c>
      <c r="Q485" s="51">
        <f t="shared" si="79"/>
        <v>0</v>
      </c>
      <c r="R485" s="51">
        <f t="shared" si="82"/>
        <v>0</v>
      </c>
      <c r="S485"/>
      <c r="T485" s="83"/>
    </row>
    <row r="486" spans="1:20" ht="16" x14ac:dyDescent="0.2">
      <c r="A486"/>
      <c r="B486" s="103"/>
      <c r="C486" s="243"/>
      <c r="D486" s="119">
        <v>473</v>
      </c>
      <c r="E486" s="25" t="str">
        <f>Tp_CHG!N100</f>
        <v>Transition Probability from state 3 to state 3 on day 26 (CHG)</v>
      </c>
      <c r="F486" s="40">
        <f t="shared" si="77"/>
        <v>0</v>
      </c>
      <c r="G486" s="156">
        <v>1</v>
      </c>
      <c r="H486" s="120">
        <f>Tp_CHG!Q100</f>
        <v>0</v>
      </c>
      <c r="I486" s="40" t="s">
        <v>58</v>
      </c>
      <c r="J486" s="40">
        <f t="shared" si="80"/>
        <v>0</v>
      </c>
      <c r="K486" s="40">
        <f t="shared" si="81"/>
        <v>0</v>
      </c>
      <c r="L486" s="40" t="s">
        <v>58</v>
      </c>
      <c r="M486" s="50" t="s">
        <v>266</v>
      </c>
      <c r="N486" s="190"/>
      <c r="O486" s="40">
        <f t="shared" ca="1" si="83"/>
        <v>0.60488190527994223</v>
      </c>
      <c r="P486" s="51">
        <f t="shared" si="78"/>
        <v>0</v>
      </c>
      <c r="Q486" s="51">
        <f t="shared" si="79"/>
        <v>0</v>
      </c>
      <c r="R486" s="51">
        <f t="shared" si="82"/>
        <v>0</v>
      </c>
      <c r="S486"/>
      <c r="T486" s="83"/>
    </row>
    <row r="487" spans="1:20" ht="16" x14ac:dyDescent="0.2">
      <c r="A487"/>
      <c r="B487" s="103"/>
      <c r="C487" s="243"/>
      <c r="D487" s="119">
        <v>474</v>
      </c>
      <c r="E487" s="25" t="str">
        <f>Tp_CHG!N101</f>
        <v>Transition Probability from state 3 to state 3 on day 27 (CHG)</v>
      </c>
      <c r="F487" s="40">
        <f t="shared" si="77"/>
        <v>0</v>
      </c>
      <c r="G487" s="156">
        <v>1</v>
      </c>
      <c r="H487" s="120">
        <f>Tp_CHG!Q101</f>
        <v>0</v>
      </c>
      <c r="I487" s="40" t="s">
        <v>58</v>
      </c>
      <c r="J487" s="40">
        <f t="shared" si="80"/>
        <v>0</v>
      </c>
      <c r="K487" s="40">
        <f t="shared" si="81"/>
        <v>0</v>
      </c>
      <c r="L487" s="40" t="s">
        <v>58</v>
      </c>
      <c r="M487" s="50" t="s">
        <v>266</v>
      </c>
      <c r="N487" s="190"/>
      <c r="O487" s="40">
        <f t="shared" ca="1" si="83"/>
        <v>0.48379501935143199</v>
      </c>
      <c r="P487" s="51">
        <f t="shared" si="78"/>
        <v>0</v>
      </c>
      <c r="Q487" s="51">
        <f t="shared" si="79"/>
        <v>0</v>
      </c>
      <c r="R487" s="51">
        <f t="shared" si="82"/>
        <v>0</v>
      </c>
      <c r="S487"/>
      <c r="T487" s="83"/>
    </row>
    <row r="488" spans="1:20" ht="16" x14ac:dyDescent="0.2">
      <c r="A488"/>
      <c r="B488" s="103"/>
      <c r="C488" s="243"/>
      <c r="D488" s="119">
        <v>475</v>
      </c>
      <c r="E488" s="25" t="str">
        <f>Tp_CHG!N102</f>
        <v>Transition Probability from state 3 to state 3 on day 28 (CHG)</v>
      </c>
      <c r="F488" s="40">
        <f t="shared" si="77"/>
        <v>0</v>
      </c>
      <c r="G488" s="156">
        <v>1</v>
      </c>
      <c r="H488" s="120">
        <f>Tp_CHG!Q102</f>
        <v>0</v>
      </c>
      <c r="I488" s="40" t="s">
        <v>58</v>
      </c>
      <c r="J488" s="40">
        <f t="shared" si="80"/>
        <v>0</v>
      </c>
      <c r="K488" s="40">
        <f t="shared" si="81"/>
        <v>0</v>
      </c>
      <c r="L488" s="40" t="s">
        <v>58</v>
      </c>
      <c r="M488" s="50" t="s">
        <v>266</v>
      </c>
      <c r="N488" s="190"/>
      <c r="O488" s="40">
        <f t="shared" ca="1" si="83"/>
        <v>0.35119816499968592</v>
      </c>
      <c r="P488" s="51">
        <f t="shared" si="78"/>
        <v>0</v>
      </c>
      <c r="Q488" s="51">
        <f t="shared" si="79"/>
        <v>0</v>
      </c>
      <c r="R488" s="51">
        <f t="shared" si="82"/>
        <v>0</v>
      </c>
      <c r="S488"/>
      <c r="T488" s="83"/>
    </row>
    <row r="489" spans="1:20" ht="16" x14ac:dyDescent="0.2">
      <c r="A489"/>
      <c r="B489" s="103"/>
      <c r="C489" s="243"/>
      <c r="D489" s="119">
        <v>476</v>
      </c>
      <c r="E489" s="25" t="str">
        <f>Tp_CHG!N103</f>
        <v>Transition Probability from state 3 to state 3 on day 29 (CHG)</v>
      </c>
      <c r="F489" s="40">
        <f t="shared" si="77"/>
        <v>0</v>
      </c>
      <c r="G489" s="156">
        <v>1</v>
      </c>
      <c r="H489" s="120">
        <f>Tp_CHG!Q103</f>
        <v>0</v>
      </c>
      <c r="I489" s="40" t="s">
        <v>58</v>
      </c>
      <c r="J489" s="40">
        <f t="shared" si="80"/>
        <v>0</v>
      </c>
      <c r="K489" s="40">
        <f t="shared" si="81"/>
        <v>0</v>
      </c>
      <c r="L489" s="40" t="s">
        <v>58</v>
      </c>
      <c r="M489" s="50" t="s">
        <v>266</v>
      </c>
      <c r="N489" s="190"/>
      <c r="O489" s="40">
        <f t="shared" ca="1" si="83"/>
        <v>0.17181588477903553</v>
      </c>
      <c r="P489" s="51">
        <f t="shared" si="78"/>
        <v>0</v>
      </c>
      <c r="Q489" s="51">
        <f t="shared" si="79"/>
        <v>0</v>
      </c>
      <c r="R489" s="51">
        <f t="shared" si="82"/>
        <v>0</v>
      </c>
      <c r="S489"/>
      <c r="T489" s="83"/>
    </row>
    <row r="490" spans="1:20" ht="16" x14ac:dyDescent="0.2">
      <c r="A490"/>
      <c r="B490" s="103"/>
      <c r="C490" s="243"/>
      <c r="D490" s="119">
        <v>477</v>
      </c>
      <c r="E490" s="25" t="str">
        <f>Tp_CHG!N104</f>
        <v>Transition Probability from state 3 to state 3 on day 30 (CHG)</v>
      </c>
      <c r="F490" s="40">
        <f t="shared" si="77"/>
        <v>0</v>
      </c>
      <c r="G490" s="156">
        <v>1</v>
      </c>
      <c r="H490" s="120">
        <f>Tp_CHG!Q104</f>
        <v>0</v>
      </c>
      <c r="I490" s="40" t="s">
        <v>58</v>
      </c>
      <c r="J490" s="40">
        <f t="shared" si="80"/>
        <v>0</v>
      </c>
      <c r="K490" s="40">
        <f t="shared" si="81"/>
        <v>0</v>
      </c>
      <c r="L490" s="40" t="s">
        <v>58</v>
      </c>
      <c r="M490" s="50" t="s">
        <v>266</v>
      </c>
      <c r="N490" s="190"/>
      <c r="O490" s="40">
        <f t="shared" ca="1" si="83"/>
        <v>0.85272250123526283</v>
      </c>
      <c r="P490" s="51">
        <f t="shared" si="78"/>
        <v>0</v>
      </c>
      <c r="Q490" s="51">
        <f t="shared" si="79"/>
        <v>0</v>
      </c>
      <c r="R490" s="51">
        <f t="shared" si="82"/>
        <v>0</v>
      </c>
      <c r="S490"/>
      <c r="T490" s="83"/>
    </row>
    <row r="491" spans="1:20" ht="16" x14ac:dyDescent="0.2">
      <c r="A491"/>
      <c r="B491" s="103"/>
      <c r="C491" s="243"/>
      <c r="D491" s="119">
        <v>478</v>
      </c>
      <c r="E491" s="25" t="str">
        <f>Tp_CHG!S75</f>
        <v>Transition Probability from state 4 to state 3 on day 1 (CHG)</v>
      </c>
      <c r="F491" s="40">
        <f t="shared" si="77"/>
        <v>0</v>
      </c>
      <c r="G491" s="156">
        <v>1</v>
      </c>
      <c r="H491" s="120">
        <f>Tp_CHG!V75</f>
        <v>0</v>
      </c>
      <c r="I491" s="40" t="s">
        <v>58</v>
      </c>
      <c r="J491" s="40">
        <f t="shared" si="80"/>
        <v>0</v>
      </c>
      <c r="K491" s="40">
        <f t="shared" si="81"/>
        <v>0</v>
      </c>
      <c r="L491" s="40" t="s">
        <v>58</v>
      </c>
      <c r="M491" s="50" t="s">
        <v>266</v>
      </c>
      <c r="N491" s="190"/>
      <c r="O491" s="40">
        <f t="shared" ca="1" si="83"/>
        <v>0.57692390893009626</v>
      </c>
      <c r="P491" s="51">
        <f t="shared" si="78"/>
        <v>0</v>
      </c>
      <c r="Q491" s="51">
        <f t="shared" si="79"/>
        <v>0</v>
      </c>
      <c r="R491" s="51">
        <f t="shared" si="82"/>
        <v>0</v>
      </c>
      <c r="S491"/>
      <c r="T491" s="83"/>
    </row>
    <row r="492" spans="1:20" ht="16" x14ac:dyDescent="0.2">
      <c r="A492"/>
      <c r="B492" s="103"/>
      <c r="C492" s="243"/>
      <c r="D492" s="119">
        <v>479</v>
      </c>
      <c r="E492" s="25" t="str">
        <f>Tp_CHG!S76</f>
        <v>Transition Probability from state 4 to state 3 on day 2 (CHG)</v>
      </c>
      <c r="F492" s="40">
        <f t="shared" si="77"/>
        <v>0</v>
      </c>
      <c r="G492" s="156">
        <v>1</v>
      </c>
      <c r="H492" s="120">
        <f>Tp_CHG!V76</f>
        <v>0</v>
      </c>
      <c r="I492" s="40" t="s">
        <v>58</v>
      </c>
      <c r="J492" s="40">
        <f t="shared" si="80"/>
        <v>0</v>
      </c>
      <c r="K492" s="40">
        <f t="shared" si="81"/>
        <v>0</v>
      </c>
      <c r="L492" s="40" t="s">
        <v>58</v>
      </c>
      <c r="M492" s="50" t="s">
        <v>266</v>
      </c>
      <c r="N492" s="190"/>
      <c r="O492" s="40">
        <f t="shared" ca="1" si="83"/>
        <v>0.10199519742244323</v>
      </c>
      <c r="P492" s="51">
        <f t="shared" si="78"/>
        <v>0</v>
      </c>
      <c r="Q492" s="51">
        <f t="shared" si="79"/>
        <v>0</v>
      </c>
      <c r="R492" s="51">
        <f t="shared" si="82"/>
        <v>0</v>
      </c>
      <c r="S492"/>
      <c r="T492" s="83"/>
    </row>
    <row r="493" spans="1:20" ht="16" x14ac:dyDescent="0.2">
      <c r="A493"/>
      <c r="B493" s="103"/>
      <c r="C493" s="243"/>
      <c r="D493" s="119">
        <v>480</v>
      </c>
      <c r="E493" s="25" t="str">
        <f>Tp_CHG!S77</f>
        <v>Transition Probability from state 4 to state 3 on day 3 (CHG)</v>
      </c>
      <c r="F493" s="40">
        <f t="shared" si="77"/>
        <v>0</v>
      </c>
      <c r="G493" s="156">
        <v>1</v>
      </c>
      <c r="H493" s="120">
        <f>Tp_CHG!V77</f>
        <v>0</v>
      </c>
      <c r="I493" s="40" t="s">
        <v>58</v>
      </c>
      <c r="J493" s="40">
        <f t="shared" si="80"/>
        <v>0</v>
      </c>
      <c r="K493" s="40">
        <f t="shared" si="81"/>
        <v>0</v>
      </c>
      <c r="L493" s="40" t="s">
        <v>58</v>
      </c>
      <c r="M493" s="50" t="s">
        <v>266</v>
      </c>
      <c r="N493" s="190"/>
      <c r="O493" s="40">
        <f t="shared" ca="1" si="83"/>
        <v>0.41957899665918941</v>
      </c>
      <c r="P493" s="51">
        <f t="shared" si="78"/>
        <v>0</v>
      </c>
      <c r="Q493" s="51">
        <f t="shared" si="79"/>
        <v>0</v>
      </c>
      <c r="R493" s="51">
        <f t="shared" si="82"/>
        <v>0</v>
      </c>
      <c r="S493"/>
      <c r="T493" s="83"/>
    </row>
    <row r="494" spans="1:20" ht="16" x14ac:dyDescent="0.2">
      <c r="A494"/>
      <c r="B494" s="103"/>
      <c r="C494" s="243"/>
      <c r="D494" s="119">
        <v>481</v>
      </c>
      <c r="E494" s="25" t="str">
        <f>Tp_CHG!S78</f>
        <v>Transition Probability from state 4 to state 3 on day 4 (CHG)</v>
      </c>
      <c r="F494" s="40">
        <f t="shared" si="77"/>
        <v>0</v>
      </c>
      <c r="G494" s="156">
        <v>1</v>
      </c>
      <c r="H494" s="120">
        <f>Tp_CHG!V78</f>
        <v>0</v>
      </c>
      <c r="I494" s="40" t="s">
        <v>58</v>
      </c>
      <c r="J494" s="40">
        <f t="shared" si="80"/>
        <v>0</v>
      </c>
      <c r="K494" s="40">
        <f t="shared" si="81"/>
        <v>0</v>
      </c>
      <c r="L494" s="40" t="s">
        <v>58</v>
      </c>
      <c r="M494" s="50" t="s">
        <v>266</v>
      </c>
      <c r="N494" s="190"/>
      <c r="O494" s="40">
        <f t="shared" ca="1" si="83"/>
        <v>0.47731370192814326</v>
      </c>
      <c r="P494" s="51">
        <f t="shared" si="78"/>
        <v>0</v>
      </c>
      <c r="Q494" s="51">
        <f t="shared" si="79"/>
        <v>0</v>
      </c>
      <c r="R494" s="51">
        <f t="shared" si="82"/>
        <v>0</v>
      </c>
      <c r="S494"/>
      <c r="T494" s="83"/>
    </row>
    <row r="495" spans="1:20" ht="16" x14ac:dyDescent="0.2">
      <c r="A495"/>
      <c r="B495" s="103"/>
      <c r="C495" s="243"/>
      <c r="D495" s="119">
        <v>482</v>
      </c>
      <c r="E495" s="25" t="str">
        <f>Tp_CHG!S79</f>
        <v>Transition Probability from state 4 to state 3 on day 5 (CHG)</v>
      </c>
      <c r="F495" s="40">
        <f t="shared" si="77"/>
        <v>0</v>
      </c>
      <c r="G495" s="156">
        <v>1</v>
      </c>
      <c r="H495" s="120">
        <f>Tp_CHG!V79</f>
        <v>0</v>
      </c>
      <c r="I495" s="40" t="s">
        <v>58</v>
      </c>
      <c r="J495" s="40">
        <f t="shared" si="80"/>
        <v>0</v>
      </c>
      <c r="K495" s="40">
        <f t="shared" si="81"/>
        <v>0</v>
      </c>
      <c r="L495" s="40" t="s">
        <v>58</v>
      </c>
      <c r="M495" s="50" t="s">
        <v>266</v>
      </c>
      <c r="N495" s="190"/>
      <c r="O495" s="40">
        <f t="shared" ca="1" si="83"/>
        <v>0.51749213364282554</v>
      </c>
      <c r="P495" s="51">
        <f t="shared" si="78"/>
        <v>0</v>
      </c>
      <c r="Q495" s="51">
        <f t="shared" si="79"/>
        <v>0</v>
      </c>
      <c r="R495" s="51">
        <f t="shared" si="82"/>
        <v>0</v>
      </c>
      <c r="S495"/>
      <c r="T495" s="83"/>
    </row>
    <row r="496" spans="1:20" ht="16" x14ac:dyDescent="0.2">
      <c r="A496"/>
      <c r="B496" s="103"/>
      <c r="C496" s="243"/>
      <c r="D496" s="119">
        <v>483</v>
      </c>
      <c r="E496" s="25" t="str">
        <f>Tp_CHG!S80</f>
        <v>Transition Probability from state 4 to state 3 on day 6 (CHG)</v>
      </c>
      <c r="F496" s="40">
        <f t="shared" si="77"/>
        <v>0</v>
      </c>
      <c r="G496" s="156">
        <v>1</v>
      </c>
      <c r="H496" s="120">
        <f>Tp_CHG!V80</f>
        <v>0</v>
      </c>
      <c r="I496" s="40" t="s">
        <v>58</v>
      </c>
      <c r="J496" s="40">
        <f t="shared" si="80"/>
        <v>0</v>
      </c>
      <c r="K496" s="40">
        <f t="shared" si="81"/>
        <v>0</v>
      </c>
      <c r="L496" s="40" t="s">
        <v>58</v>
      </c>
      <c r="M496" s="50" t="s">
        <v>266</v>
      </c>
      <c r="N496" s="190"/>
      <c r="O496" s="40">
        <f t="shared" ca="1" si="83"/>
        <v>0.38859650390753897</v>
      </c>
      <c r="P496" s="51">
        <f t="shared" si="78"/>
        <v>0</v>
      </c>
      <c r="Q496" s="51">
        <f t="shared" si="79"/>
        <v>0</v>
      </c>
      <c r="R496" s="51">
        <f t="shared" si="82"/>
        <v>0</v>
      </c>
      <c r="S496"/>
      <c r="T496" s="83"/>
    </row>
    <row r="497" spans="1:20" ht="16" x14ac:dyDescent="0.2">
      <c r="A497"/>
      <c r="B497" s="103"/>
      <c r="C497" s="243"/>
      <c r="D497" s="119">
        <v>484</v>
      </c>
      <c r="E497" s="25" t="str">
        <f>Tp_CHG!S81</f>
        <v>Transition Probability from state 4 to state 3 on day 7 (CHG)</v>
      </c>
      <c r="F497" s="40">
        <f t="shared" si="77"/>
        <v>0</v>
      </c>
      <c r="G497" s="156">
        <v>1</v>
      </c>
      <c r="H497" s="120">
        <f>Tp_CHG!V81</f>
        <v>0</v>
      </c>
      <c r="I497" s="40" t="s">
        <v>58</v>
      </c>
      <c r="J497" s="40">
        <f t="shared" si="80"/>
        <v>0</v>
      </c>
      <c r="K497" s="40">
        <f t="shared" si="81"/>
        <v>0</v>
      </c>
      <c r="L497" s="40" t="s">
        <v>58</v>
      </c>
      <c r="M497" s="50" t="s">
        <v>266</v>
      </c>
      <c r="N497" s="190"/>
      <c r="O497" s="40">
        <f t="shared" ca="1" si="83"/>
        <v>0.19184565771873607</v>
      </c>
      <c r="P497" s="51">
        <f t="shared" si="78"/>
        <v>0</v>
      </c>
      <c r="Q497" s="51">
        <f t="shared" si="79"/>
        <v>0</v>
      </c>
      <c r="R497" s="51">
        <f t="shared" si="82"/>
        <v>0</v>
      </c>
      <c r="S497"/>
      <c r="T497" s="83"/>
    </row>
    <row r="498" spans="1:20" ht="16" x14ac:dyDescent="0.2">
      <c r="A498"/>
      <c r="B498" s="103"/>
      <c r="C498" s="243"/>
      <c r="D498" s="119">
        <v>485</v>
      </c>
      <c r="E498" s="25" t="str">
        <f>Tp_CHG!S82</f>
        <v>Transition Probability from state 4 to state 3 on day 8 (CHG)</v>
      </c>
      <c r="F498" s="40">
        <f t="shared" si="77"/>
        <v>0</v>
      </c>
      <c r="G498" s="156">
        <v>1</v>
      </c>
      <c r="H498" s="120">
        <f>Tp_CHG!V82</f>
        <v>0</v>
      </c>
      <c r="I498" s="40" t="s">
        <v>58</v>
      </c>
      <c r="J498" s="40">
        <f t="shared" si="80"/>
        <v>0</v>
      </c>
      <c r="K498" s="40">
        <f t="shared" si="81"/>
        <v>0</v>
      </c>
      <c r="L498" s="40" t="s">
        <v>58</v>
      </c>
      <c r="M498" s="50" t="s">
        <v>266</v>
      </c>
      <c r="N498" s="190"/>
      <c r="O498" s="40">
        <f t="shared" ca="1" si="83"/>
        <v>0.10856304534684436</v>
      </c>
      <c r="P498" s="51">
        <f t="shared" si="78"/>
        <v>0</v>
      </c>
      <c r="Q498" s="51">
        <f t="shared" si="79"/>
        <v>0</v>
      </c>
      <c r="R498" s="51">
        <f t="shared" si="82"/>
        <v>0</v>
      </c>
      <c r="S498"/>
      <c r="T498" s="83"/>
    </row>
    <row r="499" spans="1:20" ht="16" x14ac:dyDescent="0.2">
      <c r="A499"/>
      <c r="B499" s="103"/>
      <c r="C499" s="243"/>
      <c r="D499" s="119">
        <v>486</v>
      </c>
      <c r="E499" s="25" t="str">
        <f>Tp_CHG!S83</f>
        <v>Transition Probability from state 4 to state 3 on day 9 (CHG)</v>
      </c>
      <c r="F499" s="40">
        <f t="shared" si="77"/>
        <v>0</v>
      </c>
      <c r="G499" s="156">
        <v>1</v>
      </c>
      <c r="H499" s="120">
        <f>Tp_CHG!V83</f>
        <v>0</v>
      </c>
      <c r="I499" s="40" t="s">
        <v>58</v>
      </c>
      <c r="J499" s="40">
        <f t="shared" ref="J499:J530" si="84">IF(H499=0,0,_xlfn.NORM.INV(0.025,H499,R499))</f>
        <v>0</v>
      </c>
      <c r="K499" s="40">
        <f t="shared" ref="K499:K530" si="85">IF(H499=0,0,_xlfn.NORM.INV(0.975,H499,R499))</f>
        <v>0</v>
      </c>
      <c r="L499" s="40" t="s">
        <v>58</v>
      </c>
      <c r="M499" s="50" t="s">
        <v>266</v>
      </c>
      <c r="N499" s="190"/>
      <c r="O499" s="40">
        <f t="shared" ca="1" si="83"/>
        <v>9.5204040992302397E-2</v>
      </c>
      <c r="P499" s="51">
        <f t="shared" si="78"/>
        <v>0</v>
      </c>
      <c r="Q499" s="51">
        <f t="shared" si="79"/>
        <v>0</v>
      </c>
      <c r="R499" s="51">
        <f t="shared" ref="R499:R530" si="86">assumedSE*H499</f>
        <v>0</v>
      </c>
      <c r="S499"/>
      <c r="T499" s="83"/>
    </row>
    <row r="500" spans="1:20" ht="16" x14ac:dyDescent="0.2">
      <c r="A500"/>
      <c r="B500" s="103"/>
      <c r="C500" s="243"/>
      <c r="D500" s="119">
        <v>487</v>
      </c>
      <c r="E500" s="25" t="str">
        <f>Tp_CHG!S84</f>
        <v>Transition Probability from state 4 to state 3 on day 10 (CHG)</v>
      </c>
      <c r="F500" s="40">
        <f t="shared" si="77"/>
        <v>0</v>
      </c>
      <c r="G500" s="156">
        <v>1</v>
      </c>
      <c r="H500" s="120">
        <f>Tp_CHG!V84</f>
        <v>0</v>
      </c>
      <c r="I500" s="40" t="s">
        <v>58</v>
      </c>
      <c r="J500" s="40">
        <f t="shared" si="84"/>
        <v>0</v>
      </c>
      <c r="K500" s="40">
        <f t="shared" si="85"/>
        <v>0</v>
      </c>
      <c r="L500" s="40" t="s">
        <v>58</v>
      </c>
      <c r="M500" s="50" t="s">
        <v>266</v>
      </c>
      <c r="N500" s="190"/>
      <c r="O500" s="40">
        <f t="shared" ca="1" si="83"/>
        <v>8.9137768549562568E-2</v>
      </c>
      <c r="P500" s="51">
        <f t="shared" si="78"/>
        <v>0</v>
      </c>
      <c r="Q500" s="51">
        <f t="shared" si="79"/>
        <v>0</v>
      </c>
      <c r="R500" s="51">
        <f t="shared" si="86"/>
        <v>0</v>
      </c>
      <c r="S500"/>
      <c r="T500" s="83"/>
    </row>
    <row r="501" spans="1:20" ht="16" x14ac:dyDescent="0.2">
      <c r="A501"/>
      <c r="B501" s="103"/>
      <c r="C501" s="243"/>
      <c r="D501" s="119">
        <v>488</v>
      </c>
      <c r="E501" s="25" t="str">
        <f>Tp_CHG!S85</f>
        <v>Transition Probability from state 4 to state 3 on day 11 (CHG)</v>
      </c>
      <c r="F501" s="40">
        <f t="shared" si="77"/>
        <v>0</v>
      </c>
      <c r="G501" s="156">
        <v>1</v>
      </c>
      <c r="H501" s="120">
        <f>Tp_CHG!V85</f>
        <v>0</v>
      </c>
      <c r="I501" s="40" t="s">
        <v>58</v>
      </c>
      <c r="J501" s="40">
        <f t="shared" si="84"/>
        <v>0</v>
      </c>
      <c r="K501" s="40">
        <f t="shared" si="85"/>
        <v>0</v>
      </c>
      <c r="L501" s="40" t="s">
        <v>58</v>
      </c>
      <c r="M501" s="50" t="s">
        <v>266</v>
      </c>
      <c r="N501" s="190"/>
      <c r="O501" s="40">
        <f t="shared" ca="1" si="83"/>
        <v>2.3871575934793166E-2</v>
      </c>
      <c r="P501" s="51">
        <f t="shared" si="78"/>
        <v>0</v>
      </c>
      <c r="Q501" s="51">
        <f t="shared" si="79"/>
        <v>0</v>
      </c>
      <c r="R501" s="51">
        <f t="shared" si="86"/>
        <v>0</v>
      </c>
      <c r="S501"/>
      <c r="T501" s="83"/>
    </row>
    <row r="502" spans="1:20" ht="16" x14ac:dyDescent="0.2">
      <c r="A502"/>
      <c r="B502" s="103"/>
      <c r="C502" s="243"/>
      <c r="D502" s="119">
        <v>489</v>
      </c>
      <c r="E502" s="25" t="str">
        <f>Tp_CHG!S86</f>
        <v>Transition Probability from state 4 to state 3 on day 12 (CHG)</v>
      </c>
      <c r="F502" s="40">
        <f t="shared" si="77"/>
        <v>0</v>
      </c>
      <c r="G502" s="156">
        <v>1</v>
      </c>
      <c r="H502" s="120">
        <f>Tp_CHG!V86</f>
        <v>0</v>
      </c>
      <c r="I502" s="40" t="s">
        <v>58</v>
      </c>
      <c r="J502" s="40">
        <f t="shared" si="84"/>
        <v>0</v>
      </c>
      <c r="K502" s="40">
        <f t="shared" si="85"/>
        <v>0</v>
      </c>
      <c r="L502" s="40" t="s">
        <v>58</v>
      </c>
      <c r="M502" s="50" t="s">
        <v>266</v>
      </c>
      <c r="N502" s="190"/>
      <c r="O502" s="40">
        <f t="shared" ca="1" si="83"/>
        <v>0.58298024930786618</v>
      </c>
      <c r="P502" s="51">
        <f t="shared" si="78"/>
        <v>0</v>
      </c>
      <c r="Q502" s="51">
        <f t="shared" si="79"/>
        <v>0</v>
      </c>
      <c r="R502" s="51">
        <f t="shared" si="86"/>
        <v>0</v>
      </c>
      <c r="S502"/>
      <c r="T502" s="83"/>
    </row>
    <row r="503" spans="1:20" ht="16" x14ac:dyDescent="0.2">
      <c r="A503"/>
      <c r="B503" s="103"/>
      <c r="C503" s="243"/>
      <c r="D503" s="119">
        <v>490</v>
      </c>
      <c r="E503" s="25" t="str">
        <f>Tp_CHG!S87</f>
        <v>Transition Probability from state 4 to state 3 on day 13 (CHG)</v>
      </c>
      <c r="F503" s="40">
        <f t="shared" si="77"/>
        <v>0</v>
      </c>
      <c r="G503" s="156">
        <v>1</v>
      </c>
      <c r="H503" s="120">
        <f>Tp_CHG!V87</f>
        <v>0</v>
      </c>
      <c r="I503" s="40" t="s">
        <v>58</v>
      </c>
      <c r="J503" s="40">
        <f t="shared" si="84"/>
        <v>0</v>
      </c>
      <c r="K503" s="40">
        <f t="shared" si="85"/>
        <v>0</v>
      </c>
      <c r="L503" s="40" t="s">
        <v>58</v>
      </c>
      <c r="M503" s="50" t="s">
        <v>266</v>
      </c>
      <c r="N503" s="190"/>
      <c r="O503" s="40">
        <f t="shared" ca="1" si="83"/>
        <v>0.18463281425084765</v>
      </c>
      <c r="P503" s="51">
        <f t="shared" si="78"/>
        <v>0</v>
      </c>
      <c r="Q503" s="51">
        <f t="shared" si="79"/>
        <v>0</v>
      </c>
      <c r="R503" s="51">
        <f t="shared" si="86"/>
        <v>0</v>
      </c>
      <c r="S503"/>
      <c r="T503" s="83"/>
    </row>
    <row r="504" spans="1:20" ht="16" x14ac:dyDescent="0.2">
      <c r="A504"/>
      <c r="B504" s="103"/>
      <c r="C504" s="243"/>
      <c r="D504" s="119">
        <v>491</v>
      </c>
      <c r="E504" s="25" t="str">
        <f>Tp_CHG!S88</f>
        <v>Transition Probability from state 4 to state 3 on day 14 (CHG)</v>
      </c>
      <c r="F504" s="40">
        <f t="shared" si="77"/>
        <v>0</v>
      </c>
      <c r="G504" s="156">
        <v>1</v>
      </c>
      <c r="H504" s="120">
        <f>Tp_CHG!V88</f>
        <v>0</v>
      </c>
      <c r="I504" s="40" t="s">
        <v>58</v>
      </c>
      <c r="J504" s="40">
        <f t="shared" si="84"/>
        <v>0</v>
      </c>
      <c r="K504" s="40">
        <f t="shared" si="85"/>
        <v>0</v>
      </c>
      <c r="L504" s="40" t="s">
        <v>58</v>
      </c>
      <c r="M504" s="50" t="s">
        <v>266</v>
      </c>
      <c r="N504" s="190"/>
      <c r="O504" s="40">
        <f t="shared" ca="1" si="83"/>
        <v>0.45632546278529307</v>
      </c>
      <c r="P504" s="51">
        <f t="shared" si="78"/>
        <v>0</v>
      </c>
      <c r="Q504" s="51">
        <f t="shared" si="79"/>
        <v>0</v>
      </c>
      <c r="R504" s="51">
        <f t="shared" si="86"/>
        <v>0</v>
      </c>
      <c r="S504"/>
      <c r="T504" s="83"/>
    </row>
    <row r="505" spans="1:20" ht="16" x14ac:dyDescent="0.2">
      <c r="A505"/>
      <c r="B505" s="103"/>
      <c r="C505" s="243"/>
      <c r="D505" s="119">
        <v>492</v>
      </c>
      <c r="E505" s="25" t="str">
        <f>Tp_CHG!S89</f>
        <v>Transition Probability from state 4 to state 3 on day 15 (CHG)</v>
      </c>
      <c r="F505" s="40">
        <f t="shared" si="77"/>
        <v>0</v>
      </c>
      <c r="G505" s="156">
        <v>1</v>
      </c>
      <c r="H505" s="120">
        <f>Tp_CHG!V89</f>
        <v>0</v>
      </c>
      <c r="I505" s="40" t="s">
        <v>58</v>
      </c>
      <c r="J505" s="40">
        <f t="shared" si="84"/>
        <v>0</v>
      </c>
      <c r="K505" s="40">
        <f t="shared" si="85"/>
        <v>0</v>
      </c>
      <c r="L505" s="40" t="s">
        <v>58</v>
      </c>
      <c r="M505" s="50" t="s">
        <v>266</v>
      </c>
      <c r="N505" s="190"/>
      <c r="O505" s="40">
        <f t="shared" ca="1" si="83"/>
        <v>0.33978645224160309</v>
      </c>
      <c r="P505" s="51">
        <f t="shared" si="78"/>
        <v>0</v>
      </c>
      <c r="Q505" s="51">
        <f t="shared" si="79"/>
        <v>0</v>
      </c>
      <c r="R505" s="51">
        <f t="shared" si="86"/>
        <v>0</v>
      </c>
      <c r="S505"/>
      <c r="T505" s="83"/>
    </row>
    <row r="506" spans="1:20" ht="16" x14ac:dyDescent="0.2">
      <c r="A506"/>
      <c r="B506" s="103"/>
      <c r="C506" s="243"/>
      <c r="D506" s="119">
        <v>493</v>
      </c>
      <c r="E506" s="25" t="str">
        <f>Tp_CHG!S90</f>
        <v>Transition Probability from state 4 to state 3 on day 16 (CHG)</v>
      </c>
      <c r="F506" s="40">
        <f t="shared" si="77"/>
        <v>0</v>
      </c>
      <c r="G506" s="156">
        <v>1</v>
      </c>
      <c r="H506" s="120">
        <f>Tp_CHG!V90</f>
        <v>0</v>
      </c>
      <c r="I506" s="40" t="s">
        <v>58</v>
      </c>
      <c r="J506" s="40">
        <f t="shared" si="84"/>
        <v>0</v>
      </c>
      <c r="K506" s="40">
        <f t="shared" si="85"/>
        <v>0</v>
      </c>
      <c r="L506" s="40" t="s">
        <v>58</v>
      </c>
      <c r="M506" s="50" t="s">
        <v>266</v>
      </c>
      <c r="N506" s="190"/>
      <c r="O506" s="40">
        <f t="shared" ca="1" si="83"/>
        <v>0.61822122689551839</v>
      </c>
      <c r="P506" s="51">
        <f t="shared" si="78"/>
        <v>0</v>
      </c>
      <c r="Q506" s="51">
        <f t="shared" si="79"/>
        <v>0</v>
      </c>
      <c r="R506" s="51">
        <f t="shared" si="86"/>
        <v>0</v>
      </c>
      <c r="S506"/>
      <c r="T506" s="83"/>
    </row>
    <row r="507" spans="1:20" ht="16" x14ac:dyDescent="0.2">
      <c r="A507"/>
      <c r="B507" s="103"/>
      <c r="C507" s="243"/>
      <c r="D507" s="119">
        <v>494</v>
      </c>
      <c r="E507" s="25" t="str">
        <f>Tp_CHG!S91</f>
        <v>Transition Probability from state 4 to state 3 on day 17 (CHG)</v>
      </c>
      <c r="F507" s="40">
        <f t="shared" si="77"/>
        <v>0</v>
      </c>
      <c r="G507" s="156">
        <v>1</v>
      </c>
      <c r="H507" s="120">
        <f>Tp_CHG!V91</f>
        <v>0</v>
      </c>
      <c r="I507" s="40" t="s">
        <v>58</v>
      </c>
      <c r="J507" s="40">
        <f t="shared" si="84"/>
        <v>0</v>
      </c>
      <c r="K507" s="40">
        <f t="shared" si="85"/>
        <v>0</v>
      </c>
      <c r="L507" s="40" t="s">
        <v>58</v>
      </c>
      <c r="M507" s="50" t="s">
        <v>266</v>
      </c>
      <c r="N507" s="190"/>
      <c r="O507" s="40">
        <f t="shared" ca="1" si="83"/>
        <v>0.1485414219347313</v>
      </c>
      <c r="P507" s="51">
        <f t="shared" si="78"/>
        <v>0</v>
      </c>
      <c r="Q507" s="51">
        <f t="shared" si="79"/>
        <v>0</v>
      </c>
      <c r="R507" s="51">
        <f t="shared" si="86"/>
        <v>0</v>
      </c>
      <c r="S507"/>
      <c r="T507" s="83"/>
    </row>
    <row r="508" spans="1:20" ht="16" x14ac:dyDescent="0.2">
      <c r="A508"/>
      <c r="B508" s="103"/>
      <c r="C508" s="243"/>
      <c r="D508" s="119">
        <v>495</v>
      </c>
      <c r="E508" s="25" t="str">
        <f>Tp_CHG!S92</f>
        <v>Transition Probability from state 4 to state 3 on day 18 (CHG)</v>
      </c>
      <c r="F508" s="40">
        <f t="shared" si="77"/>
        <v>0</v>
      </c>
      <c r="G508" s="156">
        <v>1</v>
      </c>
      <c r="H508" s="120">
        <f>Tp_CHG!V92</f>
        <v>0</v>
      </c>
      <c r="I508" s="40" t="s">
        <v>58</v>
      </c>
      <c r="J508" s="40">
        <f t="shared" si="84"/>
        <v>0</v>
      </c>
      <c r="K508" s="40">
        <f t="shared" si="85"/>
        <v>0</v>
      </c>
      <c r="L508" s="40" t="s">
        <v>58</v>
      </c>
      <c r="M508" s="50" t="s">
        <v>266</v>
      </c>
      <c r="N508" s="190"/>
      <c r="O508" s="40">
        <f t="shared" ca="1" si="83"/>
        <v>0.28147787040680072</v>
      </c>
      <c r="P508" s="51">
        <f t="shared" si="78"/>
        <v>0</v>
      </c>
      <c r="Q508" s="51">
        <f t="shared" si="79"/>
        <v>0</v>
      </c>
      <c r="R508" s="51">
        <f t="shared" si="86"/>
        <v>0</v>
      </c>
      <c r="S508"/>
      <c r="T508" s="83"/>
    </row>
    <row r="509" spans="1:20" ht="16" x14ac:dyDescent="0.2">
      <c r="A509"/>
      <c r="B509" s="103"/>
      <c r="C509" s="243"/>
      <c r="D509" s="119">
        <v>496</v>
      </c>
      <c r="E509" s="25" t="str">
        <f>Tp_CHG!S93</f>
        <v>Transition Probability from state 4 to state 3 on day 19 (CHG)</v>
      </c>
      <c r="F509" s="40">
        <f t="shared" si="77"/>
        <v>0</v>
      </c>
      <c r="G509" s="156">
        <v>1</v>
      </c>
      <c r="H509" s="120">
        <f>Tp_CHG!V93</f>
        <v>0</v>
      </c>
      <c r="I509" s="40" t="s">
        <v>58</v>
      </c>
      <c r="J509" s="40">
        <f t="shared" si="84"/>
        <v>0</v>
      </c>
      <c r="K509" s="40">
        <f t="shared" si="85"/>
        <v>0</v>
      </c>
      <c r="L509" s="40" t="s">
        <v>58</v>
      </c>
      <c r="M509" s="50" t="s">
        <v>266</v>
      </c>
      <c r="N509" s="190"/>
      <c r="O509" s="40">
        <f t="shared" ca="1" si="83"/>
        <v>0.21875066870116944</v>
      </c>
      <c r="P509" s="51">
        <f t="shared" si="78"/>
        <v>0</v>
      </c>
      <c r="Q509" s="51">
        <f t="shared" si="79"/>
        <v>0</v>
      </c>
      <c r="R509" s="51">
        <f t="shared" si="86"/>
        <v>0</v>
      </c>
      <c r="S509"/>
      <c r="T509" s="83"/>
    </row>
    <row r="510" spans="1:20" ht="16" x14ac:dyDescent="0.2">
      <c r="A510"/>
      <c r="B510" s="103"/>
      <c r="C510" s="243"/>
      <c r="D510" s="119">
        <v>497</v>
      </c>
      <c r="E510" s="25" t="str">
        <f>Tp_CHG!S94</f>
        <v>Transition Probability from state 4 to state 3 on day 20 (CHG)</v>
      </c>
      <c r="F510" s="40">
        <f t="shared" si="77"/>
        <v>0</v>
      </c>
      <c r="G510" s="156">
        <v>1</v>
      </c>
      <c r="H510" s="120">
        <f>Tp_CHG!V94</f>
        <v>0</v>
      </c>
      <c r="I510" s="40" t="s">
        <v>58</v>
      </c>
      <c r="J510" s="40">
        <f t="shared" si="84"/>
        <v>0</v>
      </c>
      <c r="K510" s="40">
        <f t="shared" si="85"/>
        <v>0</v>
      </c>
      <c r="L510" s="40" t="s">
        <v>58</v>
      </c>
      <c r="M510" s="50" t="s">
        <v>266</v>
      </c>
      <c r="N510" s="190"/>
      <c r="O510" s="40">
        <f t="shared" ca="1" si="83"/>
        <v>0.64662876736844943</v>
      </c>
      <c r="P510" s="51">
        <f t="shared" si="78"/>
        <v>0</v>
      </c>
      <c r="Q510" s="51">
        <f t="shared" si="79"/>
        <v>0</v>
      </c>
      <c r="R510" s="51">
        <f t="shared" si="86"/>
        <v>0</v>
      </c>
      <c r="S510"/>
      <c r="T510" s="83"/>
    </row>
    <row r="511" spans="1:20" ht="16" x14ac:dyDescent="0.2">
      <c r="A511"/>
      <c r="B511" s="103"/>
      <c r="C511" s="243"/>
      <c r="D511" s="119">
        <v>498</v>
      </c>
      <c r="E511" s="25" t="str">
        <f>Tp_CHG!S95</f>
        <v>Transition Probability from state 4 to state 3 on day 21 (CHG)</v>
      </c>
      <c r="F511" s="40">
        <f t="shared" si="77"/>
        <v>0</v>
      </c>
      <c r="G511" s="156">
        <v>1</v>
      </c>
      <c r="H511" s="120">
        <f>Tp_CHG!V95</f>
        <v>0</v>
      </c>
      <c r="I511" s="40" t="s">
        <v>58</v>
      </c>
      <c r="J511" s="40">
        <f t="shared" si="84"/>
        <v>0</v>
      </c>
      <c r="K511" s="40">
        <f t="shared" si="85"/>
        <v>0</v>
      </c>
      <c r="L511" s="40" t="s">
        <v>58</v>
      </c>
      <c r="M511" s="50" t="s">
        <v>266</v>
      </c>
      <c r="N511" s="190"/>
      <c r="O511" s="40">
        <f t="shared" ca="1" si="83"/>
        <v>0.52790373499191146</v>
      </c>
      <c r="P511" s="51">
        <f t="shared" si="78"/>
        <v>0</v>
      </c>
      <c r="Q511" s="51">
        <f t="shared" si="79"/>
        <v>0</v>
      </c>
      <c r="R511" s="51">
        <f t="shared" si="86"/>
        <v>0</v>
      </c>
      <c r="S511"/>
      <c r="T511" s="83"/>
    </row>
    <row r="512" spans="1:20" ht="16" x14ac:dyDescent="0.2">
      <c r="A512"/>
      <c r="B512" s="103"/>
      <c r="C512" s="243"/>
      <c r="D512" s="119">
        <v>499</v>
      </c>
      <c r="E512" s="25" t="str">
        <f>Tp_CHG!S96</f>
        <v>Transition Probability from state 4 to state 3 on day 22 (CHG)</v>
      </c>
      <c r="F512" s="40">
        <f t="shared" si="77"/>
        <v>0</v>
      </c>
      <c r="G512" s="156">
        <v>1</v>
      </c>
      <c r="H512" s="120">
        <f>Tp_CHG!V96</f>
        <v>0</v>
      </c>
      <c r="I512" s="40" t="s">
        <v>58</v>
      </c>
      <c r="J512" s="40">
        <f t="shared" si="84"/>
        <v>0</v>
      </c>
      <c r="K512" s="40">
        <f t="shared" si="85"/>
        <v>0</v>
      </c>
      <c r="L512" s="40" t="s">
        <v>58</v>
      </c>
      <c r="M512" s="50" t="s">
        <v>266</v>
      </c>
      <c r="N512" s="190"/>
      <c r="O512" s="40">
        <f t="shared" ca="1" si="83"/>
        <v>4.1441176914662536E-2</v>
      </c>
      <c r="P512" s="51">
        <f t="shared" si="78"/>
        <v>0</v>
      </c>
      <c r="Q512" s="51">
        <f t="shared" si="79"/>
        <v>0</v>
      </c>
      <c r="R512" s="51">
        <f t="shared" si="86"/>
        <v>0</v>
      </c>
      <c r="S512"/>
      <c r="T512" s="83"/>
    </row>
    <row r="513" spans="1:20" ht="16" x14ac:dyDescent="0.2">
      <c r="A513"/>
      <c r="B513" s="103"/>
      <c r="C513" s="243"/>
      <c r="D513" s="119">
        <v>500</v>
      </c>
      <c r="E513" s="25" t="str">
        <f>Tp_CHG!S97</f>
        <v>Transition Probability from state 4 to state 3 on day 23 (CHG)</v>
      </c>
      <c r="F513" s="40">
        <f t="shared" si="77"/>
        <v>0</v>
      </c>
      <c r="G513" s="156">
        <v>1</v>
      </c>
      <c r="H513" s="120">
        <f>Tp_CHG!V97</f>
        <v>0</v>
      </c>
      <c r="I513" s="40" t="s">
        <v>58</v>
      </c>
      <c r="J513" s="40">
        <f t="shared" si="84"/>
        <v>0</v>
      </c>
      <c r="K513" s="40">
        <f t="shared" si="85"/>
        <v>0</v>
      </c>
      <c r="L513" s="40" t="s">
        <v>58</v>
      </c>
      <c r="M513" s="50" t="s">
        <v>266</v>
      </c>
      <c r="N513" s="190"/>
      <c r="O513" s="40">
        <f t="shared" ca="1" si="83"/>
        <v>8.2037302350573604E-2</v>
      </c>
      <c r="P513" s="51">
        <f t="shared" si="78"/>
        <v>0</v>
      </c>
      <c r="Q513" s="51">
        <f t="shared" si="79"/>
        <v>0</v>
      </c>
      <c r="R513" s="51">
        <f t="shared" si="86"/>
        <v>0</v>
      </c>
      <c r="S513"/>
      <c r="T513" s="83"/>
    </row>
    <row r="514" spans="1:20" ht="16" x14ac:dyDescent="0.2">
      <c r="A514"/>
      <c r="B514" s="103"/>
      <c r="C514" s="243"/>
      <c r="D514" s="119">
        <v>501</v>
      </c>
      <c r="E514" s="25" t="str">
        <f>Tp_CHG!S98</f>
        <v>Transition Probability from state 4 to state 3 on day 24 (CHG)</v>
      </c>
      <c r="F514" s="40">
        <f t="shared" si="77"/>
        <v>0</v>
      </c>
      <c r="G514" s="156">
        <v>1</v>
      </c>
      <c r="H514" s="120">
        <f>Tp_CHG!V98</f>
        <v>0</v>
      </c>
      <c r="I514" s="40" t="s">
        <v>58</v>
      </c>
      <c r="J514" s="40">
        <f t="shared" si="84"/>
        <v>0</v>
      </c>
      <c r="K514" s="40">
        <f t="shared" si="85"/>
        <v>0</v>
      </c>
      <c r="L514" s="40" t="s">
        <v>58</v>
      </c>
      <c r="M514" s="50" t="s">
        <v>266</v>
      </c>
      <c r="N514" s="190"/>
      <c r="O514" s="40">
        <f t="shared" ca="1" si="83"/>
        <v>0.48954057103185245</v>
      </c>
      <c r="P514" s="51">
        <f t="shared" si="78"/>
        <v>0</v>
      </c>
      <c r="Q514" s="51">
        <f t="shared" si="79"/>
        <v>0</v>
      </c>
      <c r="R514" s="51">
        <f t="shared" si="86"/>
        <v>0</v>
      </c>
      <c r="S514"/>
      <c r="T514" s="83"/>
    </row>
    <row r="515" spans="1:20" ht="16" x14ac:dyDescent="0.2">
      <c r="A515"/>
      <c r="B515" s="103"/>
      <c r="C515" s="243"/>
      <c r="D515" s="119">
        <v>502</v>
      </c>
      <c r="E515" s="25" t="str">
        <f>Tp_CHG!S99</f>
        <v>Transition Probability from state 4 to state 3 on day 25 (CHG)</v>
      </c>
      <c r="F515" s="40">
        <f t="shared" si="77"/>
        <v>0</v>
      </c>
      <c r="G515" s="156">
        <v>1</v>
      </c>
      <c r="H515" s="120">
        <f>Tp_CHG!V99</f>
        <v>0</v>
      </c>
      <c r="I515" s="40" t="s">
        <v>58</v>
      </c>
      <c r="J515" s="40">
        <f t="shared" si="84"/>
        <v>0</v>
      </c>
      <c r="K515" s="40">
        <f t="shared" si="85"/>
        <v>0</v>
      </c>
      <c r="L515" s="40" t="s">
        <v>58</v>
      </c>
      <c r="M515" s="50" t="s">
        <v>266</v>
      </c>
      <c r="N515" s="190"/>
      <c r="O515" s="40">
        <f t="shared" ca="1" si="83"/>
        <v>0.66652049549574077</v>
      </c>
      <c r="P515" s="51">
        <f t="shared" si="78"/>
        <v>0</v>
      </c>
      <c r="Q515" s="51">
        <f t="shared" si="79"/>
        <v>0</v>
      </c>
      <c r="R515" s="51">
        <f t="shared" si="86"/>
        <v>0</v>
      </c>
      <c r="S515"/>
      <c r="T515" s="83"/>
    </row>
    <row r="516" spans="1:20" ht="16" x14ac:dyDescent="0.2">
      <c r="A516"/>
      <c r="B516" s="103"/>
      <c r="C516" s="243"/>
      <c r="D516" s="119">
        <v>503</v>
      </c>
      <c r="E516" s="25" t="str">
        <f>Tp_CHG!S100</f>
        <v>Transition Probability from state 4 to state 3 on day 26 (CHG)</v>
      </c>
      <c r="F516" s="40">
        <f t="shared" si="77"/>
        <v>0</v>
      </c>
      <c r="G516" s="156">
        <v>1</v>
      </c>
      <c r="H516" s="120">
        <f>Tp_CHG!V100</f>
        <v>0</v>
      </c>
      <c r="I516" s="40" t="s">
        <v>58</v>
      </c>
      <c r="J516" s="40">
        <f t="shared" si="84"/>
        <v>0</v>
      </c>
      <c r="K516" s="40">
        <f t="shared" si="85"/>
        <v>0</v>
      </c>
      <c r="L516" s="40" t="s">
        <v>58</v>
      </c>
      <c r="M516" s="50" t="s">
        <v>266</v>
      </c>
      <c r="N516" s="190"/>
      <c r="O516" s="40">
        <f t="shared" ca="1" si="83"/>
        <v>0.75488760414934797</v>
      </c>
      <c r="P516" s="51">
        <f t="shared" si="78"/>
        <v>0</v>
      </c>
      <c r="Q516" s="51">
        <f t="shared" si="79"/>
        <v>0</v>
      </c>
      <c r="R516" s="51">
        <f t="shared" si="86"/>
        <v>0</v>
      </c>
      <c r="S516"/>
      <c r="T516" s="83"/>
    </row>
    <row r="517" spans="1:20" ht="16" x14ac:dyDescent="0.2">
      <c r="A517"/>
      <c r="B517" s="103"/>
      <c r="C517" s="243"/>
      <c r="D517" s="119">
        <v>504</v>
      </c>
      <c r="E517" s="25" t="str">
        <f>Tp_CHG!S101</f>
        <v>Transition Probability from state 4 to state 3 on day 27 (CHG)</v>
      </c>
      <c r="F517" s="40">
        <f t="shared" si="77"/>
        <v>0</v>
      </c>
      <c r="G517" s="156">
        <v>1</v>
      </c>
      <c r="H517" s="120">
        <f>Tp_CHG!V101</f>
        <v>0</v>
      </c>
      <c r="I517" s="40" t="s">
        <v>58</v>
      </c>
      <c r="J517" s="40">
        <f t="shared" si="84"/>
        <v>0</v>
      </c>
      <c r="K517" s="40">
        <f t="shared" si="85"/>
        <v>0</v>
      </c>
      <c r="L517" s="40" t="s">
        <v>58</v>
      </c>
      <c r="M517" s="50" t="s">
        <v>266</v>
      </c>
      <c r="N517" s="190"/>
      <c r="O517" s="40">
        <f t="shared" ca="1" si="83"/>
        <v>0.58743444740163109</v>
      </c>
      <c r="P517" s="51">
        <f t="shared" si="78"/>
        <v>0</v>
      </c>
      <c r="Q517" s="51">
        <f t="shared" si="79"/>
        <v>0</v>
      </c>
      <c r="R517" s="51">
        <f t="shared" si="86"/>
        <v>0</v>
      </c>
      <c r="S517"/>
      <c r="T517" s="83"/>
    </row>
    <row r="518" spans="1:20" ht="16" x14ac:dyDescent="0.2">
      <c r="A518"/>
      <c r="B518" s="103"/>
      <c r="C518" s="243"/>
      <c r="D518" s="119">
        <v>505</v>
      </c>
      <c r="E518" s="25" t="str">
        <f>Tp_CHG!S102</f>
        <v>Transition Probability from state 4 to state 3 on day 28 (CHG)</v>
      </c>
      <c r="F518" s="40">
        <f t="shared" si="77"/>
        <v>0</v>
      </c>
      <c r="G518" s="156">
        <v>1</v>
      </c>
      <c r="H518" s="120">
        <f>Tp_CHG!V102</f>
        <v>0</v>
      </c>
      <c r="I518" s="40" t="s">
        <v>58</v>
      </c>
      <c r="J518" s="40">
        <f t="shared" si="84"/>
        <v>0</v>
      </c>
      <c r="K518" s="40">
        <f t="shared" si="85"/>
        <v>0</v>
      </c>
      <c r="L518" s="40" t="s">
        <v>58</v>
      </c>
      <c r="M518" s="50" t="s">
        <v>266</v>
      </c>
      <c r="N518" s="190"/>
      <c r="O518" s="40">
        <f t="shared" ca="1" si="83"/>
        <v>0.70245868249587506</v>
      </c>
      <c r="P518" s="51">
        <f t="shared" si="78"/>
        <v>0</v>
      </c>
      <c r="Q518" s="51">
        <f t="shared" si="79"/>
        <v>0</v>
      </c>
      <c r="R518" s="51">
        <f t="shared" si="86"/>
        <v>0</v>
      </c>
      <c r="S518"/>
      <c r="T518" s="83"/>
    </row>
    <row r="519" spans="1:20" ht="16" x14ac:dyDescent="0.2">
      <c r="A519"/>
      <c r="B519" s="103"/>
      <c r="C519" s="243"/>
      <c r="D519" s="119">
        <v>506</v>
      </c>
      <c r="E519" s="25" t="str">
        <f>Tp_CHG!S103</f>
        <v>Transition Probability from state 4 to state 3 on day 29 (CHG)</v>
      </c>
      <c r="F519" s="40">
        <f t="shared" si="77"/>
        <v>0</v>
      </c>
      <c r="G519" s="156">
        <v>1</v>
      </c>
      <c r="H519" s="120">
        <f>Tp_CHG!V103</f>
        <v>0</v>
      </c>
      <c r="I519" s="40" t="s">
        <v>58</v>
      </c>
      <c r="J519" s="40">
        <f t="shared" si="84"/>
        <v>0</v>
      </c>
      <c r="K519" s="40">
        <f t="shared" si="85"/>
        <v>0</v>
      </c>
      <c r="L519" s="40" t="s">
        <v>58</v>
      </c>
      <c r="M519" s="50" t="s">
        <v>266</v>
      </c>
      <c r="N519" s="190"/>
      <c r="O519" s="40">
        <f t="shared" ca="1" si="83"/>
        <v>0.68741925191813102</v>
      </c>
      <c r="P519" s="51">
        <f t="shared" si="78"/>
        <v>0</v>
      </c>
      <c r="Q519" s="51">
        <f t="shared" si="79"/>
        <v>0</v>
      </c>
      <c r="R519" s="51">
        <f t="shared" si="86"/>
        <v>0</v>
      </c>
      <c r="S519"/>
      <c r="T519" s="83"/>
    </row>
    <row r="520" spans="1:20" ht="16" x14ac:dyDescent="0.2">
      <c r="A520"/>
      <c r="B520" s="103"/>
      <c r="C520" s="243"/>
      <c r="D520" s="119">
        <v>507</v>
      </c>
      <c r="E520" s="25" t="str">
        <f>Tp_CHG!S104</f>
        <v>Transition Probability from state 4 to state 3 on day 30 (CHG)</v>
      </c>
      <c r="F520" s="40">
        <f t="shared" si="77"/>
        <v>0</v>
      </c>
      <c r="G520" s="156">
        <v>1</v>
      </c>
      <c r="H520" s="120">
        <f>Tp_CHG!V104</f>
        <v>0</v>
      </c>
      <c r="I520" s="40" t="s">
        <v>58</v>
      </c>
      <c r="J520" s="40">
        <f t="shared" si="84"/>
        <v>0</v>
      </c>
      <c r="K520" s="40">
        <f t="shared" si="85"/>
        <v>0</v>
      </c>
      <c r="L520" s="40" t="s">
        <v>58</v>
      </c>
      <c r="M520" s="50" t="s">
        <v>266</v>
      </c>
      <c r="N520" s="190"/>
      <c r="O520" s="40">
        <f t="shared" ca="1" si="83"/>
        <v>0.35735666781811104</v>
      </c>
      <c r="P520" s="51">
        <f t="shared" si="78"/>
        <v>0</v>
      </c>
      <c r="Q520" s="51">
        <f t="shared" si="79"/>
        <v>0</v>
      </c>
      <c r="R520" s="51">
        <f t="shared" si="86"/>
        <v>0</v>
      </c>
      <c r="S520"/>
      <c r="T520" s="83"/>
    </row>
    <row r="521" spans="1:20" ht="16" x14ac:dyDescent="0.2">
      <c r="A521"/>
      <c r="B521" s="103"/>
      <c r="C521" s="243"/>
      <c r="D521" s="119">
        <v>508</v>
      </c>
      <c r="E521" s="25" t="str">
        <f>Tp_CHG!X75</f>
        <v>Transition Probability from state 6 to state 3 on day 1 (CHG)</v>
      </c>
      <c r="F521" s="40">
        <f t="shared" si="77"/>
        <v>0</v>
      </c>
      <c r="G521" s="156">
        <v>1</v>
      </c>
      <c r="H521" s="120">
        <f>Tp_CHG!AA75</f>
        <v>0</v>
      </c>
      <c r="I521" s="40" t="s">
        <v>58</v>
      </c>
      <c r="J521" s="40">
        <f t="shared" si="84"/>
        <v>0</v>
      </c>
      <c r="K521" s="40">
        <f t="shared" si="85"/>
        <v>0</v>
      </c>
      <c r="L521" s="40" t="s">
        <v>58</v>
      </c>
      <c r="M521" s="50" t="s">
        <v>266</v>
      </c>
      <c r="N521" s="190"/>
      <c r="O521" s="40">
        <f t="shared" ca="1" si="83"/>
        <v>0.88860264071492201</v>
      </c>
      <c r="P521" s="51">
        <f t="shared" si="78"/>
        <v>0</v>
      </c>
      <c r="Q521" s="51">
        <f t="shared" si="79"/>
        <v>0</v>
      </c>
      <c r="R521" s="51">
        <f t="shared" si="86"/>
        <v>0</v>
      </c>
      <c r="S521"/>
      <c r="T521" s="83"/>
    </row>
    <row r="522" spans="1:20" ht="16" x14ac:dyDescent="0.2">
      <c r="A522"/>
      <c r="B522" s="103"/>
      <c r="C522" s="243"/>
      <c r="D522" s="119">
        <v>509</v>
      </c>
      <c r="E522" s="25" t="str">
        <f>Tp_CHG!X76</f>
        <v>Transition Probability from state 6 to state 3 on day 2 (CHG)</v>
      </c>
      <c r="F522" s="40">
        <f t="shared" si="77"/>
        <v>0</v>
      </c>
      <c r="G522" s="156">
        <v>1</v>
      </c>
      <c r="H522" s="120">
        <f>Tp_CHG!AA76</f>
        <v>0</v>
      </c>
      <c r="I522" s="40" t="s">
        <v>58</v>
      </c>
      <c r="J522" s="40">
        <f t="shared" si="84"/>
        <v>0</v>
      </c>
      <c r="K522" s="40">
        <f t="shared" si="85"/>
        <v>0</v>
      </c>
      <c r="L522" s="40" t="s">
        <v>58</v>
      </c>
      <c r="M522" s="50" t="s">
        <v>266</v>
      </c>
      <c r="N522" s="190"/>
      <c r="O522" s="40">
        <f t="shared" ca="1" si="83"/>
        <v>0.87752380057672441</v>
      </c>
      <c r="P522" s="51">
        <f t="shared" si="78"/>
        <v>0</v>
      </c>
      <c r="Q522" s="51">
        <f t="shared" si="79"/>
        <v>0</v>
      </c>
      <c r="R522" s="51">
        <f t="shared" si="86"/>
        <v>0</v>
      </c>
      <c r="S522"/>
      <c r="T522" s="83"/>
    </row>
    <row r="523" spans="1:20" ht="16" x14ac:dyDescent="0.2">
      <c r="A523"/>
      <c r="B523" s="103"/>
      <c r="C523" s="243"/>
      <c r="D523" s="119">
        <v>510</v>
      </c>
      <c r="E523" s="25" t="str">
        <f>Tp_CHG!X77</f>
        <v>Transition Probability from state 6 to state 3 on day 3 (CHG)</v>
      </c>
      <c r="F523" s="40">
        <f t="shared" si="77"/>
        <v>0</v>
      </c>
      <c r="G523" s="156">
        <v>1</v>
      </c>
      <c r="H523" s="120">
        <f>Tp_CHG!AA77</f>
        <v>0</v>
      </c>
      <c r="I523" s="40" t="s">
        <v>58</v>
      </c>
      <c r="J523" s="40">
        <f t="shared" si="84"/>
        <v>0</v>
      </c>
      <c r="K523" s="40">
        <f t="shared" si="85"/>
        <v>0</v>
      </c>
      <c r="L523" s="40" t="s">
        <v>58</v>
      </c>
      <c r="M523" s="50" t="s">
        <v>266</v>
      </c>
      <c r="N523" s="190"/>
      <c r="O523" s="40">
        <f t="shared" ca="1" si="83"/>
        <v>0.81950950110175735</v>
      </c>
      <c r="P523" s="51">
        <f t="shared" si="78"/>
        <v>0</v>
      </c>
      <c r="Q523" s="51">
        <f t="shared" si="79"/>
        <v>0</v>
      </c>
      <c r="R523" s="51">
        <f t="shared" si="86"/>
        <v>0</v>
      </c>
      <c r="S523"/>
      <c r="T523" s="83"/>
    </row>
    <row r="524" spans="1:20" ht="16" x14ac:dyDescent="0.2">
      <c r="A524"/>
      <c r="B524" s="103"/>
      <c r="C524" s="243"/>
      <c r="D524" s="119">
        <v>511</v>
      </c>
      <c r="E524" s="25" t="str">
        <f>Tp_CHG!X78</f>
        <v>Transition Probability from state 6 to state 3 on day 4 (CHG)</v>
      </c>
      <c r="F524" s="40">
        <f t="shared" si="77"/>
        <v>0</v>
      </c>
      <c r="G524" s="156">
        <v>1</v>
      </c>
      <c r="H524" s="120">
        <f>Tp_CHG!AA78</f>
        <v>0</v>
      </c>
      <c r="I524" s="40" t="s">
        <v>58</v>
      </c>
      <c r="J524" s="40">
        <f t="shared" si="84"/>
        <v>0</v>
      </c>
      <c r="K524" s="40">
        <f t="shared" si="85"/>
        <v>0</v>
      </c>
      <c r="L524" s="40" t="s">
        <v>58</v>
      </c>
      <c r="M524" s="50" t="s">
        <v>266</v>
      </c>
      <c r="N524" s="190"/>
      <c r="O524" s="40">
        <f t="shared" ca="1" si="83"/>
        <v>0.28620097132323485</v>
      </c>
      <c r="P524" s="51">
        <f t="shared" si="78"/>
        <v>0</v>
      </c>
      <c r="Q524" s="51">
        <f t="shared" si="79"/>
        <v>0</v>
      </c>
      <c r="R524" s="51">
        <f t="shared" si="86"/>
        <v>0</v>
      </c>
      <c r="S524"/>
      <c r="T524" s="83"/>
    </row>
    <row r="525" spans="1:20" ht="16" x14ac:dyDescent="0.2">
      <c r="A525"/>
      <c r="B525" s="103"/>
      <c r="C525" s="243"/>
      <c r="D525" s="119">
        <v>512</v>
      </c>
      <c r="E525" s="25" t="str">
        <f>Tp_CHG!X79</f>
        <v>Transition Probability from state 6 to state 3 on day 5 (CHG)</v>
      </c>
      <c r="F525" s="40">
        <f t="shared" si="77"/>
        <v>0</v>
      </c>
      <c r="G525" s="156">
        <v>1</v>
      </c>
      <c r="H525" s="120">
        <f>Tp_CHG!AA79</f>
        <v>0</v>
      </c>
      <c r="I525" s="40" t="s">
        <v>58</v>
      </c>
      <c r="J525" s="40">
        <f t="shared" si="84"/>
        <v>0</v>
      </c>
      <c r="K525" s="40">
        <f t="shared" si="85"/>
        <v>0</v>
      </c>
      <c r="L525" s="40" t="s">
        <v>58</v>
      </c>
      <c r="M525" s="50" t="s">
        <v>266</v>
      </c>
      <c r="N525" s="190"/>
      <c r="O525" s="40">
        <f t="shared" ca="1" si="83"/>
        <v>9.2020190090857934E-4</v>
      </c>
      <c r="P525" s="51">
        <f t="shared" si="78"/>
        <v>0</v>
      </c>
      <c r="Q525" s="51">
        <f t="shared" si="79"/>
        <v>0</v>
      </c>
      <c r="R525" s="51">
        <f t="shared" si="86"/>
        <v>0</v>
      </c>
      <c r="S525"/>
      <c r="T525" s="83"/>
    </row>
    <row r="526" spans="1:20" ht="16" x14ac:dyDescent="0.2">
      <c r="A526"/>
      <c r="B526" s="103"/>
      <c r="C526" s="243"/>
      <c r="D526" s="119">
        <v>513</v>
      </c>
      <c r="E526" s="25" t="str">
        <f>Tp_CHG!X80</f>
        <v>Transition Probability from state 6 to state 3 on day 6 (CHG)</v>
      </c>
      <c r="F526" s="40">
        <f t="shared" si="77"/>
        <v>0</v>
      </c>
      <c r="G526" s="156">
        <v>1</v>
      </c>
      <c r="H526" s="120">
        <f>Tp_CHG!AA80</f>
        <v>0</v>
      </c>
      <c r="I526" s="40" t="s">
        <v>58</v>
      </c>
      <c r="J526" s="40">
        <f t="shared" si="84"/>
        <v>0</v>
      </c>
      <c r="K526" s="40">
        <f t="shared" si="85"/>
        <v>0</v>
      </c>
      <c r="L526" s="40" t="s">
        <v>58</v>
      </c>
      <c r="M526" s="50" t="s">
        <v>266</v>
      </c>
      <c r="N526" s="190"/>
      <c r="O526" s="40">
        <f t="shared" ca="1" si="83"/>
        <v>0.17124403311893321</v>
      </c>
      <c r="P526" s="51">
        <f t="shared" si="78"/>
        <v>0</v>
      </c>
      <c r="Q526" s="51">
        <f t="shared" si="79"/>
        <v>0</v>
      </c>
      <c r="R526" s="51">
        <f t="shared" si="86"/>
        <v>0</v>
      </c>
      <c r="S526"/>
      <c r="T526" s="83"/>
    </row>
    <row r="527" spans="1:20" ht="16" x14ac:dyDescent="0.2">
      <c r="A527"/>
      <c r="B527" s="103"/>
      <c r="C527" s="243"/>
      <c r="D527" s="119">
        <v>514</v>
      </c>
      <c r="E527" s="25" t="str">
        <f>Tp_CHG!X81</f>
        <v>Transition Probability from state 6 to state 3 on day 7 (CHG)</v>
      </c>
      <c r="F527" s="40">
        <f t="shared" ref="F527:F590" si="87">IFERROR(CHOOSE(G527,H527,J527,K527,N527),0)</f>
        <v>0</v>
      </c>
      <c r="G527" s="156">
        <v>1</v>
      </c>
      <c r="H527" s="120">
        <f>Tp_CHG!AA81</f>
        <v>0</v>
      </c>
      <c r="I527" s="40" t="s">
        <v>58</v>
      </c>
      <c r="J527" s="40">
        <f t="shared" si="84"/>
        <v>0</v>
      </c>
      <c r="K527" s="40">
        <f t="shared" si="85"/>
        <v>0</v>
      </c>
      <c r="L527" s="40" t="s">
        <v>58</v>
      </c>
      <c r="M527" s="50" t="s">
        <v>266</v>
      </c>
      <c r="N527" s="190"/>
      <c r="O527" s="40">
        <f t="shared" ca="1" si="83"/>
        <v>0.81107062375374794</v>
      </c>
      <c r="P527" s="51">
        <f t="shared" si="78"/>
        <v>0</v>
      </c>
      <c r="Q527" s="51">
        <f t="shared" si="79"/>
        <v>0</v>
      </c>
      <c r="R527" s="51">
        <f t="shared" si="86"/>
        <v>0</v>
      </c>
      <c r="S527"/>
      <c r="T527" s="83"/>
    </row>
    <row r="528" spans="1:20" ht="16" x14ac:dyDescent="0.2">
      <c r="A528"/>
      <c r="B528" s="103"/>
      <c r="C528" s="243"/>
      <c r="D528" s="119">
        <v>515</v>
      </c>
      <c r="E528" s="25" t="str">
        <f>Tp_CHG!X82</f>
        <v>Transition Probability from state 6 to state 3 on day 8 (CHG)</v>
      </c>
      <c r="F528" s="40">
        <f t="shared" si="87"/>
        <v>0</v>
      </c>
      <c r="G528" s="156">
        <v>1</v>
      </c>
      <c r="H528" s="120">
        <f>Tp_CHG!AA82</f>
        <v>0</v>
      </c>
      <c r="I528" s="40" t="s">
        <v>58</v>
      </c>
      <c r="J528" s="40">
        <f t="shared" si="84"/>
        <v>0</v>
      </c>
      <c r="K528" s="40">
        <f t="shared" si="85"/>
        <v>0</v>
      </c>
      <c r="L528" s="40" t="s">
        <v>58</v>
      </c>
      <c r="M528" s="50" t="s">
        <v>266</v>
      </c>
      <c r="N528" s="190"/>
      <c r="O528" s="40">
        <f t="shared" ca="1" si="83"/>
        <v>6.958858994745809E-2</v>
      </c>
      <c r="P528" s="51">
        <f t="shared" si="78"/>
        <v>0</v>
      </c>
      <c r="Q528" s="51">
        <f t="shared" si="79"/>
        <v>0</v>
      </c>
      <c r="R528" s="51">
        <f t="shared" si="86"/>
        <v>0</v>
      </c>
      <c r="S528"/>
      <c r="T528" s="83"/>
    </row>
    <row r="529" spans="1:20" ht="16" x14ac:dyDescent="0.2">
      <c r="A529"/>
      <c r="B529" s="103"/>
      <c r="C529" s="243"/>
      <c r="D529" s="119">
        <v>516</v>
      </c>
      <c r="E529" s="25" t="str">
        <f>Tp_CHG!X83</f>
        <v>Transition Probability from state 6 to state 3 on day 9 (CHG)</v>
      </c>
      <c r="F529" s="40">
        <f t="shared" si="87"/>
        <v>0</v>
      </c>
      <c r="G529" s="156">
        <v>1</v>
      </c>
      <c r="H529" s="120">
        <f>Tp_CHG!AA83</f>
        <v>0</v>
      </c>
      <c r="I529" s="40" t="s">
        <v>58</v>
      </c>
      <c r="J529" s="40">
        <f t="shared" si="84"/>
        <v>0</v>
      </c>
      <c r="K529" s="40">
        <f t="shared" si="85"/>
        <v>0</v>
      </c>
      <c r="L529" s="40" t="s">
        <v>58</v>
      </c>
      <c r="M529" s="50" t="s">
        <v>266</v>
      </c>
      <c r="N529" s="190"/>
      <c r="O529" s="40">
        <f t="shared" ca="1" si="83"/>
        <v>0.57304695939012629</v>
      </c>
      <c r="P529" s="51">
        <f t="shared" ref="P529:P592" si="88">IFERROR(H529*((H529*(1-H529)/(R529^2))-1),0)</f>
        <v>0</v>
      </c>
      <c r="Q529" s="51">
        <f t="shared" ref="Q529:Q592" si="89">IFERROR((1-H529)*((H529*(1-H529))/(R529^2)-1),0)</f>
        <v>0</v>
      </c>
      <c r="R529" s="51">
        <f t="shared" si="86"/>
        <v>0</v>
      </c>
      <c r="S529"/>
      <c r="T529" s="83"/>
    </row>
    <row r="530" spans="1:20" ht="16" x14ac:dyDescent="0.2">
      <c r="A530"/>
      <c r="B530" s="103"/>
      <c r="C530" s="243"/>
      <c r="D530" s="119">
        <v>517</v>
      </c>
      <c r="E530" s="25" t="str">
        <f>Tp_CHG!X84</f>
        <v>Transition Probability from state 6 to state 3 on day 10 (CHG)</v>
      </c>
      <c r="F530" s="40">
        <f t="shared" si="87"/>
        <v>0</v>
      </c>
      <c r="G530" s="156">
        <v>1</v>
      </c>
      <c r="H530" s="120">
        <f>Tp_CHG!AA84</f>
        <v>0</v>
      </c>
      <c r="I530" s="40" t="s">
        <v>58</v>
      </c>
      <c r="J530" s="40">
        <f t="shared" si="84"/>
        <v>0</v>
      </c>
      <c r="K530" s="40">
        <f t="shared" si="85"/>
        <v>0</v>
      </c>
      <c r="L530" s="40" t="s">
        <v>58</v>
      </c>
      <c r="M530" s="50" t="s">
        <v>266</v>
      </c>
      <c r="N530" s="190"/>
      <c r="O530" s="40">
        <f t="shared" ca="1" si="83"/>
        <v>0.98215739433752891</v>
      </c>
      <c r="P530" s="51">
        <f t="shared" si="88"/>
        <v>0</v>
      </c>
      <c r="Q530" s="51">
        <f t="shared" si="89"/>
        <v>0</v>
      </c>
      <c r="R530" s="51">
        <f t="shared" si="86"/>
        <v>0</v>
      </c>
      <c r="S530"/>
      <c r="T530" s="83"/>
    </row>
    <row r="531" spans="1:20" ht="16" x14ac:dyDescent="0.2">
      <c r="A531"/>
      <c r="B531" s="103"/>
      <c r="C531" s="243"/>
      <c r="D531" s="119">
        <v>518</v>
      </c>
      <c r="E531" s="25" t="str">
        <f>Tp_CHG!X85</f>
        <v>Transition Probability from state 6 to state 3 on day 11 (CHG)</v>
      </c>
      <c r="F531" s="40">
        <f t="shared" si="87"/>
        <v>0</v>
      </c>
      <c r="G531" s="156">
        <v>1</v>
      </c>
      <c r="H531" s="120">
        <f>Tp_CHG!AA85</f>
        <v>0</v>
      </c>
      <c r="I531" s="40" t="s">
        <v>58</v>
      </c>
      <c r="J531" s="40">
        <f t="shared" ref="J531:J550" si="90">IF(H531=0,0,_xlfn.NORM.INV(0.025,H531,R531))</f>
        <v>0</v>
      </c>
      <c r="K531" s="40">
        <f t="shared" ref="K531:K550" si="91">IF(H531=0,0,_xlfn.NORM.INV(0.975,H531,R531))</f>
        <v>0</v>
      </c>
      <c r="L531" s="40" t="s">
        <v>58</v>
      </c>
      <c r="M531" s="50" t="s">
        <v>266</v>
      </c>
      <c r="N531" s="190"/>
      <c r="O531" s="40">
        <f t="shared" ca="1" si="83"/>
        <v>0.65100961393232593</v>
      </c>
      <c r="P531" s="51">
        <f t="shared" si="88"/>
        <v>0</v>
      </c>
      <c r="Q531" s="51">
        <f t="shared" si="89"/>
        <v>0</v>
      </c>
      <c r="R531" s="51">
        <f t="shared" ref="R531:R550" si="92">assumedSE*H531</f>
        <v>0</v>
      </c>
      <c r="S531"/>
      <c r="T531" s="83"/>
    </row>
    <row r="532" spans="1:20" ht="16" x14ac:dyDescent="0.2">
      <c r="A532"/>
      <c r="B532" s="103"/>
      <c r="C532" s="243"/>
      <c r="D532" s="119">
        <v>519</v>
      </c>
      <c r="E532" s="25" t="str">
        <f>Tp_CHG!X86</f>
        <v>Transition Probability from state 6 to state 3 on day 12 (CHG)</v>
      </c>
      <c r="F532" s="40">
        <f t="shared" si="87"/>
        <v>0</v>
      </c>
      <c r="G532" s="156">
        <v>1</v>
      </c>
      <c r="H532" s="120">
        <f>Tp_CHG!AA86</f>
        <v>0</v>
      </c>
      <c r="I532" s="40" t="s">
        <v>58</v>
      </c>
      <c r="J532" s="40">
        <f t="shared" si="90"/>
        <v>0</v>
      </c>
      <c r="K532" s="40">
        <f t="shared" si="91"/>
        <v>0</v>
      </c>
      <c r="L532" s="40" t="s">
        <v>58</v>
      </c>
      <c r="M532" s="50" t="s">
        <v>266</v>
      </c>
      <c r="N532" s="190"/>
      <c r="O532" s="40">
        <f t="shared" ca="1" si="83"/>
        <v>0.25073829287944505</v>
      </c>
      <c r="P532" s="51">
        <f t="shared" si="88"/>
        <v>0</v>
      </c>
      <c r="Q532" s="51">
        <f t="shared" si="89"/>
        <v>0</v>
      </c>
      <c r="R532" s="51">
        <f t="shared" si="92"/>
        <v>0</v>
      </c>
      <c r="S532"/>
      <c r="T532" s="83"/>
    </row>
    <row r="533" spans="1:20" ht="16" x14ac:dyDescent="0.2">
      <c r="A533"/>
      <c r="B533" s="103"/>
      <c r="C533" s="243"/>
      <c r="D533" s="119">
        <v>520</v>
      </c>
      <c r="E533" s="25" t="str">
        <f>Tp_CHG!X87</f>
        <v>Transition Probability from state 6 to state 3 on day 13 (CHG)</v>
      </c>
      <c r="F533" s="40">
        <f t="shared" si="87"/>
        <v>0</v>
      </c>
      <c r="G533" s="156">
        <v>1</v>
      </c>
      <c r="H533" s="120">
        <f>Tp_CHG!AA87</f>
        <v>0</v>
      </c>
      <c r="I533" s="40" t="s">
        <v>58</v>
      </c>
      <c r="J533" s="40">
        <f t="shared" si="90"/>
        <v>0</v>
      </c>
      <c r="K533" s="40">
        <f t="shared" si="91"/>
        <v>0</v>
      </c>
      <c r="L533" s="40" t="s">
        <v>58</v>
      </c>
      <c r="M533" s="50" t="s">
        <v>266</v>
      </c>
      <c r="N533" s="190"/>
      <c r="O533" s="40">
        <f t="shared" ca="1" si="83"/>
        <v>0.79469362291603651</v>
      </c>
      <c r="P533" s="51">
        <f t="shared" si="88"/>
        <v>0</v>
      </c>
      <c r="Q533" s="51">
        <f t="shared" si="89"/>
        <v>0</v>
      </c>
      <c r="R533" s="51">
        <f t="shared" si="92"/>
        <v>0</v>
      </c>
      <c r="S533"/>
      <c r="T533" s="83"/>
    </row>
    <row r="534" spans="1:20" ht="16" x14ac:dyDescent="0.2">
      <c r="A534"/>
      <c r="B534" s="103"/>
      <c r="C534" s="243"/>
      <c r="D534" s="119">
        <v>521</v>
      </c>
      <c r="E534" s="25" t="str">
        <f>Tp_CHG!X88</f>
        <v>Transition Probability from state 6 to state 3 on day 14 (CHG)</v>
      </c>
      <c r="F534" s="40">
        <f t="shared" si="87"/>
        <v>0</v>
      </c>
      <c r="G534" s="156">
        <v>1</v>
      </c>
      <c r="H534" s="120">
        <f>Tp_CHG!AA88</f>
        <v>0</v>
      </c>
      <c r="I534" s="40" t="s">
        <v>58</v>
      </c>
      <c r="J534" s="40">
        <f t="shared" si="90"/>
        <v>0</v>
      </c>
      <c r="K534" s="40">
        <f t="shared" si="91"/>
        <v>0</v>
      </c>
      <c r="L534" s="40" t="s">
        <v>58</v>
      </c>
      <c r="M534" s="50" t="s">
        <v>266</v>
      </c>
      <c r="N534" s="190"/>
      <c r="O534" s="40">
        <f t="shared" ca="1" si="83"/>
        <v>0.94221218391570949</v>
      </c>
      <c r="P534" s="51">
        <f t="shared" si="88"/>
        <v>0</v>
      </c>
      <c r="Q534" s="51">
        <f t="shared" si="89"/>
        <v>0</v>
      </c>
      <c r="R534" s="51">
        <f t="shared" si="92"/>
        <v>0</v>
      </c>
      <c r="S534"/>
      <c r="T534" s="83"/>
    </row>
    <row r="535" spans="1:20" ht="16" x14ac:dyDescent="0.2">
      <c r="A535"/>
      <c r="B535" s="103"/>
      <c r="C535" s="243"/>
      <c r="D535" s="119">
        <v>522</v>
      </c>
      <c r="E535" s="25" t="str">
        <f>Tp_CHG!X89</f>
        <v>Transition Probability from state 6 to state 3 on day 15 (CHG)</v>
      </c>
      <c r="F535" s="40">
        <f t="shared" si="87"/>
        <v>0</v>
      </c>
      <c r="G535" s="156">
        <v>1</v>
      </c>
      <c r="H535" s="120">
        <f>Tp_CHG!AA89</f>
        <v>0</v>
      </c>
      <c r="I535" s="40" t="s">
        <v>58</v>
      </c>
      <c r="J535" s="40">
        <f t="shared" si="90"/>
        <v>0</v>
      </c>
      <c r="K535" s="40">
        <f t="shared" si="91"/>
        <v>0</v>
      </c>
      <c r="L535" s="40" t="s">
        <v>58</v>
      </c>
      <c r="M535" s="50" t="s">
        <v>266</v>
      </c>
      <c r="N535" s="190"/>
      <c r="O535" s="40">
        <f t="shared" ca="1" si="83"/>
        <v>0.69108547233483442</v>
      </c>
      <c r="P535" s="51">
        <f t="shared" si="88"/>
        <v>0</v>
      </c>
      <c r="Q535" s="51">
        <f t="shared" si="89"/>
        <v>0</v>
      </c>
      <c r="R535" s="51">
        <f t="shared" si="92"/>
        <v>0</v>
      </c>
      <c r="S535"/>
      <c r="T535" s="83"/>
    </row>
    <row r="536" spans="1:20" ht="16" x14ac:dyDescent="0.2">
      <c r="A536"/>
      <c r="B536" s="103"/>
      <c r="C536" s="243"/>
      <c r="D536" s="119">
        <v>523</v>
      </c>
      <c r="E536" s="25" t="str">
        <f>Tp_CHG!X90</f>
        <v>Transition Probability from state 6 to state 3 on day 16 (CHG)</v>
      </c>
      <c r="F536" s="40">
        <f t="shared" si="87"/>
        <v>0</v>
      </c>
      <c r="G536" s="156">
        <v>1</v>
      </c>
      <c r="H536" s="120">
        <f>Tp_CHG!AA90</f>
        <v>0</v>
      </c>
      <c r="I536" s="40" t="s">
        <v>58</v>
      </c>
      <c r="J536" s="40">
        <f t="shared" si="90"/>
        <v>0</v>
      </c>
      <c r="K536" s="40">
        <f t="shared" si="91"/>
        <v>0</v>
      </c>
      <c r="L536" s="40" t="s">
        <v>58</v>
      </c>
      <c r="M536" s="50" t="s">
        <v>266</v>
      </c>
      <c r="N536" s="190"/>
      <c r="O536" s="40">
        <f t="shared" ca="1" si="83"/>
        <v>0.82083373754115851</v>
      </c>
      <c r="P536" s="51">
        <f t="shared" si="88"/>
        <v>0</v>
      </c>
      <c r="Q536" s="51">
        <f t="shared" si="89"/>
        <v>0</v>
      </c>
      <c r="R536" s="51">
        <f t="shared" si="92"/>
        <v>0</v>
      </c>
      <c r="S536"/>
      <c r="T536" s="83"/>
    </row>
    <row r="537" spans="1:20" ht="16" x14ac:dyDescent="0.2">
      <c r="A537"/>
      <c r="B537" s="103"/>
      <c r="C537" s="243"/>
      <c r="D537" s="119">
        <v>524</v>
      </c>
      <c r="E537" s="25" t="str">
        <f>Tp_CHG!X91</f>
        <v>Transition Probability from state 6 to state 3 on day 17 (CHG)</v>
      </c>
      <c r="F537" s="40">
        <f t="shared" si="87"/>
        <v>0</v>
      </c>
      <c r="G537" s="156">
        <v>1</v>
      </c>
      <c r="H537" s="120">
        <f>Tp_CHG!AA91</f>
        <v>0</v>
      </c>
      <c r="I537" s="40" t="s">
        <v>58</v>
      </c>
      <c r="J537" s="40">
        <f t="shared" si="90"/>
        <v>0</v>
      </c>
      <c r="K537" s="40">
        <f t="shared" si="91"/>
        <v>0</v>
      </c>
      <c r="L537" s="40" t="s">
        <v>58</v>
      </c>
      <c r="M537" s="50" t="s">
        <v>266</v>
      </c>
      <c r="N537" s="190"/>
      <c r="O537" s="40">
        <f t="shared" ca="1" si="83"/>
        <v>0.30010078599518786</v>
      </c>
      <c r="P537" s="51">
        <f t="shared" si="88"/>
        <v>0</v>
      </c>
      <c r="Q537" s="51">
        <f t="shared" si="89"/>
        <v>0</v>
      </c>
      <c r="R537" s="51">
        <f t="shared" si="92"/>
        <v>0</v>
      </c>
      <c r="S537"/>
      <c r="T537" s="83"/>
    </row>
    <row r="538" spans="1:20" ht="16" x14ac:dyDescent="0.2">
      <c r="A538"/>
      <c r="B538" s="103"/>
      <c r="C538" s="243"/>
      <c r="D538" s="119">
        <v>525</v>
      </c>
      <c r="E538" s="25" t="str">
        <f>Tp_CHG!X92</f>
        <v>Transition Probability from state 6 to state 3 on day 18 (CHG)</v>
      </c>
      <c r="F538" s="40">
        <f t="shared" si="87"/>
        <v>0</v>
      </c>
      <c r="G538" s="156">
        <v>1</v>
      </c>
      <c r="H538" s="120">
        <f>Tp_CHG!AA92</f>
        <v>0</v>
      </c>
      <c r="I538" s="40" t="s">
        <v>58</v>
      </c>
      <c r="J538" s="40">
        <f t="shared" si="90"/>
        <v>0</v>
      </c>
      <c r="K538" s="40">
        <f t="shared" si="91"/>
        <v>0</v>
      </c>
      <c r="L538" s="40" t="s">
        <v>58</v>
      </c>
      <c r="M538" s="50" t="s">
        <v>266</v>
      </c>
      <c r="N538" s="190"/>
      <c r="O538" s="40">
        <f t="shared" ca="1" si="83"/>
        <v>0.80995504644090976</v>
      </c>
      <c r="P538" s="51">
        <f t="shared" si="88"/>
        <v>0</v>
      </c>
      <c r="Q538" s="51">
        <f t="shared" si="89"/>
        <v>0</v>
      </c>
      <c r="R538" s="51">
        <f t="shared" si="92"/>
        <v>0</v>
      </c>
      <c r="S538"/>
      <c r="T538" s="83"/>
    </row>
    <row r="539" spans="1:20" ht="16" x14ac:dyDescent="0.2">
      <c r="A539"/>
      <c r="B539" s="103"/>
      <c r="C539" s="243"/>
      <c r="D539" s="119">
        <v>526</v>
      </c>
      <c r="E539" s="25" t="str">
        <f>Tp_CHG!X93</f>
        <v>Transition Probability from state 6 to state 3 on day 19 (CHG)</v>
      </c>
      <c r="F539" s="40">
        <f t="shared" si="87"/>
        <v>0</v>
      </c>
      <c r="G539" s="156">
        <v>1</v>
      </c>
      <c r="H539" s="120">
        <f>Tp_CHG!AA93</f>
        <v>0</v>
      </c>
      <c r="I539" s="40" t="s">
        <v>58</v>
      </c>
      <c r="J539" s="40">
        <f t="shared" si="90"/>
        <v>0</v>
      </c>
      <c r="K539" s="40">
        <f t="shared" si="91"/>
        <v>0</v>
      </c>
      <c r="L539" s="40" t="s">
        <v>58</v>
      </c>
      <c r="M539" s="50" t="s">
        <v>266</v>
      </c>
      <c r="N539" s="190"/>
      <c r="O539" s="40">
        <f t="shared" ca="1" si="83"/>
        <v>0.11588407986530391</v>
      </c>
      <c r="P539" s="51">
        <f t="shared" si="88"/>
        <v>0</v>
      </c>
      <c r="Q539" s="51">
        <f t="shared" si="89"/>
        <v>0</v>
      </c>
      <c r="R539" s="51">
        <f t="shared" si="92"/>
        <v>0</v>
      </c>
      <c r="S539"/>
      <c r="T539" s="83"/>
    </row>
    <row r="540" spans="1:20" ht="16" x14ac:dyDescent="0.2">
      <c r="A540"/>
      <c r="B540" s="103"/>
      <c r="C540" s="243"/>
      <c r="D540" s="119">
        <v>527</v>
      </c>
      <c r="E540" s="25" t="str">
        <f>Tp_CHG!X94</f>
        <v>Transition Probability from state 6 to state 3 on day 20 (CHG)</v>
      </c>
      <c r="F540" s="40">
        <f t="shared" si="87"/>
        <v>0</v>
      </c>
      <c r="G540" s="156">
        <v>1</v>
      </c>
      <c r="H540" s="120">
        <f>Tp_CHG!AA94</f>
        <v>0</v>
      </c>
      <c r="I540" s="40" t="s">
        <v>58</v>
      </c>
      <c r="J540" s="40">
        <f t="shared" si="90"/>
        <v>0</v>
      </c>
      <c r="K540" s="40">
        <f t="shared" si="91"/>
        <v>0</v>
      </c>
      <c r="L540" s="40" t="s">
        <v>58</v>
      </c>
      <c r="M540" s="50" t="s">
        <v>266</v>
      </c>
      <c r="N540" s="190"/>
      <c r="O540" s="40">
        <f t="shared" ca="1" si="83"/>
        <v>0.95876717468745731</v>
      </c>
      <c r="P540" s="51">
        <f t="shared" si="88"/>
        <v>0</v>
      </c>
      <c r="Q540" s="51">
        <f t="shared" si="89"/>
        <v>0</v>
      </c>
      <c r="R540" s="51">
        <f t="shared" si="92"/>
        <v>0</v>
      </c>
      <c r="S540"/>
      <c r="T540" s="83"/>
    </row>
    <row r="541" spans="1:20" ht="16" x14ac:dyDescent="0.2">
      <c r="A541"/>
      <c r="B541" s="103"/>
      <c r="C541" s="243"/>
      <c r="D541" s="119">
        <v>528</v>
      </c>
      <c r="E541" s="25" t="str">
        <f>Tp_CHG!X95</f>
        <v>Transition Probability from state 6 to state 3 on day 21 (CHG)</v>
      </c>
      <c r="F541" s="40">
        <f t="shared" si="87"/>
        <v>0</v>
      </c>
      <c r="G541" s="156">
        <v>1</v>
      </c>
      <c r="H541" s="120">
        <f>Tp_CHG!AA95</f>
        <v>0</v>
      </c>
      <c r="I541" s="40" t="s">
        <v>58</v>
      </c>
      <c r="J541" s="40">
        <f t="shared" si="90"/>
        <v>0</v>
      </c>
      <c r="K541" s="40">
        <f t="shared" si="91"/>
        <v>0</v>
      </c>
      <c r="L541" s="40" t="s">
        <v>58</v>
      </c>
      <c r="M541" s="50" t="s">
        <v>266</v>
      </c>
      <c r="N541" s="190"/>
      <c r="O541" s="40">
        <f t="shared" ca="1" si="83"/>
        <v>0.11860455428620953</v>
      </c>
      <c r="P541" s="51">
        <f t="shared" si="88"/>
        <v>0</v>
      </c>
      <c r="Q541" s="51">
        <f t="shared" si="89"/>
        <v>0</v>
      </c>
      <c r="R541" s="51">
        <f t="shared" si="92"/>
        <v>0</v>
      </c>
      <c r="S541"/>
      <c r="T541" s="83"/>
    </row>
    <row r="542" spans="1:20" ht="16" x14ac:dyDescent="0.2">
      <c r="A542"/>
      <c r="B542" s="103"/>
      <c r="C542" s="243"/>
      <c r="D542" s="119">
        <v>529</v>
      </c>
      <c r="E542" s="25" t="str">
        <f>Tp_CHG!X96</f>
        <v>Transition Probability from state 6 to state 3 on day 22 (CHG)</v>
      </c>
      <c r="F542" s="40">
        <f t="shared" si="87"/>
        <v>0</v>
      </c>
      <c r="G542" s="156">
        <v>1</v>
      </c>
      <c r="H542" s="120">
        <f>Tp_CHG!AA96</f>
        <v>0</v>
      </c>
      <c r="I542" s="40" t="s">
        <v>58</v>
      </c>
      <c r="J542" s="40">
        <f t="shared" si="90"/>
        <v>0</v>
      </c>
      <c r="K542" s="40">
        <f t="shared" si="91"/>
        <v>0</v>
      </c>
      <c r="L542" s="40" t="s">
        <v>58</v>
      </c>
      <c r="M542" s="50" t="s">
        <v>266</v>
      </c>
      <c r="N542" s="190"/>
      <c r="O542" s="40">
        <f t="shared" ca="1" si="83"/>
        <v>0.42737819097115115</v>
      </c>
      <c r="P542" s="51">
        <f t="shared" si="88"/>
        <v>0</v>
      </c>
      <c r="Q542" s="51">
        <f t="shared" si="89"/>
        <v>0</v>
      </c>
      <c r="R542" s="51">
        <f t="shared" si="92"/>
        <v>0</v>
      </c>
      <c r="S542"/>
      <c r="T542" s="83"/>
    </row>
    <row r="543" spans="1:20" ht="16" x14ac:dyDescent="0.2">
      <c r="A543"/>
      <c r="B543" s="103"/>
      <c r="C543" s="243"/>
      <c r="D543" s="119">
        <v>530</v>
      </c>
      <c r="E543" s="25" t="str">
        <f>Tp_CHG!X97</f>
        <v>Transition Probability from state 6 to state 3 on day 23 (CHG)</v>
      </c>
      <c r="F543" s="40">
        <f t="shared" si="87"/>
        <v>0</v>
      </c>
      <c r="G543" s="156">
        <v>1</v>
      </c>
      <c r="H543" s="120">
        <f>Tp_CHG!AA97</f>
        <v>0</v>
      </c>
      <c r="I543" s="40" t="s">
        <v>58</v>
      </c>
      <c r="J543" s="40">
        <f t="shared" si="90"/>
        <v>0</v>
      </c>
      <c r="K543" s="40">
        <f t="shared" si="91"/>
        <v>0</v>
      </c>
      <c r="L543" s="40" t="s">
        <v>58</v>
      </c>
      <c r="M543" s="50" t="s">
        <v>266</v>
      </c>
      <c r="N543" s="190"/>
      <c r="O543" s="40">
        <f t="shared" ca="1" si="83"/>
        <v>0.34046310300169591</v>
      </c>
      <c r="P543" s="51">
        <f t="shared" si="88"/>
        <v>0</v>
      </c>
      <c r="Q543" s="51">
        <f t="shared" si="89"/>
        <v>0</v>
      </c>
      <c r="R543" s="51">
        <f t="shared" si="92"/>
        <v>0</v>
      </c>
      <c r="S543"/>
      <c r="T543" s="83"/>
    </row>
    <row r="544" spans="1:20" ht="16" x14ac:dyDescent="0.2">
      <c r="A544"/>
      <c r="B544" s="103"/>
      <c r="C544" s="243"/>
      <c r="D544" s="119">
        <v>531</v>
      </c>
      <c r="E544" s="25" t="str">
        <f>Tp_CHG!X98</f>
        <v>Transition Probability from state 6 to state 3 on day 24 (CHG)</v>
      </c>
      <c r="F544" s="40">
        <f t="shared" si="87"/>
        <v>0</v>
      </c>
      <c r="G544" s="156">
        <v>1</v>
      </c>
      <c r="H544" s="120">
        <f>Tp_CHG!AA98</f>
        <v>0</v>
      </c>
      <c r="I544" s="40" t="s">
        <v>58</v>
      </c>
      <c r="J544" s="40">
        <f t="shared" si="90"/>
        <v>0</v>
      </c>
      <c r="K544" s="40">
        <f t="shared" si="91"/>
        <v>0</v>
      </c>
      <c r="L544" s="40" t="s">
        <v>58</v>
      </c>
      <c r="M544" s="50" t="s">
        <v>266</v>
      </c>
      <c r="N544" s="190"/>
      <c r="O544" s="40">
        <f t="shared" ca="1" si="83"/>
        <v>1.0605471242551956E-2</v>
      </c>
      <c r="P544" s="51">
        <f t="shared" si="88"/>
        <v>0</v>
      </c>
      <c r="Q544" s="51">
        <f t="shared" si="89"/>
        <v>0</v>
      </c>
      <c r="R544" s="51">
        <f t="shared" si="92"/>
        <v>0</v>
      </c>
      <c r="S544"/>
      <c r="T544" s="83"/>
    </row>
    <row r="545" spans="1:20" ht="16" x14ac:dyDescent="0.2">
      <c r="A545"/>
      <c r="B545" s="103"/>
      <c r="C545" s="243"/>
      <c r="D545" s="119">
        <v>532</v>
      </c>
      <c r="E545" s="25" t="str">
        <f>Tp_CHG!X99</f>
        <v>Transition Probability from state 6 to state 3 on day 25 (CHG)</v>
      </c>
      <c r="F545" s="40">
        <f t="shared" si="87"/>
        <v>0</v>
      </c>
      <c r="G545" s="156">
        <v>1</v>
      </c>
      <c r="H545" s="120">
        <f>Tp_CHG!AA99</f>
        <v>0</v>
      </c>
      <c r="I545" s="40" t="s">
        <v>58</v>
      </c>
      <c r="J545" s="40">
        <f t="shared" si="90"/>
        <v>0</v>
      </c>
      <c r="K545" s="40">
        <f t="shared" si="91"/>
        <v>0</v>
      </c>
      <c r="L545" s="40" t="s">
        <v>58</v>
      </c>
      <c r="M545" s="50" t="s">
        <v>266</v>
      </c>
      <c r="N545" s="190"/>
      <c r="O545" s="40">
        <f t="shared" ca="1" si="83"/>
        <v>0.10146380728772375</v>
      </c>
      <c r="P545" s="51">
        <f t="shared" si="88"/>
        <v>0</v>
      </c>
      <c r="Q545" s="51">
        <f t="shared" si="89"/>
        <v>0</v>
      </c>
      <c r="R545" s="51">
        <f t="shared" si="92"/>
        <v>0</v>
      </c>
      <c r="S545"/>
      <c r="T545" s="83"/>
    </row>
    <row r="546" spans="1:20" ht="16" x14ac:dyDescent="0.2">
      <c r="A546"/>
      <c r="B546" s="103"/>
      <c r="C546" s="243"/>
      <c r="D546" s="119">
        <v>533</v>
      </c>
      <c r="E546" s="25" t="str">
        <f>Tp_CHG!X100</f>
        <v>Transition Probability from state 6 to state 3 on day 26 (CHG)</v>
      </c>
      <c r="F546" s="40">
        <f t="shared" si="87"/>
        <v>0</v>
      </c>
      <c r="G546" s="156">
        <v>1</v>
      </c>
      <c r="H546" s="120">
        <f>Tp_CHG!AA100</f>
        <v>0</v>
      </c>
      <c r="I546" s="40" t="s">
        <v>58</v>
      </c>
      <c r="J546" s="40">
        <f t="shared" si="90"/>
        <v>0</v>
      </c>
      <c r="K546" s="40">
        <f t="shared" si="91"/>
        <v>0</v>
      </c>
      <c r="L546" s="40" t="s">
        <v>58</v>
      </c>
      <c r="M546" s="50" t="s">
        <v>266</v>
      </c>
      <c r="N546" s="190"/>
      <c r="O546" s="40">
        <f t="shared" ca="1" si="83"/>
        <v>0.53221196969623652</v>
      </c>
      <c r="P546" s="51">
        <f t="shared" si="88"/>
        <v>0</v>
      </c>
      <c r="Q546" s="51">
        <f t="shared" si="89"/>
        <v>0</v>
      </c>
      <c r="R546" s="51">
        <f t="shared" si="92"/>
        <v>0</v>
      </c>
      <c r="S546"/>
      <c r="T546" s="83"/>
    </row>
    <row r="547" spans="1:20" ht="16" x14ac:dyDescent="0.2">
      <c r="A547"/>
      <c r="B547" s="103"/>
      <c r="C547" s="243"/>
      <c r="D547" s="119">
        <v>534</v>
      </c>
      <c r="E547" s="25" t="str">
        <f>Tp_CHG!X101</f>
        <v>Transition Probability from state 6 to state 3 on day 27 (CHG)</v>
      </c>
      <c r="F547" s="40">
        <f t="shared" si="87"/>
        <v>0</v>
      </c>
      <c r="G547" s="156">
        <v>1</v>
      </c>
      <c r="H547" s="120">
        <f>Tp_CHG!AA101</f>
        <v>0</v>
      </c>
      <c r="I547" s="40" t="s">
        <v>58</v>
      </c>
      <c r="J547" s="40">
        <f t="shared" si="90"/>
        <v>0</v>
      </c>
      <c r="K547" s="40">
        <f t="shared" si="91"/>
        <v>0</v>
      </c>
      <c r="L547" s="40" t="s">
        <v>58</v>
      </c>
      <c r="M547" s="50" t="s">
        <v>266</v>
      </c>
      <c r="N547" s="190"/>
      <c r="O547" s="40">
        <f t="shared" ca="1" si="83"/>
        <v>3.076104024748616E-2</v>
      </c>
      <c r="P547" s="51">
        <f t="shared" si="88"/>
        <v>0</v>
      </c>
      <c r="Q547" s="51">
        <f t="shared" si="89"/>
        <v>0</v>
      </c>
      <c r="R547" s="51">
        <f t="shared" si="92"/>
        <v>0</v>
      </c>
      <c r="S547"/>
      <c r="T547" s="83"/>
    </row>
    <row r="548" spans="1:20" ht="16" x14ac:dyDescent="0.2">
      <c r="A548"/>
      <c r="B548" s="103"/>
      <c r="C548" s="243"/>
      <c r="D548" s="119">
        <v>535</v>
      </c>
      <c r="E548" s="25" t="str">
        <f>Tp_CHG!X102</f>
        <v>Transition Probability from state 6 to state 3 on day 28 (CHG)</v>
      </c>
      <c r="F548" s="40">
        <f t="shared" si="87"/>
        <v>0</v>
      </c>
      <c r="G548" s="156">
        <v>1</v>
      </c>
      <c r="H548" s="120">
        <f>Tp_CHG!AA102</f>
        <v>0</v>
      </c>
      <c r="I548" s="40" t="s">
        <v>58</v>
      </c>
      <c r="J548" s="40">
        <f t="shared" si="90"/>
        <v>0</v>
      </c>
      <c r="K548" s="40">
        <f t="shared" si="91"/>
        <v>0</v>
      </c>
      <c r="L548" s="40" t="s">
        <v>58</v>
      </c>
      <c r="M548" s="50" t="s">
        <v>266</v>
      </c>
      <c r="N548" s="190"/>
      <c r="O548" s="40">
        <f t="shared" ca="1" si="83"/>
        <v>0.12858847521197281</v>
      </c>
      <c r="P548" s="51">
        <f t="shared" si="88"/>
        <v>0</v>
      </c>
      <c r="Q548" s="51">
        <f t="shared" si="89"/>
        <v>0</v>
      </c>
      <c r="R548" s="51">
        <f t="shared" si="92"/>
        <v>0</v>
      </c>
      <c r="S548"/>
      <c r="T548" s="83"/>
    </row>
    <row r="549" spans="1:20" ht="16" x14ac:dyDescent="0.2">
      <c r="A549"/>
      <c r="B549" s="103"/>
      <c r="C549" s="243"/>
      <c r="D549" s="119">
        <v>536</v>
      </c>
      <c r="E549" s="25" t="str">
        <f>Tp_CHG!X103</f>
        <v>Transition Probability from state 6 to state 3 on day 29 (CHG)</v>
      </c>
      <c r="F549" s="40">
        <f t="shared" si="87"/>
        <v>0</v>
      </c>
      <c r="G549" s="156">
        <v>1</v>
      </c>
      <c r="H549" s="120">
        <f>Tp_CHG!AA103</f>
        <v>0</v>
      </c>
      <c r="I549" s="40" t="s">
        <v>58</v>
      </c>
      <c r="J549" s="40">
        <f t="shared" si="90"/>
        <v>0</v>
      </c>
      <c r="K549" s="40">
        <f t="shared" si="91"/>
        <v>0</v>
      </c>
      <c r="L549" s="40" t="s">
        <v>58</v>
      </c>
      <c r="M549" s="50" t="s">
        <v>266</v>
      </c>
      <c r="N549" s="190"/>
      <c r="O549" s="40">
        <f t="shared" ref="O549:O609" ca="1" si="93">RAND()</f>
        <v>0.51784228895090567</v>
      </c>
      <c r="P549" s="51">
        <f t="shared" si="88"/>
        <v>0</v>
      </c>
      <c r="Q549" s="51">
        <f t="shared" si="89"/>
        <v>0</v>
      </c>
      <c r="R549" s="51">
        <f t="shared" si="92"/>
        <v>0</v>
      </c>
      <c r="S549"/>
      <c r="T549" s="83"/>
    </row>
    <row r="550" spans="1:20" ht="16" x14ac:dyDescent="0.2">
      <c r="A550"/>
      <c r="B550" s="103"/>
      <c r="C550" s="243"/>
      <c r="D550" s="119">
        <v>537</v>
      </c>
      <c r="E550" s="25" t="str">
        <f>Tp_CHG!X104</f>
        <v>Transition Probability from state 6 to state 3 on day 30 (CHG)</v>
      </c>
      <c r="F550" s="40">
        <f t="shared" si="87"/>
        <v>0</v>
      </c>
      <c r="G550" s="156">
        <v>1</v>
      </c>
      <c r="H550" s="120">
        <f>Tp_CHG!AA104</f>
        <v>0</v>
      </c>
      <c r="I550" s="40" t="s">
        <v>58</v>
      </c>
      <c r="J550" s="40">
        <f t="shared" si="90"/>
        <v>0</v>
      </c>
      <c r="K550" s="40">
        <f t="shared" si="91"/>
        <v>0</v>
      </c>
      <c r="L550" s="40" t="s">
        <v>58</v>
      </c>
      <c r="M550" s="50" t="s">
        <v>266</v>
      </c>
      <c r="N550" s="190"/>
      <c r="O550" s="40">
        <f t="shared" ca="1" si="93"/>
        <v>0.32023604192939403</v>
      </c>
      <c r="P550" s="51">
        <f t="shared" si="88"/>
        <v>0</v>
      </c>
      <c r="Q550" s="51">
        <f t="shared" si="89"/>
        <v>0</v>
      </c>
      <c r="R550" s="51">
        <f t="shared" si="92"/>
        <v>0</v>
      </c>
      <c r="S550"/>
      <c r="T550" s="83"/>
    </row>
    <row r="551" spans="1:20" ht="16" x14ac:dyDescent="0.2">
      <c r="A551"/>
      <c r="B551" s="103"/>
      <c r="C551" s="243"/>
      <c r="D551" s="119">
        <v>538</v>
      </c>
      <c r="E551" s="25" t="str">
        <f>Tp_CHG!D107</f>
        <v>Transition Probability from state 1 to state 4 on day 1 (CHG)</v>
      </c>
      <c r="F551" s="40">
        <f t="shared" si="87"/>
        <v>0</v>
      </c>
      <c r="G551" s="156">
        <v>1</v>
      </c>
      <c r="H551" s="120">
        <f>Tp_CHG!G107</f>
        <v>0</v>
      </c>
      <c r="I551" s="40" t="s">
        <v>58</v>
      </c>
      <c r="J551" s="40">
        <f>IF(H551=0,0,_xlfn.NORM.INV(0.025,H551,R551))</f>
        <v>0</v>
      </c>
      <c r="K551" s="40">
        <f>IF(H551=0,0,_xlfn.NORM.INV(0.975,H551,R551))</f>
        <v>0</v>
      </c>
      <c r="L551" s="40" t="s">
        <v>58</v>
      </c>
      <c r="M551" s="50" t="s">
        <v>266</v>
      </c>
      <c r="N551" s="190"/>
      <c r="O551" s="40">
        <f ca="1">RAND()</f>
        <v>2.6470662759708885E-3</v>
      </c>
      <c r="P551" s="51">
        <f t="shared" si="88"/>
        <v>0</v>
      </c>
      <c r="Q551" s="51">
        <f t="shared" si="89"/>
        <v>0</v>
      </c>
      <c r="R551" s="51">
        <f>assumedSE*H551</f>
        <v>0</v>
      </c>
      <c r="S551"/>
      <c r="T551" s="83"/>
    </row>
    <row r="552" spans="1:20" ht="16" x14ac:dyDescent="0.2">
      <c r="A552"/>
      <c r="B552" s="103"/>
      <c r="C552" s="243"/>
      <c r="D552" s="119">
        <v>539</v>
      </c>
      <c r="E552" s="25" t="str">
        <f>Tp_CHG!D108</f>
        <v>Transition Probability from state 1 to state 4 on day 2 (CHG)</v>
      </c>
      <c r="F552" s="40">
        <f t="shared" si="87"/>
        <v>0</v>
      </c>
      <c r="G552" s="156">
        <v>1</v>
      </c>
      <c r="H552" s="120">
        <f>Tp_CHG!G108</f>
        <v>0</v>
      </c>
      <c r="I552" s="40" t="s">
        <v>58</v>
      </c>
      <c r="J552" s="40">
        <f>IF(H552=0,0,_xlfn.NORM.INV(0.025,H552,R552))</f>
        <v>0</v>
      </c>
      <c r="K552" s="40">
        <f>IF(H552=0,0,_xlfn.NORM.INV(0.975,H552,R552))</f>
        <v>0</v>
      </c>
      <c r="L552" s="40" t="s">
        <v>58</v>
      </c>
      <c r="M552" s="50" t="s">
        <v>266</v>
      </c>
      <c r="N552" s="190"/>
      <c r="O552" s="40">
        <f ca="1">RAND()</f>
        <v>0.18316282591513022</v>
      </c>
      <c r="P552" s="51">
        <f t="shared" si="88"/>
        <v>0</v>
      </c>
      <c r="Q552" s="51">
        <f t="shared" si="89"/>
        <v>0</v>
      </c>
      <c r="R552" s="51">
        <f>assumedSE*H552</f>
        <v>0</v>
      </c>
      <c r="S552"/>
      <c r="T552" s="83"/>
    </row>
    <row r="553" spans="1:20" ht="16" x14ac:dyDescent="0.2">
      <c r="A553"/>
      <c r="B553" s="103"/>
      <c r="C553" s="243"/>
      <c r="D553" s="119">
        <v>540</v>
      </c>
      <c r="E553" s="25" t="str">
        <f>Tp_CHG!D109</f>
        <v>Transition Probability from state 1 to state 4 on day 3 (CHG)</v>
      </c>
      <c r="F553" s="40">
        <f t="shared" si="87"/>
        <v>0</v>
      </c>
      <c r="G553" s="156">
        <v>1</v>
      </c>
      <c r="H553" s="120">
        <f>Tp_CHG!G109</f>
        <v>0</v>
      </c>
      <c r="I553" s="40" t="s">
        <v>58</v>
      </c>
      <c r="J553" s="40">
        <f t="shared" ref="J553:J581" si="94">IF(H553=0,0,_xlfn.NORM.INV(0.025,H553,R553))</f>
        <v>0</v>
      </c>
      <c r="K553" s="40">
        <f t="shared" ref="K553:K581" si="95">IF(H553=0,0,_xlfn.NORM.INV(0.975,H553,R553))</f>
        <v>0</v>
      </c>
      <c r="L553" s="40" t="s">
        <v>58</v>
      </c>
      <c r="M553" s="50" t="s">
        <v>266</v>
      </c>
      <c r="N553" s="190"/>
      <c r="O553" s="40">
        <f t="shared" ca="1" si="93"/>
        <v>7.5869786012587315E-2</v>
      </c>
      <c r="P553" s="51">
        <f t="shared" si="88"/>
        <v>0</v>
      </c>
      <c r="Q553" s="51">
        <f t="shared" si="89"/>
        <v>0</v>
      </c>
      <c r="R553" s="51">
        <f t="shared" ref="R553:R581" si="96">assumedSE*H553</f>
        <v>0</v>
      </c>
      <c r="S553"/>
      <c r="T553" s="83"/>
    </row>
    <row r="554" spans="1:20" ht="16" x14ac:dyDescent="0.2">
      <c r="A554"/>
      <c r="B554" s="103"/>
      <c r="C554" s="243"/>
      <c r="D554" s="119">
        <v>541</v>
      </c>
      <c r="E554" s="25" t="str">
        <f>Tp_CHG!D110</f>
        <v>Transition Probability from state 1 to state 4 on day 4 (CHG)</v>
      </c>
      <c r="F554" s="40">
        <f t="shared" si="87"/>
        <v>0</v>
      </c>
      <c r="G554" s="156">
        <v>1</v>
      </c>
      <c r="H554" s="120">
        <f>Tp_CHG!G110</f>
        <v>0</v>
      </c>
      <c r="I554" s="40" t="s">
        <v>58</v>
      </c>
      <c r="J554" s="40">
        <f t="shared" si="94"/>
        <v>0</v>
      </c>
      <c r="K554" s="40">
        <f t="shared" si="95"/>
        <v>0</v>
      </c>
      <c r="L554" s="40" t="s">
        <v>58</v>
      </c>
      <c r="M554" s="50" t="s">
        <v>266</v>
      </c>
      <c r="N554" s="190"/>
      <c r="O554" s="40">
        <f t="shared" ca="1" si="93"/>
        <v>0.58533808799884701</v>
      </c>
      <c r="P554" s="51">
        <f t="shared" si="88"/>
        <v>0</v>
      </c>
      <c r="Q554" s="51">
        <f t="shared" si="89"/>
        <v>0</v>
      </c>
      <c r="R554" s="51">
        <f t="shared" si="96"/>
        <v>0</v>
      </c>
      <c r="S554"/>
      <c r="T554" s="83"/>
    </row>
    <row r="555" spans="1:20" ht="16" x14ac:dyDescent="0.2">
      <c r="A555"/>
      <c r="B555" s="103"/>
      <c r="C555" s="243"/>
      <c r="D555" s="119">
        <v>542</v>
      </c>
      <c r="E555" s="25" t="str">
        <f>Tp_CHG!D111</f>
        <v>Transition Probability from state 1 to state 4 on day 5 (CHG)</v>
      </c>
      <c r="F555" s="40">
        <f t="shared" si="87"/>
        <v>0</v>
      </c>
      <c r="G555" s="156">
        <v>1</v>
      </c>
      <c r="H555" s="120">
        <f>Tp_CHG!G111</f>
        <v>0</v>
      </c>
      <c r="I555" s="40" t="s">
        <v>58</v>
      </c>
      <c r="J555" s="40">
        <f t="shared" si="94"/>
        <v>0</v>
      </c>
      <c r="K555" s="40">
        <f t="shared" si="95"/>
        <v>0</v>
      </c>
      <c r="L555" s="40" t="s">
        <v>58</v>
      </c>
      <c r="M555" s="50" t="s">
        <v>266</v>
      </c>
      <c r="N555" s="190"/>
      <c r="O555" s="40">
        <f t="shared" ca="1" si="93"/>
        <v>0.34481177589903256</v>
      </c>
      <c r="P555" s="51">
        <f t="shared" si="88"/>
        <v>0</v>
      </c>
      <c r="Q555" s="51">
        <f t="shared" si="89"/>
        <v>0</v>
      </c>
      <c r="R555" s="51">
        <f t="shared" si="96"/>
        <v>0</v>
      </c>
      <c r="S555"/>
      <c r="T555" s="83"/>
    </row>
    <row r="556" spans="1:20" ht="16" x14ac:dyDescent="0.2">
      <c r="A556"/>
      <c r="B556" s="103"/>
      <c r="C556" s="243"/>
      <c r="D556" s="119">
        <v>543</v>
      </c>
      <c r="E556" s="25" t="str">
        <f>Tp_CHG!D112</f>
        <v>Transition Probability from state 1 to state 4 on day 6 (CHG)</v>
      </c>
      <c r="F556" s="40">
        <f t="shared" si="87"/>
        <v>0</v>
      </c>
      <c r="G556" s="156">
        <v>1</v>
      </c>
      <c r="H556" s="120">
        <f>Tp_CHG!G112</f>
        <v>0</v>
      </c>
      <c r="I556" s="40" t="s">
        <v>58</v>
      </c>
      <c r="J556" s="40">
        <f t="shared" si="94"/>
        <v>0</v>
      </c>
      <c r="K556" s="40">
        <f t="shared" si="95"/>
        <v>0</v>
      </c>
      <c r="L556" s="40" t="s">
        <v>58</v>
      </c>
      <c r="M556" s="50" t="s">
        <v>266</v>
      </c>
      <c r="N556" s="190"/>
      <c r="O556" s="40">
        <f t="shared" ca="1" si="93"/>
        <v>0.59269416004464448</v>
      </c>
      <c r="P556" s="51">
        <f t="shared" si="88"/>
        <v>0</v>
      </c>
      <c r="Q556" s="51">
        <f t="shared" si="89"/>
        <v>0</v>
      </c>
      <c r="R556" s="51">
        <f t="shared" si="96"/>
        <v>0</v>
      </c>
      <c r="S556"/>
      <c r="T556" s="83"/>
    </row>
    <row r="557" spans="1:20" ht="16" x14ac:dyDescent="0.2">
      <c r="A557"/>
      <c r="B557" s="103"/>
      <c r="C557" s="243"/>
      <c r="D557" s="119">
        <v>544</v>
      </c>
      <c r="E557" s="25" t="str">
        <f>Tp_CHG!D115</f>
        <v>Transition Probability from state 1 to state 4 on day 9 (CHG)</v>
      </c>
      <c r="F557" s="40">
        <f t="shared" si="87"/>
        <v>0</v>
      </c>
      <c r="G557" s="156">
        <v>1</v>
      </c>
      <c r="H557" s="120">
        <f>Tp_CHG!G115</f>
        <v>0</v>
      </c>
      <c r="I557" s="40" t="s">
        <v>58</v>
      </c>
      <c r="J557" s="40">
        <f t="shared" si="94"/>
        <v>0</v>
      </c>
      <c r="K557" s="40">
        <f t="shared" si="95"/>
        <v>0</v>
      </c>
      <c r="L557" s="40" t="s">
        <v>58</v>
      </c>
      <c r="M557" s="50" t="s">
        <v>266</v>
      </c>
      <c r="N557" s="190"/>
      <c r="O557" s="40">
        <f t="shared" ca="1" si="93"/>
        <v>0.49132070811194883</v>
      </c>
      <c r="P557" s="51">
        <f t="shared" si="88"/>
        <v>0</v>
      </c>
      <c r="Q557" s="51">
        <f t="shared" si="89"/>
        <v>0</v>
      </c>
      <c r="R557" s="51">
        <f t="shared" si="96"/>
        <v>0</v>
      </c>
      <c r="S557"/>
      <c r="T557" s="83"/>
    </row>
    <row r="558" spans="1:20" ht="16" x14ac:dyDescent="0.2">
      <c r="A558"/>
      <c r="B558" s="103"/>
      <c r="C558" s="243"/>
      <c r="D558" s="119">
        <v>545</v>
      </c>
      <c r="E558" s="25" t="str">
        <f>Tp_CHG!D116</f>
        <v>Transition Probability from state 1 to state 4 on day 10 (CHG)</v>
      </c>
      <c r="F558" s="40">
        <f t="shared" si="87"/>
        <v>0</v>
      </c>
      <c r="G558" s="156">
        <v>1</v>
      </c>
      <c r="H558" s="120">
        <f>Tp_CHG!G116</f>
        <v>0</v>
      </c>
      <c r="I558" s="40" t="s">
        <v>58</v>
      </c>
      <c r="J558" s="40">
        <f t="shared" si="94"/>
        <v>0</v>
      </c>
      <c r="K558" s="40">
        <f t="shared" si="95"/>
        <v>0</v>
      </c>
      <c r="L558" s="40" t="s">
        <v>58</v>
      </c>
      <c r="M558" s="50" t="s">
        <v>266</v>
      </c>
      <c r="N558" s="190"/>
      <c r="O558" s="40">
        <f t="shared" ca="1" si="93"/>
        <v>8.5918031853931875E-2</v>
      </c>
      <c r="P558" s="51">
        <f t="shared" si="88"/>
        <v>0</v>
      </c>
      <c r="Q558" s="51">
        <f t="shared" si="89"/>
        <v>0</v>
      </c>
      <c r="R558" s="51">
        <f t="shared" si="96"/>
        <v>0</v>
      </c>
      <c r="S558"/>
      <c r="T558" s="83"/>
    </row>
    <row r="559" spans="1:20" ht="16" x14ac:dyDescent="0.2">
      <c r="A559"/>
      <c r="B559" s="103"/>
      <c r="C559" s="243"/>
      <c r="D559" s="119">
        <v>546</v>
      </c>
      <c r="E559" s="25" t="str">
        <f>Tp_CHG!D117</f>
        <v>Transition Probability from state 1 to state 4 on day 11 (CHG)</v>
      </c>
      <c r="F559" s="40">
        <f t="shared" si="87"/>
        <v>0</v>
      </c>
      <c r="G559" s="156">
        <v>1</v>
      </c>
      <c r="H559" s="120">
        <f>Tp_CHG!G117</f>
        <v>0</v>
      </c>
      <c r="I559" s="40" t="s">
        <v>58</v>
      </c>
      <c r="J559" s="40">
        <f t="shared" si="94"/>
        <v>0</v>
      </c>
      <c r="K559" s="40">
        <f t="shared" si="95"/>
        <v>0</v>
      </c>
      <c r="L559" s="40" t="s">
        <v>58</v>
      </c>
      <c r="M559" s="50" t="s">
        <v>266</v>
      </c>
      <c r="N559" s="190"/>
      <c r="O559" s="40">
        <f t="shared" ca="1" si="93"/>
        <v>0.36069881142898064</v>
      </c>
      <c r="P559" s="51">
        <f t="shared" si="88"/>
        <v>0</v>
      </c>
      <c r="Q559" s="51">
        <f t="shared" si="89"/>
        <v>0</v>
      </c>
      <c r="R559" s="51">
        <f t="shared" si="96"/>
        <v>0</v>
      </c>
      <c r="S559"/>
      <c r="T559" s="83"/>
    </row>
    <row r="560" spans="1:20" ht="16" x14ac:dyDescent="0.2">
      <c r="A560"/>
      <c r="B560" s="103"/>
      <c r="C560" s="243"/>
      <c r="D560" s="119">
        <v>547</v>
      </c>
      <c r="E560" s="25" t="str">
        <f>Tp_CHG!D118</f>
        <v>Transition Probability from state 1 to state 4 on day 12 (CHG)</v>
      </c>
      <c r="F560" s="40">
        <f t="shared" si="87"/>
        <v>0</v>
      </c>
      <c r="G560" s="156">
        <v>1</v>
      </c>
      <c r="H560" s="120">
        <f>Tp_CHG!G118</f>
        <v>0</v>
      </c>
      <c r="I560" s="40" t="s">
        <v>58</v>
      </c>
      <c r="J560" s="40">
        <f t="shared" si="94"/>
        <v>0</v>
      </c>
      <c r="K560" s="40">
        <f t="shared" si="95"/>
        <v>0</v>
      </c>
      <c r="L560" s="40" t="s">
        <v>58</v>
      </c>
      <c r="M560" s="50" t="s">
        <v>266</v>
      </c>
      <c r="N560" s="190"/>
      <c r="O560" s="40">
        <f t="shared" ca="1" si="93"/>
        <v>0.17757856562498231</v>
      </c>
      <c r="P560" s="51">
        <f t="shared" si="88"/>
        <v>0</v>
      </c>
      <c r="Q560" s="51">
        <f t="shared" si="89"/>
        <v>0</v>
      </c>
      <c r="R560" s="51">
        <f t="shared" si="96"/>
        <v>0</v>
      </c>
      <c r="S560"/>
      <c r="T560" s="83"/>
    </row>
    <row r="561" spans="1:20" ht="16" x14ac:dyDescent="0.2">
      <c r="A561"/>
      <c r="B561" s="103"/>
      <c r="C561" s="243"/>
      <c r="D561" s="119">
        <v>548</v>
      </c>
      <c r="E561" s="25" t="str">
        <f>Tp_CHG!D119</f>
        <v>Transition Probability from state 1 to state 4 on day 13 (CHG)</v>
      </c>
      <c r="F561" s="40">
        <f t="shared" si="87"/>
        <v>0</v>
      </c>
      <c r="G561" s="156">
        <v>1</v>
      </c>
      <c r="H561" s="120">
        <f>Tp_CHG!G119</f>
        <v>0</v>
      </c>
      <c r="I561" s="40" t="s">
        <v>58</v>
      </c>
      <c r="J561" s="40">
        <f t="shared" si="94"/>
        <v>0</v>
      </c>
      <c r="K561" s="40">
        <f t="shared" si="95"/>
        <v>0</v>
      </c>
      <c r="L561" s="40" t="s">
        <v>58</v>
      </c>
      <c r="M561" s="50" t="s">
        <v>266</v>
      </c>
      <c r="N561" s="190"/>
      <c r="O561" s="40">
        <f t="shared" ca="1" si="93"/>
        <v>0.72426840031768958</v>
      </c>
      <c r="P561" s="51">
        <f t="shared" si="88"/>
        <v>0</v>
      </c>
      <c r="Q561" s="51">
        <f t="shared" si="89"/>
        <v>0</v>
      </c>
      <c r="R561" s="51">
        <f t="shared" si="96"/>
        <v>0</v>
      </c>
      <c r="S561"/>
      <c r="T561" s="83"/>
    </row>
    <row r="562" spans="1:20" ht="16" x14ac:dyDescent="0.2">
      <c r="A562"/>
      <c r="B562" s="103"/>
      <c r="C562" s="243"/>
      <c r="D562" s="119">
        <v>549</v>
      </c>
      <c r="E562" s="25" t="str">
        <f>Tp_CHG!D120</f>
        <v>Transition Probability from state 1 to state 4 on day 14 (CHG)</v>
      </c>
      <c r="F562" s="40">
        <f t="shared" si="87"/>
        <v>0</v>
      </c>
      <c r="G562" s="156">
        <v>1</v>
      </c>
      <c r="H562" s="120">
        <f>Tp_CHG!G120</f>
        <v>0</v>
      </c>
      <c r="I562" s="40" t="s">
        <v>58</v>
      </c>
      <c r="J562" s="40">
        <f t="shared" si="94"/>
        <v>0</v>
      </c>
      <c r="K562" s="40">
        <f t="shared" si="95"/>
        <v>0</v>
      </c>
      <c r="L562" s="40" t="s">
        <v>58</v>
      </c>
      <c r="M562" s="50" t="s">
        <v>266</v>
      </c>
      <c r="N562" s="190"/>
      <c r="O562" s="40">
        <f t="shared" ca="1" si="93"/>
        <v>0.70000276774174686</v>
      </c>
      <c r="P562" s="51">
        <f t="shared" si="88"/>
        <v>0</v>
      </c>
      <c r="Q562" s="51">
        <f t="shared" si="89"/>
        <v>0</v>
      </c>
      <c r="R562" s="51">
        <f t="shared" si="96"/>
        <v>0</v>
      </c>
      <c r="S562"/>
      <c r="T562" s="83"/>
    </row>
    <row r="563" spans="1:20" ht="16" x14ac:dyDescent="0.2">
      <c r="A563"/>
      <c r="B563" s="103"/>
      <c r="C563" s="243"/>
      <c r="D563" s="119">
        <v>550</v>
      </c>
      <c r="E563" s="25" t="str">
        <f>Tp_CHG!D122</f>
        <v>Transition Probability from state 1 to state 4 on day 16 (CHG)</v>
      </c>
      <c r="F563" s="40">
        <f t="shared" si="87"/>
        <v>0</v>
      </c>
      <c r="G563" s="156">
        <v>1</v>
      </c>
      <c r="H563" s="120">
        <f>Tp_CHG!G122</f>
        <v>0</v>
      </c>
      <c r="I563" s="40" t="s">
        <v>58</v>
      </c>
      <c r="J563" s="40">
        <f t="shared" si="94"/>
        <v>0</v>
      </c>
      <c r="K563" s="40">
        <f t="shared" si="95"/>
        <v>0</v>
      </c>
      <c r="L563" s="40" t="s">
        <v>58</v>
      </c>
      <c r="M563" s="50" t="s">
        <v>266</v>
      </c>
      <c r="N563" s="190"/>
      <c r="O563" s="40">
        <f t="shared" ca="1" si="93"/>
        <v>0.55981196224099417</v>
      </c>
      <c r="P563" s="51">
        <f t="shared" si="88"/>
        <v>0</v>
      </c>
      <c r="Q563" s="51">
        <f t="shared" si="89"/>
        <v>0</v>
      </c>
      <c r="R563" s="51">
        <f t="shared" si="96"/>
        <v>0</v>
      </c>
      <c r="S563"/>
      <c r="T563" s="83"/>
    </row>
    <row r="564" spans="1:20" ht="16" x14ac:dyDescent="0.2">
      <c r="A564"/>
      <c r="B564" s="103"/>
      <c r="C564" s="243"/>
      <c r="D564" s="119">
        <v>551</v>
      </c>
      <c r="E564" s="25" t="str">
        <f>Tp_CHG!D123</f>
        <v>Transition Probability from state 1 to state 4 on day 17 (CHG)</v>
      </c>
      <c r="F564" s="40">
        <f t="shared" si="87"/>
        <v>0</v>
      </c>
      <c r="G564" s="156">
        <v>1</v>
      </c>
      <c r="H564" s="120">
        <f>Tp_CHG!G123</f>
        <v>0</v>
      </c>
      <c r="I564" s="40" t="s">
        <v>58</v>
      </c>
      <c r="J564" s="40">
        <f t="shared" si="94"/>
        <v>0</v>
      </c>
      <c r="K564" s="40">
        <f t="shared" si="95"/>
        <v>0</v>
      </c>
      <c r="L564" s="40" t="s">
        <v>58</v>
      </c>
      <c r="M564" s="50" t="s">
        <v>266</v>
      </c>
      <c r="N564" s="190"/>
      <c r="O564" s="40">
        <f t="shared" ca="1" si="93"/>
        <v>0.91281537262277002</v>
      </c>
      <c r="P564" s="51">
        <f t="shared" si="88"/>
        <v>0</v>
      </c>
      <c r="Q564" s="51">
        <f t="shared" si="89"/>
        <v>0</v>
      </c>
      <c r="R564" s="51">
        <f t="shared" si="96"/>
        <v>0</v>
      </c>
      <c r="S564"/>
      <c r="T564" s="83"/>
    </row>
    <row r="565" spans="1:20" ht="16" x14ac:dyDescent="0.2">
      <c r="A565"/>
      <c r="B565" s="103"/>
      <c r="C565" s="243"/>
      <c r="D565" s="119">
        <v>552</v>
      </c>
      <c r="E565" s="25" t="str">
        <f>Tp_CHG!D124</f>
        <v>Transition Probability from state 1 to state 4 on day 18 (CHG)</v>
      </c>
      <c r="F565" s="40">
        <f t="shared" si="87"/>
        <v>0</v>
      </c>
      <c r="G565" s="156">
        <v>1</v>
      </c>
      <c r="H565" s="120">
        <f>Tp_CHG!G124</f>
        <v>0</v>
      </c>
      <c r="I565" s="40" t="s">
        <v>58</v>
      </c>
      <c r="J565" s="40">
        <f t="shared" si="94"/>
        <v>0</v>
      </c>
      <c r="K565" s="40">
        <f t="shared" si="95"/>
        <v>0</v>
      </c>
      <c r="L565" s="40" t="s">
        <v>58</v>
      </c>
      <c r="M565" s="50" t="s">
        <v>266</v>
      </c>
      <c r="N565" s="190"/>
      <c r="O565" s="40">
        <f t="shared" ca="1" si="93"/>
        <v>4.9334307774967279E-2</v>
      </c>
      <c r="P565" s="51">
        <f t="shared" si="88"/>
        <v>0</v>
      </c>
      <c r="Q565" s="51">
        <f t="shared" si="89"/>
        <v>0</v>
      </c>
      <c r="R565" s="51">
        <f t="shared" si="96"/>
        <v>0</v>
      </c>
      <c r="S565"/>
      <c r="T565" s="83"/>
    </row>
    <row r="566" spans="1:20" ht="16" x14ac:dyDescent="0.2">
      <c r="A566"/>
      <c r="B566" s="103"/>
      <c r="C566" s="243"/>
      <c r="D566" s="119">
        <v>553</v>
      </c>
      <c r="E566" s="25" t="str">
        <f>Tp_CHG!D125</f>
        <v>Transition Probability from state 1 to state 4 on day 19 (CHG)</v>
      </c>
      <c r="F566" s="40">
        <f t="shared" si="87"/>
        <v>0</v>
      </c>
      <c r="G566" s="156">
        <v>1</v>
      </c>
      <c r="H566" s="120">
        <f>Tp_CHG!G125</f>
        <v>0</v>
      </c>
      <c r="I566" s="40" t="s">
        <v>58</v>
      </c>
      <c r="J566" s="40">
        <f t="shared" si="94"/>
        <v>0</v>
      </c>
      <c r="K566" s="40">
        <f t="shared" si="95"/>
        <v>0</v>
      </c>
      <c r="L566" s="40" t="s">
        <v>58</v>
      </c>
      <c r="M566" s="50" t="s">
        <v>266</v>
      </c>
      <c r="N566" s="190"/>
      <c r="O566" s="40">
        <f t="shared" ca="1" si="93"/>
        <v>0.49811524944686836</v>
      </c>
      <c r="P566" s="51">
        <f t="shared" si="88"/>
        <v>0</v>
      </c>
      <c r="Q566" s="51">
        <f t="shared" si="89"/>
        <v>0</v>
      </c>
      <c r="R566" s="51">
        <f t="shared" si="96"/>
        <v>0</v>
      </c>
      <c r="S566"/>
      <c r="T566" s="83"/>
    </row>
    <row r="567" spans="1:20" ht="16" x14ac:dyDescent="0.2">
      <c r="A567"/>
      <c r="B567" s="103"/>
      <c r="C567" s="243"/>
      <c r="D567" s="119">
        <v>554</v>
      </c>
      <c r="E567" s="25" t="str">
        <f>Tp_CHG!D126</f>
        <v>Transition Probability from state 1 to state 4 on day 20 (CHG)</v>
      </c>
      <c r="F567" s="40">
        <f t="shared" si="87"/>
        <v>0</v>
      </c>
      <c r="G567" s="156">
        <v>1</v>
      </c>
      <c r="H567" s="120">
        <f>Tp_CHG!G126</f>
        <v>0</v>
      </c>
      <c r="I567" s="40" t="s">
        <v>58</v>
      </c>
      <c r="J567" s="40">
        <f t="shared" si="94"/>
        <v>0</v>
      </c>
      <c r="K567" s="40">
        <f t="shared" si="95"/>
        <v>0</v>
      </c>
      <c r="L567" s="40" t="s">
        <v>58</v>
      </c>
      <c r="M567" s="50" t="s">
        <v>266</v>
      </c>
      <c r="N567" s="190"/>
      <c r="O567" s="40">
        <f t="shared" ca="1" si="93"/>
        <v>0.91149647012612089</v>
      </c>
      <c r="P567" s="51">
        <f t="shared" si="88"/>
        <v>0</v>
      </c>
      <c r="Q567" s="51">
        <f t="shared" si="89"/>
        <v>0</v>
      </c>
      <c r="R567" s="51">
        <f t="shared" si="96"/>
        <v>0</v>
      </c>
      <c r="S567"/>
      <c r="T567" s="83"/>
    </row>
    <row r="568" spans="1:20" ht="16" x14ac:dyDescent="0.2">
      <c r="A568"/>
      <c r="B568" s="103"/>
      <c r="C568" s="243"/>
      <c r="D568" s="119">
        <v>555</v>
      </c>
      <c r="E568" s="25" t="str">
        <f>Tp_CHG!D127</f>
        <v>Transition Probability from state 1 to state 4 on day 21 (CHG)</v>
      </c>
      <c r="F568" s="40">
        <f t="shared" si="87"/>
        <v>0</v>
      </c>
      <c r="G568" s="156">
        <v>1</v>
      </c>
      <c r="H568" s="120">
        <f>Tp_CHG!G127</f>
        <v>0</v>
      </c>
      <c r="I568" s="40" t="s">
        <v>58</v>
      </c>
      <c r="J568" s="40">
        <f t="shared" si="94"/>
        <v>0</v>
      </c>
      <c r="K568" s="40">
        <f t="shared" si="95"/>
        <v>0</v>
      </c>
      <c r="L568" s="40" t="s">
        <v>58</v>
      </c>
      <c r="M568" s="50" t="s">
        <v>266</v>
      </c>
      <c r="N568" s="190"/>
      <c r="O568" s="40">
        <f t="shared" ca="1" si="93"/>
        <v>0.57463773871952173</v>
      </c>
      <c r="P568" s="51">
        <f t="shared" si="88"/>
        <v>0</v>
      </c>
      <c r="Q568" s="51">
        <f t="shared" si="89"/>
        <v>0</v>
      </c>
      <c r="R568" s="51">
        <f t="shared" si="96"/>
        <v>0</v>
      </c>
      <c r="S568"/>
      <c r="T568" s="83"/>
    </row>
    <row r="569" spans="1:20" ht="16" x14ac:dyDescent="0.2">
      <c r="A569"/>
      <c r="B569" s="103"/>
      <c r="C569" s="243"/>
      <c r="D569" s="119">
        <v>556</v>
      </c>
      <c r="E569" s="25" t="str">
        <f>Tp_CHG!D128</f>
        <v>Transition Probability from state 1 to state 4 on day 22 (CHG)</v>
      </c>
      <c r="F569" s="40">
        <f t="shared" si="87"/>
        <v>0</v>
      </c>
      <c r="G569" s="156">
        <v>1</v>
      </c>
      <c r="H569" s="120">
        <f>Tp_CHG!G128</f>
        <v>0</v>
      </c>
      <c r="I569" s="40" t="s">
        <v>58</v>
      </c>
      <c r="J569" s="40">
        <f t="shared" si="94"/>
        <v>0</v>
      </c>
      <c r="K569" s="40">
        <f t="shared" si="95"/>
        <v>0</v>
      </c>
      <c r="L569" s="40" t="s">
        <v>58</v>
      </c>
      <c r="M569" s="50" t="s">
        <v>266</v>
      </c>
      <c r="N569" s="190"/>
      <c r="O569" s="40">
        <f t="shared" ca="1" si="93"/>
        <v>0.36277244116278962</v>
      </c>
      <c r="P569" s="51">
        <f t="shared" si="88"/>
        <v>0</v>
      </c>
      <c r="Q569" s="51">
        <f t="shared" si="89"/>
        <v>0</v>
      </c>
      <c r="R569" s="51">
        <f t="shared" si="96"/>
        <v>0</v>
      </c>
      <c r="S569"/>
      <c r="T569" s="83"/>
    </row>
    <row r="570" spans="1:20" ht="16" x14ac:dyDescent="0.2">
      <c r="A570"/>
      <c r="B570" s="103"/>
      <c r="C570" s="243"/>
      <c r="D570" s="119">
        <v>557</v>
      </c>
      <c r="E570" s="25" t="str">
        <f>Tp_CHG!D129</f>
        <v>Transition Probability from state 1 to state 4 on day 23 (CHG)</v>
      </c>
      <c r="F570" s="40">
        <f t="shared" si="87"/>
        <v>0</v>
      </c>
      <c r="G570" s="156">
        <v>1</v>
      </c>
      <c r="H570" s="120">
        <f>Tp_CHG!G129</f>
        <v>0</v>
      </c>
      <c r="I570" s="40" t="s">
        <v>58</v>
      </c>
      <c r="J570" s="40">
        <f t="shared" si="94"/>
        <v>0</v>
      </c>
      <c r="K570" s="40">
        <f t="shared" si="95"/>
        <v>0</v>
      </c>
      <c r="L570" s="40" t="s">
        <v>58</v>
      </c>
      <c r="M570" s="50" t="s">
        <v>266</v>
      </c>
      <c r="N570" s="190"/>
      <c r="O570" s="40">
        <f t="shared" ca="1" si="93"/>
        <v>0.93806921104919971</v>
      </c>
      <c r="P570" s="51">
        <f t="shared" si="88"/>
        <v>0</v>
      </c>
      <c r="Q570" s="51">
        <f t="shared" si="89"/>
        <v>0</v>
      </c>
      <c r="R570" s="51">
        <f t="shared" si="96"/>
        <v>0</v>
      </c>
      <c r="S570"/>
      <c r="T570" s="83"/>
    </row>
    <row r="571" spans="1:20" ht="16" x14ac:dyDescent="0.2">
      <c r="A571"/>
      <c r="B571" s="103"/>
      <c r="C571" s="243"/>
      <c r="D571" s="119">
        <v>558</v>
      </c>
      <c r="E571" s="25" t="str">
        <f>Tp_CHG!D130</f>
        <v>Transition Probability from state 1 to state 4 on day 24 (CHG)</v>
      </c>
      <c r="F571" s="40">
        <f t="shared" si="87"/>
        <v>0</v>
      </c>
      <c r="G571" s="156">
        <v>1</v>
      </c>
      <c r="H571" s="120">
        <f>Tp_CHG!G130</f>
        <v>0</v>
      </c>
      <c r="I571" s="40" t="s">
        <v>58</v>
      </c>
      <c r="J571" s="40">
        <f t="shared" si="94"/>
        <v>0</v>
      </c>
      <c r="K571" s="40">
        <f t="shared" si="95"/>
        <v>0</v>
      </c>
      <c r="L571" s="40" t="s">
        <v>58</v>
      </c>
      <c r="M571" s="50" t="s">
        <v>266</v>
      </c>
      <c r="N571" s="190"/>
      <c r="O571" s="40">
        <f t="shared" ca="1" si="93"/>
        <v>0.48050862826900265</v>
      </c>
      <c r="P571" s="51">
        <f t="shared" si="88"/>
        <v>0</v>
      </c>
      <c r="Q571" s="51">
        <f t="shared" si="89"/>
        <v>0</v>
      </c>
      <c r="R571" s="51">
        <f t="shared" si="96"/>
        <v>0</v>
      </c>
      <c r="S571"/>
      <c r="T571" s="83"/>
    </row>
    <row r="572" spans="1:20" ht="16" x14ac:dyDescent="0.2">
      <c r="A572"/>
      <c r="B572" s="103"/>
      <c r="C572" s="243"/>
      <c r="D572" s="119">
        <v>559</v>
      </c>
      <c r="E572" s="25" t="str">
        <f>Tp_CHG!D131</f>
        <v>Transition Probability from state 1 to state 4 on day 25 (CHG)</v>
      </c>
      <c r="F572" s="40">
        <f t="shared" si="87"/>
        <v>0</v>
      </c>
      <c r="G572" s="156">
        <v>1</v>
      </c>
      <c r="H572" s="120">
        <f>Tp_CHG!G131</f>
        <v>0</v>
      </c>
      <c r="I572" s="40" t="s">
        <v>58</v>
      </c>
      <c r="J572" s="40">
        <f t="shared" si="94"/>
        <v>0</v>
      </c>
      <c r="K572" s="40">
        <f t="shared" si="95"/>
        <v>0</v>
      </c>
      <c r="L572" s="40" t="s">
        <v>58</v>
      </c>
      <c r="M572" s="50" t="s">
        <v>266</v>
      </c>
      <c r="N572" s="190"/>
      <c r="O572" s="40">
        <f t="shared" ca="1" si="93"/>
        <v>0.60696552766540646</v>
      </c>
      <c r="P572" s="51">
        <f t="shared" si="88"/>
        <v>0</v>
      </c>
      <c r="Q572" s="51">
        <f t="shared" si="89"/>
        <v>0</v>
      </c>
      <c r="R572" s="51">
        <f t="shared" si="96"/>
        <v>0</v>
      </c>
      <c r="S572"/>
      <c r="T572" s="83"/>
    </row>
    <row r="573" spans="1:20" ht="16" x14ac:dyDescent="0.2">
      <c r="A573"/>
      <c r="B573" s="103"/>
      <c r="C573" s="243"/>
      <c r="D573" s="119">
        <v>560</v>
      </c>
      <c r="E573" s="25" t="str">
        <f>Tp_CHG!D132</f>
        <v>Transition Probability from state 1 to state 4 on day 26 (CHG)</v>
      </c>
      <c r="F573" s="40">
        <f t="shared" si="87"/>
        <v>0</v>
      </c>
      <c r="G573" s="156">
        <v>1</v>
      </c>
      <c r="H573" s="120">
        <f>Tp_CHG!G132</f>
        <v>0</v>
      </c>
      <c r="I573" s="40" t="s">
        <v>58</v>
      </c>
      <c r="J573" s="40">
        <f t="shared" si="94"/>
        <v>0</v>
      </c>
      <c r="K573" s="40">
        <f t="shared" si="95"/>
        <v>0</v>
      </c>
      <c r="L573" s="40" t="s">
        <v>58</v>
      </c>
      <c r="M573" s="50" t="s">
        <v>266</v>
      </c>
      <c r="N573" s="190"/>
      <c r="O573" s="40">
        <f t="shared" ca="1" si="93"/>
        <v>0.10970937562604766</v>
      </c>
      <c r="P573" s="51">
        <f t="shared" si="88"/>
        <v>0</v>
      </c>
      <c r="Q573" s="51">
        <f t="shared" si="89"/>
        <v>0</v>
      </c>
      <c r="R573" s="51">
        <f t="shared" si="96"/>
        <v>0</v>
      </c>
      <c r="S573"/>
      <c r="T573" s="83"/>
    </row>
    <row r="574" spans="1:20" ht="16" x14ac:dyDescent="0.2">
      <c r="A574"/>
      <c r="B574" s="103"/>
      <c r="C574" s="243"/>
      <c r="D574" s="119">
        <v>561</v>
      </c>
      <c r="E574" s="25" t="str">
        <f>Tp_CHG!D133</f>
        <v>Transition Probability from state 1 to state 4 on day 27 (CHG)</v>
      </c>
      <c r="F574" s="40">
        <f t="shared" si="87"/>
        <v>0</v>
      </c>
      <c r="G574" s="156">
        <v>1</v>
      </c>
      <c r="H574" s="120">
        <f>Tp_CHG!G133</f>
        <v>0</v>
      </c>
      <c r="I574" s="40" t="s">
        <v>58</v>
      </c>
      <c r="J574" s="40">
        <f t="shared" si="94"/>
        <v>0</v>
      </c>
      <c r="K574" s="40">
        <f t="shared" si="95"/>
        <v>0</v>
      </c>
      <c r="L574" s="40" t="s">
        <v>58</v>
      </c>
      <c r="M574" s="50" t="s">
        <v>266</v>
      </c>
      <c r="N574" s="190"/>
      <c r="O574" s="40">
        <f t="shared" ca="1" si="93"/>
        <v>0.62130992703346932</v>
      </c>
      <c r="P574" s="51">
        <f t="shared" si="88"/>
        <v>0</v>
      </c>
      <c r="Q574" s="51">
        <f t="shared" si="89"/>
        <v>0</v>
      </c>
      <c r="R574" s="51">
        <f t="shared" si="96"/>
        <v>0</v>
      </c>
      <c r="S574"/>
      <c r="T574" s="83"/>
    </row>
    <row r="575" spans="1:20" ht="16" x14ac:dyDescent="0.2">
      <c r="A575"/>
      <c r="B575" s="103"/>
      <c r="C575" s="243"/>
      <c r="D575" s="119">
        <v>562</v>
      </c>
      <c r="E575" s="25" t="str">
        <f>Tp_CHG!D134</f>
        <v>Transition Probability from state 1 to state 4 on day 28 (CHG)</v>
      </c>
      <c r="F575" s="40">
        <f t="shared" si="87"/>
        <v>0</v>
      </c>
      <c r="G575" s="156">
        <v>1</v>
      </c>
      <c r="H575" s="120">
        <f>Tp_CHG!G134</f>
        <v>0</v>
      </c>
      <c r="I575" s="40" t="s">
        <v>58</v>
      </c>
      <c r="J575" s="40">
        <f t="shared" si="94"/>
        <v>0</v>
      </c>
      <c r="K575" s="40">
        <f t="shared" si="95"/>
        <v>0</v>
      </c>
      <c r="L575" s="40" t="s">
        <v>58</v>
      </c>
      <c r="M575" s="50" t="s">
        <v>266</v>
      </c>
      <c r="N575" s="190"/>
      <c r="O575" s="40">
        <f t="shared" ca="1" si="93"/>
        <v>0.42150749121555786</v>
      </c>
      <c r="P575" s="51">
        <f t="shared" si="88"/>
        <v>0</v>
      </c>
      <c r="Q575" s="51">
        <f t="shared" si="89"/>
        <v>0</v>
      </c>
      <c r="R575" s="51">
        <f t="shared" si="96"/>
        <v>0</v>
      </c>
      <c r="S575"/>
      <c r="T575" s="83"/>
    </row>
    <row r="576" spans="1:20" ht="16" x14ac:dyDescent="0.2">
      <c r="A576"/>
      <c r="B576" s="103"/>
      <c r="C576" s="243"/>
      <c r="D576" s="119">
        <v>563</v>
      </c>
      <c r="E576" s="25" t="str">
        <f>Tp_CHG!D135</f>
        <v>Transition Probability from state 1 to state 4 on day 29 (CHG)</v>
      </c>
      <c r="F576" s="40">
        <f t="shared" si="87"/>
        <v>0</v>
      </c>
      <c r="G576" s="156">
        <v>1</v>
      </c>
      <c r="H576" s="120">
        <f>Tp_CHG!G135</f>
        <v>0</v>
      </c>
      <c r="I576" s="40" t="s">
        <v>58</v>
      </c>
      <c r="J576" s="40">
        <f t="shared" si="94"/>
        <v>0</v>
      </c>
      <c r="K576" s="40">
        <f t="shared" si="95"/>
        <v>0</v>
      </c>
      <c r="L576" s="40" t="s">
        <v>58</v>
      </c>
      <c r="M576" s="50" t="s">
        <v>266</v>
      </c>
      <c r="N576" s="190"/>
      <c r="O576" s="40">
        <f t="shared" ca="1" si="93"/>
        <v>0.48077625118450917</v>
      </c>
      <c r="P576" s="51">
        <f t="shared" si="88"/>
        <v>0</v>
      </c>
      <c r="Q576" s="51">
        <f t="shared" si="89"/>
        <v>0</v>
      </c>
      <c r="R576" s="51">
        <f t="shared" si="96"/>
        <v>0</v>
      </c>
      <c r="S576"/>
      <c r="T576" s="83"/>
    </row>
    <row r="577" spans="1:20" ht="16" x14ac:dyDescent="0.2">
      <c r="A577"/>
      <c r="B577" s="103"/>
      <c r="C577" s="243"/>
      <c r="D577" s="119">
        <v>564</v>
      </c>
      <c r="E577" s="25" t="str">
        <f>Tp_CHG!D136</f>
        <v>Transition Probability from state 1 to state 4 on day 30 (CHG)</v>
      </c>
      <c r="F577" s="40">
        <f t="shared" si="87"/>
        <v>0</v>
      </c>
      <c r="G577" s="156">
        <v>1</v>
      </c>
      <c r="H577" s="120">
        <f>Tp_CHG!G136</f>
        <v>0</v>
      </c>
      <c r="I577" s="40" t="s">
        <v>58</v>
      </c>
      <c r="J577" s="40">
        <f t="shared" si="94"/>
        <v>0</v>
      </c>
      <c r="K577" s="40">
        <f t="shared" si="95"/>
        <v>0</v>
      </c>
      <c r="L577" s="40" t="s">
        <v>58</v>
      </c>
      <c r="M577" s="50" t="s">
        <v>266</v>
      </c>
      <c r="N577" s="190"/>
      <c r="O577" s="40">
        <f t="shared" ca="1" si="93"/>
        <v>0.97815795056600774</v>
      </c>
      <c r="P577" s="51">
        <f t="shared" si="88"/>
        <v>0</v>
      </c>
      <c r="Q577" s="51">
        <f t="shared" si="89"/>
        <v>0</v>
      </c>
      <c r="R577" s="51">
        <f t="shared" si="96"/>
        <v>0</v>
      </c>
      <c r="S577"/>
      <c r="T577" s="83"/>
    </row>
    <row r="578" spans="1:20" ht="16" x14ac:dyDescent="0.2">
      <c r="A578"/>
      <c r="B578" s="103"/>
      <c r="C578" s="243"/>
      <c r="D578" s="119">
        <v>565</v>
      </c>
      <c r="E578" s="25" t="str">
        <f>Tp_CHG!I107</f>
        <v>Transition Probability from state 2 to state 4 on day 1 (CHG)</v>
      </c>
      <c r="F578" s="40">
        <f t="shared" si="87"/>
        <v>0</v>
      </c>
      <c r="G578" s="156">
        <v>1</v>
      </c>
      <c r="H578" s="120">
        <f>Tp_CHG!L107</f>
        <v>0</v>
      </c>
      <c r="I578" s="40" t="s">
        <v>58</v>
      </c>
      <c r="J578" s="40">
        <f t="shared" si="94"/>
        <v>0</v>
      </c>
      <c r="K578" s="40">
        <f t="shared" si="95"/>
        <v>0</v>
      </c>
      <c r="L578" s="40" t="s">
        <v>58</v>
      </c>
      <c r="M578" s="50" t="s">
        <v>266</v>
      </c>
      <c r="N578" s="190"/>
      <c r="O578" s="40">
        <f t="shared" ca="1" si="93"/>
        <v>0.71238411435223647</v>
      </c>
      <c r="P578" s="51">
        <f t="shared" si="88"/>
        <v>0</v>
      </c>
      <c r="Q578" s="51">
        <f t="shared" si="89"/>
        <v>0</v>
      </c>
      <c r="R578" s="51">
        <f t="shared" si="96"/>
        <v>0</v>
      </c>
      <c r="S578"/>
      <c r="T578" s="83"/>
    </row>
    <row r="579" spans="1:20" ht="16" x14ac:dyDescent="0.2">
      <c r="A579"/>
      <c r="B579" s="103"/>
      <c r="C579" s="243"/>
      <c r="D579" s="119">
        <v>566</v>
      </c>
      <c r="E579" s="25" t="str">
        <f>Tp_CHG!I108</f>
        <v>Transition Probability from state 2 to state 4 on day 2 (CHG)</v>
      </c>
      <c r="F579" s="40">
        <f t="shared" si="87"/>
        <v>0</v>
      </c>
      <c r="G579" s="156">
        <v>1</v>
      </c>
      <c r="H579" s="120">
        <f>Tp_CHG!L108</f>
        <v>0</v>
      </c>
      <c r="I579" s="40" t="s">
        <v>58</v>
      </c>
      <c r="J579" s="40">
        <f t="shared" si="94"/>
        <v>0</v>
      </c>
      <c r="K579" s="40">
        <f t="shared" si="95"/>
        <v>0</v>
      </c>
      <c r="L579" s="40" t="s">
        <v>58</v>
      </c>
      <c r="M579" s="50" t="s">
        <v>266</v>
      </c>
      <c r="N579" s="190"/>
      <c r="O579" s="40">
        <f t="shared" ca="1" si="93"/>
        <v>0.12238526718469789</v>
      </c>
      <c r="P579" s="51">
        <f t="shared" si="88"/>
        <v>0</v>
      </c>
      <c r="Q579" s="51">
        <f t="shared" si="89"/>
        <v>0</v>
      </c>
      <c r="R579" s="51">
        <f t="shared" si="96"/>
        <v>0</v>
      </c>
      <c r="S579"/>
      <c r="T579" s="83"/>
    </row>
    <row r="580" spans="1:20" ht="16" x14ac:dyDescent="0.2">
      <c r="A580"/>
      <c r="B580" s="103"/>
      <c r="C580" s="243"/>
      <c r="D580" s="119">
        <v>567</v>
      </c>
      <c r="E580" s="25" t="str">
        <f>Tp_CHG!I109</f>
        <v>Transition Probability from state 2 to state 4 on day 3 (CHG)</v>
      </c>
      <c r="F580" s="40">
        <f t="shared" si="87"/>
        <v>0</v>
      </c>
      <c r="G580" s="156">
        <v>1</v>
      </c>
      <c r="H580" s="120">
        <f>Tp_CHG!L109</f>
        <v>0</v>
      </c>
      <c r="I580" s="40" t="s">
        <v>58</v>
      </c>
      <c r="J580" s="40">
        <f t="shared" si="94"/>
        <v>0</v>
      </c>
      <c r="K580" s="40">
        <f t="shared" si="95"/>
        <v>0</v>
      </c>
      <c r="L580" s="40" t="s">
        <v>58</v>
      </c>
      <c r="M580" s="50" t="s">
        <v>266</v>
      </c>
      <c r="N580" s="190"/>
      <c r="O580" s="40">
        <f t="shared" ca="1" si="93"/>
        <v>0.21418951006203013</v>
      </c>
      <c r="P580" s="51">
        <f t="shared" si="88"/>
        <v>0</v>
      </c>
      <c r="Q580" s="51">
        <f t="shared" si="89"/>
        <v>0</v>
      </c>
      <c r="R580" s="51">
        <f t="shared" si="96"/>
        <v>0</v>
      </c>
      <c r="S580"/>
      <c r="T580" s="83"/>
    </row>
    <row r="581" spans="1:20" ht="16" x14ac:dyDescent="0.2">
      <c r="A581"/>
      <c r="B581" s="103"/>
      <c r="C581" s="243"/>
      <c r="D581" s="119">
        <v>568</v>
      </c>
      <c r="E581" s="25" t="str">
        <f>Tp_CHG!I110</f>
        <v>Transition Probability from state 2 to state 4 on day 4 (CHG)</v>
      </c>
      <c r="F581" s="40">
        <f t="shared" si="87"/>
        <v>0</v>
      </c>
      <c r="G581" s="156">
        <v>1</v>
      </c>
      <c r="H581" s="120">
        <f>Tp_CHG!L110</f>
        <v>0</v>
      </c>
      <c r="I581" s="40" t="s">
        <v>58</v>
      </c>
      <c r="J581" s="40">
        <f t="shared" si="94"/>
        <v>0</v>
      </c>
      <c r="K581" s="40">
        <f t="shared" si="95"/>
        <v>0</v>
      </c>
      <c r="L581" s="40" t="s">
        <v>58</v>
      </c>
      <c r="M581" s="50" t="s">
        <v>266</v>
      </c>
      <c r="N581" s="190"/>
      <c r="O581" s="40">
        <f t="shared" ca="1" si="93"/>
        <v>0.59095801694030614</v>
      </c>
      <c r="P581" s="51">
        <f t="shared" si="88"/>
        <v>0</v>
      </c>
      <c r="Q581" s="51">
        <f t="shared" si="89"/>
        <v>0</v>
      </c>
      <c r="R581" s="51">
        <f t="shared" si="96"/>
        <v>0</v>
      </c>
      <c r="S581"/>
      <c r="T581" s="83"/>
    </row>
    <row r="582" spans="1:20" ht="16" x14ac:dyDescent="0.2">
      <c r="A582"/>
      <c r="B582" s="103"/>
      <c r="C582" s="243"/>
      <c r="D582" s="119">
        <v>569</v>
      </c>
      <c r="E582" s="25" t="str">
        <f>Tp_CHG!I111</f>
        <v>Transition Probability from state 2 to state 4 on day 5 (CHG)</v>
      </c>
      <c r="F582" s="40">
        <f t="shared" si="87"/>
        <v>0</v>
      </c>
      <c r="G582" s="156">
        <v>1</v>
      </c>
      <c r="H582" s="120">
        <f>Tp_CHG!L111</f>
        <v>0</v>
      </c>
      <c r="I582" s="40" t="s">
        <v>58</v>
      </c>
      <c r="J582" s="40">
        <f t="shared" ref="J582:J613" si="97">IF(H582=0,0,_xlfn.NORM.INV(0.025,H582,R582))</f>
        <v>0</v>
      </c>
      <c r="K582" s="40">
        <f t="shared" ref="K582:K613" si="98">IF(H582=0,0,_xlfn.NORM.INV(0.975,H582,R582))</f>
        <v>0</v>
      </c>
      <c r="L582" s="40" t="s">
        <v>58</v>
      </c>
      <c r="M582" s="50" t="s">
        <v>266</v>
      </c>
      <c r="N582" s="190"/>
      <c r="O582" s="40">
        <f t="shared" ca="1" si="93"/>
        <v>0.8246773063509204</v>
      </c>
      <c r="P582" s="51">
        <f t="shared" si="88"/>
        <v>0</v>
      </c>
      <c r="Q582" s="51">
        <f t="shared" si="89"/>
        <v>0</v>
      </c>
      <c r="R582" s="51">
        <f t="shared" ref="R582:R613" si="99">assumedSE*H582</f>
        <v>0</v>
      </c>
      <c r="S582"/>
      <c r="T582" s="83"/>
    </row>
    <row r="583" spans="1:20" ht="16" x14ac:dyDescent="0.2">
      <c r="A583"/>
      <c r="B583" s="103"/>
      <c r="C583" s="243"/>
      <c r="D583" s="119">
        <v>570</v>
      </c>
      <c r="E583" s="25" t="str">
        <f>Tp_CHG!I112</f>
        <v>Transition Probability from state 2 to state 4 on day 6 (CHG)</v>
      </c>
      <c r="F583" s="40">
        <f t="shared" si="87"/>
        <v>0</v>
      </c>
      <c r="G583" s="156">
        <v>1</v>
      </c>
      <c r="H583" s="120">
        <f>Tp_CHG!L112</f>
        <v>0</v>
      </c>
      <c r="I583" s="40" t="s">
        <v>58</v>
      </c>
      <c r="J583" s="40">
        <f t="shared" si="97"/>
        <v>0</v>
      </c>
      <c r="K583" s="40">
        <f t="shared" si="98"/>
        <v>0</v>
      </c>
      <c r="L583" s="40" t="s">
        <v>58</v>
      </c>
      <c r="M583" s="50" t="s">
        <v>266</v>
      </c>
      <c r="N583" s="190"/>
      <c r="O583" s="40">
        <f t="shared" ca="1" si="93"/>
        <v>0.95955259997294262</v>
      </c>
      <c r="P583" s="51">
        <f t="shared" si="88"/>
        <v>0</v>
      </c>
      <c r="Q583" s="51">
        <f t="shared" si="89"/>
        <v>0</v>
      </c>
      <c r="R583" s="51">
        <f t="shared" si="99"/>
        <v>0</v>
      </c>
      <c r="S583"/>
      <c r="T583" s="83"/>
    </row>
    <row r="584" spans="1:20" ht="16" x14ac:dyDescent="0.2">
      <c r="A584"/>
      <c r="B584" s="103"/>
      <c r="C584" s="243"/>
      <c r="D584" s="119">
        <v>571</v>
      </c>
      <c r="E584" s="25" t="str">
        <f>Tp_CHG!I113</f>
        <v>Transition Probability from state 2 to state 4 on day 7 (CHG)</v>
      </c>
      <c r="F584" s="40">
        <f t="shared" si="87"/>
        <v>0</v>
      </c>
      <c r="G584" s="156">
        <v>1</v>
      </c>
      <c r="H584" s="120">
        <f>Tp_CHG!L113</f>
        <v>0</v>
      </c>
      <c r="I584" s="40" t="s">
        <v>58</v>
      </c>
      <c r="J584" s="40">
        <f t="shared" si="97"/>
        <v>0</v>
      </c>
      <c r="K584" s="40">
        <f t="shared" si="98"/>
        <v>0</v>
      </c>
      <c r="L584" s="40" t="s">
        <v>58</v>
      </c>
      <c r="M584" s="50" t="s">
        <v>266</v>
      </c>
      <c r="N584" s="190"/>
      <c r="O584" s="40">
        <f t="shared" ca="1" si="93"/>
        <v>0.40332354492211575</v>
      </c>
      <c r="P584" s="51">
        <f t="shared" si="88"/>
        <v>0</v>
      </c>
      <c r="Q584" s="51">
        <f t="shared" si="89"/>
        <v>0</v>
      </c>
      <c r="R584" s="51">
        <f t="shared" si="99"/>
        <v>0</v>
      </c>
      <c r="S584"/>
      <c r="T584" s="83"/>
    </row>
    <row r="585" spans="1:20" ht="16" x14ac:dyDescent="0.2">
      <c r="A585"/>
      <c r="B585" s="103"/>
      <c r="C585" s="243"/>
      <c r="D585" s="119">
        <v>572</v>
      </c>
      <c r="E585" s="25" t="str">
        <f>Tp_CHG!I114</f>
        <v>Transition Probability from state 2 to state 4 on day 8 (CHG)</v>
      </c>
      <c r="F585" s="40">
        <f t="shared" si="87"/>
        <v>0</v>
      </c>
      <c r="G585" s="156">
        <v>1</v>
      </c>
      <c r="H585" s="120">
        <f>Tp_CHG!L114</f>
        <v>0</v>
      </c>
      <c r="I585" s="40" t="s">
        <v>58</v>
      </c>
      <c r="J585" s="40">
        <f t="shared" si="97"/>
        <v>0</v>
      </c>
      <c r="K585" s="40">
        <f t="shared" si="98"/>
        <v>0</v>
      </c>
      <c r="L585" s="40" t="s">
        <v>58</v>
      </c>
      <c r="M585" s="50" t="s">
        <v>266</v>
      </c>
      <c r="N585" s="190"/>
      <c r="O585" s="40">
        <f t="shared" ca="1" si="93"/>
        <v>0.72862577630179215</v>
      </c>
      <c r="P585" s="51">
        <f t="shared" si="88"/>
        <v>0</v>
      </c>
      <c r="Q585" s="51">
        <f t="shared" si="89"/>
        <v>0</v>
      </c>
      <c r="R585" s="51">
        <f t="shared" si="99"/>
        <v>0</v>
      </c>
      <c r="S585"/>
      <c r="T585" s="83"/>
    </row>
    <row r="586" spans="1:20" ht="16" x14ac:dyDescent="0.2">
      <c r="A586"/>
      <c r="B586" s="103"/>
      <c r="C586" s="243"/>
      <c r="D586" s="119">
        <v>573</v>
      </c>
      <c r="E586" s="25" t="str">
        <f>Tp_CHG!I115</f>
        <v>Transition Probability from state 2 to state 4 on day 9 (CHG)</v>
      </c>
      <c r="F586" s="40">
        <f t="shared" si="87"/>
        <v>0</v>
      </c>
      <c r="G586" s="156">
        <v>1</v>
      </c>
      <c r="H586" s="120">
        <f>Tp_CHG!L115</f>
        <v>0</v>
      </c>
      <c r="I586" s="40" t="s">
        <v>58</v>
      </c>
      <c r="J586" s="40">
        <f t="shared" si="97"/>
        <v>0</v>
      </c>
      <c r="K586" s="40">
        <f t="shared" si="98"/>
        <v>0</v>
      </c>
      <c r="L586" s="40" t="s">
        <v>58</v>
      </c>
      <c r="M586" s="50" t="s">
        <v>266</v>
      </c>
      <c r="N586" s="190"/>
      <c r="O586" s="40">
        <f t="shared" ca="1" si="93"/>
        <v>0.72484267995125895</v>
      </c>
      <c r="P586" s="51">
        <f t="shared" si="88"/>
        <v>0</v>
      </c>
      <c r="Q586" s="51">
        <f t="shared" si="89"/>
        <v>0</v>
      </c>
      <c r="R586" s="51">
        <f t="shared" si="99"/>
        <v>0</v>
      </c>
      <c r="S586"/>
      <c r="T586" s="83"/>
    </row>
    <row r="587" spans="1:20" ht="16" x14ac:dyDescent="0.2">
      <c r="A587"/>
      <c r="B587" s="103"/>
      <c r="C587" s="243"/>
      <c r="D587" s="119">
        <v>574</v>
      </c>
      <c r="E587" s="25" t="str">
        <f>Tp_CHG!I116</f>
        <v>Transition Probability from state 2 to state 4 on day 10 (CHG)</v>
      </c>
      <c r="F587" s="40">
        <f t="shared" si="87"/>
        <v>0</v>
      </c>
      <c r="G587" s="156">
        <v>1</v>
      </c>
      <c r="H587" s="120">
        <f>Tp_CHG!L116</f>
        <v>0</v>
      </c>
      <c r="I587" s="40" t="s">
        <v>58</v>
      </c>
      <c r="J587" s="40">
        <f t="shared" si="97"/>
        <v>0</v>
      </c>
      <c r="K587" s="40">
        <f t="shared" si="98"/>
        <v>0</v>
      </c>
      <c r="L587" s="40" t="s">
        <v>58</v>
      </c>
      <c r="M587" s="50" t="s">
        <v>266</v>
      </c>
      <c r="N587" s="190"/>
      <c r="O587" s="40">
        <f t="shared" ca="1" si="93"/>
        <v>0.28086609983967759</v>
      </c>
      <c r="P587" s="51">
        <f t="shared" si="88"/>
        <v>0</v>
      </c>
      <c r="Q587" s="51">
        <f t="shared" si="89"/>
        <v>0</v>
      </c>
      <c r="R587" s="51">
        <f t="shared" si="99"/>
        <v>0</v>
      </c>
      <c r="S587"/>
      <c r="T587" s="83"/>
    </row>
    <row r="588" spans="1:20" ht="16" x14ac:dyDescent="0.2">
      <c r="A588"/>
      <c r="B588" s="103"/>
      <c r="C588" s="243"/>
      <c r="D588" s="119">
        <v>575</v>
      </c>
      <c r="E588" s="25" t="str">
        <f>Tp_CHG!I117</f>
        <v>Transition Probability from state 2 to state 4 on day 11 (CHG)</v>
      </c>
      <c r="F588" s="40">
        <f t="shared" si="87"/>
        <v>0</v>
      </c>
      <c r="G588" s="156">
        <v>1</v>
      </c>
      <c r="H588" s="120">
        <f>Tp_CHG!L117</f>
        <v>0</v>
      </c>
      <c r="I588" s="40" t="s">
        <v>58</v>
      </c>
      <c r="J588" s="40">
        <f t="shared" si="97"/>
        <v>0</v>
      </c>
      <c r="K588" s="40">
        <f t="shared" si="98"/>
        <v>0</v>
      </c>
      <c r="L588" s="40" t="s">
        <v>58</v>
      </c>
      <c r="M588" s="50" t="s">
        <v>266</v>
      </c>
      <c r="N588" s="190"/>
      <c r="O588" s="40">
        <f t="shared" ca="1" si="93"/>
        <v>0.60799020099572254</v>
      </c>
      <c r="P588" s="51">
        <f t="shared" si="88"/>
        <v>0</v>
      </c>
      <c r="Q588" s="51">
        <f t="shared" si="89"/>
        <v>0</v>
      </c>
      <c r="R588" s="51">
        <f t="shared" si="99"/>
        <v>0</v>
      </c>
      <c r="S588"/>
      <c r="T588" s="83"/>
    </row>
    <row r="589" spans="1:20" ht="16" x14ac:dyDescent="0.2">
      <c r="A589"/>
      <c r="B589" s="103"/>
      <c r="C589" s="243"/>
      <c r="D589" s="119">
        <v>576</v>
      </c>
      <c r="E589" s="25" t="str">
        <f>Tp_CHG!I118</f>
        <v>Transition Probability from state 2 to state 4 on day 12 (CHG)</v>
      </c>
      <c r="F589" s="40">
        <f t="shared" si="87"/>
        <v>0</v>
      </c>
      <c r="G589" s="156">
        <v>1</v>
      </c>
      <c r="H589" s="120">
        <f>Tp_CHG!L118</f>
        <v>0</v>
      </c>
      <c r="I589" s="40" t="s">
        <v>58</v>
      </c>
      <c r="J589" s="40">
        <f t="shared" si="97"/>
        <v>0</v>
      </c>
      <c r="K589" s="40">
        <f t="shared" si="98"/>
        <v>0</v>
      </c>
      <c r="L589" s="40" t="s">
        <v>58</v>
      </c>
      <c r="M589" s="50" t="s">
        <v>266</v>
      </c>
      <c r="N589" s="190"/>
      <c r="O589" s="40">
        <f t="shared" ca="1" si="93"/>
        <v>7.6770905417955282E-2</v>
      </c>
      <c r="P589" s="51">
        <f t="shared" si="88"/>
        <v>0</v>
      </c>
      <c r="Q589" s="51">
        <f t="shared" si="89"/>
        <v>0</v>
      </c>
      <c r="R589" s="51">
        <f t="shared" si="99"/>
        <v>0</v>
      </c>
      <c r="S589"/>
      <c r="T589" s="83"/>
    </row>
    <row r="590" spans="1:20" ht="16" x14ac:dyDescent="0.2">
      <c r="A590"/>
      <c r="B590" s="103"/>
      <c r="C590" s="243"/>
      <c r="D590" s="119">
        <v>577</v>
      </c>
      <c r="E590" s="25" t="str">
        <f>Tp_CHG!I119</f>
        <v>Transition Probability from state 2 to state 4 on day 13 (CHG)</v>
      </c>
      <c r="F590" s="40">
        <f t="shared" si="87"/>
        <v>0</v>
      </c>
      <c r="G590" s="156">
        <v>1</v>
      </c>
      <c r="H590" s="120">
        <f>Tp_CHG!L119</f>
        <v>0</v>
      </c>
      <c r="I590" s="40" t="s">
        <v>58</v>
      </c>
      <c r="J590" s="40">
        <f t="shared" si="97"/>
        <v>0</v>
      </c>
      <c r="K590" s="40">
        <f t="shared" si="98"/>
        <v>0</v>
      </c>
      <c r="L590" s="40" t="s">
        <v>58</v>
      </c>
      <c r="M590" s="50" t="s">
        <v>266</v>
      </c>
      <c r="N590" s="190"/>
      <c r="O590" s="40">
        <f t="shared" ca="1" si="93"/>
        <v>0.1043440407101045</v>
      </c>
      <c r="P590" s="51">
        <f t="shared" si="88"/>
        <v>0</v>
      </c>
      <c r="Q590" s="51">
        <f t="shared" si="89"/>
        <v>0</v>
      </c>
      <c r="R590" s="51">
        <f t="shared" si="99"/>
        <v>0</v>
      </c>
      <c r="S590"/>
      <c r="T590" s="83"/>
    </row>
    <row r="591" spans="1:20" ht="16" x14ac:dyDescent="0.2">
      <c r="A591"/>
      <c r="B591" s="103"/>
      <c r="C591" s="243"/>
      <c r="D591" s="119">
        <v>578</v>
      </c>
      <c r="E591" s="25" t="str">
        <f>Tp_CHG!I120</f>
        <v>Transition Probability from state 2 to state 4 on day 14 (CHG)</v>
      </c>
      <c r="F591" s="40">
        <f t="shared" ref="F591:F654" si="100">IFERROR(CHOOSE(G591,H591,J591,K591,N591),0)</f>
        <v>0</v>
      </c>
      <c r="G591" s="156">
        <v>1</v>
      </c>
      <c r="H591" s="120">
        <f>Tp_CHG!L120</f>
        <v>0</v>
      </c>
      <c r="I591" s="40" t="s">
        <v>58</v>
      </c>
      <c r="J591" s="40">
        <f t="shared" si="97"/>
        <v>0</v>
      </c>
      <c r="K591" s="40">
        <f t="shared" si="98"/>
        <v>0</v>
      </c>
      <c r="L591" s="40" t="s">
        <v>58</v>
      </c>
      <c r="M591" s="50" t="s">
        <v>266</v>
      </c>
      <c r="N591" s="190"/>
      <c r="O591" s="40">
        <f t="shared" ca="1" si="93"/>
        <v>0.73452509555759471</v>
      </c>
      <c r="P591" s="51">
        <f t="shared" si="88"/>
        <v>0</v>
      </c>
      <c r="Q591" s="51">
        <f t="shared" si="89"/>
        <v>0</v>
      </c>
      <c r="R591" s="51">
        <f t="shared" si="99"/>
        <v>0</v>
      </c>
      <c r="S591"/>
      <c r="T591" s="83"/>
    </row>
    <row r="592" spans="1:20" ht="16" x14ac:dyDescent="0.2">
      <c r="A592"/>
      <c r="B592" s="103"/>
      <c r="C592" s="243"/>
      <c r="D592" s="119">
        <v>579</v>
      </c>
      <c r="E592" s="25" t="str">
        <f>Tp_CHG!I121</f>
        <v>Transition Probability from state 2 to state 4 on day 15 (CHG)</v>
      </c>
      <c r="F592" s="40">
        <f t="shared" si="100"/>
        <v>0</v>
      </c>
      <c r="G592" s="156">
        <v>1</v>
      </c>
      <c r="H592" s="120">
        <f>Tp_CHG!L121</f>
        <v>0</v>
      </c>
      <c r="I592" s="40" t="s">
        <v>58</v>
      </c>
      <c r="J592" s="40">
        <f t="shared" si="97"/>
        <v>0</v>
      </c>
      <c r="K592" s="40">
        <f t="shared" si="98"/>
        <v>0</v>
      </c>
      <c r="L592" s="40" t="s">
        <v>58</v>
      </c>
      <c r="M592" s="50" t="s">
        <v>266</v>
      </c>
      <c r="N592" s="190"/>
      <c r="O592" s="40">
        <f t="shared" ca="1" si="93"/>
        <v>0.3774194504479067</v>
      </c>
      <c r="P592" s="51">
        <f t="shared" si="88"/>
        <v>0</v>
      </c>
      <c r="Q592" s="51">
        <f t="shared" si="89"/>
        <v>0</v>
      </c>
      <c r="R592" s="51">
        <f t="shared" si="99"/>
        <v>0</v>
      </c>
      <c r="S592"/>
      <c r="T592" s="83"/>
    </row>
    <row r="593" spans="1:20" ht="16" x14ac:dyDescent="0.2">
      <c r="A593"/>
      <c r="B593" s="103"/>
      <c r="C593" s="243"/>
      <c r="D593" s="119">
        <v>580</v>
      </c>
      <c r="E593" s="25" t="str">
        <f>Tp_CHG!I122</f>
        <v>Transition Probability from state 2 to state 4 on day 16 (CHG)</v>
      </c>
      <c r="F593" s="40">
        <f t="shared" si="100"/>
        <v>0</v>
      </c>
      <c r="G593" s="156">
        <v>1</v>
      </c>
      <c r="H593" s="120">
        <f>Tp_CHG!L122</f>
        <v>0</v>
      </c>
      <c r="I593" s="40" t="s">
        <v>58</v>
      </c>
      <c r="J593" s="40">
        <f t="shared" si="97"/>
        <v>0</v>
      </c>
      <c r="K593" s="40">
        <f t="shared" si="98"/>
        <v>0</v>
      </c>
      <c r="L593" s="40" t="s">
        <v>58</v>
      </c>
      <c r="M593" s="50" t="s">
        <v>266</v>
      </c>
      <c r="N593" s="190"/>
      <c r="O593" s="40">
        <f t="shared" ca="1" si="93"/>
        <v>0.16810524325623122</v>
      </c>
      <c r="P593" s="51">
        <f t="shared" ref="P593:P656" si="101">IFERROR(H593*((H593*(1-H593)/(R593^2))-1),0)</f>
        <v>0</v>
      </c>
      <c r="Q593" s="51">
        <f t="shared" ref="Q593:Q656" si="102">IFERROR((1-H593)*((H593*(1-H593))/(R593^2)-1),0)</f>
        <v>0</v>
      </c>
      <c r="R593" s="51">
        <f t="shared" si="99"/>
        <v>0</v>
      </c>
      <c r="S593"/>
      <c r="T593" s="83"/>
    </row>
    <row r="594" spans="1:20" ht="16" x14ac:dyDescent="0.2">
      <c r="A594"/>
      <c r="B594" s="103"/>
      <c r="C594" s="243"/>
      <c r="D594" s="119">
        <v>581</v>
      </c>
      <c r="E594" s="25" t="str">
        <f>Tp_CHG!I123</f>
        <v>Transition Probability from state 2 to state 4 on day 17 (CHG)</v>
      </c>
      <c r="F594" s="40">
        <f t="shared" si="100"/>
        <v>0</v>
      </c>
      <c r="G594" s="156">
        <v>1</v>
      </c>
      <c r="H594" s="120">
        <f>Tp_CHG!L123</f>
        <v>0</v>
      </c>
      <c r="I594" s="40" t="s">
        <v>58</v>
      </c>
      <c r="J594" s="40">
        <f t="shared" si="97"/>
        <v>0</v>
      </c>
      <c r="K594" s="40">
        <f t="shared" si="98"/>
        <v>0</v>
      </c>
      <c r="L594" s="40" t="s">
        <v>58</v>
      </c>
      <c r="M594" s="50" t="s">
        <v>266</v>
      </c>
      <c r="N594" s="190"/>
      <c r="O594" s="40">
        <f t="shared" ca="1" si="93"/>
        <v>0.21324981852806013</v>
      </c>
      <c r="P594" s="51">
        <f t="shared" si="101"/>
        <v>0</v>
      </c>
      <c r="Q594" s="51">
        <f t="shared" si="102"/>
        <v>0</v>
      </c>
      <c r="R594" s="51">
        <f t="shared" si="99"/>
        <v>0</v>
      </c>
      <c r="S594"/>
      <c r="T594" s="83"/>
    </row>
    <row r="595" spans="1:20" ht="16" x14ac:dyDescent="0.2">
      <c r="A595"/>
      <c r="B595" s="103"/>
      <c r="C595" s="243"/>
      <c r="D595" s="119">
        <v>582</v>
      </c>
      <c r="E595" s="25" t="str">
        <f>Tp_CHG!I124</f>
        <v>Transition Probability from state 2 to state 4 on day 18 (CHG)</v>
      </c>
      <c r="F595" s="40">
        <f t="shared" si="100"/>
        <v>0</v>
      </c>
      <c r="G595" s="156">
        <v>1</v>
      </c>
      <c r="H595" s="120">
        <f>Tp_CHG!L124</f>
        <v>0</v>
      </c>
      <c r="I595" s="40" t="s">
        <v>58</v>
      </c>
      <c r="J595" s="40">
        <f t="shared" si="97"/>
        <v>0</v>
      </c>
      <c r="K595" s="40">
        <f t="shared" si="98"/>
        <v>0</v>
      </c>
      <c r="L595" s="40" t="s">
        <v>58</v>
      </c>
      <c r="M595" s="50" t="s">
        <v>266</v>
      </c>
      <c r="N595" s="190"/>
      <c r="O595" s="40">
        <f t="shared" ca="1" si="93"/>
        <v>0.26619249812733348</v>
      </c>
      <c r="P595" s="51">
        <f t="shared" si="101"/>
        <v>0</v>
      </c>
      <c r="Q595" s="51">
        <f t="shared" si="102"/>
        <v>0</v>
      </c>
      <c r="R595" s="51">
        <f t="shared" si="99"/>
        <v>0</v>
      </c>
      <c r="S595"/>
      <c r="T595" s="83"/>
    </row>
    <row r="596" spans="1:20" ht="16" x14ac:dyDescent="0.2">
      <c r="A596"/>
      <c r="B596" s="103"/>
      <c r="C596" s="243"/>
      <c r="D596" s="119">
        <v>583</v>
      </c>
      <c r="E596" s="25" t="str">
        <f>Tp_CHG!I125</f>
        <v>Transition Probability from state 2 to state 4 on day 19 (CHG)</v>
      </c>
      <c r="F596" s="40">
        <f t="shared" si="100"/>
        <v>0</v>
      </c>
      <c r="G596" s="156">
        <v>1</v>
      </c>
      <c r="H596" s="120">
        <f>Tp_CHG!L125</f>
        <v>0</v>
      </c>
      <c r="I596" s="40" t="s">
        <v>58</v>
      </c>
      <c r="J596" s="40">
        <f t="shared" si="97"/>
        <v>0</v>
      </c>
      <c r="K596" s="40">
        <f t="shared" si="98"/>
        <v>0</v>
      </c>
      <c r="L596" s="40" t="s">
        <v>58</v>
      </c>
      <c r="M596" s="50" t="s">
        <v>266</v>
      </c>
      <c r="N596" s="190"/>
      <c r="O596" s="40">
        <f t="shared" ca="1" si="93"/>
        <v>0.76336831244451442</v>
      </c>
      <c r="P596" s="51">
        <f t="shared" si="101"/>
        <v>0</v>
      </c>
      <c r="Q596" s="51">
        <f t="shared" si="102"/>
        <v>0</v>
      </c>
      <c r="R596" s="51">
        <f t="shared" si="99"/>
        <v>0</v>
      </c>
      <c r="S596"/>
      <c r="T596" s="83"/>
    </row>
    <row r="597" spans="1:20" ht="16" x14ac:dyDescent="0.2">
      <c r="A597"/>
      <c r="B597" s="103"/>
      <c r="C597" s="243"/>
      <c r="D597" s="119">
        <v>584</v>
      </c>
      <c r="E597" s="25" t="str">
        <f>Tp_CHG!I126</f>
        <v>Transition Probability from state 2 to state 4 on day 20 (CHG)</v>
      </c>
      <c r="F597" s="40">
        <f t="shared" si="100"/>
        <v>0</v>
      </c>
      <c r="G597" s="156">
        <v>1</v>
      </c>
      <c r="H597" s="120">
        <f>Tp_CHG!L126</f>
        <v>0</v>
      </c>
      <c r="I597" s="40" t="s">
        <v>58</v>
      </c>
      <c r="J597" s="40">
        <f t="shared" si="97"/>
        <v>0</v>
      </c>
      <c r="K597" s="40">
        <f t="shared" si="98"/>
        <v>0</v>
      </c>
      <c r="L597" s="40" t="s">
        <v>58</v>
      </c>
      <c r="M597" s="50" t="s">
        <v>266</v>
      </c>
      <c r="N597" s="190"/>
      <c r="O597" s="40">
        <f t="shared" ca="1" si="93"/>
        <v>0.66586812327472655</v>
      </c>
      <c r="P597" s="51">
        <f t="shared" si="101"/>
        <v>0</v>
      </c>
      <c r="Q597" s="51">
        <f t="shared" si="102"/>
        <v>0</v>
      </c>
      <c r="R597" s="51">
        <f t="shared" si="99"/>
        <v>0</v>
      </c>
      <c r="S597"/>
      <c r="T597" s="83"/>
    </row>
    <row r="598" spans="1:20" ht="16" x14ac:dyDescent="0.2">
      <c r="A598"/>
      <c r="B598" s="103"/>
      <c r="C598" s="243"/>
      <c r="D598" s="119">
        <v>585</v>
      </c>
      <c r="E598" s="25" t="str">
        <f>Tp_CHG!I127</f>
        <v>Transition Probability from state 2 to state 4 on day 21 (CHG)</v>
      </c>
      <c r="F598" s="40">
        <f t="shared" si="100"/>
        <v>0</v>
      </c>
      <c r="G598" s="156">
        <v>1</v>
      </c>
      <c r="H598" s="120">
        <f>Tp_CHG!L127</f>
        <v>0</v>
      </c>
      <c r="I598" s="40" t="s">
        <v>58</v>
      </c>
      <c r="J598" s="40">
        <f t="shared" si="97"/>
        <v>0</v>
      </c>
      <c r="K598" s="40">
        <f t="shared" si="98"/>
        <v>0</v>
      </c>
      <c r="L598" s="40" t="s">
        <v>58</v>
      </c>
      <c r="M598" s="50" t="s">
        <v>266</v>
      </c>
      <c r="N598" s="190"/>
      <c r="O598" s="40">
        <f t="shared" ca="1" si="93"/>
        <v>0.71978456302132865</v>
      </c>
      <c r="P598" s="51">
        <f t="shared" si="101"/>
        <v>0</v>
      </c>
      <c r="Q598" s="51">
        <f t="shared" si="102"/>
        <v>0</v>
      </c>
      <c r="R598" s="51">
        <f t="shared" si="99"/>
        <v>0</v>
      </c>
      <c r="S598"/>
      <c r="T598" s="83"/>
    </row>
    <row r="599" spans="1:20" ht="16" x14ac:dyDescent="0.2">
      <c r="A599"/>
      <c r="B599" s="103"/>
      <c r="C599" s="243"/>
      <c r="D599" s="119">
        <v>586</v>
      </c>
      <c r="E599" s="25" t="str">
        <f>Tp_CHG!I128</f>
        <v>Transition Probability from state 2 to state 4 on day 22 (CHG)</v>
      </c>
      <c r="F599" s="40">
        <f t="shared" si="100"/>
        <v>0</v>
      </c>
      <c r="G599" s="156">
        <v>1</v>
      </c>
      <c r="H599" s="120">
        <f>Tp_CHG!L128</f>
        <v>0</v>
      </c>
      <c r="I599" s="40" t="s">
        <v>58</v>
      </c>
      <c r="J599" s="40">
        <f t="shared" si="97"/>
        <v>0</v>
      </c>
      <c r="K599" s="40">
        <f t="shared" si="98"/>
        <v>0</v>
      </c>
      <c r="L599" s="40" t="s">
        <v>58</v>
      </c>
      <c r="M599" s="50" t="s">
        <v>266</v>
      </c>
      <c r="N599" s="190"/>
      <c r="O599" s="40">
        <f t="shared" ca="1" si="93"/>
        <v>0.65088584597332932</v>
      </c>
      <c r="P599" s="51">
        <f t="shared" si="101"/>
        <v>0</v>
      </c>
      <c r="Q599" s="51">
        <f t="shared" si="102"/>
        <v>0</v>
      </c>
      <c r="R599" s="51">
        <f t="shared" si="99"/>
        <v>0</v>
      </c>
      <c r="S599"/>
      <c r="T599" s="83"/>
    </row>
    <row r="600" spans="1:20" ht="16" x14ac:dyDescent="0.2">
      <c r="A600"/>
      <c r="B600" s="103"/>
      <c r="C600" s="243"/>
      <c r="D600" s="119">
        <v>587</v>
      </c>
      <c r="E600" s="25" t="str">
        <f>Tp_CHG!I129</f>
        <v>Transition Probability from state 2 to state 4 on day 23 (CHG)</v>
      </c>
      <c r="F600" s="40">
        <f t="shared" si="100"/>
        <v>0</v>
      </c>
      <c r="G600" s="156">
        <v>1</v>
      </c>
      <c r="H600" s="120">
        <f>Tp_CHG!L129</f>
        <v>0</v>
      </c>
      <c r="I600" s="40" t="s">
        <v>58</v>
      </c>
      <c r="J600" s="40">
        <f t="shared" si="97"/>
        <v>0</v>
      </c>
      <c r="K600" s="40">
        <f t="shared" si="98"/>
        <v>0</v>
      </c>
      <c r="L600" s="40" t="s">
        <v>58</v>
      </c>
      <c r="M600" s="50" t="s">
        <v>266</v>
      </c>
      <c r="N600" s="190"/>
      <c r="O600" s="40">
        <f t="shared" ca="1" si="93"/>
        <v>0.43193162962696829</v>
      </c>
      <c r="P600" s="51">
        <f t="shared" si="101"/>
        <v>0</v>
      </c>
      <c r="Q600" s="51">
        <f t="shared" si="102"/>
        <v>0</v>
      </c>
      <c r="R600" s="51">
        <f t="shared" si="99"/>
        <v>0</v>
      </c>
      <c r="S600"/>
      <c r="T600" s="83"/>
    </row>
    <row r="601" spans="1:20" ht="16" x14ac:dyDescent="0.2">
      <c r="A601"/>
      <c r="B601" s="103"/>
      <c r="C601" s="243"/>
      <c r="D601" s="119">
        <v>588</v>
      </c>
      <c r="E601" s="25" t="str">
        <f>Tp_CHG!I130</f>
        <v>Transition Probability from state 2 to state 4 on day 24 (CHG)</v>
      </c>
      <c r="F601" s="40">
        <f t="shared" si="100"/>
        <v>0</v>
      </c>
      <c r="G601" s="156">
        <v>1</v>
      </c>
      <c r="H601" s="120">
        <f>Tp_CHG!L130</f>
        <v>0</v>
      </c>
      <c r="I601" s="40" t="s">
        <v>58</v>
      </c>
      <c r="J601" s="40">
        <f t="shared" si="97"/>
        <v>0</v>
      </c>
      <c r="K601" s="40">
        <f t="shared" si="98"/>
        <v>0</v>
      </c>
      <c r="L601" s="40" t="s">
        <v>58</v>
      </c>
      <c r="M601" s="50" t="s">
        <v>266</v>
      </c>
      <c r="N601" s="190"/>
      <c r="O601" s="40">
        <f t="shared" ca="1" si="93"/>
        <v>0.75552220077762611</v>
      </c>
      <c r="P601" s="51">
        <f t="shared" si="101"/>
        <v>0</v>
      </c>
      <c r="Q601" s="51">
        <f t="shared" si="102"/>
        <v>0</v>
      </c>
      <c r="R601" s="51">
        <f t="shared" si="99"/>
        <v>0</v>
      </c>
      <c r="S601"/>
      <c r="T601" s="83"/>
    </row>
    <row r="602" spans="1:20" ht="16" x14ac:dyDescent="0.2">
      <c r="A602"/>
      <c r="B602" s="103"/>
      <c r="C602" s="243"/>
      <c r="D602" s="119">
        <v>589</v>
      </c>
      <c r="E602" s="25" t="str">
        <f>Tp_CHG!I131</f>
        <v>Transition Probability from state 2 to state 4 on day 25 (CHG)</v>
      </c>
      <c r="F602" s="40">
        <f t="shared" si="100"/>
        <v>0</v>
      </c>
      <c r="G602" s="156">
        <v>1</v>
      </c>
      <c r="H602" s="120">
        <f>Tp_CHG!L131</f>
        <v>0</v>
      </c>
      <c r="I602" s="40" t="s">
        <v>58</v>
      </c>
      <c r="J602" s="40">
        <f t="shared" si="97"/>
        <v>0</v>
      </c>
      <c r="K602" s="40">
        <f t="shared" si="98"/>
        <v>0</v>
      </c>
      <c r="L602" s="40" t="s">
        <v>58</v>
      </c>
      <c r="M602" s="50" t="s">
        <v>266</v>
      </c>
      <c r="N602" s="190"/>
      <c r="O602" s="40">
        <f t="shared" ca="1" si="93"/>
        <v>0.27030062319965575</v>
      </c>
      <c r="P602" s="51">
        <f t="shared" si="101"/>
        <v>0</v>
      </c>
      <c r="Q602" s="51">
        <f t="shared" si="102"/>
        <v>0</v>
      </c>
      <c r="R602" s="51">
        <f t="shared" si="99"/>
        <v>0</v>
      </c>
      <c r="S602"/>
      <c r="T602" s="83"/>
    </row>
    <row r="603" spans="1:20" ht="16" x14ac:dyDescent="0.2">
      <c r="A603"/>
      <c r="B603" s="103"/>
      <c r="C603" s="243"/>
      <c r="D603" s="119">
        <v>590</v>
      </c>
      <c r="E603" s="25" t="str">
        <f>Tp_CHG!I132</f>
        <v>Transition Probability from state 2 to state 4 on day 26 (CHG)</v>
      </c>
      <c r="F603" s="40">
        <f t="shared" si="100"/>
        <v>0</v>
      </c>
      <c r="G603" s="156">
        <v>1</v>
      </c>
      <c r="H603" s="120">
        <f>Tp_CHG!L132</f>
        <v>0</v>
      </c>
      <c r="I603" s="40" t="s">
        <v>58</v>
      </c>
      <c r="J603" s="40">
        <f t="shared" si="97"/>
        <v>0</v>
      </c>
      <c r="K603" s="40">
        <f t="shared" si="98"/>
        <v>0</v>
      </c>
      <c r="L603" s="40" t="s">
        <v>58</v>
      </c>
      <c r="M603" s="50" t="s">
        <v>266</v>
      </c>
      <c r="N603" s="190"/>
      <c r="O603" s="40">
        <f t="shared" ca="1" si="93"/>
        <v>0.55473103570593174</v>
      </c>
      <c r="P603" s="51">
        <f t="shared" si="101"/>
        <v>0</v>
      </c>
      <c r="Q603" s="51">
        <f t="shared" si="102"/>
        <v>0</v>
      </c>
      <c r="R603" s="51">
        <f t="shared" si="99"/>
        <v>0</v>
      </c>
      <c r="S603"/>
      <c r="T603" s="83"/>
    </row>
    <row r="604" spans="1:20" ht="16" x14ac:dyDescent="0.2">
      <c r="A604"/>
      <c r="B604" s="103"/>
      <c r="C604" s="243"/>
      <c r="D604" s="119">
        <v>591</v>
      </c>
      <c r="E604" s="25" t="str">
        <f>Tp_CHG!I133</f>
        <v>Transition Probability from state 2 to state 4 on day 27 (CHG)</v>
      </c>
      <c r="F604" s="40">
        <f t="shared" si="100"/>
        <v>0</v>
      </c>
      <c r="G604" s="156">
        <v>1</v>
      </c>
      <c r="H604" s="120">
        <f>Tp_CHG!L133</f>
        <v>0</v>
      </c>
      <c r="I604" s="40" t="s">
        <v>58</v>
      </c>
      <c r="J604" s="40">
        <f t="shared" si="97"/>
        <v>0</v>
      </c>
      <c r="K604" s="40">
        <f t="shared" si="98"/>
        <v>0</v>
      </c>
      <c r="L604" s="40" t="s">
        <v>58</v>
      </c>
      <c r="M604" s="50" t="s">
        <v>266</v>
      </c>
      <c r="N604" s="190"/>
      <c r="O604" s="40">
        <f t="shared" ca="1" si="93"/>
        <v>0.54636213777384923</v>
      </c>
      <c r="P604" s="51">
        <f t="shared" si="101"/>
        <v>0</v>
      </c>
      <c r="Q604" s="51">
        <f t="shared" si="102"/>
        <v>0</v>
      </c>
      <c r="R604" s="51">
        <f t="shared" si="99"/>
        <v>0</v>
      </c>
      <c r="S604"/>
      <c r="T604" s="83"/>
    </row>
    <row r="605" spans="1:20" ht="16" x14ac:dyDescent="0.2">
      <c r="A605"/>
      <c r="B605" s="103"/>
      <c r="C605" s="243"/>
      <c r="D605" s="119">
        <v>592</v>
      </c>
      <c r="E605" s="25" t="str">
        <f>Tp_CHG!I134</f>
        <v>Transition Probability from state 2 to state 4 on day 28 (CHG)</v>
      </c>
      <c r="F605" s="40">
        <f t="shared" si="100"/>
        <v>0</v>
      </c>
      <c r="G605" s="156">
        <v>1</v>
      </c>
      <c r="H605" s="120">
        <f>Tp_CHG!L134</f>
        <v>0</v>
      </c>
      <c r="I605" s="40" t="s">
        <v>58</v>
      </c>
      <c r="J605" s="40">
        <f t="shared" si="97"/>
        <v>0</v>
      </c>
      <c r="K605" s="40">
        <f t="shared" si="98"/>
        <v>0</v>
      </c>
      <c r="L605" s="40" t="s">
        <v>58</v>
      </c>
      <c r="M605" s="50" t="s">
        <v>266</v>
      </c>
      <c r="N605" s="190"/>
      <c r="O605" s="40">
        <f t="shared" ca="1" si="93"/>
        <v>0.87368087488725243</v>
      </c>
      <c r="P605" s="51">
        <f t="shared" si="101"/>
        <v>0</v>
      </c>
      <c r="Q605" s="51">
        <f t="shared" si="102"/>
        <v>0</v>
      </c>
      <c r="R605" s="51">
        <f t="shared" si="99"/>
        <v>0</v>
      </c>
      <c r="S605"/>
      <c r="T605" s="83"/>
    </row>
    <row r="606" spans="1:20" ht="16" x14ac:dyDescent="0.2">
      <c r="A606"/>
      <c r="B606" s="103"/>
      <c r="C606" s="243"/>
      <c r="D606" s="119">
        <v>593</v>
      </c>
      <c r="E606" s="25" t="str">
        <f>Tp_CHG!I135</f>
        <v>Transition Probability from state 2 to state 4 on day 29 (CHG)</v>
      </c>
      <c r="F606" s="40">
        <f t="shared" si="100"/>
        <v>0</v>
      </c>
      <c r="G606" s="156">
        <v>1</v>
      </c>
      <c r="H606" s="120">
        <f>Tp_CHG!L135</f>
        <v>0</v>
      </c>
      <c r="I606" s="40" t="s">
        <v>58</v>
      </c>
      <c r="J606" s="40">
        <f t="shared" si="97"/>
        <v>0</v>
      </c>
      <c r="K606" s="40">
        <f t="shared" si="98"/>
        <v>0</v>
      </c>
      <c r="L606" s="40" t="s">
        <v>58</v>
      </c>
      <c r="M606" s="50" t="s">
        <v>266</v>
      </c>
      <c r="N606" s="190"/>
      <c r="O606" s="40">
        <f t="shared" ca="1" si="93"/>
        <v>0.75767084887655434</v>
      </c>
      <c r="P606" s="51">
        <f t="shared" si="101"/>
        <v>0</v>
      </c>
      <c r="Q606" s="51">
        <f t="shared" si="102"/>
        <v>0</v>
      </c>
      <c r="R606" s="51">
        <f t="shared" si="99"/>
        <v>0</v>
      </c>
      <c r="S606"/>
      <c r="T606" s="83"/>
    </row>
    <row r="607" spans="1:20" ht="16" x14ac:dyDescent="0.2">
      <c r="A607"/>
      <c r="B607" s="103"/>
      <c r="C607" s="243"/>
      <c r="D607" s="119">
        <v>594</v>
      </c>
      <c r="E607" s="25" t="str">
        <f>Tp_CHG!I136</f>
        <v>Transition Probability from state 2 to state 4 on day 30 (CHG)</v>
      </c>
      <c r="F607" s="40">
        <f t="shared" si="100"/>
        <v>0</v>
      </c>
      <c r="G607" s="156">
        <v>1</v>
      </c>
      <c r="H607" s="120">
        <f>Tp_CHG!L136</f>
        <v>0</v>
      </c>
      <c r="I607" s="40" t="s">
        <v>58</v>
      </c>
      <c r="J607" s="40">
        <f t="shared" si="97"/>
        <v>0</v>
      </c>
      <c r="K607" s="40">
        <f t="shared" si="98"/>
        <v>0</v>
      </c>
      <c r="L607" s="40" t="s">
        <v>58</v>
      </c>
      <c r="M607" s="50" t="s">
        <v>266</v>
      </c>
      <c r="N607" s="190"/>
      <c r="O607" s="40">
        <f t="shared" ca="1" si="93"/>
        <v>0.86525572743347734</v>
      </c>
      <c r="P607" s="51">
        <f t="shared" si="101"/>
        <v>0</v>
      </c>
      <c r="Q607" s="51">
        <f t="shared" si="102"/>
        <v>0</v>
      </c>
      <c r="R607" s="51">
        <f t="shared" si="99"/>
        <v>0</v>
      </c>
      <c r="S607"/>
      <c r="T607" s="83"/>
    </row>
    <row r="608" spans="1:20" ht="16" x14ac:dyDescent="0.2">
      <c r="A608"/>
      <c r="B608" s="103"/>
      <c r="C608" s="243"/>
      <c r="D608" s="119">
        <v>595</v>
      </c>
      <c r="E608" s="25" t="str">
        <f>Tp_CHG!N107</f>
        <v>Transition Probability from state 3 to state 4 on day 1 (CHG)</v>
      </c>
      <c r="F608" s="40">
        <f t="shared" si="100"/>
        <v>0</v>
      </c>
      <c r="G608" s="156">
        <v>1</v>
      </c>
      <c r="H608" s="120">
        <f>Tp_CHG!Q107</f>
        <v>0</v>
      </c>
      <c r="I608" s="40" t="s">
        <v>58</v>
      </c>
      <c r="J608" s="40">
        <f t="shared" si="97"/>
        <v>0</v>
      </c>
      <c r="K608" s="40">
        <f t="shared" si="98"/>
        <v>0</v>
      </c>
      <c r="L608" s="40" t="s">
        <v>58</v>
      </c>
      <c r="M608" s="50" t="s">
        <v>266</v>
      </c>
      <c r="N608" s="190"/>
      <c r="O608" s="40">
        <f t="shared" ca="1" si="93"/>
        <v>0.61608774438818692</v>
      </c>
      <c r="P608" s="51">
        <f t="shared" si="101"/>
        <v>0</v>
      </c>
      <c r="Q608" s="51">
        <f t="shared" si="102"/>
        <v>0</v>
      </c>
      <c r="R608" s="51">
        <f t="shared" si="99"/>
        <v>0</v>
      </c>
      <c r="S608"/>
      <c r="T608" s="83"/>
    </row>
    <row r="609" spans="1:20" ht="16" x14ac:dyDescent="0.2">
      <c r="A609"/>
      <c r="B609" s="103"/>
      <c r="C609" s="243"/>
      <c r="D609" s="119">
        <v>596</v>
      </c>
      <c r="E609" s="25" t="str">
        <f>Tp_CHG!N108</f>
        <v>Transition Probability from state 3 to state 4 on day 2 (CHG)</v>
      </c>
      <c r="F609" s="40">
        <f t="shared" si="100"/>
        <v>0</v>
      </c>
      <c r="G609" s="156">
        <v>1</v>
      </c>
      <c r="H609" s="120">
        <f>Tp_CHG!Q108</f>
        <v>0</v>
      </c>
      <c r="I609" s="40" t="s">
        <v>58</v>
      </c>
      <c r="J609" s="40">
        <f t="shared" si="97"/>
        <v>0</v>
      </c>
      <c r="K609" s="40">
        <f t="shared" si="98"/>
        <v>0</v>
      </c>
      <c r="L609" s="40" t="s">
        <v>58</v>
      </c>
      <c r="M609" s="50" t="s">
        <v>266</v>
      </c>
      <c r="N609" s="190"/>
      <c r="O609" s="40">
        <f t="shared" ca="1" si="93"/>
        <v>3.1714161564008081E-2</v>
      </c>
      <c r="P609" s="51">
        <f t="shared" si="101"/>
        <v>0</v>
      </c>
      <c r="Q609" s="51">
        <f t="shared" si="102"/>
        <v>0</v>
      </c>
      <c r="R609" s="51">
        <f t="shared" si="99"/>
        <v>0</v>
      </c>
      <c r="S609"/>
      <c r="T609" s="83"/>
    </row>
    <row r="610" spans="1:20" ht="16" x14ac:dyDescent="0.2">
      <c r="A610"/>
      <c r="B610" s="103"/>
      <c r="C610" s="243"/>
      <c r="D610" s="119">
        <v>597</v>
      </c>
      <c r="E610" s="25" t="str">
        <f>Tp_CHG!N109</f>
        <v>Transition Probability from state 3 to state 4 on day 3 (CHG)</v>
      </c>
      <c r="F610" s="40">
        <f t="shared" si="100"/>
        <v>0</v>
      </c>
      <c r="G610" s="156">
        <v>1</v>
      </c>
      <c r="H610" s="120">
        <f>Tp_CHG!Q109</f>
        <v>0</v>
      </c>
      <c r="I610" s="40" t="s">
        <v>58</v>
      </c>
      <c r="J610" s="40">
        <f t="shared" si="97"/>
        <v>0</v>
      </c>
      <c r="K610" s="40">
        <f t="shared" si="98"/>
        <v>0</v>
      </c>
      <c r="L610" s="40" t="s">
        <v>58</v>
      </c>
      <c r="M610" s="50" t="s">
        <v>266</v>
      </c>
      <c r="N610" s="190"/>
      <c r="O610" s="40">
        <f t="shared" ref="O610:O673" ca="1" si="103">RAND()</f>
        <v>0.45145381635697746</v>
      </c>
      <c r="P610" s="51">
        <f t="shared" si="101"/>
        <v>0</v>
      </c>
      <c r="Q610" s="51">
        <f t="shared" si="102"/>
        <v>0</v>
      </c>
      <c r="R610" s="51">
        <f t="shared" si="99"/>
        <v>0</v>
      </c>
      <c r="S610"/>
      <c r="T610" s="83"/>
    </row>
    <row r="611" spans="1:20" ht="16" x14ac:dyDescent="0.2">
      <c r="A611"/>
      <c r="B611" s="103"/>
      <c r="C611" s="243"/>
      <c r="D611" s="119">
        <v>598</v>
      </c>
      <c r="E611" s="25" t="str">
        <f>Tp_CHG!N110</f>
        <v>Transition Probability from state 3 to state 4 on day 4 (CHG)</v>
      </c>
      <c r="F611" s="40">
        <f t="shared" si="100"/>
        <v>0</v>
      </c>
      <c r="G611" s="156">
        <v>1</v>
      </c>
      <c r="H611" s="120">
        <f>Tp_CHG!Q110</f>
        <v>0</v>
      </c>
      <c r="I611" s="40" t="s">
        <v>58</v>
      </c>
      <c r="J611" s="40">
        <f t="shared" si="97"/>
        <v>0</v>
      </c>
      <c r="K611" s="40">
        <f t="shared" si="98"/>
        <v>0</v>
      </c>
      <c r="L611" s="40" t="s">
        <v>58</v>
      </c>
      <c r="M611" s="50" t="s">
        <v>266</v>
      </c>
      <c r="N611" s="190"/>
      <c r="O611" s="40">
        <f t="shared" ca="1" si="103"/>
        <v>0.96856703319404458</v>
      </c>
      <c r="P611" s="51">
        <f t="shared" si="101"/>
        <v>0</v>
      </c>
      <c r="Q611" s="51">
        <f t="shared" si="102"/>
        <v>0</v>
      </c>
      <c r="R611" s="51">
        <f t="shared" si="99"/>
        <v>0</v>
      </c>
      <c r="S611"/>
      <c r="T611" s="83"/>
    </row>
    <row r="612" spans="1:20" ht="16" x14ac:dyDescent="0.2">
      <c r="A612"/>
      <c r="B612" s="103"/>
      <c r="C612" s="243"/>
      <c r="D612" s="119">
        <v>599</v>
      </c>
      <c r="E612" s="25" t="str">
        <f>Tp_CHG!N111</f>
        <v>Transition Probability from state 3 to state 4 on day 5 (CHG)</v>
      </c>
      <c r="F612" s="40">
        <f t="shared" si="100"/>
        <v>0</v>
      </c>
      <c r="G612" s="156">
        <v>1</v>
      </c>
      <c r="H612" s="120">
        <f>Tp_CHG!Q111</f>
        <v>0</v>
      </c>
      <c r="I612" s="40" t="s">
        <v>58</v>
      </c>
      <c r="J612" s="40">
        <f t="shared" si="97"/>
        <v>0</v>
      </c>
      <c r="K612" s="40">
        <f t="shared" si="98"/>
        <v>0</v>
      </c>
      <c r="L612" s="40" t="s">
        <v>58</v>
      </c>
      <c r="M612" s="50" t="s">
        <v>266</v>
      </c>
      <c r="N612" s="190"/>
      <c r="O612" s="40">
        <f t="shared" ca="1" si="103"/>
        <v>0.36818357365094267</v>
      </c>
      <c r="P612" s="51">
        <f t="shared" si="101"/>
        <v>0</v>
      </c>
      <c r="Q612" s="51">
        <f t="shared" si="102"/>
        <v>0</v>
      </c>
      <c r="R612" s="51">
        <f t="shared" si="99"/>
        <v>0</v>
      </c>
      <c r="S612"/>
      <c r="T612" s="83"/>
    </row>
    <row r="613" spans="1:20" ht="16" x14ac:dyDescent="0.2">
      <c r="A613"/>
      <c r="B613" s="103"/>
      <c r="C613" s="243"/>
      <c r="D613" s="119">
        <v>600</v>
      </c>
      <c r="E613" s="25" t="str">
        <f>Tp_CHG!N112</f>
        <v>Transition Probability from state 3 to state 4 on day 6 (CHG)</v>
      </c>
      <c r="F613" s="40">
        <f t="shared" si="100"/>
        <v>0</v>
      </c>
      <c r="G613" s="156">
        <v>1</v>
      </c>
      <c r="H613" s="120">
        <f>Tp_CHG!Q112</f>
        <v>0</v>
      </c>
      <c r="I613" s="40" t="s">
        <v>58</v>
      </c>
      <c r="J613" s="40">
        <f t="shared" si="97"/>
        <v>0</v>
      </c>
      <c r="K613" s="40">
        <f t="shared" si="98"/>
        <v>0</v>
      </c>
      <c r="L613" s="40" t="s">
        <v>58</v>
      </c>
      <c r="M613" s="50" t="s">
        <v>266</v>
      </c>
      <c r="N613" s="190"/>
      <c r="O613" s="40">
        <f t="shared" ca="1" si="103"/>
        <v>0.97634152819451148</v>
      </c>
      <c r="P613" s="51">
        <f t="shared" si="101"/>
        <v>0</v>
      </c>
      <c r="Q613" s="51">
        <f t="shared" si="102"/>
        <v>0</v>
      </c>
      <c r="R613" s="51">
        <f t="shared" si="99"/>
        <v>0</v>
      </c>
      <c r="S613"/>
      <c r="T613" s="83"/>
    </row>
    <row r="614" spans="1:20" ht="16" x14ac:dyDescent="0.2">
      <c r="A614"/>
      <c r="B614" s="103"/>
      <c r="C614" s="243"/>
      <c r="D614" s="119">
        <v>601</v>
      </c>
      <c r="E614" s="25" t="str">
        <f>Tp_CHG!N113</f>
        <v>Transition Probability from state 3 to state 4 on day 7 (CHG)</v>
      </c>
      <c r="F614" s="40">
        <f t="shared" si="100"/>
        <v>0</v>
      </c>
      <c r="G614" s="156">
        <v>1</v>
      </c>
      <c r="H614" s="120">
        <f>Tp_CHG!Q113</f>
        <v>0</v>
      </c>
      <c r="I614" s="40" t="s">
        <v>58</v>
      </c>
      <c r="J614" s="40">
        <f t="shared" ref="J614:J645" si="104">IF(H614=0,0,_xlfn.NORM.INV(0.025,H614,R614))</f>
        <v>0</v>
      </c>
      <c r="K614" s="40">
        <f t="shared" ref="K614:K645" si="105">IF(H614=0,0,_xlfn.NORM.INV(0.975,H614,R614))</f>
        <v>0</v>
      </c>
      <c r="L614" s="40" t="s">
        <v>58</v>
      </c>
      <c r="M614" s="50" t="s">
        <v>266</v>
      </c>
      <c r="N614" s="190"/>
      <c r="O614" s="40">
        <f t="shared" ca="1" si="103"/>
        <v>0.6367452824809694</v>
      </c>
      <c r="P614" s="51">
        <f t="shared" si="101"/>
        <v>0</v>
      </c>
      <c r="Q614" s="51">
        <f t="shared" si="102"/>
        <v>0</v>
      </c>
      <c r="R614" s="51">
        <f t="shared" ref="R614:R645" si="106">assumedSE*H614</f>
        <v>0</v>
      </c>
      <c r="S614"/>
      <c r="T614" s="83"/>
    </row>
    <row r="615" spans="1:20" ht="16" x14ac:dyDescent="0.2">
      <c r="A615"/>
      <c r="B615" s="103"/>
      <c r="C615" s="243"/>
      <c r="D615" s="119">
        <v>602</v>
      </c>
      <c r="E615" s="25" t="str">
        <f>Tp_CHG!N114</f>
        <v>Transition Probability from state 3 to state 4 on day 8 (CHG)</v>
      </c>
      <c r="F615" s="40">
        <f t="shared" si="100"/>
        <v>0</v>
      </c>
      <c r="G615" s="156">
        <v>1</v>
      </c>
      <c r="H615" s="120">
        <f>Tp_CHG!Q114</f>
        <v>0</v>
      </c>
      <c r="I615" s="40" t="s">
        <v>58</v>
      </c>
      <c r="J615" s="40">
        <f t="shared" si="104"/>
        <v>0</v>
      </c>
      <c r="K615" s="40">
        <f t="shared" si="105"/>
        <v>0</v>
      </c>
      <c r="L615" s="40" t="s">
        <v>58</v>
      </c>
      <c r="M615" s="50" t="s">
        <v>266</v>
      </c>
      <c r="N615" s="190"/>
      <c r="O615" s="40">
        <f t="shared" ca="1" si="103"/>
        <v>0.78784310132764712</v>
      </c>
      <c r="P615" s="51">
        <f t="shared" si="101"/>
        <v>0</v>
      </c>
      <c r="Q615" s="51">
        <f t="shared" si="102"/>
        <v>0</v>
      </c>
      <c r="R615" s="51">
        <f t="shared" si="106"/>
        <v>0</v>
      </c>
      <c r="S615"/>
      <c r="T615" s="83"/>
    </row>
    <row r="616" spans="1:20" ht="16" x14ac:dyDescent="0.2">
      <c r="A616"/>
      <c r="B616" s="103"/>
      <c r="C616" s="243"/>
      <c r="D616" s="119">
        <v>603</v>
      </c>
      <c r="E616" s="25" t="str">
        <f>Tp_CHG!N115</f>
        <v>Transition Probability from state 3 to state 4 on day 9 (CHG)</v>
      </c>
      <c r="F616" s="40">
        <f t="shared" si="100"/>
        <v>0</v>
      </c>
      <c r="G616" s="156">
        <v>1</v>
      </c>
      <c r="H616" s="120">
        <f>Tp_CHG!Q115</f>
        <v>0</v>
      </c>
      <c r="I616" s="40" t="s">
        <v>58</v>
      </c>
      <c r="J616" s="40">
        <f t="shared" si="104"/>
        <v>0</v>
      </c>
      <c r="K616" s="40">
        <f t="shared" si="105"/>
        <v>0</v>
      </c>
      <c r="L616" s="40" t="s">
        <v>58</v>
      </c>
      <c r="M616" s="50" t="s">
        <v>266</v>
      </c>
      <c r="N616" s="190"/>
      <c r="O616" s="40">
        <f t="shared" ca="1" si="103"/>
        <v>0.65622104402590631</v>
      </c>
      <c r="P616" s="51">
        <f t="shared" si="101"/>
        <v>0</v>
      </c>
      <c r="Q616" s="51">
        <f t="shared" si="102"/>
        <v>0</v>
      </c>
      <c r="R616" s="51">
        <f t="shared" si="106"/>
        <v>0</v>
      </c>
      <c r="S616"/>
      <c r="T616" s="83"/>
    </row>
    <row r="617" spans="1:20" ht="16" x14ac:dyDescent="0.2">
      <c r="A617"/>
      <c r="B617" s="103"/>
      <c r="C617" s="243"/>
      <c r="D617" s="119">
        <v>604</v>
      </c>
      <c r="E617" s="25" t="str">
        <f>Tp_CHG!N116</f>
        <v>Transition Probability from state 3 to state 4 on day 10 (CHG)</v>
      </c>
      <c r="F617" s="40">
        <f t="shared" si="100"/>
        <v>0</v>
      </c>
      <c r="G617" s="156">
        <v>1</v>
      </c>
      <c r="H617" s="120">
        <f>Tp_CHG!Q116</f>
        <v>0</v>
      </c>
      <c r="I617" s="40" t="s">
        <v>58</v>
      </c>
      <c r="J617" s="40">
        <f t="shared" si="104"/>
        <v>0</v>
      </c>
      <c r="K617" s="40">
        <f t="shared" si="105"/>
        <v>0</v>
      </c>
      <c r="L617" s="40" t="s">
        <v>58</v>
      </c>
      <c r="M617" s="50" t="s">
        <v>266</v>
      </c>
      <c r="N617" s="190"/>
      <c r="O617" s="40">
        <f t="shared" ca="1" si="103"/>
        <v>0.43288615638287908</v>
      </c>
      <c r="P617" s="51">
        <f t="shared" si="101"/>
        <v>0</v>
      </c>
      <c r="Q617" s="51">
        <f t="shared" si="102"/>
        <v>0</v>
      </c>
      <c r="R617" s="51">
        <f t="shared" si="106"/>
        <v>0</v>
      </c>
      <c r="S617"/>
      <c r="T617" s="83"/>
    </row>
    <row r="618" spans="1:20" ht="16" x14ac:dyDescent="0.2">
      <c r="A618"/>
      <c r="B618" s="103"/>
      <c r="C618" s="243"/>
      <c r="D618" s="119">
        <v>605</v>
      </c>
      <c r="E618" s="25" t="str">
        <f>Tp_CHG!N117</f>
        <v>Transition Probability from state 3 to state 4 on day 11 (CHG)</v>
      </c>
      <c r="F618" s="40">
        <f t="shared" si="100"/>
        <v>0</v>
      </c>
      <c r="G618" s="156">
        <v>1</v>
      </c>
      <c r="H618" s="120">
        <f>Tp_CHG!Q117</f>
        <v>0</v>
      </c>
      <c r="I618" s="40" t="s">
        <v>58</v>
      </c>
      <c r="J618" s="40">
        <f t="shared" si="104"/>
        <v>0</v>
      </c>
      <c r="K618" s="40">
        <f t="shared" si="105"/>
        <v>0</v>
      </c>
      <c r="L618" s="40" t="s">
        <v>58</v>
      </c>
      <c r="M618" s="50" t="s">
        <v>266</v>
      </c>
      <c r="N618" s="190"/>
      <c r="O618" s="40">
        <f t="shared" ca="1" si="103"/>
        <v>0.32449200290034619</v>
      </c>
      <c r="P618" s="51">
        <f t="shared" si="101"/>
        <v>0</v>
      </c>
      <c r="Q618" s="51">
        <f t="shared" si="102"/>
        <v>0</v>
      </c>
      <c r="R618" s="51">
        <f t="shared" si="106"/>
        <v>0</v>
      </c>
      <c r="S618"/>
      <c r="T618" s="83"/>
    </row>
    <row r="619" spans="1:20" ht="16" x14ac:dyDescent="0.2">
      <c r="A619"/>
      <c r="B619" s="103"/>
      <c r="C619" s="243"/>
      <c r="D619" s="119">
        <v>606</v>
      </c>
      <c r="E619" s="25" t="str">
        <f>Tp_CHG!N118</f>
        <v>Transition Probability from state 3 to state 4 on day 12 (CHG)</v>
      </c>
      <c r="F619" s="40">
        <f t="shared" si="100"/>
        <v>0</v>
      </c>
      <c r="G619" s="156">
        <v>1</v>
      </c>
      <c r="H619" s="120">
        <f>Tp_CHG!Q118</f>
        <v>0</v>
      </c>
      <c r="I619" s="40" t="s">
        <v>58</v>
      </c>
      <c r="J619" s="40">
        <f t="shared" si="104"/>
        <v>0</v>
      </c>
      <c r="K619" s="40">
        <f t="shared" si="105"/>
        <v>0</v>
      </c>
      <c r="L619" s="40" t="s">
        <v>58</v>
      </c>
      <c r="M619" s="50" t="s">
        <v>266</v>
      </c>
      <c r="N619" s="190"/>
      <c r="O619" s="40">
        <f t="shared" ca="1" si="103"/>
        <v>4.9236286098923721E-3</v>
      </c>
      <c r="P619" s="51">
        <f t="shared" si="101"/>
        <v>0</v>
      </c>
      <c r="Q619" s="51">
        <f t="shared" si="102"/>
        <v>0</v>
      </c>
      <c r="R619" s="51">
        <f t="shared" si="106"/>
        <v>0</v>
      </c>
      <c r="S619"/>
      <c r="T619" s="83"/>
    </row>
    <row r="620" spans="1:20" ht="16" x14ac:dyDescent="0.2">
      <c r="A620"/>
      <c r="B620" s="103"/>
      <c r="C620" s="243"/>
      <c r="D620" s="119">
        <v>607</v>
      </c>
      <c r="E620" s="25" t="str">
        <f>Tp_CHG!N119</f>
        <v>Transition Probability from state 3 to state 4 on day 13 (CHG)</v>
      </c>
      <c r="F620" s="40">
        <f t="shared" si="100"/>
        <v>0</v>
      </c>
      <c r="G620" s="156">
        <v>1</v>
      </c>
      <c r="H620" s="120">
        <f>Tp_CHG!Q119</f>
        <v>0</v>
      </c>
      <c r="I620" s="40" t="s">
        <v>58</v>
      </c>
      <c r="J620" s="40">
        <f t="shared" si="104"/>
        <v>0</v>
      </c>
      <c r="K620" s="40">
        <f t="shared" si="105"/>
        <v>0</v>
      </c>
      <c r="L620" s="40" t="s">
        <v>58</v>
      </c>
      <c r="M620" s="50" t="s">
        <v>266</v>
      </c>
      <c r="N620" s="190"/>
      <c r="O620" s="40">
        <f t="shared" ca="1" si="103"/>
        <v>0.3672518828613156</v>
      </c>
      <c r="P620" s="51">
        <f t="shared" si="101"/>
        <v>0</v>
      </c>
      <c r="Q620" s="51">
        <f t="shared" si="102"/>
        <v>0</v>
      </c>
      <c r="R620" s="51">
        <f t="shared" si="106"/>
        <v>0</v>
      </c>
      <c r="S620"/>
      <c r="T620" s="83"/>
    </row>
    <row r="621" spans="1:20" ht="16" x14ac:dyDescent="0.2">
      <c r="A621"/>
      <c r="B621" s="103"/>
      <c r="C621" s="243"/>
      <c r="D621" s="119">
        <v>608</v>
      </c>
      <c r="E621" s="25" t="str">
        <f>Tp_CHG!N120</f>
        <v>Transition Probability from state 3 to state 4 on day 14 (CHG)</v>
      </c>
      <c r="F621" s="40">
        <f t="shared" si="100"/>
        <v>0</v>
      </c>
      <c r="G621" s="156">
        <v>1</v>
      </c>
      <c r="H621" s="120">
        <f>Tp_CHG!Q120</f>
        <v>0</v>
      </c>
      <c r="I621" s="40" t="s">
        <v>58</v>
      </c>
      <c r="J621" s="40">
        <f t="shared" si="104"/>
        <v>0</v>
      </c>
      <c r="K621" s="40">
        <f t="shared" si="105"/>
        <v>0</v>
      </c>
      <c r="L621" s="40" t="s">
        <v>58</v>
      </c>
      <c r="M621" s="50" t="s">
        <v>266</v>
      </c>
      <c r="N621" s="190"/>
      <c r="O621" s="40">
        <f t="shared" ca="1" si="103"/>
        <v>0.22415620092035604</v>
      </c>
      <c r="P621" s="51">
        <f t="shared" si="101"/>
        <v>0</v>
      </c>
      <c r="Q621" s="51">
        <f t="shared" si="102"/>
        <v>0</v>
      </c>
      <c r="R621" s="51">
        <f t="shared" si="106"/>
        <v>0</v>
      </c>
      <c r="S621"/>
      <c r="T621" s="83"/>
    </row>
    <row r="622" spans="1:20" ht="16" x14ac:dyDescent="0.2">
      <c r="A622"/>
      <c r="B622" s="103"/>
      <c r="C622" s="243"/>
      <c r="D622" s="119">
        <v>609</v>
      </c>
      <c r="E622" s="25" t="str">
        <f>Tp_CHG!N121</f>
        <v>Transition Probability from state 3 to state 4 on day 15 (CHG)</v>
      </c>
      <c r="F622" s="40">
        <f t="shared" si="100"/>
        <v>0</v>
      </c>
      <c r="G622" s="156">
        <v>1</v>
      </c>
      <c r="H622" s="120">
        <f>Tp_CHG!Q121</f>
        <v>0</v>
      </c>
      <c r="I622" s="40" t="s">
        <v>58</v>
      </c>
      <c r="J622" s="40">
        <f t="shared" si="104"/>
        <v>0</v>
      </c>
      <c r="K622" s="40">
        <f t="shared" si="105"/>
        <v>0</v>
      </c>
      <c r="L622" s="40" t="s">
        <v>58</v>
      </c>
      <c r="M622" s="50" t="s">
        <v>266</v>
      </c>
      <c r="N622" s="190"/>
      <c r="O622" s="40">
        <f t="shared" ca="1" si="103"/>
        <v>0.83381178597814987</v>
      </c>
      <c r="P622" s="51">
        <f t="shared" si="101"/>
        <v>0</v>
      </c>
      <c r="Q622" s="51">
        <f t="shared" si="102"/>
        <v>0</v>
      </c>
      <c r="R622" s="51">
        <f t="shared" si="106"/>
        <v>0</v>
      </c>
      <c r="S622"/>
      <c r="T622" s="83"/>
    </row>
    <row r="623" spans="1:20" ht="16" x14ac:dyDescent="0.2">
      <c r="A623"/>
      <c r="B623" s="103"/>
      <c r="C623" s="243"/>
      <c r="D623" s="119">
        <v>610</v>
      </c>
      <c r="E623" s="25" t="str">
        <f>Tp_CHG!N122</f>
        <v>Transition Probability from state 3 to state 4 on day 16 (CHG)</v>
      </c>
      <c r="F623" s="40">
        <f t="shared" si="100"/>
        <v>0</v>
      </c>
      <c r="G623" s="156">
        <v>1</v>
      </c>
      <c r="H623" s="120">
        <f>Tp_CHG!Q122</f>
        <v>0</v>
      </c>
      <c r="I623" s="40" t="s">
        <v>58</v>
      </c>
      <c r="J623" s="40">
        <f t="shared" si="104"/>
        <v>0</v>
      </c>
      <c r="K623" s="40">
        <f t="shared" si="105"/>
        <v>0</v>
      </c>
      <c r="L623" s="40" t="s">
        <v>58</v>
      </c>
      <c r="M623" s="50" t="s">
        <v>266</v>
      </c>
      <c r="N623" s="190"/>
      <c r="O623" s="40">
        <f t="shared" ca="1" si="103"/>
        <v>0.87237802827536304</v>
      </c>
      <c r="P623" s="51">
        <f t="shared" si="101"/>
        <v>0</v>
      </c>
      <c r="Q623" s="51">
        <f t="shared" si="102"/>
        <v>0</v>
      </c>
      <c r="R623" s="51">
        <f t="shared" si="106"/>
        <v>0</v>
      </c>
      <c r="S623"/>
      <c r="T623" s="83"/>
    </row>
    <row r="624" spans="1:20" ht="16" x14ac:dyDescent="0.2">
      <c r="A624"/>
      <c r="B624" s="103"/>
      <c r="C624" s="243"/>
      <c r="D624" s="119">
        <v>611</v>
      </c>
      <c r="E624" s="25" t="str">
        <f>Tp_CHG!N123</f>
        <v>Transition Probability from state 3 to state 4 on day 17 (CHG)</v>
      </c>
      <c r="F624" s="40">
        <f t="shared" si="100"/>
        <v>0</v>
      </c>
      <c r="G624" s="156">
        <v>1</v>
      </c>
      <c r="H624" s="120">
        <f>Tp_CHG!Q123</f>
        <v>0</v>
      </c>
      <c r="I624" s="40" t="s">
        <v>58</v>
      </c>
      <c r="J624" s="40">
        <f t="shared" si="104"/>
        <v>0</v>
      </c>
      <c r="K624" s="40">
        <f t="shared" si="105"/>
        <v>0</v>
      </c>
      <c r="L624" s="40" t="s">
        <v>58</v>
      </c>
      <c r="M624" s="50" t="s">
        <v>266</v>
      </c>
      <c r="N624" s="190"/>
      <c r="O624" s="40">
        <f t="shared" ca="1" si="103"/>
        <v>0.32625305847133645</v>
      </c>
      <c r="P624" s="51">
        <f t="shared" si="101"/>
        <v>0</v>
      </c>
      <c r="Q624" s="51">
        <f t="shared" si="102"/>
        <v>0</v>
      </c>
      <c r="R624" s="51">
        <f t="shared" si="106"/>
        <v>0</v>
      </c>
      <c r="S624"/>
      <c r="T624" s="83"/>
    </row>
    <row r="625" spans="1:20" ht="16" x14ac:dyDescent="0.2">
      <c r="A625"/>
      <c r="B625" s="103"/>
      <c r="C625" s="243"/>
      <c r="D625" s="119">
        <v>612</v>
      </c>
      <c r="E625" s="25" t="str">
        <f>Tp_CHG!N124</f>
        <v>Transition Probability from state 3 to state 4 on day 18 (CHG)</v>
      </c>
      <c r="F625" s="40">
        <f t="shared" si="100"/>
        <v>0</v>
      </c>
      <c r="G625" s="156">
        <v>1</v>
      </c>
      <c r="H625" s="120">
        <f>Tp_CHG!Q124</f>
        <v>0</v>
      </c>
      <c r="I625" s="40" t="s">
        <v>58</v>
      </c>
      <c r="J625" s="40">
        <f t="shared" si="104"/>
        <v>0</v>
      </c>
      <c r="K625" s="40">
        <f t="shared" si="105"/>
        <v>0</v>
      </c>
      <c r="L625" s="40" t="s">
        <v>58</v>
      </c>
      <c r="M625" s="50" t="s">
        <v>266</v>
      </c>
      <c r="N625" s="190"/>
      <c r="O625" s="40">
        <f t="shared" ca="1" si="103"/>
        <v>1.309978053672689E-2</v>
      </c>
      <c r="P625" s="51">
        <f t="shared" si="101"/>
        <v>0</v>
      </c>
      <c r="Q625" s="51">
        <f t="shared" si="102"/>
        <v>0</v>
      </c>
      <c r="R625" s="51">
        <f t="shared" si="106"/>
        <v>0</v>
      </c>
      <c r="S625"/>
      <c r="T625" s="83"/>
    </row>
    <row r="626" spans="1:20" ht="16" x14ac:dyDescent="0.2">
      <c r="A626"/>
      <c r="B626" s="103"/>
      <c r="C626" s="243"/>
      <c r="D626" s="119">
        <v>613</v>
      </c>
      <c r="E626" s="25" t="str">
        <f>Tp_CHG!N125</f>
        <v>Transition Probability from state 3 to state 4 on day 19 (CHG)</v>
      </c>
      <c r="F626" s="40">
        <f t="shared" si="100"/>
        <v>0</v>
      </c>
      <c r="G626" s="156">
        <v>1</v>
      </c>
      <c r="H626" s="120">
        <f>Tp_CHG!Q125</f>
        <v>0</v>
      </c>
      <c r="I626" s="40" t="s">
        <v>58</v>
      </c>
      <c r="J626" s="40">
        <f t="shared" si="104"/>
        <v>0</v>
      </c>
      <c r="K626" s="40">
        <f t="shared" si="105"/>
        <v>0</v>
      </c>
      <c r="L626" s="40" t="s">
        <v>58</v>
      </c>
      <c r="M626" s="50" t="s">
        <v>266</v>
      </c>
      <c r="N626" s="190"/>
      <c r="O626" s="40">
        <f t="shared" ca="1" si="103"/>
        <v>0.9682196443946447</v>
      </c>
      <c r="P626" s="51">
        <f t="shared" si="101"/>
        <v>0</v>
      </c>
      <c r="Q626" s="51">
        <f t="shared" si="102"/>
        <v>0</v>
      </c>
      <c r="R626" s="51">
        <f t="shared" si="106"/>
        <v>0</v>
      </c>
      <c r="S626"/>
      <c r="T626" s="83"/>
    </row>
    <row r="627" spans="1:20" ht="16" x14ac:dyDescent="0.2">
      <c r="A627"/>
      <c r="B627" s="103"/>
      <c r="C627" s="243"/>
      <c r="D627" s="119">
        <v>614</v>
      </c>
      <c r="E627" s="25" t="str">
        <f>Tp_CHG!N126</f>
        <v>Transition Probability from state 3 to state 4 on day 20 (CHG)</v>
      </c>
      <c r="F627" s="40">
        <f t="shared" si="100"/>
        <v>0</v>
      </c>
      <c r="G627" s="156">
        <v>1</v>
      </c>
      <c r="H627" s="120">
        <f>Tp_CHG!Q126</f>
        <v>0</v>
      </c>
      <c r="I627" s="40" t="s">
        <v>58</v>
      </c>
      <c r="J627" s="40">
        <f t="shared" si="104"/>
        <v>0</v>
      </c>
      <c r="K627" s="40">
        <f t="shared" si="105"/>
        <v>0</v>
      </c>
      <c r="L627" s="40" t="s">
        <v>58</v>
      </c>
      <c r="M627" s="50" t="s">
        <v>266</v>
      </c>
      <c r="N627" s="190"/>
      <c r="O627" s="40">
        <f t="shared" ca="1" si="103"/>
        <v>0.71751119054014334</v>
      </c>
      <c r="P627" s="51">
        <f t="shared" si="101"/>
        <v>0</v>
      </c>
      <c r="Q627" s="51">
        <f t="shared" si="102"/>
        <v>0</v>
      </c>
      <c r="R627" s="51">
        <f t="shared" si="106"/>
        <v>0</v>
      </c>
      <c r="S627"/>
      <c r="T627" s="83"/>
    </row>
    <row r="628" spans="1:20" ht="16" x14ac:dyDescent="0.2">
      <c r="A628"/>
      <c r="B628" s="103"/>
      <c r="C628" s="243"/>
      <c r="D628" s="119">
        <v>615</v>
      </c>
      <c r="E628" s="25" t="str">
        <f>Tp_CHG!N127</f>
        <v>Transition Probability from state 3 to state 4 on day 21 (CHG)</v>
      </c>
      <c r="F628" s="40">
        <f t="shared" si="100"/>
        <v>0</v>
      </c>
      <c r="G628" s="156">
        <v>1</v>
      </c>
      <c r="H628" s="120">
        <f>Tp_CHG!Q127</f>
        <v>0</v>
      </c>
      <c r="I628" s="40" t="s">
        <v>58</v>
      </c>
      <c r="J628" s="40">
        <f t="shared" si="104"/>
        <v>0</v>
      </c>
      <c r="K628" s="40">
        <f t="shared" si="105"/>
        <v>0</v>
      </c>
      <c r="L628" s="40" t="s">
        <v>58</v>
      </c>
      <c r="M628" s="50" t="s">
        <v>266</v>
      </c>
      <c r="N628" s="190"/>
      <c r="O628" s="40">
        <f t="shared" ca="1" si="103"/>
        <v>0.76579200976020911</v>
      </c>
      <c r="P628" s="51">
        <f t="shared" si="101"/>
        <v>0</v>
      </c>
      <c r="Q628" s="51">
        <f t="shared" si="102"/>
        <v>0</v>
      </c>
      <c r="R628" s="51">
        <f t="shared" si="106"/>
        <v>0</v>
      </c>
      <c r="S628"/>
      <c r="T628" s="83"/>
    </row>
    <row r="629" spans="1:20" ht="16" x14ac:dyDescent="0.2">
      <c r="A629"/>
      <c r="B629" s="103"/>
      <c r="C629" s="243"/>
      <c r="D629" s="119">
        <v>616</v>
      </c>
      <c r="E629" s="25" t="str">
        <f>Tp_CHG!N128</f>
        <v>Transition Probability from state 3 to state 4 on day 22 (CHG)</v>
      </c>
      <c r="F629" s="40">
        <f t="shared" si="100"/>
        <v>0</v>
      </c>
      <c r="G629" s="156">
        <v>1</v>
      </c>
      <c r="H629" s="120">
        <f>Tp_CHG!Q128</f>
        <v>0</v>
      </c>
      <c r="I629" s="40" t="s">
        <v>58</v>
      </c>
      <c r="J629" s="40">
        <f t="shared" si="104"/>
        <v>0</v>
      </c>
      <c r="K629" s="40">
        <f t="shared" si="105"/>
        <v>0</v>
      </c>
      <c r="L629" s="40" t="s">
        <v>58</v>
      </c>
      <c r="M629" s="50" t="s">
        <v>266</v>
      </c>
      <c r="N629" s="190"/>
      <c r="O629" s="40">
        <f t="shared" ca="1" si="103"/>
        <v>0.48041841852670431</v>
      </c>
      <c r="P629" s="51">
        <f t="shared" si="101"/>
        <v>0</v>
      </c>
      <c r="Q629" s="51">
        <f t="shared" si="102"/>
        <v>0</v>
      </c>
      <c r="R629" s="51">
        <f t="shared" si="106"/>
        <v>0</v>
      </c>
      <c r="S629"/>
      <c r="T629" s="83"/>
    </row>
    <row r="630" spans="1:20" ht="16" x14ac:dyDescent="0.2">
      <c r="A630"/>
      <c r="B630" s="103"/>
      <c r="C630" s="243"/>
      <c r="D630" s="119">
        <v>617</v>
      </c>
      <c r="E630" s="25" t="str">
        <f>Tp_CHG!N129</f>
        <v>Transition Probability from state 3 to state 4 on day 23 (CHG)</v>
      </c>
      <c r="F630" s="40">
        <f t="shared" si="100"/>
        <v>0</v>
      </c>
      <c r="G630" s="156">
        <v>1</v>
      </c>
      <c r="H630" s="120">
        <f>Tp_CHG!Q129</f>
        <v>0</v>
      </c>
      <c r="I630" s="40" t="s">
        <v>58</v>
      </c>
      <c r="J630" s="40">
        <f t="shared" si="104"/>
        <v>0</v>
      </c>
      <c r="K630" s="40">
        <f t="shared" si="105"/>
        <v>0</v>
      </c>
      <c r="L630" s="40" t="s">
        <v>58</v>
      </c>
      <c r="M630" s="50" t="s">
        <v>266</v>
      </c>
      <c r="N630" s="190"/>
      <c r="O630" s="40">
        <f t="shared" ca="1" si="103"/>
        <v>0.65602580129867283</v>
      </c>
      <c r="P630" s="51">
        <f t="shared" si="101"/>
        <v>0</v>
      </c>
      <c r="Q630" s="51">
        <f t="shared" si="102"/>
        <v>0</v>
      </c>
      <c r="R630" s="51">
        <f t="shared" si="106"/>
        <v>0</v>
      </c>
      <c r="S630"/>
      <c r="T630" s="83"/>
    </row>
    <row r="631" spans="1:20" ht="16" x14ac:dyDescent="0.2">
      <c r="A631"/>
      <c r="B631" s="103"/>
      <c r="C631" s="243"/>
      <c r="D631" s="119">
        <v>618</v>
      </c>
      <c r="E631" s="25" t="str">
        <f>Tp_CHG!N130</f>
        <v>Transition Probability from state 3 to state 4 on day 24 (CHG)</v>
      </c>
      <c r="F631" s="40">
        <f t="shared" si="100"/>
        <v>0</v>
      </c>
      <c r="G631" s="156">
        <v>1</v>
      </c>
      <c r="H631" s="120">
        <f>Tp_CHG!Q130</f>
        <v>0</v>
      </c>
      <c r="I631" s="40" t="s">
        <v>58</v>
      </c>
      <c r="J631" s="40">
        <f t="shared" si="104"/>
        <v>0</v>
      </c>
      <c r="K631" s="40">
        <f t="shared" si="105"/>
        <v>0</v>
      </c>
      <c r="L631" s="40" t="s">
        <v>58</v>
      </c>
      <c r="M631" s="50" t="s">
        <v>266</v>
      </c>
      <c r="N631" s="190"/>
      <c r="O631" s="40">
        <f t="shared" ca="1" si="103"/>
        <v>0.57355928442836246</v>
      </c>
      <c r="P631" s="51">
        <f t="shared" si="101"/>
        <v>0</v>
      </c>
      <c r="Q631" s="51">
        <f t="shared" si="102"/>
        <v>0</v>
      </c>
      <c r="R631" s="51">
        <f t="shared" si="106"/>
        <v>0</v>
      </c>
      <c r="S631"/>
      <c r="T631" s="83"/>
    </row>
    <row r="632" spans="1:20" ht="16" x14ac:dyDescent="0.2">
      <c r="A632"/>
      <c r="B632" s="103"/>
      <c r="C632" s="243"/>
      <c r="D632" s="119">
        <v>619</v>
      </c>
      <c r="E632" s="25" t="str">
        <f>Tp_CHG!N131</f>
        <v>Transition Probability from state 3 to state 4 on day 25 (CHG)</v>
      </c>
      <c r="F632" s="40">
        <f t="shared" si="100"/>
        <v>0</v>
      </c>
      <c r="G632" s="156">
        <v>1</v>
      </c>
      <c r="H632" s="120">
        <f>Tp_CHG!Q131</f>
        <v>0</v>
      </c>
      <c r="I632" s="40" t="s">
        <v>58</v>
      </c>
      <c r="J632" s="40">
        <f t="shared" si="104"/>
        <v>0</v>
      </c>
      <c r="K632" s="40">
        <f t="shared" si="105"/>
        <v>0</v>
      </c>
      <c r="L632" s="40" t="s">
        <v>58</v>
      </c>
      <c r="M632" s="50" t="s">
        <v>266</v>
      </c>
      <c r="N632" s="190"/>
      <c r="O632" s="40">
        <f t="shared" ca="1" si="103"/>
        <v>9.5431780828364232E-2</v>
      </c>
      <c r="P632" s="51">
        <f t="shared" si="101"/>
        <v>0</v>
      </c>
      <c r="Q632" s="51">
        <f t="shared" si="102"/>
        <v>0</v>
      </c>
      <c r="R632" s="51">
        <f t="shared" si="106"/>
        <v>0</v>
      </c>
      <c r="S632"/>
      <c r="T632" s="83"/>
    </row>
    <row r="633" spans="1:20" ht="16" x14ac:dyDescent="0.2">
      <c r="A633"/>
      <c r="B633" s="103"/>
      <c r="C633" s="243"/>
      <c r="D633" s="119">
        <v>620</v>
      </c>
      <c r="E633" s="25" t="str">
        <f>Tp_CHG!N132</f>
        <v>Transition Probability from state 3 to state 4 on day 26 (CHG)</v>
      </c>
      <c r="F633" s="40">
        <f t="shared" si="100"/>
        <v>0</v>
      </c>
      <c r="G633" s="156">
        <v>1</v>
      </c>
      <c r="H633" s="120">
        <f>Tp_CHG!Q132</f>
        <v>0</v>
      </c>
      <c r="I633" s="40" t="s">
        <v>58</v>
      </c>
      <c r="J633" s="40">
        <f t="shared" si="104"/>
        <v>0</v>
      </c>
      <c r="K633" s="40">
        <f t="shared" si="105"/>
        <v>0</v>
      </c>
      <c r="L633" s="40" t="s">
        <v>58</v>
      </c>
      <c r="M633" s="50" t="s">
        <v>266</v>
      </c>
      <c r="N633" s="190"/>
      <c r="O633" s="40">
        <f t="shared" ca="1" si="103"/>
        <v>0.94886812564974754</v>
      </c>
      <c r="P633" s="51">
        <f t="shared" si="101"/>
        <v>0</v>
      </c>
      <c r="Q633" s="51">
        <f t="shared" si="102"/>
        <v>0</v>
      </c>
      <c r="R633" s="51">
        <f t="shared" si="106"/>
        <v>0</v>
      </c>
      <c r="S633"/>
      <c r="T633" s="83"/>
    </row>
    <row r="634" spans="1:20" ht="16" x14ac:dyDescent="0.2">
      <c r="A634"/>
      <c r="B634" s="103"/>
      <c r="C634" s="243"/>
      <c r="D634" s="119">
        <v>621</v>
      </c>
      <c r="E634" s="25" t="str">
        <f>Tp_CHG!N133</f>
        <v>Transition Probability from state 3 to state 4 on day 27 (CHG)</v>
      </c>
      <c r="F634" s="40">
        <f t="shared" si="100"/>
        <v>0</v>
      </c>
      <c r="G634" s="156">
        <v>1</v>
      </c>
      <c r="H634" s="120">
        <f>Tp_CHG!Q133</f>
        <v>0</v>
      </c>
      <c r="I634" s="40" t="s">
        <v>58</v>
      </c>
      <c r="J634" s="40">
        <f t="shared" si="104"/>
        <v>0</v>
      </c>
      <c r="K634" s="40">
        <f t="shared" si="105"/>
        <v>0</v>
      </c>
      <c r="L634" s="40" t="s">
        <v>58</v>
      </c>
      <c r="M634" s="50" t="s">
        <v>266</v>
      </c>
      <c r="N634" s="190"/>
      <c r="O634" s="40">
        <f t="shared" ca="1" si="103"/>
        <v>0.57503944849028377</v>
      </c>
      <c r="P634" s="51">
        <f t="shared" si="101"/>
        <v>0</v>
      </c>
      <c r="Q634" s="51">
        <f t="shared" si="102"/>
        <v>0</v>
      </c>
      <c r="R634" s="51">
        <f t="shared" si="106"/>
        <v>0</v>
      </c>
      <c r="S634"/>
      <c r="T634" s="83"/>
    </row>
    <row r="635" spans="1:20" ht="16" x14ac:dyDescent="0.2">
      <c r="A635"/>
      <c r="B635" s="103"/>
      <c r="C635" s="243"/>
      <c r="D635" s="119">
        <v>622</v>
      </c>
      <c r="E635" s="25" t="str">
        <f>Tp_CHG!N134</f>
        <v>Transition Probability from state 3 to state 4 on day 28 (CHG)</v>
      </c>
      <c r="F635" s="40">
        <f t="shared" si="100"/>
        <v>0</v>
      </c>
      <c r="G635" s="156">
        <v>1</v>
      </c>
      <c r="H635" s="120">
        <f>Tp_CHG!Q134</f>
        <v>0</v>
      </c>
      <c r="I635" s="40" t="s">
        <v>58</v>
      </c>
      <c r="J635" s="40">
        <f t="shared" si="104"/>
        <v>0</v>
      </c>
      <c r="K635" s="40">
        <f t="shared" si="105"/>
        <v>0</v>
      </c>
      <c r="L635" s="40" t="s">
        <v>58</v>
      </c>
      <c r="M635" s="50" t="s">
        <v>266</v>
      </c>
      <c r="N635" s="190"/>
      <c r="O635" s="40">
        <f t="shared" ca="1" si="103"/>
        <v>0.57500144998042457</v>
      </c>
      <c r="P635" s="51">
        <f t="shared" si="101"/>
        <v>0</v>
      </c>
      <c r="Q635" s="51">
        <f t="shared" si="102"/>
        <v>0</v>
      </c>
      <c r="R635" s="51">
        <f t="shared" si="106"/>
        <v>0</v>
      </c>
      <c r="S635"/>
      <c r="T635" s="83"/>
    </row>
    <row r="636" spans="1:20" ht="16" x14ac:dyDescent="0.2">
      <c r="A636"/>
      <c r="B636" s="103"/>
      <c r="C636" s="243"/>
      <c r="D636" s="119">
        <v>623</v>
      </c>
      <c r="E636" s="25" t="str">
        <f>Tp_CHG!N135</f>
        <v>Transition Probability from state 3 to state 4 on day 29 (CHG)</v>
      </c>
      <c r="F636" s="40">
        <f t="shared" si="100"/>
        <v>0</v>
      </c>
      <c r="G636" s="156">
        <v>1</v>
      </c>
      <c r="H636" s="120">
        <f>Tp_CHG!Q135</f>
        <v>0</v>
      </c>
      <c r="I636" s="40" t="s">
        <v>58</v>
      </c>
      <c r="J636" s="40">
        <f t="shared" si="104"/>
        <v>0</v>
      </c>
      <c r="K636" s="40">
        <f t="shared" si="105"/>
        <v>0</v>
      </c>
      <c r="L636" s="40" t="s">
        <v>58</v>
      </c>
      <c r="M636" s="50" t="s">
        <v>266</v>
      </c>
      <c r="N636" s="190"/>
      <c r="O636" s="40">
        <f t="shared" ca="1" si="103"/>
        <v>0.80341835135912976</v>
      </c>
      <c r="P636" s="51">
        <f t="shared" si="101"/>
        <v>0</v>
      </c>
      <c r="Q636" s="51">
        <f t="shared" si="102"/>
        <v>0</v>
      </c>
      <c r="R636" s="51">
        <f t="shared" si="106"/>
        <v>0</v>
      </c>
      <c r="S636"/>
      <c r="T636" s="83"/>
    </row>
    <row r="637" spans="1:20" ht="16" x14ac:dyDescent="0.2">
      <c r="A637"/>
      <c r="B637" s="103"/>
      <c r="C637" s="243"/>
      <c r="D637" s="119">
        <v>624</v>
      </c>
      <c r="E637" s="25" t="str">
        <f>Tp_CHG!N136</f>
        <v>Transition Probability from state 3 to state 4 on day 30 (CHG)</v>
      </c>
      <c r="F637" s="40">
        <f t="shared" si="100"/>
        <v>0</v>
      </c>
      <c r="G637" s="156">
        <v>1</v>
      </c>
      <c r="H637" s="120">
        <f>Tp_CHG!Q136</f>
        <v>0</v>
      </c>
      <c r="I637" s="40" t="s">
        <v>58</v>
      </c>
      <c r="J637" s="40">
        <f t="shared" si="104"/>
        <v>0</v>
      </c>
      <c r="K637" s="40">
        <f t="shared" si="105"/>
        <v>0</v>
      </c>
      <c r="L637" s="40" t="s">
        <v>58</v>
      </c>
      <c r="M637" s="50" t="s">
        <v>266</v>
      </c>
      <c r="N637" s="190"/>
      <c r="O637" s="40">
        <f t="shared" ca="1" si="103"/>
        <v>0.63191059277516726</v>
      </c>
      <c r="P637" s="51">
        <f t="shared" si="101"/>
        <v>0</v>
      </c>
      <c r="Q637" s="51">
        <f t="shared" si="102"/>
        <v>0</v>
      </c>
      <c r="R637" s="51">
        <f t="shared" si="106"/>
        <v>0</v>
      </c>
      <c r="S637"/>
      <c r="T637" s="83"/>
    </row>
    <row r="638" spans="1:20" ht="16" x14ac:dyDescent="0.2">
      <c r="A638"/>
      <c r="B638" s="103"/>
      <c r="C638" s="243"/>
      <c r="D638" s="119">
        <v>625</v>
      </c>
      <c r="E638" s="25" t="str">
        <f>Tp_CHG!S107</f>
        <v>Transition Probability from state 4 to state 4 on day 1 (CHG)</v>
      </c>
      <c r="F638" s="40">
        <f t="shared" si="100"/>
        <v>0</v>
      </c>
      <c r="G638" s="156">
        <v>1</v>
      </c>
      <c r="H638" s="120">
        <f>Tp_CHG!V107</f>
        <v>0</v>
      </c>
      <c r="I638" s="40" t="s">
        <v>58</v>
      </c>
      <c r="J638" s="40">
        <f t="shared" si="104"/>
        <v>0</v>
      </c>
      <c r="K638" s="40">
        <f t="shared" si="105"/>
        <v>0</v>
      </c>
      <c r="L638" s="40" t="s">
        <v>58</v>
      </c>
      <c r="M638" s="50" t="s">
        <v>266</v>
      </c>
      <c r="N638" s="190"/>
      <c r="O638" s="40">
        <f t="shared" ca="1" si="103"/>
        <v>0.97082961950230628</v>
      </c>
      <c r="P638" s="51">
        <f t="shared" si="101"/>
        <v>0</v>
      </c>
      <c r="Q638" s="51">
        <f t="shared" si="102"/>
        <v>0</v>
      </c>
      <c r="R638" s="51">
        <f t="shared" si="106"/>
        <v>0</v>
      </c>
      <c r="S638"/>
      <c r="T638" s="83"/>
    </row>
    <row r="639" spans="1:20" ht="16" x14ac:dyDescent="0.2">
      <c r="A639"/>
      <c r="B639" s="103"/>
      <c r="C639" s="243"/>
      <c r="D639" s="119">
        <v>626</v>
      </c>
      <c r="E639" s="25" t="str">
        <f>Tp_CHG!S108</f>
        <v>Transition Probability from state 4 to state 4 on day 2 (CHG)</v>
      </c>
      <c r="F639" s="40">
        <f t="shared" si="100"/>
        <v>0</v>
      </c>
      <c r="G639" s="156">
        <v>1</v>
      </c>
      <c r="H639" s="120">
        <f>Tp_CHG!V108</f>
        <v>0</v>
      </c>
      <c r="I639" s="40" t="s">
        <v>58</v>
      </c>
      <c r="J639" s="40">
        <f t="shared" si="104"/>
        <v>0</v>
      </c>
      <c r="K639" s="40">
        <f t="shared" si="105"/>
        <v>0</v>
      </c>
      <c r="L639" s="40" t="s">
        <v>58</v>
      </c>
      <c r="M639" s="50" t="s">
        <v>266</v>
      </c>
      <c r="N639" s="190"/>
      <c r="O639" s="40">
        <f t="shared" ca="1" si="103"/>
        <v>0.42247917960070158</v>
      </c>
      <c r="P639" s="51">
        <f t="shared" si="101"/>
        <v>0</v>
      </c>
      <c r="Q639" s="51">
        <f t="shared" si="102"/>
        <v>0</v>
      </c>
      <c r="R639" s="51">
        <f t="shared" si="106"/>
        <v>0</v>
      </c>
      <c r="S639"/>
      <c r="T639" s="83"/>
    </row>
    <row r="640" spans="1:20" ht="16" x14ac:dyDescent="0.2">
      <c r="A640"/>
      <c r="B640" s="103"/>
      <c r="C640" s="243"/>
      <c r="D640" s="119">
        <v>627</v>
      </c>
      <c r="E640" s="25" t="str">
        <f>Tp_CHG!S109</f>
        <v>Transition Probability from state 4 to state 4 on day 3 (CHG)</v>
      </c>
      <c r="F640" s="40">
        <f t="shared" si="100"/>
        <v>0</v>
      </c>
      <c r="G640" s="156">
        <v>1</v>
      </c>
      <c r="H640" s="120">
        <f>Tp_CHG!V109</f>
        <v>0</v>
      </c>
      <c r="I640" s="40" t="s">
        <v>58</v>
      </c>
      <c r="J640" s="40">
        <f t="shared" si="104"/>
        <v>0</v>
      </c>
      <c r="K640" s="40">
        <f t="shared" si="105"/>
        <v>0</v>
      </c>
      <c r="L640" s="40" t="s">
        <v>58</v>
      </c>
      <c r="M640" s="50" t="s">
        <v>266</v>
      </c>
      <c r="N640" s="190"/>
      <c r="O640" s="40">
        <f t="shared" ca="1" si="103"/>
        <v>1.9377742115621266E-2</v>
      </c>
      <c r="P640" s="51">
        <f t="shared" si="101"/>
        <v>0</v>
      </c>
      <c r="Q640" s="51">
        <f t="shared" si="102"/>
        <v>0</v>
      </c>
      <c r="R640" s="51">
        <f t="shared" si="106"/>
        <v>0</v>
      </c>
      <c r="S640"/>
      <c r="T640" s="83"/>
    </row>
    <row r="641" spans="1:20" ht="16" x14ac:dyDescent="0.2">
      <c r="A641"/>
      <c r="B641" s="103"/>
      <c r="C641" s="243"/>
      <c r="D641" s="119">
        <v>628</v>
      </c>
      <c r="E641" s="25" t="str">
        <f>Tp_CHG!S110</f>
        <v>Transition Probability from state 4 to state 4 on day 4 (CHG)</v>
      </c>
      <c r="F641" s="40">
        <f t="shared" si="100"/>
        <v>0</v>
      </c>
      <c r="G641" s="156">
        <v>1</v>
      </c>
      <c r="H641" s="120">
        <f>Tp_CHG!V110</f>
        <v>0</v>
      </c>
      <c r="I641" s="40" t="s">
        <v>58</v>
      </c>
      <c r="J641" s="40">
        <f t="shared" si="104"/>
        <v>0</v>
      </c>
      <c r="K641" s="40">
        <f t="shared" si="105"/>
        <v>0</v>
      </c>
      <c r="L641" s="40" t="s">
        <v>58</v>
      </c>
      <c r="M641" s="50" t="s">
        <v>266</v>
      </c>
      <c r="N641" s="190"/>
      <c r="O641" s="40">
        <f t="shared" ca="1" si="103"/>
        <v>0.24879919921836147</v>
      </c>
      <c r="P641" s="51">
        <f t="shared" si="101"/>
        <v>0</v>
      </c>
      <c r="Q641" s="51">
        <f t="shared" si="102"/>
        <v>0</v>
      </c>
      <c r="R641" s="51">
        <f t="shared" si="106"/>
        <v>0</v>
      </c>
      <c r="S641"/>
      <c r="T641" s="83"/>
    </row>
    <row r="642" spans="1:20" ht="16" x14ac:dyDescent="0.2">
      <c r="A642"/>
      <c r="B642" s="103"/>
      <c r="C642" s="243"/>
      <c r="D642" s="119">
        <v>629</v>
      </c>
      <c r="E642" s="25" t="str">
        <f>Tp_CHG!S111</f>
        <v>Transition Probability from state 4 to state 4 on day 5 (CHG)</v>
      </c>
      <c r="F642" s="40">
        <f t="shared" si="100"/>
        <v>0</v>
      </c>
      <c r="G642" s="156">
        <v>1</v>
      </c>
      <c r="H642" s="120">
        <f>Tp_CHG!V111</f>
        <v>0</v>
      </c>
      <c r="I642" s="40" t="s">
        <v>58</v>
      </c>
      <c r="J642" s="40">
        <f t="shared" si="104"/>
        <v>0</v>
      </c>
      <c r="K642" s="40">
        <f t="shared" si="105"/>
        <v>0</v>
      </c>
      <c r="L642" s="40" t="s">
        <v>58</v>
      </c>
      <c r="M642" s="50" t="s">
        <v>266</v>
      </c>
      <c r="N642" s="190"/>
      <c r="O642" s="40">
        <f t="shared" ca="1" si="103"/>
        <v>0.53221449354462347</v>
      </c>
      <c r="P642" s="51">
        <f t="shared" si="101"/>
        <v>0</v>
      </c>
      <c r="Q642" s="51">
        <f t="shared" si="102"/>
        <v>0</v>
      </c>
      <c r="R642" s="51">
        <f t="shared" si="106"/>
        <v>0</v>
      </c>
      <c r="S642"/>
      <c r="T642" s="83"/>
    </row>
    <row r="643" spans="1:20" ht="16" x14ac:dyDescent="0.2">
      <c r="A643"/>
      <c r="B643" s="103"/>
      <c r="C643" s="243"/>
      <c r="D643" s="119">
        <v>630</v>
      </c>
      <c r="E643" s="25" t="str">
        <f>Tp_CHG!S112</f>
        <v>Transition Probability from state 4 to state 4 on day 6 (CHG)</v>
      </c>
      <c r="F643" s="40">
        <f t="shared" si="100"/>
        <v>0</v>
      </c>
      <c r="G643" s="156">
        <v>1</v>
      </c>
      <c r="H643" s="120">
        <f>Tp_CHG!V112</f>
        <v>0</v>
      </c>
      <c r="I643" s="40" t="s">
        <v>58</v>
      </c>
      <c r="J643" s="40">
        <f t="shared" si="104"/>
        <v>0</v>
      </c>
      <c r="K643" s="40">
        <f t="shared" si="105"/>
        <v>0</v>
      </c>
      <c r="L643" s="40" t="s">
        <v>58</v>
      </c>
      <c r="M643" s="50" t="s">
        <v>266</v>
      </c>
      <c r="N643" s="190"/>
      <c r="O643" s="40">
        <f t="shared" ca="1" si="103"/>
        <v>0.1841622173950791</v>
      </c>
      <c r="P643" s="51">
        <f t="shared" si="101"/>
        <v>0</v>
      </c>
      <c r="Q643" s="51">
        <f t="shared" si="102"/>
        <v>0</v>
      </c>
      <c r="R643" s="51">
        <f t="shared" si="106"/>
        <v>0</v>
      </c>
      <c r="S643"/>
      <c r="T643" s="83"/>
    </row>
    <row r="644" spans="1:20" ht="16" x14ac:dyDescent="0.2">
      <c r="A644"/>
      <c r="B644" s="103"/>
      <c r="C644" s="243"/>
      <c r="D644" s="119">
        <v>631</v>
      </c>
      <c r="E644" s="25" t="str">
        <f>Tp_CHG!S113</f>
        <v>Transition Probability from state 4 to state 4 on day 7 (CHG)</v>
      </c>
      <c r="F644" s="40">
        <f t="shared" si="100"/>
        <v>0</v>
      </c>
      <c r="G644" s="156">
        <v>1</v>
      </c>
      <c r="H644" s="120">
        <f>Tp_CHG!V113</f>
        <v>0</v>
      </c>
      <c r="I644" s="40" t="s">
        <v>58</v>
      </c>
      <c r="J644" s="40">
        <f t="shared" si="104"/>
        <v>0</v>
      </c>
      <c r="K644" s="40">
        <f t="shared" si="105"/>
        <v>0</v>
      </c>
      <c r="L644" s="40" t="s">
        <v>58</v>
      </c>
      <c r="M644" s="50" t="s">
        <v>266</v>
      </c>
      <c r="N644" s="190"/>
      <c r="O644" s="40">
        <f t="shared" ca="1" si="103"/>
        <v>0.56839653944722701</v>
      </c>
      <c r="P644" s="51">
        <f t="shared" si="101"/>
        <v>0</v>
      </c>
      <c r="Q644" s="51">
        <f t="shared" si="102"/>
        <v>0</v>
      </c>
      <c r="R644" s="51">
        <f t="shared" si="106"/>
        <v>0</v>
      </c>
      <c r="S644"/>
      <c r="T644" s="83"/>
    </row>
    <row r="645" spans="1:20" ht="16" x14ac:dyDescent="0.2">
      <c r="A645"/>
      <c r="B645" s="103"/>
      <c r="C645" s="243"/>
      <c r="D645" s="119">
        <v>632</v>
      </c>
      <c r="E645" s="25" t="str">
        <f>Tp_CHG!S114</f>
        <v>Transition Probability from state 4 to state 4 on day 8 (CHG)</v>
      </c>
      <c r="F645" s="40">
        <f t="shared" si="100"/>
        <v>0</v>
      </c>
      <c r="G645" s="156">
        <v>1</v>
      </c>
      <c r="H645" s="120">
        <f>Tp_CHG!V114</f>
        <v>0</v>
      </c>
      <c r="I645" s="40" t="s">
        <v>58</v>
      </c>
      <c r="J645" s="40">
        <f t="shared" si="104"/>
        <v>0</v>
      </c>
      <c r="K645" s="40">
        <f t="shared" si="105"/>
        <v>0</v>
      </c>
      <c r="L645" s="40" t="s">
        <v>58</v>
      </c>
      <c r="M645" s="50" t="s">
        <v>266</v>
      </c>
      <c r="N645" s="190"/>
      <c r="O645" s="40">
        <f t="shared" ca="1" si="103"/>
        <v>6.3003823476794341E-2</v>
      </c>
      <c r="P645" s="51">
        <f t="shared" si="101"/>
        <v>0</v>
      </c>
      <c r="Q645" s="51">
        <f t="shared" si="102"/>
        <v>0</v>
      </c>
      <c r="R645" s="51">
        <f t="shared" si="106"/>
        <v>0</v>
      </c>
      <c r="S645"/>
      <c r="T645" s="83"/>
    </row>
    <row r="646" spans="1:20" ht="16" x14ac:dyDescent="0.2">
      <c r="A646"/>
      <c r="B646" s="103"/>
      <c r="C646" s="243"/>
      <c r="D646" s="119">
        <v>633</v>
      </c>
      <c r="E646" s="25" t="str">
        <f>Tp_CHG!S115</f>
        <v>Transition Probability from state 4 to state 4 on day 9 (CHG)</v>
      </c>
      <c r="F646" s="40">
        <f t="shared" si="100"/>
        <v>0</v>
      </c>
      <c r="G646" s="156">
        <v>1</v>
      </c>
      <c r="H646" s="120">
        <f>Tp_CHG!V115</f>
        <v>0</v>
      </c>
      <c r="I646" s="40" t="s">
        <v>58</v>
      </c>
      <c r="J646" s="40">
        <f t="shared" ref="J646:J677" si="107">IF(H646=0,0,_xlfn.NORM.INV(0.025,H646,R646))</f>
        <v>0</v>
      </c>
      <c r="K646" s="40">
        <f t="shared" ref="K646:K677" si="108">IF(H646=0,0,_xlfn.NORM.INV(0.975,H646,R646))</f>
        <v>0</v>
      </c>
      <c r="L646" s="40" t="s">
        <v>58</v>
      </c>
      <c r="M646" s="50" t="s">
        <v>266</v>
      </c>
      <c r="N646" s="190"/>
      <c r="O646" s="40">
        <f t="shared" ca="1" si="103"/>
        <v>0.24570587625330564</v>
      </c>
      <c r="P646" s="51">
        <f t="shared" si="101"/>
        <v>0</v>
      </c>
      <c r="Q646" s="51">
        <f t="shared" si="102"/>
        <v>0</v>
      </c>
      <c r="R646" s="51">
        <f t="shared" ref="R646:R677" si="109">assumedSE*H646</f>
        <v>0</v>
      </c>
      <c r="S646"/>
      <c r="T646" s="83"/>
    </row>
    <row r="647" spans="1:20" ht="16" x14ac:dyDescent="0.2">
      <c r="A647"/>
      <c r="B647" s="103"/>
      <c r="C647" s="243"/>
      <c r="D647" s="119">
        <v>634</v>
      </c>
      <c r="E647" s="25" t="str">
        <f>Tp_CHG!S116</f>
        <v>Transition Probability from state 4 to state 4 on day 10 (CHG)</v>
      </c>
      <c r="F647" s="40">
        <f t="shared" si="100"/>
        <v>0</v>
      </c>
      <c r="G647" s="156">
        <v>1</v>
      </c>
      <c r="H647" s="120">
        <f>Tp_CHG!V116</f>
        <v>0</v>
      </c>
      <c r="I647" s="40" t="s">
        <v>58</v>
      </c>
      <c r="J647" s="40">
        <f t="shared" si="107"/>
        <v>0</v>
      </c>
      <c r="K647" s="40">
        <f t="shared" si="108"/>
        <v>0</v>
      </c>
      <c r="L647" s="40" t="s">
        <v>58</v>
      </c>
      <c r="M647" s="50" t="s">
        <v>266</v>
      </c>
      <c r="N647" s="190"/>
      <c r="O647" s="40">
        <f t="shared" ca="1" si="103"/>
        <v>0.88666463344166202</v>
      </c>
      <c r="P647" s="51">
        <f t="shared" si="101"/>
        <v>0</v>
      </c>
      <c r="Q647" s="51">
        <f t="shared" si="102"/>
        <v>0</v>
      </c>
      <c r="R647" s="51">
        <f t="shared" si="109"/>
        <v>0</v>
      </c>
      <c r="S647"/>
      <c r="T647" s="83"/>
    </row>
    <row r="648" spans="1:20" ht="16" x14ac:dyDescent="0.2">
      <c r="A648"/>
      <c r="B648" s="103"/>
      <c r="C648" s="243"/>
      <c r="D648" s="119">
        <v>635</v>
      </c>
      <c r="E648" s="25" t="str">
        <f>Tp_CHG!S117</f>
        <v>Transition Probability from state 4 to state 4 on day 11 (CHG)</v>
      </c>
      <c r="F648" s="40">
        <f t="shared" si="100"/>
        <v>0</v>
      </c>
      <c r="G648" s="156">
        <v>1</v>
      </c>
      <c r="H648" s="120">
        <f>Tp_CHG!V117</f>
        <v>0</v>
      </c>
      <c r="I648" s="40" t="s">
        <v>58</v>
      </c>
      <c r="J648" s="40">
        <f t="shared" si="107"/>
        <v>0</v>
      </c>
      <c r="K648" s="40">
        <f t="shared" si="108"/>
        <v>0</v>
      </c>
      <c r="L648" s="40" t="s">
        <v>58</v>
      </c>
      <c r="M648" s="50" t="s">
        <v>266</v>
      </c>
      <c r="N648" s="190"/>
      <c r="O648" s="40">
        <f t="shared" ca="1" si="103"/>
        <v>0.2270383407836164</v>
      </c>
      <c r="P648" s="51">
        <f t="shared" si="101"/>
        <v>0</v>
      </c>
      <c r="Q648" s="51">
        <f t="shared" si="102"/>
        <v>0</v>
      </c>
      <c r="R648" s="51">
        <f t="shared" si="109"/>
        <v>0</v>
      </c>
      <c r="S648"/>
      <c r="T648" s="83"/>
    </row>
    <row r="649" spans="1:20" ht="16" x14ac:dyDescent="0.2">
      <c r="A649"/>
      <c r="B649" s="103"/>
      <c r="C649" s="243"/>
      <c r="D649" s="119">
        <v>636</v>
      </c>
      <c r="E649" s="25" t="str">
        <f>Tp_CHG!S118</f>
        <v>Transition Probability from state 4 to state 4 on day 12 (CHG)</v>
      </c>
      <c r="F649" s="40">
        <f t="shared" si="100"/>
        <v>0</v>
      </c>
      <c r="G649" s="156">
        <v>1</v>
      </c>
      <c r="H649" s="120">
        <f>Tp_CHG!V118</f>
        <v>0</v>
      </c>
      <c r="I649" s="40" t="s">
        <v>58</v>
      </c>
      <c r="J649" s="40">
        <f t="shared" si="107"/>
        <v>0</v>
      </c>
      <c r="K649" s="40">
        <f t="shared" si="108"/>
        <v>0</v>
      </c>
      <c r="L649" s="40" t="s">
        <v>58</v>
      </c>
      <c r="M649" s="50" t="s">
        <v>266</v>
      </c>
      <c r="N649" s="190"/>
      <c r="O649" s="40">
        <f t="shared" ca="1" si="103"/>
        <v>0.30896916601994751</v>
      </c>
      <c r="P649" s="51">
        <f t="shared" si="101"/>
        <v>0</v>
      </c>
      <c r="Q649" s="51">
        <f t="shared" si="102"/>
        <v>0</v>
      </c>
      <c r="R649" s="51">
        <f t="shared" si="109"/>
        <v>0</v>
      </c>
      <c r="S649"/>
      <c r="T649" s="83"/>
    </row>
    <row r="650" spans="1:20" ht="16" x14ac:dyDescent="0.2">
      <c r="A650"/>
      <c r="B650" s="103"/>
      <c r="C650" s="243"/>
      <c r="D650" s="119">
        <v>637</v>
      </c>
      <c r="E650" s="25" t="str">
        <f>Tp_CHG!S119</f>
        <v>Transition Probability from state 4 to state 4 on day 13 (CHG)</v>
      </c>
      <c r="F650" s="40">
        <f t="shared" si="100"/>
        <v>0</v>
      </c>
      <c r="G650" s="156">
        <v>1</v>
      </c>
      <c r="H650" s="120">
        <f>Tp_CHG!V119</f>
        <v>0</v>
      </c>
      <c r="I650" s="40" t="s">
        <v>58</v>
      </c>
      <c r="J650" s="40">
        <f t="shared" si="107"/>
        <v>0</v>
      </c>
      <c r="K650" s="40">
        <f t="shared" si="108"/>
        <v>0</v>
      </c>
      <c r="L650" s="40" t="s">
        <v>58</v>
      </c>
      <c r="M650" s="50" t="s">
        <v>266</v>
      </c>
      <c r="N650" s="190"/>
      <c r="O650" s="40">
        <f t="shared" ca="1" si="103"/>
        <v>0.17402490566219697</v>
      </c>
      <c r="P650" s="51">
        <f t="shared" si="101"/>
        <v>0</v>
      </c>
      <c r="Q650" s="51">
        <f t="shared" si="102"/>
        <v>0</v>
      </c>
      <c r="R650" s="51">
        <f t="shared" si="109"/>
        <v>0</v>
      </c>
      <c r="S650"/>
      <c r="T650" s="83"/>
    </row>
    <row r="651" spans="1:20" ht="16" x14ac:dyDescent="0.2">
      <c r="A651"/>
      <c r="B651" s="103"/>
      <c r="C651" s="243"/>
      <c r="D651" s="119">
        <v>638</v>
      </c>
      <c r="E651" s="25" t="str">
        <f>Tp_CHG!S120</f>
        <v>Transition Probability from state 4 to state 4 on day 14 (CHG)</v>
      </c>
      <c r="F651" s="40">
        <f t="shared" si="100"/>
        <v>0</v>
      </c>
      <c r="G651" s="156">
        <v>1</v>
      </c>
      <c r="H651" s="120">
        <f>Tp_CHG!V120</f>
        <v>0</v>
      </c>
      <c r="I651" s="40" t="s">
        <v>58</v>
      </c>
      <c r="J651" s="40">
        <f t="shared" si="107"/>
        <v>0</v>
      </c>
      <c r="K651" s="40">
        <f t="shared" si="108"/>
        <v>0</v>
      </c>
      <c r="L651" s="40" t="s">
        <v>58</v>
      </c>
      <c r="M651" s="50" t="s">
        <v>266</v>
      </c>
      <c r="N651" s="190"/>
      <c r="O651" s="40">
        <f t="shared" ca="1" si="103"/>
        <v>0.17332565169083314</v>
      </c>
      <c r="P651" s="51">
        <f t="shared" si="101"/>
        <v>0</v>
      </c>
      <c r="Q651" s="51">
        <f t="shared" si="102"/>
        <v>0</v>
      </c>
      <c r="R651" s="51">
        <f t="shared" si="109"/>
        <v>0</v>
      </c>
      <c r="S651"/>
      <c r="T651" s="83"/>
    </row>
    <row r="652" spans="1:20" ht="16" x14ac:dyDescent="0.2">
      <c r="A652"/>
      <c r="B652" s="103"/>
      <c r="C652" s="243"/>
      <c r="D652" s="119">
        <v>639</v>
      </c>
      <c r="E652" s="25" t="str">
        <f>Tp_CHG!S121</f>
        <v>Transition Probability from state 4 to state 4 on day 15 (CHG)</v>
      </c>
      <c r="F652" s="40">
        <f t="shared" si="100"/>
        <v>0</v>
      </c>
      <c r="G652" s="156">
        <v>1</v>
      </c>
      <c r="H652" s="120">
        <f>Tp_CHG!V121</f>
        <v>0</v>
      </c>
      <c r="I652" s="40" t="s">
        <v>58</v>
      </c>
      <c r="J652" s="40">
        <f t="shared" si="107"/>
        <v>0</v>
      </c>
      <c r="K652" s="40">
        <f t="shared" si="108"/>
        <v>0</v>
      </c>
      <c r="L652" s="40" t="s">
        <v>58</v>
      </c>
      <c r="M652" s="50" t="s">
        <v>266</v>
      </c>
      <c r="N652" s="190"/>
      <c r="O652" s="40">
        <f t="shared" ca="1" si="103"/>
        <v>0.33297649512931171</v>
      </c>
      <c r="P652" s="51">
        <f t="shared" si="101"/>
        <v>0</v>
      </c>
      <c r="Q652" s="51">
        <f t="shared" si="102"/>
        <v>0</v>
      </c>
      <c r="R652" s="51">
        <f t="shared" si="109"/>
        <v>0</v>
      </c>
      <c r="S652"/>
      <c r="T652" s="83"/>
    </row>
    <row r="653" spans="1:20" ht="16" x14ac:dyDescent="0.2">
      <c r="A653"/>
      <c r="B653" s="103"/>
      <c r="C653" s="243"/>
      <c r="D653" s="119">
        <v>640</v>
      </c>
      <c r="E653" s="25" t="str">
        <f>Tp_CHG!S122</f>
        <v>Transition Probability from state 4 to state 4 on day 16 (CHG)</v>
      </c>
      <c r="F653" s="40">
        <f t="shared" si="100"/>
        <v>0</v>
      </c>
      <c r="G653" s="156">
        <v>1</v>
      </c>
      <c r="H653" s="120">
        <f>Tp_CHG!V122</f>
        <v>0</v>
      </c>
      <c r="I653" s="40" t="s">
        <v>58</v>
      </c>
      <c r="J653" s="40">
        <f t="shared" si="107"/>
        <v>0</v>
      </c>
      <c r="K653" s="40">
        <f t="shared" si="108"/>
        <v>0</v>
      </c>
      <c r="L653" s="40" t="s">
        <v>58</v>
      </c>
      <c r="M653" s="50" t="s">
        <v>266</v>
      </c>
      <c r="N653" s="190"/>
      <c r="O653" s="40">
        <f t="shared" ca="1" si="103"/>
        <v>6.9389169100191217E-2</v>
      </c>
      <c r="P653" s="51">
        <f t="shared" si="101"/>
        <v>0</v>
      </c>
      <c r="Q653" s="51">
        <f t="shared" si="102"/>
        <v>0</v>
      </c>
      <c r="R653" s="51">
        <f t="shared" si="109"/>
        <v>0</v>
      </c>
      <c r="S653"/>
      <c r="T653" s="83"/>
    </row>
    <row r="654" spans="1:20" ht="16" x14ac:dyDescent="0.2">
      <c r="A654"/>
      <c r="B654" s="103"/>
      <c r="C654" s="243"/>
      <c r="D654" s="119">
        <v>641</v>
      </c>
      <c r="E654" s="25" t="str">
        <f>Tp_CHG!S123</f>
        <v>Transition Probability from state 4 to state 4 on day 17 (CHG)</v>
      </c>
      <c r="F654" s="40">
        <f t="shared" si="100"/>
        <v>0</v>
      </c>
      <c r="G654" s="156">
        <v>1</v>
      </c>
      <c r="H654" s="120">
        <f>Tp_CHG!V123</f>
        <v>0</v>
      </c>
      <c r="I654" s="40" t="s">
        <v>58</v>
      </c>
      <c r="J654" s="40">
        <f t="shared" si="107"/>
        <v>0</v>
      </c>
      <c r="K654" s="40">
        <f t="shared" si="108"/>
        <v>0</v>
      </c>
      <c r="L654" s="40" t="s">
        <v>58</v>
      </c>
      <c r="M654" s="50" t="s">
        <v>266</v>
      </c>
      <c r="N654" s="190"/>
      <c r="O654" s="40">
        <f t="shared" ca="1" si="103"/>
        <v>0.29511633792397263</v>
      </c>
      <c r="P654" s="51">
        <f t="shared" si="101"/>
        <v>0</v>
      </c>
      <c r="Q654" s="51">
        <f t="shared" si="102"/>
        <v>0</v>
      </c>
      <c r="R654" s="51">
        <f t="shared" si="109"/>
        <v>0</v>
      </c>
      <c r="S654"/>
      <c r="T654" s="83"/>
    </row>
    <row r="655" spans="1:20" ht="16" x14ac:dyDescent="0.2">
      <c r="A655"/>
      <c r="B655" s="103"/>
      <c r="C655" s="243"/>
      <c r="D655" s="119">
        <v>642</v>
      </c>
      <c r="E655" s="25" t="str">
        <f>Tp_CHG!S124</f>
        <v>Transition Probability from state 4 to state 4 on day 18 (CHG)</v>
      </c>
      <c r="F655" s="40">
        <f t="shared" ref="F655:F718" si="110">IFERROR(CHOOSE(G655,H655,J655,K655,N655),0)</f>
        <v>0</v>
      </c>
      <c r="G655" s="156">
        <v>1</v>
      </c>
      <c r="H655" s="120">
        <f>Tp_CHG!V124</f>
        <v>0</v>
      </c>
      <c r="I655" s="40" t="s">
        <v>58</v>
      </c>
      <c r="J655" s="40">
        <f t="shared" si="107"/>
        <v>0</v>
      </c>
      <c r="K655" s="40">
        <f t="shared" si="108"/>
        <v>0</v>
      </c>
      <c r="L655" s="40" t="s">
        <v>58</v>
      </c>
      <c r="M655" s="50" t="s">
        <v>266</v>
      </c>
      <c r="N655" s="190"/>
      <c r="O655" s="40">
        <f t="shared" ca="1" si="103"/>
        <v>0.25439628232093414</v>
      </c>
      <c r="P655" s="51">
        <f t="shared" si="101"/>
        <v>0</v>
      </c>
      <c r="Q655" s="51">
        <f t="shared" si="102"/>
        <v>0</v>
      </c>
      <c r="R655" s="51">
        <f t="shared" si="109"/>
        <v>0</v>
      </c>
      <c r="S655"/>
      <c r="T655" s="83"/>
    </row>
    <row r="656" spans="1:20" ht="16" x14ac:dyDescent="0.2">
      <c r="A656"/>
      <c r="B656" s="103"/>
      <c r="C656" s="243"/>
      <c r="D656" s="119">
        <v>643</v>
      </c>
      <c r="E656" s="25" t="str">
        <f>Tp_CHG!S125</f>
        <v>Transition Probability from state 4 to state 4 on day 19 (CHG)</v>
      </c>
      <c r="F656" s="40">
        <f t="shared" si="110"/>
        <v>0</v>
      </c>
      <c r="G656" s="156">
        <v>1</v>
      </c>
      <c r="H656" s="120">
        <f>Tp_CHG!V125</f>
        <v>0</v>
      </c>
      <c r="I656" s="40" t="s">
        <v>58</v>
      </c>
      <c r="J656" s="40">
        <f t="shared" si="107"/>
        <v>0</v>
      </c>
      <c r="K656" s="40">
        <f t="shared" si="108"/>
        <v>0</v>
      </c>
      <c r="L656" s="40" t="s">
        <v>58</v>
      </c>
      <c r="M656" s="50" t="s">
        <v>266</v>
      </c>
      <c r="N656" s="190"/>
      <c r="O656" s="40">
        <f t="shared" ca="1" si="103"/>
        <v>8.5773735977156096E-2</v>
      </c>
      <c r="P656" s="51">
        <f t="shared" si="101"/>
        <v>0</v>
      </c>
      <c r="Q656" s="51">
        <f t="shared" si="102"/>
        <v>0</v>
      </c>
      <c r="R656" s="51">
        <f t="shared" si="109"/>
        <v>0</v>
      </c>
      <c r="S656"/>
      <c r="T656" s="83"/>
    </row>
    <row r="657" spans="1:20" ht="16" x14ac:dyDescent="0.2">
      <c r="A657"/>
      <c r="B657" s="103"/>
      <c r="C657" s="243"/>
      <c r="D657" s="119">
        <v>644</v>
      </c>
      <c r="E657" s="25" t="str">
        <f>Tp_CHG!S126</f>
        <v>Transition Probability from state 4 to state 4 on day 20 (CHG)</v>
      </c>
      <c r="F657" s="40">
        <f t="shared" si="110"/>
        <v>0</v>
      </c>
      <c r="G657" s="156">
        <v>1</v>
      </c>
      <c r="H657" s="120">
        <f>Tp_CHG!V126</f>
        <v>0</v>
      </c>
      <c r="I657" s="40" t="s">
        <v>58</v>
      </c>
      <c r="J657" s="40">
        <f t="shared" si="107"/>
        <v>0</v>
      </c>
      <c r="K657" s="40">
        <f t="shared" si="108"/>
        <v>0</v>
      </c>
      <c r="L657" s="40" t="s">
        <v>58</v>
      </c>
      <c r="M657" s="50" t="s">
        <v>266</v>
      </c>
      <c r="N657" s="190"/>
      <c r="O657" s="40">
        <f t="shared" ca="1" si="103"/>
        <v>0.41825276361871566</v>
      </c>
      <c r="P657" s="51">
        <f t="shared" ref="P657:P720" si="111">IFERROR(H657*((H657*(1-H657)/(R657^2))-1),0)</f>
        <v>0</v>
      </c>
      <c r="Q657" s="51">
        <f t="shared" ref="Q657:Q720" si="112">IFERROR((1-H657)*((H657*(1-H657))/(R657^2)-1),0)</f>
        <v>0</v>
      </c>
      <c r="R657" s="51">
        <f t="shared" si="109"/>
        <v>0</v>
      </c>
      <c r="S657"/>
      <c r="T657" s="83"/>
    </row>
    <row r="658" spans="1:20" ht="16" x14ac:dyDescent="0.2">
      <c r="A658"/>
      <c r="B658" s="103"/>
      <c r="C658" s="243"/>
      <c r="D658" s="119">
        <v>645</v>
      </c>
      <c r="E658" s="25" t="str">
        <f>Tp_CHG!S127</f>
        <v>Transition Probability from state 4 to state 4 on day 21 (CHG)</v>
      </c>
      <c r="F658" s="40">
        <f t="shared" si="110"/>
        <v>0</v>
      </c>
      <c r="G658" s="156">
        <v>1</v>
      </c>
      <c r="H658" s="120">
        <f>Tp_CHG!V127</f>
        <v>0</v>
      </c>
      <c r="I658" s="40" t="s">
        <v>58</v>
      </c>
      <c r="J658" s="40">
        <f t="shared" si="107"/>
        <v>0</v>
      </c>
      <c r="K658" s="40">
        <f t="shared" si="108"/>
        <v>0</v>
      </c>
      <c r="L658" s="40" t="s">
        <v>58</v>
      </c>
      <c r="M658" s="50" t="s">
        <v>266</v>
      </c>
      <c r="N658" s="190"/>
      <c r="O658" s="40">
        <f t="shared" ca="1" si="103"/>
        <v>0.30985004288016105</v>
      </c>
      <c r="P658" s="51">
        <f t="shared" si="111"/>
        <v>0</v>
      </c>
      <c r="Q658" s="51">
        <f t="shared" si="112"/>
        <v>0</v>
      </c>
      <c r="R658" s="51">
        <f t="shared" si="109"/>
        <v>0</v>
      </c>
      <c r="S658"/>
      <c r="T658" s="83"/>
    </row>
    <row r="659" spans="1:20" ht="16" x14ac:dyDescent="0.2">
      <c r="A659"/>
      <c r="B659" s="103"/>
      <c r="C659" s="243"/>
      <c r="D659" s="119">
        <v>646</v>
      </c>
      <c r="E659" s="25" t="str">
        <f>Tp_CHG!S128</f>
        <v>Transition Probability from state 4 to state 4 on day 22 (CHG)</v>
      </c>
      <c r="F659" s="40">
        <f t="shared" si="110"/>
        <v>0</v>
      </c>
      <c r="G659" s="156">
        <v>1</v>
      </c>
      <c r="H659" s="120">
        <f>Tp_CHG!V128</f>
        <v>0</v>
      </c>
      <c r="I659" s="40" t="s">
        <v>58</v>
      </c>
      <c r="J659" s="40">
        <f t="shared" si="107"/>
        <v>0</v>
      </c>
      <c r="K659" s="40">
        <f t="shared" si="108"/>
        <v>0</v>
      </c>
      <c r="L659" s="40" t="s">
        <v>58</v>
      </c>
      <c r="M659" s="50" t="s">
        <v>266</v>
      </c>
      <c r="N659" s="190"/>
      <c r="O659" s="40">
        <f t="shared" ca="1" si="103"/>
        <v>0.70319215085816345</v>
      </c>
      <c r="P659" s="51">
        <f t="shared" si="111"/>
        <v>0</v>
      </c>
      <c r="Q659" s="51">
        <f t="shared" si="112"/>
        <v>0</v>
      </c>
      <c r="R659" s="51">
        <f t="shared" si="109"/>
        <v>0</v>
      </c>
      <c r="S659"/>
      <c r="T659" s="83"/>
    </row>
    <row r="660" spans="1:20" ht="16" x14ac:dyDescent="0.2">
      <c r="A660"/>
      <c r="B660" s="103"/>
      <c r="C660" s="243"/>
      <c r="D660" s="119">
        <v>647</v>
      </c>
      <c r="E660" s="25" t="str">
        <f>Tp_CHG!S129</f>
        <v>Transition Probability from state 4 to state 4 on day 23 (CHG)</v>
      </c>
      <c r="F660" s="40">
        <f t="shared" si="110"/>
        <v>0</v>
      </c>
      <c r="G660" s="156">
        <v>1</v>
      </c>
      <c r="H660" s="120">
        <f>Tp_CHG!V129</f>
        <v>0</v>
      </c>
      <c r="I660" s="40" t="s">
        <v>58</v>
      </c>
      <c r="J660" s="40">
        <f t="shared" si="107"/>
        <v>0</v>
      </c>
      <c r="K660" s="40">
        <f t="shared" si="108"/>
        <v>0</v>
      </c>
      <c r="L660" s="40" t="s">
        <v>58</v>
      </c>
      <c r="M660" s="50" t="s">
        <v>266</v>
      </c>
      <c r="N660" s="190"/>
      <c r="O660" s="40">
        <f t="shared" ca="1" si="103"/>
        <v>0.63454439978932931</v>
      </c>
      <c r="P660" s="51">
        <f t="shared" si="111"/>
        <v>0</v>
      </c>
      <c r="Q660" s="51">
        <f t="shared" si="112"/>
        <v>0</v>
      </c>
      <c r="R660" s="51">
        <f t="shared" si="109"/>
        <v>0</v>
      </c>
      <c r="S660"/>
      <c r="T660" s="83"/>
    </row>
    <row r="661" spans="1:20" ht="16" x14ac:dyDescent="0.2">
      <c r="A661"/>
      <c r="B661" s="103"/>
      <c r="C661" s="243"/>
      <c r="D661" s="119">
        <v>648</v>
      </c>
      <c r="E661" s="25" t="str">
        <f>Tp_CHG!S130</f>
        <v>Transition Probability from state 4 to state 4 on day 24 (CHG)</v>
      </c>
      <c r="F661" s="40">
        <f t="shared" si="110"/>
        <v>0</v>
      </c>
      <c r="G661" s="156">
        <v>1</v>
      </c>
      <c r="H661" s="120">
        <f>Tp_CHG!V130</f>
        <v>0</v>
      </c>
      <c r="I661" s="40" t="s">
        <v>58</v>
      </c>
      <c r="J661" s="40">
        <f t="shared" si="107"/>
        <v>0</v>
      </c>
      <c r="K661" s="40">
        <f t="shared" si="108"/>
        <v>0</v>
      </c>
      <c r="L661" s="40" t="s">
        <v>58</v>
      </c>
      <c r="M661" s="50" t="s">
        <v>266</v>
      </c>
      <c r="N661" s="190"/>
      <c r="O661" s="40">
        <f t="shared" ca="1" si="103"/>
        <v>0.14608161314132895</v>
      </c>
      <c r="P661" s="51">
        <f t="shared" si="111"/>
        <v>0</v>
      </c>
      <c r="Q661" s="51">
        <f t="shared" si="112"/>
        <v>0</v>
      </c>
      <c r="R661" s="51">
        <f t="shared" si="109"/>
        <v>0</v>
      </c>
      <c r="S661"/>
      <c r="T661" s="83"/>
    </row>
    <row r="662" spans="1:20" ht="16" x14ac:dyDescent="0.2">
      <c r="A662"/>
      <c r="B662" s="103"/>
      <c r="C662" s="243"/>
      <c r="D662" s="119">
        <v>649</v>
      </c>
      <c r="E662" s="25" t="str">
        <f>Tp_CHG!S131</f>
        <v>Transition Probability from state 4 to state 4 on day 25 (CHG)</v>
      </c>
      <c r="F662" s="40">
        <f t="shared" si="110"/>
        <v>0</v>
      </c>
      <c r="G662" s="156">
        <v>1</v>
      </c>
      <c r="H662" s="120">
        <f>Tp_CHG!V131</f>
        <v>0</v>
      </c>
      <c r="I662" s="40" t="s">
        <v>58</v>
      </c>
      <c r="J662" s="40">
        <f t="shared" si="107"/>
        <v>0</v>
      </c>
      <c r="K662" s="40">
        <f t="shared" si="108"/>
        <v>0</v>
      </c>
      <c r="L662" s="40" t="s">
        <v>58</v>
      </c>
      <c r="M662" s="50" t="s">
        <v>266</v>
      </c>
      <c r="N662" s="190"/>
      <c r="O662" s="40">
        <f t="shared" ca="1" si="103"/>
        <v>0.18117019606950258</v>
      </c>
      <c r="P662" s="51">
        <f t="shared" si="111"/>
        <v>0</v>
      </c>
      <c r="Q662" s="51">
        <f t="shared" si="112"/>
        <v>0</v>
      </c>
      <c r="R662" s="51">
        <f t="shared" si="109"/>
        <v>0</v>
      </c>
      <c r="S662"/>
      <c r="T662" s="83"/>
    </row>
    <row r="663" spans="1:20" ht="16" x14ac:dyDescent="0.2">
      <c r="A663"/>
      <c r="B663" s="103"/>
      <c r="C663" s="243"/>
      <c r="D663" s="119">
        <v>650</v>
      </c>
      <c r="E663" s="25" t="str">
        <f>Tp_CHG!S132</f>
        <v>Transition Probability from state 4 to state 4 on day 26 (CHG)</v>
      </c>
      <c r="F663" s="40">
        <f t="shared" si="110"/>
        <v>0</v>
      </c>
      <c r="G663" s="156">
        <v>1</v>
      </c>
      <c r="H663" s="120">
        <f>Tp_CHG!V132</f>
        <v>0</v>
      </c>
      <c r="I663" s="40" t="s">
        <v>58</v>
      </c>
      <c r="J663" s="40">
        <f t="shared" si="107"/>
        <v>0</v>
      </c>
      <c r="K663" s="40">
        <f t="shared" si="108"/>
        <v>0</v>
      </c>
      <c r="L663" s="40" t="s">
        <v>58</v>
      </c>
      <c r="M663" s="50" t="s">
        <v>266</v>
      </c>
      <c r="N663" s="190"/>
      <c r="O663" s="40">
        <f t="shared" ca="1" si="103"/>
        <v>6.722928097081704E-2</v>
      </c>
      <c r="P663" s="51">
        <f t="shared" si="111"/>
        <v>0</v>
      </c>
      <c r="Q663" s="51">
        <f t="shared" si="112"/>
        <v>0</v>
      </c>
      <c r="R663" s="51">
        <f t="shared" si="109"/>
        <v>0</v>
      </c>
      <c r="S663"/>
      <c r="T663" s="83"/>
    </row>
    <row r="664" spans="1:20" ht="16" x14ac:dyDescent="0.2">
      <c r="A664"/>
      <c r="B664" s="103"/>
      <c r="C664" s="243"/>
      <c r="D664" s="119">
        <v>651</v>
      </c>
      <c r="E664" s="25" t="str">
        <f>Tp_CHG!S133</f>
        <v>Transition Probability from state 4 to state 4 on day 27 (CHG)</v>
      </c>
      <c r="F664" s="40">
        <f t="shared" si="110"/>
        <v>0</v>
      </c>
      <c r="G664" s="156">
        <v>1</v>
      </c>
      <c r="H664" s="120">
        <f>Tp_CHG!V133</f>
        <v>0</v>
      </c>
      <c r="I664" s="40" t="s">
        <v>58</v>
      </c>
      <c r="J664" s="40">
        <f t="shared" si="107"/>
        <v>0</v>
      </c>
      <c r="K664" s="40">
        <f t="shared" si="108"/>
        <v>0</v>
      </c>
      <c r="L664" s="40" t="s">
        <v>58</v>
      </c>
      <c r="M664" s="50" t="s">
        <v>266</v>
      </c>
      <c r="N664" s="190"/>
      <c r="O664" s="40">
        <f t="shared" ca="1" si="103"/>
        <v>0.62502004927140842</v>
      </c>
      <c r="P664" s="51">
        <f t="shared" si="111"/>
        <v>0</v>
      </c>
      <c r="Q664" s="51">
        <f t="shared" si="112"/>
        <v>0</v>
      </c>
      <c r="R664" s="51">
        <f t="shared" si="109"/>
        <v>0</v>
      </c>
      <c r="S664"/>
      <c r="T664" s="83"/>
    </row>
    <row r="665" spans="1:20" ht="16" x14ac:dyDescent="0.2">
      <c r="A665"/>
      <c r="B665" s="103"/>
      <c r="C665" s="243"/>
      <c r="D665" s="119">
        <v>652</v>
      </c>
      <c r="E665" s="25" t="str">
        <f>Tp_CHG!S134</f>
        <v>Transition Probability from state 4 to state 4 on day 28 (CHG)</v>
      </c>
      <c r="F665" s="40">
        <f t="shared" si="110"/>
        <v>0</v>
      </c>
      <c r="G665" s="156">
        <v>1</v>
      </c>
      <c r="H665" s="120">
        <f>Tp_CHG!V134</f>
        <v>0</v>
      </c>
      <c r="I665" s="40" t="s">
        <v>58</v>
      </c>
      <c r="J665" s="40">
        <f t="shared" si="107"/>
        <v>0</v>
      </c>
      <c r="K665" s="40">
        <f t="shared" si="108"/>
        <v>0</v>
      </c>
      <c r="L665" s="40" t="s">
        <v>58</v>
      </c>
      <c r="M665" s="50" t="s">
        <v>266</v>
      </c>
      <c r="N665" s="190"/>
      <c r="O665" s="40">
        <f t="shared" ca="1" si="103"/>
        <v>0.73429557336705165</v>
      </c>
      <c r="P665" s="51">
        <f t="shared" si="111"/>
        <v>0</v>
      </c>
      <c r="Q665" s="51">
        <f t="shared" si="112"/>
        <v>0</v>
      </c>
      <c r="R665" s="51">
        <f t="shared" si="109"/>
        <v>0</v>
      </c>
      <c r="S665"/>
      <c r="T665" s="83"/>
    </row>
    <row r="666" spans="1:20" ht="16" x14ac:dyDescent="0.2">
      <c r="A666"/>
      <c r="B666" s="103"/>
      <c r="C666" s="243"/>
      <c r="D666" s="119">
        <v>653</v>
      </c>
      <c r="E666" s="25" t="str">
        <f>Tp_CHG!S135</f>
        <v>Transition Probability from state 4 to state 4 on day 29 (CHG)</v>
      </c>
      <c r="F666" s="40">
        <f t="shared" si="110"/>
        <v>0</v>
      </c>
      <c r="G666" s="156">
        <v>1</v>
      </c>
      <c r="H666" s="120">
        <f>Tp_CHG!V135</f>
        <v>0</v>
      </c>
      <c r="I666" s="40" t="s">
        <v>58</v>
      </c>
      <c r="J666" s="40">
        <f t="shared" si="107"/>
        <v>0</v>
      </c>
      <c r="K666" s="40">
        <f t="shared" si="108"/>
        <v>0</v>
      </c>
      <c r="L666" s="40" t="s">
        <v>58</v>
      </c>
      <c r="M666" s="50" t="s">
        <v>266</v>
      </c>
      <c r="N666" s="190"/>
      <c r="O666" s="40">
        <f t="shared" ca="1" si="103"/>
        <v>0.58119168397031906</v>
      </c>
      <c r="P666" s="51">
        <f t="shared" si="111"/>
        <v>0</v>
      </c>
      <c r="Q666" s="51">
        <f t="shared" si="112"/>
        <v>0</v>
      </c>
      <c r="R666" s="51">
        <f t="shared" si="109"/>
        <v>0</v>
      </c>
      <c r="S666"/>
      <c r="T666" s="83"/>
    </row>
    <row r="667" spans="1:20" ht="16" x14ac:dyDescent="0.2">
      <c r="A667"/>
      <c r="B667" s="103"/>
      <c r="C667" s="243"/>
      <c r="D667" s="119">
        <v>654</v>
      </c>
      <c r="E667" s="25" t="str">
        <f>Tp_CHG!S136</f>
        <v>Transition Probability from state 4 to state 4 on day 30 (CHG)</v>
      </c>
      <c r="F667" s="40">
        <f t="shared" si="110"/>
        <v>0</v>
      </c>
      <c r="G667" s="156">
        <v>1</v>
      </c>
      <c r="H667" s="120">
        <f>Tp_CHG!V136</f>
        <v>0</v>
      </c>
      <c r="I667" s="40" t="s">
        <v>58</v>
      </c>
      <c r="J667" s="40">
        <f t="shared" si="107"/>
        <v>0</v>
      </c>
      <c r="K667" s="40">
        <f t="shared" si="108"/>
        <v>0</v>
      </c>
      <c r="L667" s="40" t="s">
        <v>58</v>
      </c>
      <c r="M667" s="50" t="s">
        <v>266</v>
      </c>
      <c r="N667" s="190"/>
      <c r="O667" s="40">
        <f t="shared" ca="1" si="103"/>
        <v>0.49091843923406009</v>
      </c>
      <c r="P667" s="51">
        <f t="shared" si="111"/>
        <v>0</v>
      </c>
      <c r="Q667" s="51">
        <f t="shared" si="112"/>
        <v>0</v>
      </c>
      <c r="R667" s="51">
        <f t="shared" si="109"/>
        <v>0</v>
      </c>
      <c r="S667"/>
      <c r="T667" s="83"/>
    </row>
    <row r="668" spans="1:20" ht="16" x14ac:dyDescent="0.2">
      <c r="A668"/>
      <c r="B668" s="103"/>
      <c r="C668" s="243"/>
      <c r="D668" s="119">
        <v>655</v>
      </c>
      <c r="E668" s="25" t="str">
        <f>Tp_CHG!X107</f>
        <v>Transition Probability from state 6 to state 4 on day 1 (CHG)</v>
      </c>
      <c r="F668" s="40">
        <f t="shared" si="110"/>
        <v>0</v>
      </c>
      <c r="G668" s="156">
        <v>1</v>
      </c>
      <c r="H668" s="120">
        <f>Tp_CHG!AA107</f>
        <v>0</v>
      </c>
      <c r="I668" s="40" t="s">
        <v>58</v>
      </c>
      <c r="J668" s="40">
        <f t="shared" si="107"/>
        <v>0</v>
      </c>
      <c r="K668" s="40">
        <f t="shared" si="108"/>
        <v>0</v>
      </c>
      <c r="L668" s="40" t="s">
        <v>58</v>
      </c>
      <c r="M668" s="50" t="s">
        <v>266</v>
      </c>
      <c r="N668" s="190"/>
      <c r="O668" s="40">
        <f t="shared" ca="1" si="103"/>
        <v>0.22765779389909901</v>
      </c>
      <c r="P668" s="51">
        <f t="shared" si="111"/>
        <v>0</v>
      </c>
      <c r="Q668" s="51">
        <f t="shared" si="112"/>
        <v>0</v>
      </c>
      <c r="R668" s="51">
        <f t="shared" si="109"/>
        <v>0</v>
      </c>
      <c r="S668"/>
      <c r="T668" s="83"/>
    </row>
    <row r="669" spans="1:20" ht="16" x14ac:dyDescent="0.2">
      <c r="A669"/>
      <c r="B669" s="103"/>
      <c r="C669" s="243"/>
      <c r="D669" s="119">
        <v>656</v>
      </c>
      <c r="E669" s="25" t="str">
        <f>Tp_CHG!X108</f>
        <v>Transition Probability from state 6 to state 4 on day 2 (CHG)</v>
      </c>
      <c r="F669" s="40">
        <f t="shared" si="110"/>
        <v>0</v>
      </c>
      <c r="G669" s="156">
        <v>1</v>
      </c>
      <c r="H669" s="120">
        <f>Tp_CHG!AA108</f>
        <v>0</v>
      </c>
      <c r="I669" s="40" t="s">
        <v>58</v>
      </c>
      <c r="J669" s="40">
        <f t="shared" si="107"/>
        <v>0</v>
      </c>
      <c r="K669" s="40">
        <f t="shared" si="108"/>
        <v>0</v>
      </c>
      <c r="L669" s="40" t="s">
        <v>58</v>
      </c>
      <c r="M669" s="50" t="s">
        <v>266</v>
      </c>
      <c r="N669" s="190"/>
      <c r="O669" s="40">
        <f t="shared" ca="1" si="103"/>
        <v>0.47146131611101372</v>
      </c>
      <c r="P669" s="51">
        <f t="shared" si="111"/>
        <v>0</v>
      </c>
      <c r="Q669" s="51">
        <f t="shared" si="112"/>
        <v>0</v>
      </c>
      <c r="R669" s="51">
        <f t="shared" si="109"/>
        <v>0</v>
      </c>
      <c r="S669"/>
      <c r="T669" s="83"/>
    </row>
    <row r="670" spans="1:20" ht="16" x14ac:dyDescent="0.2">
      <c r="A670"/>
      <c r="B670" s="103"/>
      <c r="C670" s="243"/>
      <c r="D670" s="119">
        <v>657</v>
      </c>
      <c r="E670" s="25" t="str">
        <f>Tp_CHG!X109</f>
        <v>Transition Probability from state 6 to state 4 on day 3 (CHG)</v>
      </c>
      <c r="F670" s="40">
        <f t="shared" si="110"/>
        <v>0</v>
      </c>
      <c r="G670" s="156">
        <v>1</v>
      </c>
      <c r="H670" s="120">
        <f>Tp_CHG!AA109</f>
        <v>0</v>
      </c>
      <c r="I670" s="40" t="s">
        <v>58</v>
      </c>
      <c r="J670" s="40">
        <f t="shared" si="107"/>
        <v>0</v>
      </c>
      <c r="K670" s="40">
        <f t="shared" si="108"/>
        <v>0</v>
      </c>
      <c r="L670" s="40" t="s">
        <v>58</v>
      </c>
      <c r="M670" s="50" t="s">
        <v>266</v>
      </c>
      <c r="N670" s="190"/>
      <c r="O670" s="40">
        <f t="shared" ca="1" si="103"/>
        <v>0.44108654030533223</v>
      </c>
      <c r="P670" s="51">
        <f t="shared" si="111"/>
        <v>0</v>
      </c>
      <c r="Q670" s="51">
        <f t="shared" si="112"/>
        <v>0</v>
      </c>
      <c r="R670" s="51">
        <f t="shared" si="109"/>
        <v>0</v>
      </c>
      <c r="S670"/>
      <c r="T670" s="83"/>
    </row>
    <row r="671" spans="1:20" ht="16" x14ac:dyDescent="0.2">
      <c r="A671"/>
      <c r="B671" s="103"/>
      <c r="C671" s="243"/>
      <c r="D671" s="119">
        <v>658</v>
      </c>
      <c r="E671" s="25" t="str">
        <f>Tp_CHG!X110</f>
        <v>Transition Probability from state 6 to state 4 on day 4 (CHG)</v>
      </c>
      <c r="F671" s="40">
        <f t="shared" si="110"/>
        <v>0</v>
      </c>
      <c r="G671" s="156">
        <v>1</v>
      </c>
      <c r="H671" s="120">
        <f>Tp_CHG!AA110</f>
        <v>0</v>
      </c>
      <c r="I671" s="40" t="s">
        <v>58</v>
      </c>
      <c r="J671" s="40">
        <f t="shared" si="107"/>
        <v>0</v>
      </c>
      <c r="K671" s="40">
        <f t="shared" si="108"/>
        <v>0</v>
      </c>
      <c r="L671" s="40" t="s">
        <v>58</v>
      </c>
      <c r="M671" s="50" t="s">
        <v>266</v>
      </c>
      <c r="N671" s="190"/>
      <c r="O671" s="40">
        <f t="shared" ca="1" si="103"/>
        <v>0.36725387354076888</v>
      </c>
      <c r="P671" s="51">
        <f t="shared" si="111"/>
        <v>0</v>
      </c>
      <c r="Q671" s="51">
        <f t="shared" si="112"/>
        <v>0</v>
      </c>
      <c r="R671" s="51">
        <f t="shared" si="109"/>
        <v>0</v>
      </c>
      <c r="S671"/>
      <c r="T671" s="83"/>
    </row>
    <row r="672" spans="1:20" ht="16" x14ac:dyDescent="0.2">
      <c r="A672"/>
      <c r="B672" s="103"/>
      <c r="C672" s="243"/>
      <c r="D672" s="119">
        <v>659</v>
      </c>
      <c r="E672" s="25" t="str">
        <f>Tp_CHG!X111</f>
        <v>Transition Probability from state 6 to state 4 on day 5 (CHG)</v>
      </c>
      <c r="F672" s="40">
        <f t="shared" si="110"/>
        <v>0</v>
      </c>
      <c r="G672" s="156">
        <v>1</v>
      </c>
      <c r="H672" s="120">
        <f>Tp_CHG!AA111</f>
        <v>0</v>
      </c>
      <c r="I672" s="40" t="s">
        <v>58</v>
      </c>
      <c r="J672" s="40">
        <f t="shared" si="107"/>
        <v>0</v>
      </c>
      <c r="K672" s="40">
        <f t="shared" si="108"/>
        <v>0</v>
      </c>
      <c r="L672" s="40" t="s">
        <v>58</v>
      </c>
      <c r="M672" s="50" t="s">
        <v>266</v>
      </c>
      <c r="N672" s="190"/>
      <c r="O672" s="40">
        <f t="shared" ca="1" si="103"/>
        <v>0.80198887298005406</v>
      </c>
      <c r="P672" s="51">
        <f t="shared" si="111"/>
        <v>0</v>
      </c>
      <c r="Q672" s="51">
        <f t="shared" si="112"/>
        <v>0</v>
      </c>
      <c r="R672" s="51">
        <f t="shared" si="109"/>
        <v>0</v>
      </c>
      <c r="S672"/>
      <c r="T672" s="83"/>
    </row>
    <row r="673" spans="1:20" ht="16" x14ac:dyDescent="0.2">
      <c r="A673"/>
      <c r="B673" s="103"/>
      <c r="C673" s="243"/>
      <c r="D673" s="119">
        <v>660</v>
      </c>
      <c r="E673" s="25" t="str">
        <f>Tp_CHG!X112</f>
        <v>Transition Probability from state 6 to state 4 on day 6 (CHG)</v>
      </c>
      <c r="F673" s="40">
        <f t="shared" si="110"/>
        <v>0</v>
      </c>
      <c r="G673" s="156">
        <v>1</v>
      </c>
      <c r="H673" s="120">
        <f>Tp_CHG!AA112</f>
        <v>0</v>
      </c>
      <c r="I673" s="40" t="s">
        <v>58</v>
      </c>
      <c r="J673" s="40">
        <f t="shared" si="107"/>
        <v>0</v>
      </c>
      <c r="K673" s="40">
        <f t="shared" si="108"/>
        <v>0</v>
      </c>
      <c r="L673" s="40" t="s">
        <v>58</v>
      </c>
      <c r="M673" s="50" t="s">
        <v>266</v>
      </c>
      <c r="N673" s="190"/>
      <c r="O673" s="40">
        <f t="shared" ca="1" si="103"/>
        <v>0.12102887219032488</v>
      </c>
      <c r="P673" s="51">
        <f t="shared" si="111"/>
        <v>0</v>
      </c>
      <c r="Q673" s="51">
        <f t="shared" si="112"/>
        <v>0</v>
      </c>
      <c r="R673" s="51">
        <f t="shared" si="109"/>
        <v>0</v>
      </c>
      <c r="S673"/>
      <c r="T673" s="83"/>
    </row>
    <row r="674" spans="1:20" ht="16" x14ac:dyDescent="0.2">
      <c r="A674"/>
      <c r="B674" s="103"/>
      <c r="C674" s="243"/>
      <c r="D674" s="119">
        <v>661</v>
      </c>
      <c r="E674" s="25" t="str">
        <f>Tp_CHG!X113</f>
        <v>Transition Probability from state 6 to state 4 on day 7 (CHG)</v>
      </c>
      <c r="F674" s="40">
        <f t="shared" si="110"/>
        <v>0</v>
      </c>
      <c r="G674" s="156">
        <v>1</v>
      </c>
      <c r="H674" s="120">
        <f>Tp_CHG!AA113</f>
        <v>0</v>
      </c>
      <c r="I674" s="40" t="s">
        <v>58</v>
      </c>
      <c r="J674" s="40">
        <f t="shared" si="107"/>
        <v>0</v>
      </c>
      <c r="K674" s="40">
        <f t="shared" si="108"/>
        <v>0</v>
      </c>
      <c r="L674" s="40" t="s">
        <v>58</v>
      </c>
      <c r="M674" s="50" t="s">
        <v>266</v>
      </c>
      <c r="N674" s="190"/>
      <c r="O674" s="40">
        <f t="shared" ref="O674:O725" ca="1" si="113">RAND()</f>
        <v>0.93235238307255053</v>
      </c>
      <c r="P674" s="51">
        <f t="shared" si="111"/>
        <v>0</v>
      </c>
      <c r="Q674" s="51">
        <f t="shared" si="112"/>
        <v>0</v>
      </c>
      <c r="R674" s="51">
        <f t="shared" si="109"/>
        <v>0</v>
      </c>
      <c r="S674"/>
      <c r="T674" s="83"/>
    </row>
    <row r="675" spans="1:20" ht="16" x14ac:dyDescent="0.2">
      <c r="A675"/>
      <c r="B675" s="103"/>
      <c r="C675" s="243"/>
      <c r="D675" s="119">
        <v>662</v>
      </c>
      <c r="E675" s="25" t="str">
        <f>Tp_CHG!X114</f>
        <v>Transition Probability from state 6 to state 4 on day 8 (CHG)</v>
      </c>
      <c r="F675" s="40">
        <f t="shared" si="110"/>
        <v>0</v>
      </c>
      <c r="G675" s="156">
        <v>1</v>
      </c>
      <c r="H675" s="120">
        <f>Tp_CHG!AA114</f>
        <v>0</v>
      </c>
      <c r="I675" s="40" t="s">
        <v>58</v>
      </c>
      <c r="J675" s="40">
        <f t="shared" si="107"/>
        <v>0</v>
      </c>
      <c r="K675" s="40">
        <f t="shared" si="108"/>
        <v>0</v>
      </c>
      <c r="L675" s="40" t="s">
        <v>58</v>
      </c>
      <c r="M675" s="50" t="s">
        <v>266</v>
      </c>
      <c r="N675" s="190"/>
      <c r="O675" s="40">
        <f t="shared" ca="1" si="113"/>
        <v>0.94634678422639162</v>
      </c>
      <c r="P675" s="51">
        <f t="shared" si="111"/>
        <v>0</v>
      </c>
      <c r="Q675" s="51">
        <f t="shared" si="112"/>
        <v>0</v>
      </c>
      <c r="R675" s="51">
        <f t="shared" si="109"/>
        <v>0</v>
      </c>
      <c r="S675"/>
      <c r="T675" s="83"/>
    </row>
    <row r="676" spans="1:20" ht="16" x14ac:dyDescent="0.2">
      <c r="A676"/>
      <c r="B676" s="103"/>
      <c r="C676" s="243"/>
      <c r="D676" s="119">
        <v>663</v>
      </c>
      <c r="E676" s="25" t="str">
        <f>Tp_CHG!X115</f>
        <v>Transition Probability from state 6 to state 4 on day 9 (CHG)</v>
      </c>
      <c r="F676" s="40">
        <f t="shared" si="110"/>
        <v>0</v>
      </c>
      <c r="G676" s="156">
        <v>1</v>
      </c>
      <c r="H676" s="120">
        <f>Tp_CHG!AA115</f>
        <v>0</v>
      </c>
      <c r="I676" s="40" t="s">
        <v>58</v>
      </c>
      <c r="J676" s="40">
        <f t="shared" si="107"/>
        <v>0</v>
      </c>
      <c r="K676" s="40">
        <f t="shared" si="108"/>
        <v>0</v>
      </c>
      <c r="L676" s="40" t="s">
        <v>58</v>
      </c>
      <c r="M676" s="50" t="s">
        <v>266</v>
      </c>
      <c r="N676" s="190"/>
      <c r="O676" s="40">
        <f t="shared" ca="1" si="113"/>
        <v>0.91858543002773652</v>
      </c>
      <c r="P676" s="51">
        <f t="shared" si="111"/>
        <v>0</v>
      </c>
      <c r="Q676" s="51">
        <f t="shared" si="112"/>
        <v>0</v>
      </c>
      <c r="R676" s="51">
        <f t="shared" si="109"/>
        <v>0</v>
      </c>
      <c r="S676"/>
      <c r="T676" s="83"/>
    </row>
    <row r="677" spans="1:20" ht="16" x14ac:dyDescent="0.2">
      <c r="A677"/>
      <c r="B677" s="103"/>
      <c r="C677" s="243"/>
      <c r="D677" s="119">
        <v>664</v>
      </c>
      <c r="E677" s="25" t="str">
        <f>Tp_CHG!X116</f>
        <v>Transition Probability from state 6 to state 4 on day 10 (CHG)</v>
      </c>
      <c r="F677" s="40">
        <f t="shared" si="110"/>
        <v>0</v>
      </c>
      <c r="G677" s="156">
        <v>1</v>
      </c>
      <c r="H677" s="120">
        <f>Tp_CHG!AA116</f>
        <v>0</v>
      </c>
      <c r="I677" s="40" t="s">
        <v>58</v>
      </c>
      <c r="J677" s="40">
        <f t="shared" si="107"/>
        <v>0</v>
      </c>
      <c r="K677" s="40">
        <f t="shared" si="108"/>
        <v>0</v>
      </c>
      <c r="L677" s="40" t="s">
        <v>58</v>
      </c>
      <c r="M677" s="50" t="s">
        <v>266</v>
      </c>
      <c r="N677" s="190"/>
      <c r="O677" s="40">
        <f t="shared" ca="1" si="113"/>
        <v>0.62123104064809742</v>
      </c>
      <c r="P677" s="51">
        <f t="shared" si="111"/>
        <v>0</v>
      </c>
      <c r="Q677" s="51">
        <f t="shared" si="112"/>
        <v>0</v>
      </c>
      <c r="R677" s="51">
        <f t="shared" si="109"/>
        <v>0</v>
      </c>
      <c r="S677"/>
      <c r="T677" s="83"/>
    </row>
    <row r="678" spans="1:20" ht="16" x14ac:dyDescent="0.2">
      <c r="A678"/>
      <c r="B678" s="103"/>
      <c r="C678" s="243"/>
      <c r="D678" s="119">
        <v>665</v>
      </c>
      <c r="E678" s="25" t="str">
        <f>Tp_CHG!X117</f>
        <v>Transition Probability from state 6 to state 4 on day 11 (CHG)</v>
      </c>
      <c r="F678" s="40">
        <f t="shared" si="110"/>
        <v>0</v>
      </c>
      <c r="G678" s="156">
        <v>1</v>
      </c>
      <c r="H678" s="120">
        <f>Tp_CHG!AA117</f>
        <v>0</v>
      </c>
      <c r="I678" s="40" t="s">
        <v>58</v>
      </c>
      <c r="J678" s="40">
        <f t="shared" ref="J678:J697" si="114">IF(H678=0,0,_xlfn.NORM.INV(0.025,H678,R678))</f>
        <v>0</v>
      </c>
      <c r="K678" s="40">
        <f t="shared" ref="K678:K697" si="115">IF(H678=0,0,_xlfn.NORM.INV(0.975,H678,R678))</f>
        <v>0</v>
      </c>
      <c r="L678" s="40" t="s">
        <v>58</v>
      </c>
      <c r="M678" s="50" t="s">
        <v>266</v>
      </c>
      <c r="N678" s="190"/>
      <c r="O678" s="40">
        <f t="shared" ca="1" si="113"/>
        <v>0.35500273571807517</v>
      </c>
      <c r="P678" s="51">
        <f t="shared" si="111"/>
        <v>0</v>
      </c>
      <c r="Q678" s="51">
        <f t="shared" si="112"/>
        <v>0</v>
      </c>
      <c r="R678" s="51">
        <f t="shared" ref="R678:R697" si="116">assumedSE*H678</f>
        <v>0</v>
      </c>
      <c r="S678"/>
      <c r="T678" s="83"/>
    </row>
    <row r="679" spans="1:20" ht="16" x14ac:dyDescent="0.2">
      <c r="A679"/>
      <c r="B679" s="103"/>
      <c r="C679" s="243"/>
      <c r="D679" s="119">
        <v>666</v>
      </c>
      <c r="E679" s="25" t="str">
        <f>Tp_CHG!X118</f>
        <v>Transition Probability from state 6 to state 4 on day 12 (CHG)</v>
      </c>
      <c r="F679" s="40">
        <f t="shared" si="110"/>
        <v>0</v>
      </c>
      <c r="G679" s="156">
        <v>1</v>
      </c>
      <c r="H679" s="120">
        <f>Tp_CHG!AA118</f>
        <v>0</v>
      </c>
      <c r="I679" s="40" t="s">
        <v>58</v>
      </c>
      <c r="J679" s="40">
        <f t="shared" si="114"/>
        <v>0</v>
      </c>
      <c r="K679" s="40">
        <f t="shared" si="115"/>
        <v>0</v>
      </c>
      <c r="L679" s="40" t="s">
        <v>58</v>
      </c>
      <c r="M679" s="50" t="s">
        <v>266</v>
      </c>
      <c r="N679" s="190"/>
      <c r="O679" s="40">
        <f t="shared" ca="1" si="113"/>
        <v>0.19710682525470891</v>
      </c>
      <c r="P679" s="51">
        <f t="shared" si="111"/>
        <v>0</v>
      </c>
      <c r="Q679" s="51">
        <f t="shared" si="112"/>
        <v>0</v>
      </c>
      <c r="R679" s="51">
        <f t="shared" si="116"/>
        <v>0</v>
      </c>
      <c r="S679"/>
      <c r="T679" s="83"/>
    </row>
    <row r="680" spans="1:20" ht="16" x14ac:dyDescent="0.2">
      <c r="A680"/>
      <c r="B680" s="103"/>
      <c r="C680" s="243"/>
      <c r="D680" s="119">
        <v>667</v>
      </c>
      <c r="E680" s="25" t="str">
        <f>Tp_CHG!X119</f>
        <v>Transition Probability from state 6 to state 4 on day 13 (CHG)</v>
      </c>
      <c r="F680" s="40">
        <f t="shared" si="110"/>
        <v>0</v>
      </c>
      <c r="G680" s="156">
        <v>1</v>
      </c>
      <c r="H680" s="120">
        <f>Tp_CHG!AA119</f>
        <v>0</v>
      </c>
      <c r="I680" s="40" t="s">
        <v>58</v>
      </c>
      <c r="J680" s="40">
        <f t="shared" si="114"/>
        <v>0</v>
      </c>
      <c r="K680" s="40">
        <f t="shared" si="115"/>
        <v>0</v>
      </c>
      <c r="L680" s="40" t="s">
        <v>58</v>
      </c>
      <c r="M680" s="50" t="s">
        <v>266</v>
      </c>
      <c r="N680" s="190"/>
      <c r="O680" s="40">
        <f t="shared" ca="1" si="113"/>
        <v>0.24397320792562327</v>
      </c>
      <c r="P680" s="51">
        <f t="shared" si="111"/>
        <v>0</v>
      </c>
      <c r="Q680" s="51">
        <f t="shared" si="112"/>
        <v>0</v>
      </c>
      <c r="R680" s="51">
        <f t="shared" si="116"/>
        <v>0</v>
      </c>
      <c r="S680"/>
      <c r="T680" s="83"/>
    </row>
    <row r="681" spans="1:20" ht="16" x14ac:dyDescent="0.2">
      <c r="A681"/>
      <c r="B681" s="103"/>
      <c r="C681" s="243"/>
      <c r="D681" s="119">
        <v>668</v>
      </c>
      <c r="E681" s="25" t="str">
        <f>Tp_CHG!X120</f>
        <v>Transition Probability from state 6 to state 4 on day 14 (CHG)</v>
      </c>
      <c r="F681" s="40">
        <f t="shared" si="110"/>
        <v>0</v>
      </c>
      <c r="G681" s="156">
        <v>1</v>
      </c>
      <c r="H681" s="120">
        <f>Tp_CHG!AA120</f>
        <v>0</v>
      </c>
      <c r="I681" s="40" t="s">
        <v>58</v>
      </c>
      <c r="J681" s="40">
        <f t="shared" si="114"/>
        <v>0</v>
      </c>
      <c r="K681" s="40">
        <f t="shared" si="115"/>
        <v>0</v>
      </c>
      <c r="L681" s="40" t="s">
        <v>58</v>
      </c>
      <c r="M681" s="50" t="s">
        <v>266</v>
      </c>
      <c r="N681" s="190"/>
      <c r="O681" s="40">
        <f t="shared" ca="1" si="113"/>
        <v>0.40568825292383159</v>
      </c>
      <c r="P681" s="51">
        <f t="shared" si="111"/>
        <v>0</v>
      </c>
      <c r="Q681" s="51">
        <f t="shared" si="112"/>
        <v>0</v>
      </c>
      <c r="R681" s="51">
        <f t="shared" si="116"/>
        <v>0</v>
      </c>
      <c r="S681"/>
      <c r="T681" s="83"/>
    </row>
    <row r="682" spans="1:20" ht="16" x14ac:dyDescent="0.2">
      <c r="A682"/>
      <c r="B682" s="103"/>
      <c r="C682" s="243"/>
      <c r="D682" s="119">
        <v>669</v>
      </c>
      <c r="E682" s="25" t="str">
        <f>Tp_CHG!X121</f>
        <v>Transition Probability from state 6 to state 4 on day 15 (CHG)</v>
      </c>
      <c r="F682" s="40">
        <f t="shared" si="110"/>
        <v>0</v>
      </c>
      <c r="G682" s="156">
        <v>1</v>
      </c>
      <c r="H682" s="120">
        <f>Tp_CHG!AA121</f>
        <v>0</v>
      </c>
      <c r="I682" s="40" t="s">
        <v>58</v>
      </c>
      <c r="J682" s="40">
        <f t="shared" si="114"/>
        <v>0</v>
      </c>
      <c r="K682" s="40">
        <f t="shared" si="115"/>
        <v>0</v>
      </c>
      <c r="L682" s="40" t="s">
        <v>58</v>
      </c>
      <c r="M682" s="50" t="s">
        <v>266</v>
      </c>
      <c r="N682" s="190"/>
      <c r="O682" s="40">
        <f t="shared" ca="1" si="113"/>
        <v>8.2516576805095831E-2</v>
      </c>
      <c r="P682" s="51">
        <f t="shared" si="111"/>
        <v>0</v>
      </c>
      <c r="Q682" s="51">
        <f t="shared" si="112"/>
        <v>0</v>
      </c>
      <c r="R682" s="51">
        <f t="shared" si="116"/>
        <v>0</v>
      </c>
      <c r="S682"/>
      <c r="T682" s="83"/>
    </row>
    <row r="683" spans="1:20" ht="16" x14ac:dyDescent="0.2">
      <c r="A683"/>
      <c r="B683" s="103"/>
      <c r="C683" s="243"/>
      <c r="D683" s="119">
        <v>670</v>
      </c>
      <c r="E683" s="25" t="str">
        <f>Tp_CHG!X122</f>
        <v>Transition Probability from state 6 to state 4 on day 16 (CHG)</v>
      </c>
      <c r="F683" s="40">
        <f t="shared" si="110"/>
        <v>0</v>
      </c>
      <c r="G683" s="156">
        <v>1</v>
      </c>
      <c r="H683" s="120">
        <f>Tp_CHG!AA122</f>
        <v>0</v>
      </c>
      <c r="I683" s="40" t="s">
        <v>58</v>
      </c>
      <c r="J683" s="40">
        <f t="shared" si="114"/>
        <v>0</v>
      </c>
      <c r="K683" s="40">
        <f t="shared" si="115"/>
        <v>0</v>
      </c>
      <c r="L683" s="40" t="s">
        <v>58</v>
      </c>
      <c r="M683" s="50" t="s">
        <v>266</v>
      </c>
      <c r="N683" s="190"/>
      <c r="O683" s="40">
        <f t="shared" ca="1" si="113"/>
        <v>0.73052135447495758</v>
      </c>
      <c r="P683" s="51">
        <f t="shared" si="111"/>
        <v>0</v>
      </c>
      <c r="Q683" s="51">
        <f t="shared" si="112"/>
        <v>0</v>
      </c>
      <c r="R683" s="51">
        <f t="shared" si="116"/>
        <v>0</v>
      </c>
      <c r="S683"/>
      <c r="T683" s="83"/>
    </row>
    <row r="684" spans="1:20" ht="16" x14ac:dyDescent="0.2">
      <c r="A684"/>
      <c r="B684" s="103"/>
      <c r="C684" s="243"/>
      <c r="D684" s="119">
        <v>671</v>
      </c>
      <c r="E684" s="25" t="str">
        <f>Tp_CHG!X123</f>
        <v>Transition Probability from state 6 to state 4 on day 17 (CHG)</v>
      </c>
      <c r="F684" s="40">
        <f t="shared" si="110"/>
        <v>0</v>
      </c>
      <c r="G684" s="156">
        <v>1</v>
      </c>
      <c r="H684" s="120">
        <f>Tp_CHG!AA123</f>
        <v>0</v>
      </c>
      <c r="I684" s="40" t="s">
        <v>58</v>
      </c>
      <c r="J684" s="40">
        <f t="shared" si="114"/>
        <v>0</v>
      </c>
      <c r="K684" s="40">
        <f t="shared" si="115"/>
        <v>0</v>
      </c>
      <c r="L684" s="40" t="s">
        <v>58</v>
      </c>
      <c r="M684" s="50" t="s">
        <v>266</v>
      </c>
      <c r="N684" s="190"/>
      <c r="O684" s="40">
        <f t="shared" ca="1" si="113"/>
        <v>0.1157337946886341</v>
      </c>
      <c r="P684" s="51">
        <f t="shared" si="111"/>
        <v>0</v>
      </c>
      <c r="Q684" s="51">
        <f t="shared" si="112"/>
        <v>0</v>
      </c>
      <c r="R684" s="51">
        <f t="shared" si="116"/>
        <v>0</v>
      </c>
      <c r="S684"/>
      <c r="T684" s="83"/>
    </row>
    <row r="685" spans="1:20" ht="16" x14ac:dyDescent="0.2">
      <c r="A685"/>
      <c r="B685" s="103"/>
      <c r="C685" s="243"/>
      <c r="D685" s="119">
        <v>672</v>
      </c>
      <c r="E685" s="25" t="str">
        <f>Tp_CHG!X124</f>
        <v>Transition Probability from state 6 to state 4 on day 18 (CHG)</v>
      </c>
      <c r="F685" s="40">
        <f t="shared" si="110"/>
        <v>0</v>
      </c>
      <c r="G685" s="156">
        <v>1</v>
      </c>
      <c r="H685" s="120">
        <f>Tp_CHG!AA124</f>
        <v>0</v>
      </c>
      <c r="I685" s="40" t="s">
        <v>58</v>
      </c>
      <c r="J685" s="40">
        <f t="shared" si="114"/>
        <v>0</v>
      </c>
      <c r="K685" s="40">
        <f t="shared" si="115"/>
        <v>0</v>
      </c>
      <c r="L685" s="40" t="s">
        <v>58</v>
      </c>
      <c r="M685" s="50" t="s">
        <v>266</v>
      </c>
      <c r="N685" s="190"/>
      <c r="O685" s="40">
        <f t="shared" ca="1" si="113"/>
        <v>0.82090670477629635</v>
      </c>
      <c r="P685" s="51">
        <f t="shared" si="111"/>
        <v>0</v>
      </c>
      <c r="Q685" s="51">
        <f t="shared" si="112"/>
        <v>0</v>
      </c>
      <c r="R685" s="51">
        <f t="shared" si="116"/>
        <v>0</v>
      </c>
      <c r="S685"/>
      <c r="T685" s="83"/>
    </row>
    <row r="686" spans="1:20" ht="16" x14ac:dyDescent="0.2">
      <c r="A686"/>
      <c r="B686" s="103"/>
      <c r="C686" s="243"/>
      <c r="D686" s="119">
        <v>673</v>
      </c>
      <c r="E686" s="25" t="str">
        <f>Tp_CHG!X125</f>
        <v>Transition Probability from state 6 to state 4 on day 19 (CHG)</v>
      </c>
      <c r="F686" s="40">
        <f t="shared" si="110"/>
        <v>0</v>
      </c>
      <c r="G686" s="156">
        <v>1</v>
      </c>
      <c r="H686" s="120">
        <f>Tp_CHG!AA125</f>
        <v>0</v>
      </c>
      <c r="I686" s="40" t="s">
        <v>58</v>
      </c>
      <c r="J686" s="40">
        <f t="shared" si="114"/>
        <v>0</v>
      </c>
      <c r="K686" s="40">
        <f t="shared" si="115"/>
        <v>0</v>
      </c>
      <c r="L686" s="40" t="s">
        <v>58</v>
      </c>
      <c r="M686" s="50" t="s">
        <v>266</v>
      </c>
      <c r="N686" s="190"/>
      <c r="O686" s="40">
        <f t="shared" ca="1" si="113"/>
        <v>0.23674461072718223</v>
      </c>
      <c r="P686" s="51">
        <f t="shared" si="111"/>
        <v>0</v>
      </c>
      <c r="Q686" s="51">
        <f t="shared" si="112"/>
        <v>0</v>
      </c>
      <c r="R686" s="51">
        <f t="shared" si="116"/>
        <v>0</v>
      </c>
      <c r="S686"/>
      <c r="T686" s="83"/>
    </row>
    <row r="687" spans="1:20" ht="16" x14ac:dyDescent="0.2">
      <c r="A687"/>
      <c r="B687" s="103"/>
      <c r="C687" s="243"/>
      <c r="D687" s="119">
        <v>674</v>
      </c>
      <c r="E687" s="25" t="str">
        <f>Tp_CHG!X126</f>
        <v>Transition Probability from state 6 to state 4 on day 20 (CHG)</v>
      </c>
      <c r="F687" s="40">
        <f t="shared" si="110"/>
        <v>0</v>
      </c>
      <c r="G687" s="156">
        <v>1</v>
      </c>
      <c r="H687" s="120">
        <f>Tp_CHG!AA126</f>
        <v>0</v>
      </c>
      <c r="I687" s="40" t="s">
        <v>58</v>
      </c>
      <c r="J687" s="40">
        <f t="shared" si="114"/>
        <v>0</v>
      </c>
      <c r="K687" s="40">
        <f t="shared" si="115"/>
        <v>0</v>
      </c>
      <c r="L687" s="40" t="s">
        <v>58</v>
      </c>
      <c r="M687" s="50" t="s">
        <v>266</v>
      </c>
      <c r="N687" s="190"/>
      <c r="O687" s="40">
        <f t="shared" ca="1" si="113"/>
        <v>0.12330791316840439</v>
      </c>
      <c r="P687" s="51">
        <f t="shared" si="111"/>
        <v>0</v>
      </c>
      <c r="Q687" s="51">
        <f t="shared" si="112"/>
        <v>0</v>
      </c>
      <c r="R687" s="51">
        <f t="shared" si="116"/>
        <v>0</v>
      </c>
      <c r="S687"/>
      <c r="T687" s="83"/>
    </row>
    <row r="688" spans="1:20" ht="16" x14ac:dyDescent="0.2">
      <c r="A688"/>
      <c r="B688" s="103"/>
      <c r="C688" s="243"/>
      <c r="D688" s="119">
        <v>675</v>
      </c>
      <c r="E688" s="25" t="str">
        <f>Tp_CHG!X127</f>
        <v>Transition Probability from state 6 to state 4 on day 21 (CHG)</v>
      </c>
      <c r="F688" s="40">
        <f t="shared" si="110"/>
        <v>0</v>
      </c>
      <c r="G688" s="156">
        <v>1</v>
      </c>
      <c r="H688" s="120">
        <f>Tp_CHG!AA127</f>
        <v>0</v>
      </c>
      <c r="I688" s="40" t="s">
        <v>58</v>
      </c>
      <c r="J688" s="40">
        <f t="shared" si="114"/>
        <v>0</v>
      </c>
      <c r="K688" s="40">
        <f t="shared" si="115"/>
        <v>0</v>
      </c>
      <c r="L688" s="40" t="s">
        <v>58</v>
      </c>
      <c r="M688" s="50" t="s">
        <v>266</v>
      </c>
      <c r="N688" s="190"/>
      <c r="O688" s="40">
        <f t="shared" ca="1" si="113"/>
        <v>0.66497576572716099</v>
      </c>
      <c r="P688" s="51">
        <f t="shared" si="111"/>
        <v>0</v>
      </c>
      <c r="Q688" s="51">
        <f t="shared" si="112"/>
        <v>0</v>
      </c>
      <c r="R688" s="51">
        <f t="shared" si="116"/>
        <v>0</v>
      </c>
      <c r="S688"/>
      <c r="T688" s="83"/>
    </row>
    <row r="689" spans="1:20" ht="16" x14ac:dyDescent="0.2">
      <c r="A689"/>
      <c r="B689" s="103"/>
      <c r="C689" s="243"/>
      <c r="D689" s="119">
        <v>676</v>
      </c>
      <c r="E689" s="25" t="str">
        <f>Tp_CHG!X128</f>
        <v>Transition Probability from state 6 to state 4 on day 22 (CHG)</v>
      </c>
      <c r="F689" s="40">
        <f t="shared" si="110"/>
        <v>0</v>
      </c>
      <c r="G689" s="156">
        <v>1</v>
      </c>
      <c r="H689" s="120">
        <f>Tp_CHG!AA128</f>
        <v>0</v>
      </c>
      <c r="I689" s="40" t="s">
        <v>58</v>
      </c>
      <c r="J689" s="40">
        <f t="shared" si="114"/>
        <v>0</v>
      </c>
      <c r="K689" s="40">
        <f t="shared" si="115"/>
        <v>0</v>
      </c>
      <c r="L689" s="40" t="s">
        <v>58</v>
      </c>
      <c r="M689" s="50" t="s">
        <v>266</v>
      </c>
      <c r="N689" s="190"/>
      <c r="O689" s="40">
        <f t="shared" ca="1" si="113"/>
        <v>0.61999508417680227</v>
      </c>
      <c r="P689" s="51">
        <f t="shared" si="111"/>
        <v>0</v>
      </c>
      <c r="Q689" s="51">
        <f t="shared" si="112"/>
        <v>0</v>
      </c>
      <c r="R689" s="51">
        <f t="shared" si="116"/>
        <v>0</v>
      </c>
      <c r="S689"/>
      <c r="T689" s="83"/>
    </row>
    <row r="690" spans="1:20" ht="16" x14ac:dyDescent="0.2">
      <c r="A690"/>
      <c r="B690" s="103"/>
      <c r="C690" s="243"/>
      <c r="D690" s="119">
        <v>677</v>
      </c>
      <c r="E690" s="25" t="str">
        <f>Tp_CHG!X129</f>
        <v>Transition Probability from state 6 to state 4 on day 23 (CHG)</v>
      </c>
      <c r="F690" s="40">
        <f t="shared" si="110"/>
        <v>0</v>
      </c>
      <c r="G690" s="156">
        <v>1</v>
      </c>
      <c r="H690" s="120">
        <f>Tp_CHG!AA129</f>
        <v>0</v>
      </c>
      <c r="I690" s="40" t="s">
        <v>58</v>
      </c>
      <c r="J690" s="40">
        <f t="shared" si="114"/>
        <v>0</v>
      </c>
      <c r="K690" s="40">
        <f t="shared" si="115"/>
        <v>0</v>
      </c>
      <c r="L690" s="40" t="s">
        <v>58</v>
      </c>
      <c r="M690" s="50" t="s">
        <v>266</v>
      </c>
      <c r="N690" s="190"/>
      <c r="O690" s="40">
        <f t="shared" ca="1" si="113"/>
        <v>0.77455151543069822</v>
      </c>
      <c r="P690" s="51">
        <f t="shared" si="111"/>
        <v>0</v>
      </c>
      <c r="Q690" s="51">
        <f t="shared" si="112"/>
        <v>0</v>
      </c>
      <c r="R690" s="51">
        <f t="shared" si="116"/>
        <v>0</v>
      </c>
      <c r="S690"/>
      <c r="T690" s="83"/>
    </row>
    <row r="691" spans="1:20" ht="16" x14ac:dyDescent="0.2">
      <c r="A691"/>
      <c r="B691" s="103"/>
      <c r="C691" s="243"/>
      <c r="D691" s="119">
        <v>678</v>
      </c>
      <c r="E691" s="25" t="str">
        <f>Tp_CHG!X130</f>
        <v>Transition Probability from state 6 to state 4 on day 24 (CHG)</v>
      </c>
      <c r="F691" s="40">
        <f t="shared" si="110"/>
        <v>0</v>
      </c>
      <c r="G691" s="156">
        <v>1</v>
      </c>
      <c r="H691" s="120">
        <f>Tp_CHG!AA130</f>
        <v>0</v>
      </c>
      <c r="I691" s="40" t="s">
        <v>58</v>
      </c>
      <c r="J691" s="40">
        <f t="shared" si="114"/>
        <v>0</v>
      </c>
      <c r="K691" s="40">
        <f t="shared" si="115"/>
        <v>0</v>
      </c>
      <c r="L691" s="40" t="s">
        <v>58</v>
      </c>
      <c r="M691" s="50" t="s">
        <v>266</v>
      </c>
      <c r="N691" s="190"/>
      <c r="O691" s="40">
        <f t="shared" ca="1" si="113"/>
        <v>5.0253665133739522E-2</v>
      </c>
      <c r="P691" s="51">
        <f t="shared" si="111"/>
        <v>0</v>
      </c>
      <c r="Q691" s="51">
        <f t="shared" si="112"/>
        <v>0</v>
      </c>
      <c r="R691" s="51">
        <f t="shared" si="116"/>
        <v>0</v>
      </c>
      <c r="S691"/>
      <c r="T691" s="83"/>
    </row>
    <row r="692" spans="1:20" ht="16" x14ac:dyDescent="0.2">
      <c r="A692"/>
      <c r="B692" s="103"/>
      <c r="C692" s="243"/>
      <c r="D692" s="119">
        <v>679</v>
      </c>
      <c r="E692" s="25" t="str">
        <f>Tp_CHG!X131</f>
        <v>Transition Probability from state 6 to state 4 on day 25 (CHG)</v>
      </c>
      <c r="F692" s="40">
        <f t="shared" si="110"/>
        <v>0</v>
      </c>
      <c r="G692" s="156">
        <v>1</v>
      </c>
      <c r="H692" s="120">
        <f>Tp_CHG!AA131</f>
        <v>0</v>
      </c>
      <c r="I692" s="40" t="s">
        <v>58</v>
      </c>
      <c r="J692" s="40">
        <f t="shared" si="114"/>
        <v>0</v>
      </c>
      <c r="K692" s="40">
        <f t="shared" si="115"/>
        <v>0</v>
      </c>
      <c r="L692" s="40" t="s">
        <v>58</v>
      </c>
      <c r="M692" s="50" t="s">
        <v>266</v>
      </c>
      <c r="N692" s="190"/>
      <c r="O692" s="40">
        <f t="shared" ca="1" si="113"/>
        <v>0.61125421782283096</v>
      </c>
      <c r="P692" s="51">
        <f t="shared" si="111"/>
        <v>0</v>
      </c>
      <c r="Q692" s="51">
        <f t="shared" si="112"/>
        <v>0</v>
      </c>
      <c r="R692" s="51">
        <f t="shared" si="116"/>
        <v>0</v>
      </c>
      <c r="S692"/>
      <c r="T692" s="83"/>
    </row>
    <row r="693" spans="1:20" ht="16" x14ac:dyDescent="0.2">
      <c r="A693"/>
      <c r="B693" s="103"/>
      <c r="C693" s="243"/>
      <c r="D693" s="119">
        <v>680</v>
      </c>
      <c r="E693" s="25" t="str">
        <f>Tp_CHG!X132</f>
        <v>Transition Probability from state 6 to state 4 on day 26 (CHG)</v>
      </c>
      <c r="F693" s="40">
        <f t="shared" si="110"/>
        <v>0</v>
      </c>
      <c r="G693" s="156">
        <v>1</v>
      </c>
      <c r="H693" s="120">
        <f>Tp_CHG!AA132</f>
        <v>0</v>
      </c>
      <c r="I693" s="40" t="s">
        <v>58</v>
      </c>
      <c r="J693" s="40">
        <f t="shared" si="114"/>
        <v>0</v>
      </c>
      <c r="K693" s="40">
        <f t="shared" si="115"/>
        <v>0</v>
      </c>
      <c r="L693" s="40" t="s">
        <v>58</v>
      </c>
      <c r="M693" s="50" t="s">
        <v>266</v>
      </c>
      <c r="N693" s="190"/>
      <c r="O693" s="40">
        <f t="shared" ca="1" si="113"/>
        <v>0.50691989424220063</v>
      </c>
      <c r="P693" s="51">
        <f t="shared" si="111"/>
        <v>0</v>
      </c>
      <c r="Q693" s="51">
        <f t="shared" si="112"/>
        <v>0</v>
      </c>
      <c r="R693" s="51">
        <f t="shared" si="116"/>
        <v>0</v>
      </c>
      <c r="S693"/>
      <c r="T693" s="83"/>
    </row>
    <row r="694" spans="1:20" ht="16" x14ac:dyDescent="0.2">
      <c r="A694"/>
      <c r="B694" s="103"/>
      <c r="C694" s="243"/>
      <c r="D694" s="119">
        <v>681</v>
      </c>
      <c r="E694" s="25" t="str">
        <f>Tp_CHG!X133</f>
        <v>Transition Probability from state 6 to state 4 on day 27 (CHG)</v>
      </c>
      <c r="F694" s="40">
        <f t="shared" si="110"/>
        <v>0</v>
      </c>
      <c r="G694" s="156">
        <v>1</v>
      </c>
      <c r="H694" s="120">
        <f>Tp_CHG!AA133</f>
        <v>0</v>
      </c>
      <c r="I694" s="40" t="s">
        <v>58</v>
      </c>
      <c r="J694" s="40">
        <f t="shared" si="114"/>
        <v>0</v>
      </c>
      <c r="K694" s="40">
        <f t="shared" si="115"/>
        <v>0</v>
      </c>
      <c r="L694" s="40" t="s">
        <v>58</v>
      </c>
      <c r="M694" s="50" t="s">
        <v>266</v>
      </c>
      <c r="N694" s="190"/>
      <c r="O694" s="40">
        <f t="shared" ca="1" si="113"/>
        <v>0.17802493841003031</v>
      </c>
      <c r="P694" s="51">
        <f t="shared" si="111"/>
        <v>0</v>
      </c>
      <c r="Q694" s="51">
        <f t="shared" si="112"/>
        <v>0</v>
      </c>
      <c r="R694" s="51">
        <f t="shared" si="116"/>
        <v>0</v>
      </c>
      <c r="S694"/>
      <c r="T694" s="83"/>
    </row>
    <row r="695" spans="1:20" ht="16" x14ac:dyDescent="0.2">
      <c r="A695"/>
      <c r="B695" s="103"/>
      <c r="C695" s="243"/>
      <c r="D695" s="119">
        <v>682</v>
      </c>
      <c r="E695" s="25" t="str">
        <f>Tp_CHG!X134</f>
        <v>Transition Probability from state 6 to state 4 on day 28 (CHG)</v>
      </c>
      <c r="F695" s="40">
        <f t="shared" si="110"/>
        <v>0</v>
      </c>
      <c r="G695" s="156">
        <v>1</v>
      </c>
      <c r="H695" s="120">
        <f>Tp_CHG!AA134</f>
        <v>0</v>
      </c>
      <c r="I695" s="40" t="s">
        <v>58</v>
      </c>
      <c r="J695" s="40">
        <f t="shared" si="114"/>
        <v>0</v>
      </c>
      <c r="K695" s="40">
        <f t="shared" si="115"/>
        <v>0</v>
      </c>
      <c r="L695" s="40" t="s">
        <v>58</v>
      </c>
      <c r="M695" s="50" t="s">
        <v>266</v>
      </c>
      <c r="N695" s="190"/>
      <c r="O695" s="40">
        <f t="shared" ca="1" si="113"/>
        <v>0.95947777700873049</v>
      </c>
      <c r="P695" s="51">
        <f t="shared" si="111"/>
        <v>0</v>
      </c>
      <c r="Q695" s="51">
        <f t="shared" si="112"/>
        <v>0</v>
      </c>
      <c r="R695" s="51">
        <f t="shared" si="116"/>
        <v>0</v>
      </c>
      <c r="S695"/>
      <c r="T695" s="83"/>
    </row>
    <row r="696" spans="1:20" ht="16" x14ac:dyDescent="0.2">
      <c r="A696"/>
      <c r="B696" s="103"/>
      <c r="C696" s="243"/>
      <c r="D696" s="119">
        <v>683</v>
      </c>
      <c r="E696" s="25" t="str">
        <f>Tp_CHG!X135</f>
        <v>Transition Probability from state 6 to state 4 on day 29 (CHG)</v>
      </c>
      <c r="F696" s="40">
        <f t="shared" si="110"/>
        <v>0</v>
      </c>
      <c r="G696" s="156">
        <v>1</v>
      </c>
      <c r="H696" s="120">
        <f>Tp_CHG!AA135</f>
        <v>0</v>
      </c>
      <c r="I696" s="40" t="s">
        <v>58</v>
      </c>
      <c r="J696" s="40">
        <f t="shared" si="114"/>
        <v>0</v>
      </c>
      <c r="K696" s="40">
        <f t="shared" si="115"/>
        <v>0</v>
      </c>
      <c r="L696" s="40" t="s">
        <v>58</v>
      </c>
      <c r="M696" s="50" t="s">
        <v>266</v>
      </c>
      <c r="N696" s="190"/>
      <c r="O696" s="40">
        <f t="shared" ca="1" si="113"/>
        <v>0.5186838718192357</v>
      </c>
      <c r="P696" s="51">
        <f t="shared" si="111"/>
        <v>0</v>
      </c>
      <c r="Q696" s="51">
        <f t="shared" si="112"/>
        <v>0</v>
      </c>
      <c r="R696" s="51">
        <f t="shared" si="116"/>
        <v>0</v>
      </c>
      <c r="S696"/>
      <c r="T696" s="83"/>
    </row>
    <row r="697" spans="1:20" ht="16" x14ac:dyDescent="0.2">
      <c r="A697"/>
      <c r="B697" s="103"/>
      <c r="C697" s="243"/>
      <c r="D697" s="119">
        <v>684</v>
      </c>
      <c r="E697" s="25" t="str">
        <f>Tp_CHG!X136</f>
        <v>Transition Probability from state 6 to state 4 on day 30 (CHG)</v>
      </c>
      <c r="F697" s="40">
        <f t="shared" si="110"/>
        <v>0</v>
      </c>
      <c r="G697" s="156">
        <v>1</v>
      </c>
      <c r="H697" s="120">
        <f>Tp_CHG!AA136</f>
        <v>0</v>
      </c>
      <c r="I697" s="40" t="s">
        <v>58</v>
      </c>
      <c r="J697" s="40">
        <f t="shared" si="114"/>
        <v>0</v>
      </c>
      <c r="K697" s="40">
        <f t="shared" si="115"/>
        <v>0</v>
      </c>
      <c r="L697" s="40" t="s">
        <v>58</v>
      </c>
      <c r="M697" s="50" t="s">
        <v>266</v>
      </c>
      <c r="N697" s="190"/>
      <c r="O697" s="40">
        <f t="shared" ca="1" si="113"/>
        <v>0.5431144999933325</v>
      </c>
      <c r="P697" s="51">
        <f t="shared" si="111"/>
        <v>0</v>
      </c>
      <c r="Q697" s="51">
        <f t="shared" si="112"/>
        <v>0</v>
      </c>
      <c r="R697" s="51">
        <f t="shared" si="116"/>
        <v>0</v>
      </c>
      <c r="S697"/>
      <c r="T697" s="83"/>
    </row>
    <row r="698" spans="1:20" ht="16" x14ac:dyDescent="0.2">
      <c r="A698"/>
      <c r="B698" s="103"/>
      <c r="C698" s="243"/>
      <c r="D698" s="119">
        <v>685</v>
      </c>
      <c r="E698" s="25" t="str">
        <f>Tp_CHG!D139</f>
        <v>Transition Probability from state 1 to state 5 on day 1 (CHG)</v>
      </c>
      <c r="F698" s="40">
        <f t="shared" si="110"/>
        <v>0</v>
      </c>
      <c r="G698" s="156">
        <v>1</v>
      </c>
      <c r="H698" s="120">
        <f>Tp_CHG!G139</f>
        <v>0</v>
      </c>
      <c r="I698" s="40" t="s">
        <v>58</v>
      </c>
      <c r="J698" s="40">
        <f>IF(H698=0,0,_xlfn.NORM.INV(0.025,H698,R698))</f>
        <v>0</v>
      </c>
      <c r="K698" s="40">
        <f>IF(H698=0,0,_xlfn.NORM.INV(0.975,H698,R698))</f>
        <v>0</v>
      </c>
      <c r="L698" s="40" t="s">
        <v>58</v>
      </c>
      <c r="M698" s="50" t="s">
        <v>266</v>
      </c>
      <c r="N698" s="190"/>
      <c r="O698" s="40">
        <f ca="1">RAND()</f>
        <v>0.78610803047331135</v>
      </c>
      <c r="P698" s="51">
        <f t="shared" si="111"/>
        <v>0</v>
      </c>
      <c r="Q698" s="51">
        <f t="shared" si="112"/>
        <v>0</v>
      </c>
      <c r="R698" s="51">
        <f>assumedSE*H698</f>
        <v>0</v>
      </c>
      <c r="S698"/>
      <c r="T698" s="83"/>
    </row>
    <row r="699" spans="1:20" ht="16" x14ac:dyDescent="0.2">
      <c r="A699"/>
      <c r="B699" s="103"/>
      <c r="C699" s="243"/>
      <c r="D699" s="119">
        <v>686</v>
      </c>
      <c r="E699" s="25" t="str">
        <f>Tp_CHG!D140</f>
        <v>Transition Probability from state 1 to state 5 on day 2 (CHG)</v>
      </c>
      <c r="F699" s="40">
        <f t="shared" si="110"/>
        <v>0</v>
      </c>
      <c r="G699" s="156">
        <v>1</v>
      </c>
      <c r="H699" s="120">
        <f>Tp_CHG!G140</f>
        <v>0</v>
      </c>
      <c r="I699" s="40" t="s">
        <v>58</v>
      </c>
      <c r="J699" s="40">
        <f>IF(H699=0,0,_xlfn.NORM.INV(0.025,H699,R699))</f>
        <v>0</v>
      </c>
      <c r="K699" s="40">
        <f>IF(H699=0,0,_xlfn.NORM.INV(0.975,H699,R699))</f>
        <v>0</v>
      </c>
      <c r="L699" s="40" t="s">
        <v>58</v>
      </c>
      <c r="M699" s="50" t="s">
        <v>266</v>
      </c>
      <c r="N699" s="190"/>
      <c r="O699" s="40">
        <f ca="1">RAND()</f>
        <v>9.2136184225107831E-3</v>
      </c>
      <c r="P699" s="51">
        <f t="shared" si="111"/>
        <v>0</v>
      </c>
      <c r="Q699" s="51">
        <f t="shared" si="112"/>
        <v>0</v>
      </c>
      <c r="R699" s="51">
        <f>assumedSE*H699</f>
        <v>0</v>
      </c>
      <c r="S699"/>
      <c r="T699" s="83"/>
    </row>
    <row r="700" spans="1:20" ht="16" x14ac:dyDescent="0.2">
      <c r="A700"/>
      <c r="B700" s="103"/>
      <c r="C700" s="243"/>
      <c r="D700" s="119">
        <v>687</v>
      </c>
      <c r="E700" s="25" t="str">
        <f>Tp_CHG!D141</f>
        <v>Transition Probability from state 1 to state 5 on day 3 (CHG)</v>
      </c>
      <c r="F700" s="40">
        <f t="shared" si="110"/>
        <v>0</v>
      </c>
      <c r="G700" s="156">
        <v>1</v>
      </c>
      <c r="H700" s="120">
        <f>Tp_CHG!G141</f>
        <v>0</v>
      </c>
      <c r="I700" s="40" t="s">
        <v>58</v>
      </c>
      <c r="J700" s="40">
        <f t="shared" ref="J700:J720" si="117">IF(H700=0,0,_xlfn.NORM.INV(0.025,H700,R700))</f>
        <v>0</v>
      </c>
      <c r="K700" s="40">
        <f t="shared" ref="K700:K720" si="118">IF(H700=0,0,_xlfn.NORM.INV(0.975,H700,R700))</f>
        <v>0</v>
      </c>
      <c r="L700" s="40" t="s">
        <v>58</v>
      </c>
      <c r="M700" s="50" t="s">
        <v>266</v>
      </c>
      <c r="N700" s="190"/>
      <c r="O700" s="40">
        <f t="shared" ca="1" si="113"/>
        <v>0.57534842598815594</v>
      </c>
      <c r="P700" s="51">
        <f t="shared" si="111"/>
        <v>0</v>
      </c>
      <c r="Q700" s="51">
        <f t="shared" si="112"/>
        <v>0</v>
      </c>
      <c r="R700" s="51">
        <f t="shared" ref="R700:R720" si="119">assumedSE*H700</f>
        <v>0</v>
      </c>
      <c r="S700"/>
      <c r="T700" s="83"/>
    </row>
    <row r="701" spans="1:20" ht="15.5" customHeight="1" x14ac:dyDescent="0.2">
      <c r="A701"/>
      <c r="B701" s="103"/>
      <c r="C701" s="243"/>
      <c r="D701" s="119">
        <v>688</v>
      </c>
      <c r="E701" s="25" t="str">
        <f>Tp_CHG!D142</f>
        <v>Transition Probability from state 1 to state 5 on day 4 (CHG)</v>
      </c>
      <c r="F701" s="40">
        <f t="shared" si="110"/>
        <v>0</v>
      </c>
      <c r="G701" s="156">
        <v>1</v>
      </c>
      <c r="H701" s="120">
        <f>Tp_CHG!G142</f>
        <v>0</v>
      </c>
      <c r="I701" s="40" t="s">
        <v>58</v>
      </c>
      <c r="J701" s="40">
        <f t="shared" si="117"/>
        <v>0</v>
      </c>
      <c r="K701" s="40">
        <f t="shared" si="118"/>
        <v>0</v>
      </c>
      <c r="L701" s="40" t="s">
        <v>58</v>
      </c>
      <c r="M701" s="50" t="s">
        <v>266</v>
      </c>
      <c r="N701" s="190"/>
      <c r="O701" s="40">
        <f t="shared" ca="1" si="113"/>
        <v>0.69544019426213877</v>
      </c>
      <c r="P701" s="51">
        <f t="shared" si="111"/>
        <v>0</v>
      </c>
      <c r="Q701" s="51">
        <f t="shared" si="112"/>
        <v>0</v>
      </c>
      <c r="R701" s="51">
        <f t="shared" si="119"/>
        <v>0</v>
      </c>
      <c r="S701"/>
      <c r="T701" s="83"/>
    </row>
    <row r="702" spans="1:20" ht="16" x14ac:dyDescent="0.2">
      <c r="A702"/>
      <c r="B702" s="103"/>
      <c r="C702" s="243"/>
      <c r="D702" s="119">
        <v>689</v>
      </c>
      <c r="E702" s="25" t="str">
        <f>Tp_CHG!D145</f>
        <v>Transition Probability from state 1 to state 5 on day 7 (CHG)</v>
      </c>
      <c r="F702" s="40">
        <f t="shared" si="110"/>
        <v>0</v>
      </c>
      <c r="G702" s="156">
        <v>1</v>
      </c>
      <c r="H702" s="120">
        <f>Tp_CHG!G145</f>
        <v>0</v>
      </c>
      <c r="I702" s="40" t="s">
        <v>58</v>
      </c>
      <c r="J702" s="40">
        <f t="shared" si="117"/>
        <v>0</v>
      </c>
      <c r="K702" s="40">
        <f t="shared" si="118"/>
        <v>0</v>
      </c>
      <c r="L702" s="40" t="s">
        <v>58</v>
      </c>
      <c r="M702" s="50" t="s">
        <v>266</v>
      </c>
      <c r="N702" s="190"/>
      <c r="O702" s="40">
        <f t="shared" ca="1" si="113"/>
        <v>0.6146500053755376</v>
      </c>
      <c r="P702" s="51">
        <f t="shared" si="111"/>
        <v>0</v>
      </c>
      <c r="Q702" s="51">
        <f t="shared" si="112"/>
        <v>0</v>
      </c>
      <c r="R702" s="51">
        <f t="shared" si="119"/>
        <v>0</v>
      </c>
      <c r="S702"/>
      <c r="T702" s="83"/>
    </row>
    <row r="703" spans="1:20" ht="16" x14ac:dyDescent="0.2">
      <c r="A703"/>
      <c r="B703" s="103"/>
      <c r="C703" s="243"/>
      <c r="D703" s="119">
        <v>690</v>
      </c>
      <c r="E703" s="25" t="str">
        <f>Tp_CHG!D150</f>
        <v>Transition Probability from state 1 to state 5 on day 12 (CHG)</v>
      </c>
      <c r="F703" s="40">
        <f t="shared" si="110"/>
        <v>0</v>
      </c>
      <c r="G703" s="156">
        <v>1</v>
      </c>
      <c r="H703" s="120">
        <f>Tp_CHG!G150</f>
        <v>0</v>
      </c>
      <c r="I703" s="40" t="s">
        <v>58</v>
      </c>
      <c r="J703" s="40">
        <f t="shared" si="117"/>
        <v>0</v>
      </c>
      <c r="K703" s="40">
        <f t="shared" si="118"/>
        <v>0</v>
      </c>
      <c r="L703" s="40" t="s">
        <v>58</v>
      </c>
      <c r="M703" s="50" t="s">
        <v>266</v>
      </c>
      <c r="N703" s="190"/>
      <c r="O703" s="40">
        <f t="shared" ca="1" si="113"/>
        <v>0.70658841993838173</v>
      </c>
      <c r="P703" s="51">
        <f t="shared" si="111"/>
        <v>0</v>
      </c>
      <c r="Q703" s="51">
        <f t="shared" si="112"/>
        <v>0</v>
      </c>
      <c r="R703" s="51">
        <f t="shared" si="119"/>
        <v>0</v>
      </c>
      <c r="S703"/>
      <c r="T703" s="83"/>
    </row>
    <row r="704" spans="1:20" ht="16" x14ac:dyDescent="0.2">
      <c r="A704"/>
      <c r="B704" s="103"/>
      <c r="C704" s="243"/>
      <c r="D704" s="119">
        <v>691</v>
      </c>
      <c r="E704" s="25" t="str">
        <f>Tp_CHG!D151</f>
        <v>Transition Probability from state 1 to state 5 on day 13 (CHG)</v>
      </c>
      <c r="F704" s="40">
        <f t="shared" si="110"/>
        <v>0</v>
      </c>
      <c r="G704" s="156">
        <v>1</v>
      </c>
      <c r="H704" s="120">
        <f>Tp_CHG!G151</f>
        <v>0</v>
      </c>
      <c r="I704" s="40" t="s">
        <v>58</v>
      </c>
      <c r="J704" s="40">
        <f t="shared" si="117"/>
        <v>0</v>
      </c>
      <c r="K704" s="40">
        <f t="shared" si="118"/>
        <v>0</v>
      </c>
      <c r="L704" s="40" t="s">
        <v>58</v>
      </c>
      <c r="M704" s="50" t="s">
        <v>266</v>
      </c>
      <c r="N704" s="190"/>
      <c r="O704" s="40">
        <f t="shared" ca="1" si="113"/>
        <v>0.74103212394773688</v>
      </c>
      <c r="P704" s="51">
        <f t="shared" si="111"/>
        <v>0</v>
      </c>
      <c r="Q704" s="51">
        <f t="shared" si="112"/>
        <v>0</v>
      </c>
      <c r="R704" s="51">
        <f t="shared" si="119"/>
        <v>0</v>
      </c>
      <c r="S704"/>
      <c r="T704" s="83"/>
    </row>
    <row r="705" spans="1:20" ht="16" x14ac:dyDescent="0.2">
      <c r="A705"/>
      <c r="B705" s="103"/>
      <c r="C705" s="243"/>
      <c r="D705" s="119">
        <v>692</v>
      </c>
      <c r="E705" s="25" t="str">
        <f>Tp_CHG!D153</f>
        <v>Transition Probability from state 1 to state 5 on day 15 (CHG)</v>
      </c>
      <c r="F705" s="40">
        <f t="shared" si="110"/>
        <v>0</v>
      </c>
      <c r="G705" s="156">
        <v>1</v>
      </c>
      <c r="H705" s="120">
        <f>Tp_CHG!G153</f>
        <v>0</v>
      </c>
      <c r="I705" s="40" t="s">
        <v>58</v>
      </c>
      <c r="J705" s="40">
        <f t="shared" si="117"/>
        <v>0</v>
      </c>
      <c r="K705" s="40">
        <f t="shared" si="118"/>
        <v>0</v>
      </c>
      <c r="L705" s="40" t="s">
        <v>58</v>
      </c>
      <c r="M705" s="50" t="s">
        <v>266</v>
      </c>
      <c r="N705" s="190"/>
      <c r="O705" s="40">
        <f t="shared" ca="1" si="113"/>
        <v>0.21241936600060263</v>
      </c>
      <c r="P705" s="51">
        <f t="shared" si="111"/>
        <v>0</v>
      </c>
      <c r="Q705" s="51">
        <f t="shared" si="112"/>
        <v>0</v>
      </c>
      <c r="R705" s="51">
        <f t="shared" si="119"/>
        <v>0</v>
      </c>
      <c r="S705"/>
      <c r="T705" s="83"/>
    </row>
    <row r="706" spans="1:20" ht="16" x14ac:dyDescent="0.2">
      <c r="A706"/>
      <c r="B706" s="103"/>
      <c r="C706" s="243"/>
      <c r="D706" s="119">
        <v>693</v>
      </c>
      <c r="E706" s="25" t="str">
        <f>Tp_CHG!D154</f>
        <v>Transition Probability from state 1 to state 5 on day 16 (CHG)</v>
      </c>
      <c r="F706" s="40">
        <f t="shared" si="110"/>
        <v>0</v>
      </c>
      <c r="G706" s="156">
        <v>1</v>
      </c>
      <c r="H706" s="120">
        <f>Tp_CHG!G154</f>
        <v>0</v>
      </c>
      <c r="I706" s="40" t="s">
        <v>58</v>
      </c>
      <c r="J706" s="40">
        <f t="shared" si="117"/>
        <v>0</v>
      </c>
      <c r="K706" s="40">
        <f t="shared" si="118"/>
        <v>0</v>
      </c>
      <c r="L706" s="40" t="s">
        <v>58</v>
      </c>
      <c r="M706" s="50" t="s">
        <v>266</v>
      </c>
      <c r="N706" s="190"/>
      <c r="O706" s="40">
        <f t="shared" ca="1" si="113"/>
        <v>0.33618955690482422</v>
      </c>
      <c r="P706" s="51">
        <f t="shared" si="111"/>
        <v>0</v>
      </c>
      <c r="Q706" s="51">
        <f t="shared" si="112"/>
        <v>0</v>
      </c>
      <c r="R706" s="51">
        <f t="shared" si="119"/>
        <v>0</v>
      </c>
      <c r="S706"/>
      <c r="T706" s="83"/>
    </row>
    <row r="707" spans="1:20" ht="16" x14ac:dyDescent="0.2">
      <c r="A707"/>
      <c r="B707" s="103"/>
      <c r="C707" s="243"/>
      <c r="D707" s="119">
        <v>694</v>
      </c>
      <c r="E707" s="25" t="str">
        <f>Tp_CHG!D155</f>
        <v>Transition Probability from state 1 to state 5 on day 17 (CHG)</v>
      </c>
      <c r="F707" s="40">
        <f t="shared" si="110"/>
        <v>0</v>
      </c>
      <c r="G707" s="156">
        <v>1</v>
      </c>
      <c r="H707" s="120">
        <f>Tp_CHG!G155</f>
        <v>0</v>
      </c>
      <c r="I707" s="40" t="s">
        <v>58</v>
      </c>
      <c r="J707" s="40">
        <f t="shared" si="117"/>
        <v>0</v>
      </c>
      <c r="K707" s="40">
        <f t="shared" si="118"/>
        <v>0</v>
      </c>
      <c r="L707" s="40" t="s">
        <v>58</v>
      </c>
      <c r="M707" s="50" t="s">
        <v>266</v>
      </c>
      <c r="N707" s="190"/>
      <c r="O707" s="40">
        <f t="shared" ca="1" si="113"/>
        <v>0.80451521775861434</v>
      </c>
      <c r="P707" s="51">
        <f t="shared" si="111"/>
        <v>0</v>
      </c>
      <c r="Q707" s="51">
        <f t="shared" si="112"/>
        <v>0</v>
      </c>
      <c r="R707" s="51">
        <f t="shared" si="119"/>
        <v>0</v>
      </c>
      <c r="S707"/>
      <c r="T707" s="83"/>
    </row>
    <row r="708" spans="1:20" ht="16" x14ac:dyDescent="0.2">
      <c r="A708"/>
      <c r="B708" s="103"/>
      <c r="C708" s="243"/>
      <c r="D708" s="119">
        <v>695</v>
      </c>
      <c r="E708" s="25" t="str">
        <f>Tp_CHG!D156</f>
        <v>Transition Probability from state 1 to state 5 on day 18 (CHG)</v>
      </c>
      <c r="F708" s="40">
        <f t="shared" si="110"/>
        <v>0</v>
      </c>
      <c r="G708" s="156">
        <v>1</v>
      </c>
      <c r="H708" s="120">
        <f>Tp_CHG!G156</f>
        <v>0</v>
      </c>
      <c r="I708" s="40" t="s">
        <v>58</v>
      </c>
      <c r="J708" s="40">
        <f t="shared" si="117"/>
        <v>0</v>
      </c>
      <c r="K708" s="40">
        <f t="shared" si="118"/>
        <v>0</v>
      </c>
      <c r="L708" s="40" t="s">
        <v>58</v>
      </c>
      <c r="M708" s="50" t="s">
        <v>266</v>
      </c>
      <c r="N708" s="190"/>
      <c r="O708" s="40">
        <f t="shared" ca="1" si="113"/>
        <v>0.76325830957520135</v>
      </c>
      <c r="P708" s="51">
        <f t="shared" si="111"/>
        <v>0</v>
      </c>
      <c r="Q708" s="51">
        <f t="shared" si="112"/>
        <v>0</v>
      </c>
      <c r="R708" s="51">
        <f t="shared" si="119"/>
        <v>0</v>
      </c>
      <c r="S708"/>
      <c r="T708" s="83"/>
    </row>
    <row r="709" spans="1:20" ht="16" x14ac:dyDescent="0.2">
      <c r="A709"/>
      <c r="B709" s="103"/>
      <c r="C709" s="243"/>
      <c r="D709" s="119">
        <v>696</v>
      </c>
      <c r="E709" s="25" t="str">
        <f>Tp_CHG!D158</f>
        <v>Transition Probability from state 1 to state 5 on day 20 (CHG)</v>
      </c>
      <c r="F709" s="40">
        <f t="shared" si="110"/>
        <v>0</v>
      </c>
      <c r="G709" s="156">
        <v>1</v>
      </c>
      <c r="H709" s="120">
        <f>Tp_CHG!G158</f>
        <v>0</v>
      </c>
      <c r="I709" s="40" t="s">
        <v>58</v>
      </c>
      <c r="J709" s="40">
        <f t="shared" si="117"/>
        <v>0</v>
      </c>
      <c r="K709" s="40">
        <f t="shared" si="118"/>
        <v>0</v>
      </c>
      <c r="L709" s="40" t="s">
        <v>58</v>
      </c>
      <c r="M709" s="50" t="s">
        <v>266</v>
      </c>
      <c r="N709" s="190"/>
      <c r="O709" s="40">
        <f t="shared" ca="1" si="113"/>
        <v>0.68725577682330818</v>
      </c>
      <c r="P709" s="51">
        <f t="shared" si="111"/>
        <v>0</v>
      </c>
      <c r="Q709" s="51">
        <f t="shared" si="112"/>
        <v>0</v>
      </c>
      <c r="R709" s="51">
        <f t="shared" si="119"/>
        <v>0</v>
      </c>
      <c r="S709"/>
      <c r="T709" s="83"/>
    </row>
    <row r="710" spans="1:20" ht="16" x14ac:dyDescent="0.2">
      <c r="A710"/>
      <c r="B710" s="103"/>
      <c r="C710" s="243"/>
      <c r="D710" s="119">
        <v>697</v>
      </c>
      <c r="E710" s="25" t="str">
        <f>Tp_CHG!D160</f>
        <v>Transition Probability from state 1 to state 5 on day 22 (CHG)</v>
      </c>
      <c r="F710" s="40">
        <f t="shared" si="110"/>
        <v>0</v>
      </c>
      <c r="G710" s="156">
        <v>1</v>
      </c>
      <c r="H710" s="120">
        <f>Tp_CHG!G160</f>
        <v>0</v>
      </c>
      <c r="I710" s="40" t="s">
        <v>58</v>
      </c>
      <c r="J710" s="40">
        <f t="shared" si="117"/>
        <v>0</v>
      </c>
      <c r="K710" s="40">
        <f t="shared" si="118"/>
        <v>0</v>
      </c>
      <c r="L710" s="40" t="s">
        <v>58</v>
      </c>
      <c r="M710" s="50" t="s">
        <v>266</v>
      </c>
      <c r="N710" s="190"/>
      <c r="O710" s="40">
        <f t="shared" ca="1" si="113"/>
        <v>4.5383566070958725E-2</v>
      </c>
      <c r="P710" s="51">
        <f t="shared" si="111"/>
        <v>0</v>
      </c>
      <c r="Q710" s="51">
        <f t="shared" si="112"/>
        <v>0</v>
      </c>
      <c r="R710" s="51">
        <f t="shared" si="119"/>
        <v>0</v>
      </c>
      <c r="S710"/>
      <c r="T710" s="83"/>
    </row>
    <row r="711" spans="1:20" ht="16" x14ac:dyDescent="0.2">
      <c r="A711"/>
      <c r="B711" s="103"/>
      <c r="C711" s="243"/>
      <c r="D711" s="119">
        <v>698</v>
      </c>
      <c r="E711" s="25" t="str">
        <f>Tp_CHG!D162</f>
        <v>Transition Probability from state 1 to state 5 on day 24 (CHG)</v>
      </c>
      <c r="F711" s="40">
        <f t="shared" si="110"/>
        <v>0</v>
      </c>
      <c r="G711" s="156">
        <v>1</v>
      </c>
      <c r="H711" s="120">
        <f>Tp_CHG!G162</f>
        <v>0</v>
      </c>
      <c r="I711" s="40" t="s">
        <v>58</v>
      </c>
      <c r="J711" s="40">
        <f t="shared" si="117"/>
        <v>0</v>
      </c>
      <c r="K711" s="40">
        <f t="shared" si="118"/>
        <v>0</v>
      </c>
      <c r="L711" s="40" t="s">
        <v>58</v>
      </c>
      <c r="M711" s="50" t="s">
        <v>266</v>
      </c>
      <c r="N711" s="190"/>
      <c r="O711" s="40">
        <f t="shared" ca="1" si="113"/>
        <v>0.92503914497985285</v>
      </c>
      <c r="P711" s="51">
        <f t="shared" si="111"/>
        <v>0</v>
      </c>
      <c r="Q711" s="51">
        <f t="shared" si="112"/>
        <v>0</v>
      </c>
      <c r="R711" s="51">
        <f t="shared" si="119"/>
        <v>0</v>
      </c>
      <c r="S711"/>
      <c r="T711" s="83"/>
    </row>
    <row r="712" spans="1:20" ht="16" x14ac:dyDescent="0.2">
      <c r="A712"/>
      <c r="B712" s="103"/>
      <c r="C712" s="243"/>
      <c r="D712" s="119">
        <v>699</v>
      </c>
      <c r="E712" s="25" t="str">
        <f>Tp_CHG!D163</f>
        <v>Transition Probability from state 1 to state 5 on day 25 (CHG)</v>
      </c>
      <c r="F712" s="40">
        <f t="shared" si="110"/>
        <v>0</v>
      </c>
      <c r="G712" s="156">
        <v>1</v>
      </c>
      <c r="H712" s="120">
        <f>Tp_CHG!G163</f>
        <v>0</v>
      </c>
      <c r="I712" s="40" t="s">
        <v>58</v>
      </c>
      <c r="J712" s="40">
        <f t="shared" si="117"/>
        <v>0</v>
      </c>
      <c r="K712" s="40">
        <f t="shared" si="118"/>
        <v>0</v>
      </c>
      <c r="L712" s="40" t="s">
        <v>58</v>
      </c>
      <c r="M712" s="50" t="s">
        <v>266</v>
      </c>
      <c r="N712" s="190"/>
      <c r="O712" s="40">
        <f t="shared" ca="1" si="113"/>
        <v>0.62644527698988917</v>
      </c>
      <c r="P712" s="51">
        <f t="shared" si="111"/>
        <v>0</v>
      </c>
      <c r="Q712" s="51">
        <f t="shared" si="112"/>
        <v>0</v>
      </c>
      <c r="R712" s="51">
        <f t="shared" si="119"/>
        <v>0</v>
      </c>
      <c r="S712"/>
      <c r="T712" s="83"/>
    </row>
    <row r="713" spans="1:20" ht="16" x14ac:dyDescent="0.2">
      <c r="A713"/>
      <c r="B713" s="103"/>
      <c r="C713" s="243"/>
      <c r="D713" s="119">
        <v>700</v>
      </c>
      <c r="E713" s="25" t="str">
        <f>Tp_CHG!D165</f>
        <v>Transition Probability from state 1 to state 5 on day 27 (CHG)</v>
      </c>
      <c r="F713" s="40">
        <f t="shared" si="110"/>
        <v>0</v>
      </c>
      <c r="G713" s="156">
        <v>1</v>
      </c>
      <c r="H713" s="120">
        <f>Tp_CHG!G165</f>
        <v>0</v>
      </c>
      <c r="I713" s="40" t="s">
        <v>58</v>
      </c>
      <c r="J713" s="40">
        <f t="shared" si="117"/>
        <v>0</v>
      </c>
      <c r="K713" s="40">
        <f t="shared" si="118"/>
        <v>0</v>
      </c>
      <c r="L713" s="40" t="s">
        <v>58</v>
      </c>
      <c r="M713" s="50" t="s">
        <v>266</v>
      </c>
      <c r="N713" s="190"/>
      <c r="O713" s="40">
        <f t="shared" ca="1" si="113"/>
        <v>0.91254685532724167</v>
      </c>
      <c r="P713" s="51">
        <f t="shared" si="111"/>
        <v>0</v>
      </c>
      <c r="Q713" s="51">
        <f t="shared" si="112"/>
        <v>0</v>
      </c>
      <c r="R713" s="51">
        <f t="shared" si="119"/>
        <v>0</v>
      </c>
      <c r="S713"/>
      <c r="T713" s="83"/>
    </row>
    <row r="714" spans="1:20" ht="16" x14ac:dyDescent="0.2">
      <c r="A714"/>
      <c r="B714" s="103"/>
      <c r="C714" s="243"/>
      <c r="D714" s="119">
        <v>701</v>
      </c>
      <c r="E714" s="25" t="str">
        <f>Tp_CHG!D166</f>
        <v>Transition Probability from state 1 to state 5 on day 28 (CHG)</v>
      </c>
      <c r="F714" s="40">
        <f t="shared" si="110"/>
        <v>0</v>
      </c>
      <c r="G714" s="156">
        <v>1</v>
      </c>
      <c r="H714" s="120">
        <f>Tp_CHG!G166</f>
        <v>0</v>
      </c>
      <c r="I714" s="40" t="s">
        <v>58</v>
      </c>
      <c r="J714" s="40">
        <f t="shared" si="117"/>
        <v>0</v>
      </c>
      <c r="K714" s="40">
        <f t="shared" si="118"/>
        <v>0</v>
      </c>
      <c r="L714" s="40" t="s">
        <v>58</v>
      </c>
      <c r="M714" s="50" t="s">
        <v>266</v>
      </c>
      <c r="N714" s="190"/>
      <c r="O714" s="40">
        <f t="shared" ca="1" si="113"/>
        <v>0.14857140868104024</v>
      </c>
      <c r="P714" s="51">
        <f t="shared" si="111"/>
        <v>0</v>
      </c>
      <c r="Q714" s="51">
        <f t="shared" si="112"/>
        <v>0</v>
      </c>
      <c r="R714" s="51">
        <f t="shared" si="119"/>
        <v>0</v>
      </c>
      <c r="S714"/>
      <c r="T714" s="83"/>
    </row>
    <row r="715" spans="1:20" ht="16" x14ac:dyDescent="0.2">
      <c r="A715"/>
      <c r="B715" s="103"/>
      <c r="C715" s="243"/>
      <c r="D715" s="119">
        <v>702</v>
      </c>
      <c r="E715" s="25" t="str">
        <f>Tp_CHG!D167</f>
        <v>Transition Probability from state 1 to state 5 on day 29 (CHG)</v>
      </c>
      <c r="F715" s="40">
        <f t="shared" si="110"/>
        <v>0</v>
      </c>
      <c r="G715" s="156">
        <v>1</v>
      </c>
      <c r="H715" s="120">
        <f>Tp_CHG!G167</f>
        <v>0</v>
      </c>
      <c r="I715" s="40" t="s">
        <v>58</v>
      </c>
      <c r="J715" s="40">
        <f t="shared" si="117"/>
        <v>0</v>
      </c>
      <c r="K715" s="40">
        <f t="shared" si="118"/>
        <v>0</v>
      </c>
      <c r="L715" s="40" t="s">
        <v>58</v>
      </c>
      <c r="M715" s="50" t="s">
        <v>266</v>
      </c>
      <c r="N715" s="190"/>
      <c r="O715" s="40">
        <f t="shared" ca="1" si="113"/>
        <v>0.66057707294639234</v>
      </c>
      <c r="P715" s="51">
        <f t="shared" si="111"/>
        <v>0</v>
      </c>
      <c r="Q715" s="51">
        <f t="shared" si="112"/>
        <v>0</v>
      </c>
      <c r="R715" s="51">
        <f t="shared" si="119"/>
        <v>0</v>
      </c>
      <c r="S715"/>
      <c r="T715" s="83"/>
    </row>
    <row r="716" spans="1:20" ht="16" x14ac:dyDescent="0.2">
      <c r="A716"/>
      <c r="B716" s="103"/>
      <c r="C716" s="243"/>
      <c r="D716" s="119">
        <v>703</v>
      </c>
      <c r="E716" s="25" t="str">
        <f>Tp_CHG!D168</f>
        <v>Transition Probability from state 1 to state 5 on day 30 (CHG)</v>
      </c>
      <c r="F716" s="40">
        <f t="shared" si="110"/>
        <v>0</v>
      </c>
      <c r="G716" s="156">
        <v>1</v>
      </c>
      <c r="H716" s="120">
        <f>Tp_CHG!G168</f>
        <v>0</v>
      </c>
      <c r="I716" s="40" t="s">
        <v>58</v>
      </c>
      <c r="J716" s="40">
        <f t="shared" si="117"/>
        <v>0</v>
      </c>
      <c r="K716" s="40">
        <f t="shared" si="118"/>
        <v>0</v>
      </c>
      <c r="L716" s="40" t="s">
        <v>58</v>
      </c>
      <c r="M716" s="50" t="s">
        <v>266</v>
      </c>
      <c r="N716" s="190"/>
      <c r="O716" s="40">
        <f t="shared" ca="1" si="113"/>
        <v>0.78227753555500124</v>
      </c>
      <c r="P716" s="51">
        <f t="shared" si="111"/>
        <v>0</v>
      </c>
      <c r="Q716" s="51">
        <f t="shared" si="112"/>
        <v>0</v>
      </c>
      <c r="R716" s="51">
        <f t="shared" si="119"/>
        <v>0</v>
      </c>
      <c r="S716"/>
      <c r="T716" s="83"/>
    </row>
    <row r="717" spans="1:20" ht="16" x14ac:dyDescent="0.2">
      <c r="A717"/>
      <c r="B717" s="103"/>
      <c r="C717" s="243"/>
      <c r="D717" s="119">
        <v>704</v>
      </c>
      <c r="E717" s="25" t="str">
        <f>Tp_CHG!I139</f>
        <v>Transition Probability from state 2 to state 5 on day 1 (CHG)</v>
      </c>
      <c r="F717" s="40">
        <f t="shared" si="110"/>
        <v>0</v>
      </c>
      <c r="G717" s="156">
        <v>1</v>
      </c>
      <c r="H717" s="120">
        <f>Tp_CHG!L139</f>
        <v>0</v>
      </c>
      <c r="I717" s="40" t="s">
        <v>58</v>
      </c>
      <c r="J717" s="40">
        <f t="shared" si="117"/>
        <v>0</v>
      </c>
      <c r="K717" s="40">
        <f t="shared" si="118"/>
        <v>0</v>
      </c>
      <c r="L717" s="40" t="s">
        <v>58</v>
      </c>
      <c r="M717" s="50" t="s">
        <v>266</v>
      </c>
      <c r="N717" s="190"/>
      <c r="O717" s="40">
        <f t="shared" ca="1" si="113"/>
        <v>0.67603109263034977</v>
      </c>
      <c r="P717" s="51">
        <f t="shared" si="111"/>
        <v>0</v>
      </c>
      <c r="Q717" s="51">
        <f t="shared" si="112"/>
        <v>0</v>
      </c>
      <c r="R717" s="51">
        <f t="shared" si="119"/>
        <v>0</v>
      </c>
      <c r="S717"/>
      <c r="T717" s="83"/>
    </row>
    <row r="718" spans="1:20" ht="16" x14ac:dyDescent="0.2">
      <c r="A718"/>
      <c r="B718" s="103"/>
      <c r="C718" s="243"/>
      <c r="D718" s="119">
        <v>705</v>
      </c>
      <c r="E718" s="25" t="str">
        <f>Tp_CHG!I140</f>
        <v>Transition Probability from state 2 to state 5 on day 2 (CHG)</v>
      </c>
      <c r="F718" s="40">
        <f t="shared" si="110"/>
        <v>0</v>
      </c>
      <c r="G718" s="156">
        <v>1</v>
      </c>
      <c r="H718" s="120">
        <f>Tp_CHG!L140</f>
        <v>0</v>
      </c>
      <c r="I718" s="40" t="s">
        <v>58</v>
      </c>
      <c r="J718" s="40">
        <f t="shared" si="117"/>
        <v>0</v>
      </c>
      <c r="K718" s="40">
        <f t="shared" si="118"/>
        <v>0</v>
      </c>
      <c r="L718" s="40" t="s">
        <v>58</v>
      </c>
      <c r="M718" s="50" t="s">
        <v>266</v>
      </c>
      <c r="N718" s="190"/>
      <c r="O718" s="40">
        <f t="shared" ca="1" si="113"/>
        <v>0.2613697494206273</v>
      </c>
      <c r="P718" s="51">
        <f t="shared" si="111"/>
        <v>0</v>
      </c>
      <c r="Q718" s="51">
        <f t="shared" si="112"/>
        <v>0</v>
      </c>
      <c r="R718" s="51">
        <f t="shared" si="119"/>
        <v>0</v>
      </c>
      <c r="S718"/>
      <c r="T718" s="83"/>
    </row>
    <row r="719" spans="1:20" ht="16" x14ac:dyDescent="0.2">
      <c r="A719"/>
      <c r="B719" s="103"/>
      <c r="C719" s="243"/>
      <c r="D719" s="119">
        <v>706</v>
      </c>
      <c r="E719" s="25" t="str">
        <f>Tp_CHG!I141</f>
        <v>Transition Probability from state 2 to state 5 on day 3 (CHG)</v>
      </c>
      <c r="F719" s="40">
        <f t="shared" ref="F719:F782" si="120">IFERROR(CHOOSE(G719,H719,J719,K719,N719),0)</f>
        <v>0</v>
      </c>
      <c r="G719" s="156">
        <v>1</v>
      </c>
      <c r="H719" s="120">
        <f>Tp_CHG!L141</f>
        <v>0</v>
      </c>
      <c r="I719" s="40" t="s">
        <v>58</v>
      </c>
      <c r="J719" s="40">
        <f t="shared" si="117"/>
        <v>0</v>
      </c>
      <c r="K719" s="40">
        <f t="shared" si="118"/>
        <v>0</v>
      </c>
      <c r="L719" s="40" t="s">
        <v>58</v>
      </c>
      <c r="M719" s="50" t="s">
        <v>266</v>
      </c>
      <c r="N719" s="190"/>
      <c r="O719" s="40">
        <f t="shared" ca="1" si="113"/>
        <v>0.88367394136365252</v>
      </c>
      <c r="P719" s="51">
        <f t="shared" si="111"/>
        <v>0</v>
      </c>
      <c r="Q719" s="51">
        <f t="shared" si="112"/>
        <v>0</v>
      </c>
      <c r="R719" s="51">
        <f t="shared" si="119"/>
        <v>0</v>
      </c>
      <c r="S719"/>
      <c r="T719" s="83"/>
    </row>
    <row r="720" spans="1:20" ht="16" x14ac:dyDescent="0.2">
      <c r="A720"/>
      <c r="B720" s="103"/>
      <c r="C720" s="243"/>
      <c r="D720" s="119">
        <v>707</v>
      </c>
      <c r="E720" s="25" t="str">
        <f>Tp_CHG!I142</f>
        <v>Transition Probability from state 2 to state 5 on day 4 (CHG)</v>
      </c>
      <c r="F720" s="40">
        <f t="shared" si="120"/>
        <v>0</v>
      </c>
      <c r="G720" s="156">
        <v>1</v>
      </c>
      <c r="H720" s="120">
        <f>Tp_CHG!L142</f>
        <v>0</v>
      </c>
      <c r="I720" s="40" t="s">
        <v>58</v>
      </c>
      <c r="J720" s="40">
        <f t="shared" si="117"/>
        <v>0</v>
      </c>
      <c r="K720" s="40">
        <f t="shared" si="118"/>
        <v>0</v>
      </c>
      <c r="L720" s="40" t="s">
        <v>58</v>
      </c>
      <c r="M720" s="50" t="s">
        <v>266</v>
      </c>
      <c r="N720" s="190"/>
      <c r="O720" s="40">
        <f t="shared" ca="1" si="113"/>
        <v>0.98865864576485962</v>
      </c>
      <c r="P720" s="51">
        <f t="shared" si="111"/>
        <v>0</v>
      </c>
      <c r="Q720" s="51">
        <f t="shared" si="112"/>
        <v>0</v>
      </c>
      <c r="R720" s="51">
        <f t="shared" si="119"/>
        <v>0</v>
      </c>
      <c r="S720"/>
      <c r="T720" s="83"/>
    </row>
    <row r="721" spans="1:20" ht="16" x14ac:dyDescent="0.2">
      <c r="A721"/>
      <c r="B721" s="103"/>
      <c r="C721" s="243"/>
      <c r="D721" s="119">
        <v>708</v>
      </c>
      <c r="E721" s="25" t="str">
        <f>Tp_CHG!I143</f>
        <v>Transition Probability from state 2 to state 5 on day 5 (CHG)</v>
      </c>
      <c r="F721" s="40">
        <f t="shared" si="120"/>
        <v>0</v>
      </c>
      <c r="G721" s="156">
        <v>1</v>
      </c>
      <c r="H721" s="120">
        <f>Tp_CHG!L143</f>
        <v>0</v>
      </c>
      <c r="I721" s="40" t="s">
        <v>58</v>
      </c>
      <c r="J721" s="40">
        <f t="shared" ref="J721:J750" si="121">IF(H721=0,0,_xlfn.NORM.INV(0.025,H721,R721))</f>
        <v>0</v>
      </c>
      <c r="K721" s="40">
        <f t="shared" ref="K721:K750" si="122">IF(H721=0,0,_xlfn.NORM.INV(0.975,H721,R721))</f>
        <v>0</v>
      </c>
      <c r="L721" s="40" t="s">
        <v>58</v>
      </c>
      <c r="M721" s="50" t="s">
        <v>266</v>
      </c>
      <c r="N721" s="190"/>
      <c r="O721" s="40">
        <f t="shared" ca="1" si="113"/>
        <v>6.5471500893754975E-2</v>
      </c>
      <c r="P721" s="51">
        <f t="shared" ref="P721:P784" si="123">IFERROR(H721*((H721*(1-H721)/(R721^2))-1),0)</f>
        <v>0</v>
      </c>
      <c r="Q721" s="51">
        <f t="shared" ref="Q721:Q784" si="124">IFERROR((1-H721)*((H721*(1-H721))/(R721^2)-1),0)</f>
        <v>0</v>
      </c>
      <c r="R721" s="51">
        <f t="shared" ref="R721:R750" si="125">assumedSE*H721</f>
        <v>0</v>
      </c>
      <c r="S721"/>
      <c r="T721" s="83"/>
    </row>
    <row r="722" spans="1:20" ht="16" x14ac:dyDescent="0.2">
      <c r="A722"/>
      <c r="B722" s="103"/>
      <c r="C722" s="243"/>
      <c r="D722" s="119">
        <v>709</v>
      </c>
      <c r="E722" s="25" t="str">
        <f>Tp_CHG!I144</f>
        <v>Transition Probability from state 2 to state 5 on day 6 (CHG)</v>
      </c>
      <c r="F722" s="40">
        <f t="shared" si="120"/>
        <v>0</v>
      </c>
      <c r="G722" s="156">
        <v>1</v>
      </c>
      <c r="H722" s="120">
        <f>Tp_CHG!L144</f>
        <v>0</v>
      </c>
      <c r="I722" s="40" t="s">
        <v>58</v>
      </c>
      <c r="J722" s="40">
        <f t="shared" si="121"/>
        <v>0</v>
      </c>
      <c r="K722" s="40">
        <f t="shared" si="122"/>
        <v>0</v>
      </c>
      <c r="L722" s="40" t="s">
        <v>58</v>
      </c>
      <c r="M722" s="50" t="s">
        <v>266</v>
      </c>
      <c r="N722" s="190"/>
      <c r="O722" s="40">
        <f t="shared" ca="1" si="113"/>
        <v>0.93632254664418391</v>
      </c>
      <c r="P722" s="51">
        <f t="shared" si="123"/>
        <v>0</v>
      </c>
      <c r="Q722" s="51">
        <f t="shared" si="124"/>
        <v>0</v>
      </c>
      <c r="R722" s="51">
        <f t="shared" si="125"/>
        <v>0</v>
      </c>
      <c r="S722"/>
      <c r="T722" s="83"/>
    </row>
    <row r="723" spans="1:20" ht="16" x14ac:dyDescent="0.2">
      <c r="A723"/>
      <c r="B723" s="103"/>
      <c r="C723" s="243"/>
      <c r="D723" s="119">
        <v>710</v>
      </c>
      <c r="E723" s="25" t="str">
        <f>Tp_CHG!I145</f>
        <v>Transition Probability from state 2 to state 5 on day 7 (CHG)</v>
      </c>
      <c r="F723" s="40">
        <f t="shared" si="120"/>
        <v>0</v>
      </c>
      <c r="G723" s="156">
        <v>1</v>
      </c>
      <c r="H723" s="120">
        <f>Tp_CHG!L145</f>
        <v>0</v>
      </c>
      <c r="I723" s="40" t="s">
        <v>58</v>
      </c>
      <c r="J723" s="40">
        <f t="shared" si="121"/>
        <v>0</v>
      </c>
      <c r="K723" s="40">
        <f t="shared" si="122"/>
        <v>0</v>
      </c>
      <c r="L723" s="40" t="s">
        <v>58</v>
      </c>
      <c r="M723" s="50" t="s">
        <v>266</v>
      </c>
      <c r="N723" s="190"/>
      <c r="O723" s="40">
        <f t="shared" ca="1" si="113"/>
        <v>2.6400614464983096E-4</v>
      </c>
      <c r="P723" s="51">
        <f t="shared" si="123"/>
        <v>0</v>
      </c>
      <c r="Q723" s="51">
        <f t="shared" si="124"/>
        <v>0</v>
      </c>
      <c r="R723" s="51">
        <f t="shared" si="125"/>
        <v>0</v>
      </c>
      <c r="S723"/>
      <c r="T723" s="83"/>
    </row>
    <row r="724" spans="1:20" ht="16" x14ac:dyDescent="0.2">
      <c r="A724"/>
      <c r="B724" s="103"/>
      <c r="C724" s="243"/>
      <c r="D724" s="119">
        <v>711</v>
      </c>
      <c r="E724" s="25" t="str">
        <f>Tp_CHG!I146</f>
        <v>Transition Probability from state 2 to state 5 on day 8 (CHG)</v>
      </c>
      <c r="F724" s="40">
        <f t="shared" si="120"/>
        <v>0</v>
      </c>
      <c r="G724" s="156">
        <v>1</v>
      </c>
      <c r="H724" s="120">
        <f>Tp_CHG!L146</f>
        <v>0</v>
      </c>
      <c r="I724" s="40" t="s">
        <v>58</v>
      </c>
      <c r="J724" s="40">
        <f t="shared" si="121"/>
        <v>0</v>
      </c>
      <c r="K724" s="40">
        <f t="shared" si="122"/>
        <v>0</v>
      </c>
      <c r="L724" s="40" t="s">
        <v>58</v>
      </c>
      <c r="M724" s="50" t="s">
        <v>266</v>
      </c>
      <c r="N724" s="190"/>
      <c r="O724" s="40">
        <f t="shared" ca="1" si="113"/>
        <v>0.82930399446233982</v>
      </c>
      <c r="P724" s="51">
        <f t="shared" si="123"/>
        <v>0</v>
      </c>
      <c r="Q724" s="51">
        <f t="shared" si="124"/>
        <v>0</v>
      </c>
      <c r="R724" s="51">
        <f t="shared" si="125"/>
        <v>0</v>
      </c>
      <c r="S724"/>
      <c r="T724" s="83"/>
    </row>
    <row r="725" spans="1:20" ht="16" x14ac:dyDescent="0.2">
      <c r="A725"/>
      <c r="B725" s="103"/>
      <c r="C725" s="243"/>
      <c r="D725" s="119">
        <v>712</v>
      </c>
      <c r="E725" s="25" t="str">
        <f>Tp_CHG!I148</f>
        <v>Transition Probability from state 2 to state 5 on day 10 (CHG)</v>
      </c>
      <c r="F725" s="40">
        <f t="shared" si="120"/>
        <v>0</v>
      </c>
      <c r="G725" s="156">
        <v>1</v>
      </c>
      <c r="H725" s="120">
        <f>Tp_CHG!L148</f>
        <v>0</v>
      </c>
      <c r="I725" s="40" t="s">
        <v>58</v>
      </c>
      <c r="J725" s="40">
        <f t="shared" si="121"/>
        <v>0</v>
      </c>
      <c r="K725" s="40">
        <f t="shared" si="122"/>
        <v>0</v>
      </c>
      <c r="L725" s="40" t="s">
        <v>58</v>
      </c>
      <c r="M725" s="50" t="s">
        <v>266</v>
      </c>
      <c r="N725" s="190"/>
      <c r="O725" s="40">
        <f t="shared" ca="1" si="113"/>
        <v>0.63703252564364909</v>
      </c>
      <c r="P725" s="51">
        <f t="shared" si="123"/>
        <v>0</v>
      </c>
      <c r="Q725" s="51">
        <f t="shared" si="124"/>
        <v>0</v>
      </c>
      <c r="R725" s="51">
        <f t="shared" si="125"/>
        <v>0</v>
      </c>
      <c r="S725"/>
      <c r="T725" s="83"/>
    </row>
    <row r="726" spans="1:20" ht="16" x14ac:dyDescent="0.2">
      <c r="A726"/>
      <c r="B726" s="103"/>
      <c r="C726" s="243"/>
      <c r="D726" s="119">
        <v>713</v>
      </c>
      <c r="E726" s="25" t="str">
        <f>Tp_CHG!I149</f>
        <v>Transition Probability from state 2 to state 5 on day 11 (CHG)</v>
      </c>
      <c r="F726" s="40">
        <f t="shared" si="120"/>
        <v>0</v>
      </c>
      <c r="G726" s="156">
        <v>1</v>
      </c>
      <c r="H726" s="120">
        <f>Tp_CHG!L149</f>
        <v>0</v>
      </c>
      <c r="I726" s="40" t="s">
        <v>58</v>
      </c>
      <c r="J726" s="40">
        <f t="shared" si="121"/>
        <v>0</v>
      </c>
      <c r="K726" s="40">
        <f t="shared" si="122"/>
        <v>0</v>
      </c>
      <c r="L726" s="40" t="s">
        <v>58</v>
      </c>
      <c r="M726" s="50" t="s">
        <v>266</v>
      </c>
      <c r="N726" s="190"/>
      <c r="O726" s="40">
        <f t="shared" ref="O726:O788" ca="1" si="126">RAND()</f>
        <v>0.56920559964335316</v>
      </c>
      <c r="P726" s="51">
        <f t="shared" si="123"/>
        <v>0</v>
      </c>
      <c r="Q726" s="51">
        <f t="shared" si="124"/>
        <v>0</v>
      </c>
      <c r="R726" s="51">
        <f t="shared" si="125"/>
        <v>0</v>
      </c>
      <c r="S726"/>
      <c r="T726" s="83"/>
    </row>
    <row r="727" spans="1:20" ht="16" x14ac:dyDescent="0.2">
      <c r="A727"/>
      <c r="B727" s="103"/>
      <c r="C727" s="243"/>
      <c r="D727" s="119">
        <v>714</v>
      </c>
      <c r="E727" s="25" t="str">
        <f>Tp_CHG!I150</f>
        <v>Transition Probability from state 2 to state 5 on day 12 (CHG)</v>
      </c>
      <c r="F727" s="40">
        <f t="shared" si="120"/>
        <v>0</v>
      </c>
      <c r="G727" s="156">
        <v>1</v>
      </c>
      <c r="H727" s="120">
        <f>Tp_CHG!L150</f>
        <v>0</v>
      </c>
      <c r="I727" s="40" t="s">
        <v>58</v>
      </c>
      <c r="J727" s="40">
        <f t="shared" si="121"/>
        <v>0</v>
      </c>
      <c r="K727" s="40">
        <f t="shared" si="122"/>
        <v>0</v>
      </c>
      <c r="L727" s="40" t="s">
        <v>58</v>
      </c>
      <c r="M727" s="50" t="s">
        <v>266</v>
      </c>
      <c r="N727" s="190"/>
      <c r="O727" s="40">
        <f t="shared" ca="1" si="126"/>
        <v>0.33752014888758941</v>
      </c>
      <c r="P727" s="51">
        <f t="shared" si="123"/>
        <v>0</v>
      </c>
      <c r="Q727" s="51">
        <f t="shared" si="124"/>
        <v>0</v>
      </c>
      <c r="R727" s="51">
        <f t="shared" si="125"/>
        <v>0</v>
      </c>
      <c r="S727"/>
      <c r="T727" s="83"/>
    </row>
    <row r="728" spans="1:20" ht="16" x14ac:dyDescent="0.2">
      <c r="A728"/>
      <c r="B728" s="103"/>
      <c r="C728" s="243"/>
      <c r="D728" s="119">
        <v>715</v>
      </c>
      <c r="E728" s="25" t="str">
        <f>Tp_CHG!I151</f>
        <v>Transition Probability from state 2 to state 5 on day 13 (CHG)</v>
      </c>
      <c r="F728" s="40">
        <f t="shared" si="120"/>
        <v>0</v>
      </c>
      <c r="G728" s="156">
        <v>1</v>
      </c>
      <c r="H728" s="120">
        <f>Tp_CHG!L151</f>
        <v>0</v>
      </c>
      <c r="I728" s="40" t="s">
        <v>58</v>
      </c>
      <c r="J728" s="40">
        <f t="shared" si="121"/>
        <v>0</v>
      </c>
      <c r="K728" s="40">
        <f t="shared" si="122"/>
        <v>0</v>
      </c>
      <c r="L728" s="40" t="s">
        <v>58</v>
      </c>
      <c r="M728" s="50" t="s">
        <v>266</v>
      </c>
      <c r="N728" s="190"/>
      <c r="O728" s="40">
        <f t="shared" ca="1" si="126"/>
        <v>0.28693650986878105</v>
      </c>
      <c r="P728" s="51">
        <f t="shared" si="123"/>
        <v>0</v>
      </c>
      <c r="Q728" s="51">
        <f t="shared" si="124"/>
        <v>0</v>
      </c>
      <c r="R728" s="51">
        <f t="shared" si="125"/>
        <v>0</v>
      </c>
      <c r="S728"/>
      <c r="T728" s="83"/>
    </row>
    <row r="729" spans="1:20" ht="16" x14ac:dyDescent="0.2">
      <c r="A729"/>
      <c r="B729" s="103"/>
      <c r="C729" s="243"/>
      <c r="D729" s="119">
        <v>716</v>
      </c>
      <c r="E729" s="25" t="str">
        <f>Tp_CHG!I152</f>
        <v>Transition Probability from state 2 to state 5 on day 14 (CHG)</v>
      </c>
      <c r="F729" s="40">
        <f t="shared" si="120"/>
        <v>0</v>
      </c>
      <c r="G729" s="156">
        <v>1</v>
      </c>
      <c r="H729" s="120">
        <f>Tp_CHG!L152</f>
        <v>0</v>
      </c>
      <c r="I729" s="40" t="s">
        <v>58</v>
      </c>
      <c r="J729" s="40">
        <f t="shared" si="121"/>
        <v>0</v>
      </c>
      <c r="K729" s="40">
        <f t="shared" si="122"/>
        <v>0</v>
      </c>
      <c r="L729" s="40" t="s">
        <v>58</v>
      </c>
      <c r="M729" s="50" t="s">
        <v>266</v>
      </c>
      <c r="N729" s="190"/>
      <c r="O729" s="40">
        <f t="shared" ca="1" si="126"/>
        <v>0.7873129399047103</v>
      </c>
      <c r="P729" s="51">
        <f t="shared" si="123"/>
        <v>0</v>
      </c>
      <c r="Q729" s="51">
        <f t="shared" si="124"/>
        <v>0</v>
      </c>
      <c r="R729" s="51">
        <f t="shared" si="125"/>
        <v>0</v>
      </c>
      <c r="S729"/>
      <c r="T729" s="83"/>
    </row>
    <row r="730" spans="1:20" ht="16" x14ac:dyDescent="0.2">
      <c r="A730"/>
      <c r="B730" s="103"/>
      <c r="C730" s="243"/>
      <c r="D730" s="119">
        <v>717</v>
      </c>
      <c r="E730" s="25" t="str">
        <f>Tp_CHG!I153</f>
        <v>Transition Probability from state 2 to state 5 on day 15 (CHG)</v>
      </c>
      <c r="F730" s="40">
        <f t="shared" si="120"/>
        <v>0</v>
      </c>
      <c r="G730" s="156">
        <v>1</v>
      </c>
      <c r="H730" s="120">
        <f>Tp_CHG!L153</f>
        <v>0</v>
      </c>
      <c r="I730" s="40" t="s">
        <v>58</v>
      </c>
      <c r="J730" s="40">
        <f t="shared" si="121"/>
        <v>0</v>
      </c>
      <c r="K730" s="40">
        <f t="shared" si="122"/>
        <v>0</v>
      </c>
      <c r="L730" s="40" t="s">
        <v>58</v>
      </c>
      <c r="M730" s="50" t="s">
        <v>266</v>
      </c>
      <c r="N730" s="190"/>
      <c r="O730" s="40">
        <f t="shared" ca="1" si="126"/>
        <v>0.96764127825084512</v>
      </c>
      <c r="P730" s="51">
        <f t="shared" si="123"/>
        <v>0</v>
      </c>
      <c r="Q730" s="51">
        <f t="shared" si="124"/>
        <v>0</v>
      </c>
      <c r="R730" s="51">
        <f t="shared" si="125"/>
        <v>0</v>
      </c>
      <c r="S730"/>
      <c r="T730" s="83"/>
    </row>
    <row r="731" spans="1:20" ht="16" x14ac:dyDescent="0.2">
      <c r="A731"/>
      <c r="B731" s="103"/>
      <c r="C731" s="243"/>
      <c r="D731" s="119">
        <v>718</v>
      </c>
      <c r="E731" s="25" t="str">
        <f>Tp_CHG!I154</f>
        <v>Transition Probability from state 2 to state 5 on day 16 (CHG)</v>
      </c>
      <c r="F731" s="40">
        <f t="shared" si="120"/>
        <v>0</v>
      </c>
      <c r="G731" s="156">
        <v>1</v>
      </c>
      <c r="H731" s="120">
        <f>Tp_CHG!L154</f>
        <v>0</v>
      </c>
      <c r="I731" s="40" t="s">
        <v>58</v>
      </c>
      <c r="J731" s="40">
        <f t="shared" si="121"/>
        <v>0</v>
      </c>
      <c r="K731" s="40">
        <f t="shared" si="122"/>
        <v>0</v>
      </c>
      <c r="L731" s="40" t="s">
        <v>58</v>
      </c>
      <c r="M731" s="50" t="s">
        <v>266</v>
      </c>
      <c r="N731" s="190"/>
      <c r="O731" s="40">
        <f t="shared" ca="1" si="126"/>
        <v>0.2383332305382625</v>
      </c>
      <c r="P731" s="51">
        <f t="shared" si="123"/>
        <v>0</v>
      </c>
      <c r="Q731" s="51">
        <f t="shared" si="124"/>
        <v>0</v>
      </c>
      <c r="R731" s="51">
        <f t="shared" si="125"/>
        <v>0</v>
      </c>
      <c r="S731"/>
      <c r="T731" s="83"/>
    </row>
    <row r="732" spans="1:20" ht="16" x14ac:dyDescent="0.2">
      <c r="A732"/>
      <c r="B732" s="103"/>
      <c r="C732" s="243"/>
      <c r="D732" s="119">
        <v>719</v>
      </c>
      <c r="E732" s="25" t="str">
        <f>Tp_CHG!I155</f>
        <v>Transition Probability from state 2 to state 5 on day 17 (CHG)</v>
      </c>
      <c r="F732" s="40">
        <f t="shared" si="120"/>
        <v>0</v>
      </c>
      <c r="G732" s="156">
        <v>1</v>
      </c>
      <c r="H732" s="120">
        <f>Tp_CHG!L155</f>
        <v>0</v>
      </c>
      <c r="I732" s="40" t="s">
        <v>58</v>
      </c>
      <c r="J732" s="40">
        <f t="shared" si="121"/>
        <v>0</v>
      </c>
      <c r="K732" s="40">
        <f t="shared" si="122"/>
        <v>0</v>
      </c>
      <c r="L732" s="40" t="s">
        <v>58</v>
      </c>
      <c r="M732" s="50" t="s">
        <v>266</v>
      </c>
      <c r="N732" s="190"/>
      <c r="O732" s="40">
        <f t="shared" ca="1" si="126"/>
        <v>0.44957475445035255</v>
      </c>
      <c r="P732" s="51">
        <f t="shared" si="123"/>
        <v>0</v>
      </c>
      <c r="Q732" s="51">
        <f t="shared" si="124"/>
        <v>0</v>
      </c>
      <c r="R732" s="51">
        <f t="shared" si="125"/>
        <v>0</v>
      </c>
      <c r="S732"/>
      <c r="T732" s="83"/>
    </row>
    <row r="733" spans="1:20" ht="16" x14ac:dyDescent="0.2">
      <c r="A733"/>
      <c r="B733" s="103"/>
      <c r="C733" s="243"/>
      <c r="D733" s="119">
        <v>720</v>
      </c>
      <c r="E733" s="25" t="str">
        <f>Tp_CHG!I156</f>
        <v>Transition Probability from state 2 to state 5 on day 18 (CHG)</v>
      </c>
      <c r="F733" s="40">
        <f t="shared" si="120"/>
        <v>0</v>
      </c>
      <c r="G733" s="156">
        <v>1</v>
      </c>
      <c r="H733" s="120">
        <f>Tp_CHG!L156</f>
        <v>0</v>
      </c>
      <c r="I733" s="40" t="s">
        <v>58</v>
      </c>
      <c r="J733" s="40">
        <f t="shared" si="121"/>
        <v>0</v>
      </c>
      <c r="K733" s="40">
        <f t="shared" si="122"/>
        <v>0</v>
      </c>
      <c r="L733" s="40" t="s">
        <v>58</v>
      </c>
      <c r="M733" s="50" t="s">
        <v>266</v>
      </c>
      <c r="N733" s="190"/>
      <c r="O733" s="40">
        <f t="shared" ca="1" si="126"/>
        <v>0.2929252944876154</v>
      </c>
      <c r="P733" s="51">
        <f t="shared" si="123"/>
        <v>0</v>
      </c>
      <c r="Q733" s="51">
        <f t="shared" si="124"/>
        <v>0</v>
      </c>
      <c r="R733" s="51">
        <f t="shared" si="125"/>
        <v>0</v>
      </c>
      <c r="S733"/>
      <c r="T733" s="83"/>
    </row>
    <row r="734" spans="1:20" ht="16" x14ac:dyDescent="0.2">
      <c r="A734"/>
      <c r="B734" s="103"/>
      <c r="C734" s="243"/>
      <c r="D734" s="119">
        <v>721</v>
      </c>
      <c r="E734" s="25" t="str">
        <f>Tp_CHG!I157</f>
        <v>Transition Probability from state 2 to state 5 on day 19 (CHG)</v>
      </c>
      <c r="F734" s="40">
        <f t="shared" si="120"/>
        <v>0</v>
      </c>
      <c r="G734" s="156">
        <v>1</v>
      </c>
      <c r="H734" s="120">
        <f>Tp_CHG!L157</f>
        <v>0</v>
      </c>
      <c r="I734" s="40" t="s">
        <v>58</v>
      </c>
      <c r="J734" s="40">
        <f t="shared" si="121"/>
        <v>0</v>
      </c>
      <c r="K734" s="40">
        <f t="shared" si="122"/>
        <v>0</v>
      </c>
      <c r="L734" s="40" t="s">
        <v>58</v>
      </c>
      <c r="M734" s="50" t="s">
        <v>266</v>
      </c>
      <c r="N734" s="190"/>
      <c r="O734" s="40">
        <f t="shared" ca="1" si="126"/>
        <v>0.4816398572348557</v>
      </c>
      <c r="P734" s="51">
        <f t="shared" si="123"/>
        <v>0</v>
      </c>
      <c r="Q734" s="51">
        <f t="shared" si="124"/>
        <v>0</v>
      </c>
      <c r="R734" s="51">
        <f t="shared" si="125"/>
        <v>0</v>
      </c>
      <c r="S734"/>
      <c r="T734" s="83"/>
    </row>
    <row r="735" spans="1:20" ht="16" x14ac:dyDescent="0.2">
      <c r="A735"/>
      <c r="B735" s="103"/>
      <c r="C735" s="243"/>
      <c r="D735" s="119">
        <v>722</v>
      </c>
      <c r="E735" s="25" t="str">
        <f>Tp_CHG!I158</f>
        <v>Transition Probability from state 2 to state 5 on day 20 (CHG)</v>
      </c>
      <c r="F735" s="40">
        <f t="shared" si="120"/>
        <v>0</v>
      </c>
      <c r="G735" s="156">
        <v>1</v>
      </c>
      <c r="H735" s="120">
        <f>Tp_CHG!L158</f>
        <v>0</v>
      </c>
      <c r="I735" s="40" t="s">
        <v>58</v>
      </c>
      <c r="J735" s="40">
        <f t="shared" si="121"/>
        <v>0</v>
      </c>
      <c r="K735" s="40">
        <f t="shared" si="122"/>
        <v>0</v>
      </c>
      <c r="L735" s="40" t="s">
        <v>58</v>
      </c>
      <c r="M735" s="50" t="s">
        <v>266</v>
      </c>
      <c r="N735" s="190"/>
      <c r="O735" s="40">
        <f t="shared" ca="1" si="126"/>
        <v>0.41570036093498763</v>
      </c>
      <c r="P735" s="51">
        <f t="shared" si="123"/>
        <v>0</v>
      </c>
      <c r="Q735" s="51">
        <f t="shared" si="124"/>
        <v>0</v>
      </c>
      <c r="R735" s="51">
        <f t="shared" si="125"/>
        <v>0</v>
      </c>
      <c r="S735"/>
      <c r="T735" s="83"/>
    </row>
    <row r="736" spans="1:20" ht="16" x14ac:dyDescent="0.2">
      <c r="A736"/>
      <c r="B736" s="103"/>
      <c r="C736" s="243"/>
      <c r="D736" s="119">
        <v>723</v>
      </c>
      <c r="E736" s="25" t="str">
        <f>Tp_CHG!I159</f>
        <v>Transition Probability from state 2 to state 5 on day 21 (CHG)</v>
      </c>
      <c r="F736" s="40">
        <f t="shared" si="120"/>
        <v>0</v>
      </c>
      <c r="G736" s="156">
        <v>1</v>
      </c>
      <c r="H736" s="120">
        <f>Tp_CHG!L159</f>
        <v>0</v>
      </c>
      <c r="I736" s="40" t="s">
        <v>58</v>
      </c>
      <c r="J736" s="40">
        <f t="shared" si="121"/>
        <v>0</v>
      </c>
      <c r="K736" s="40">
        <f t="shared" si="122"/>
        <v>0</v>
      </c>
      <c r="L736" s="40" t="s">
        <v>58</v>
      </c>
      <c r="M736" s="50" t="s">
        <v>266</v>
      </c>
      <c r="N736" s="190"/>
      <c r="O736" s="40">
        <f t="shared" ca="1" si="126"/>
        <v>0.76237788637568604</v>
      </c>
      <c r="P736" s="51">
        <f t="shared" si="123"/>
        <v>0</v>
      </c>
      <c r="Q736" s="51">
        <f t="shared" si="124"/>
        <v>0</v>
      </c>
      <c r="R736" s="51">
        <f t="shared" si="125"/>
        <v>0</v>
      </c>
      <c r="S736"/>
      <c r="T736" s="83"/>
    </row>
    <row r="737" spans="1:20" ht="16" x14ac:dyDescent="0.2">
      <c r="A737"/>
      <c r="B737" s="103"/>
      <c r="C737" s="243"/>
      <c r="D737" s="119">
        <v>724</v>
      </c>
      <c r="E737" s="25" t="str">
        <f>Tp_CHG!I160</f>
        <v>Transition Probability from state 2 to state 5 on day 22 (CHG)</v>
      </c>
      <c r="F737" s="40">
        <f t="shared" si="120"/>
        <v>0</v>
      </c>
      <c r="G737" s="156">
        <v>1</v>
      </c>
      <c r="H737" s="120">
        <f>Tp_CHG!L160</f>
        <v>0</v>
      </c>
      <c r="I737" s="40" t="s">
        <v>58</v>
      </c>
      <c r="J737" s="40">
        <f t="shared" si="121"/>
        <v>0</v>
      </c>
      <c r="K737" s="40">
        <f t="shared" si="122"/>
        <v>0</v>
      </c>
      <c r="L737" s="40" t="s">
        <v>58</v>
      </c>
      <c r="M737" s="50" t="s">
        <v>266</v>
      </c>
      <c r="N737" s="190"/>
      <c r="O737" s="40">
        <f t="shared" ca="1" si="126"/>
        <v>0.44380121821090668</v>
      </c>
      <c r="P737" s="51">
        <f t="shared" si="123"/>
        <v>0</v>
      </c>
      <c r="Q737" s="51">
        <f t="shared" si="124"/>
        <v>0</v>
      </c>
      <c r="R737" s="51">
        <f t="shared" si="125"/>
        <v>0</v>
      </c>
      <c r="S737"/>
      <c r="T737" s="83"/>
    </row>
    <row r="738" spans="1:20" ht="16" x14ac:dyDescent="0.2">
      <c r="A738"/>
      <c r="B738" s="103"/>
      <c r="C738" s="243"/>
      <c r="D738" s="119">
        <v>725</v>
      </c>
      <c r="E738" s="25" t="str">
        <f>Tp_CHG!I161</f>
        <v>Transition Probability from state 2 to state 5 on day 23 (CHG)</v>
      </c>
      <c r="F738" s="40">
        <f t="shared" si="120"/>
        <v>0</v>
      </c>
      <c r="G738" s="156">
        <v>1</v>
      </c>
      <c r="H738" s="120">
        <f>Tp_CHG!L161</f>
        <v>0</v>
      </c>
      <c r="I738" s="40" t="s">
        <v>58</v>
      </c>
      <c r="J738" s="40">
        <f t="shared" si="121"/>
        <v>0</v>
      </c>
      <c r="K738" s="40">
        <f t="shared" si="122"/>
        <v>0</v>
      </c>
      <c r="L738" s="40" t="s">
        <v>58</v>
      </c>
      <c r="M738" s="50" t="s">
        <v>266</v>
      </c>
      <c r="N738" s="190"/>
      <c r="O738" s="40">
        <f t="shared" ca="1" si="126"/>
        <v>0.27592291976627992</v>
      </c>
      <c r="P738" s="51">
        <f t="shared" si="123"/>
        <v>0</v>
      </c>
      <c r="Q738" s="51">
        <f t="shared" si="124"/>
        <v>0</v>
      </c>
      <c r="R738" s="51">
        <f t="shared" si="125"/>
        <v>0</v>
      </c>
      <c r="S738"/>
      <c r="T738" s="83"/>
    </row>
    <row r="739" spans="1:20" ht="16" x14ac:dyDescent="0.2">
      <c r="A739"/>
      <c r="B739" s="103"/>
      <c r="C739" s="243"/>
      <c r="D739" s="119">
        <v>726</v>
      </c>
      <c r="E739" s="25" t="str">
        <f>Tp_CHG!I162</f>
        <v>Transition Probability from state 2 to state 5 on day 24 (CHG)</v>
      </c>
      <c r="F739" s="40">
        <f t="shared" si="120"/>
        <v>0</v>
      </c>
      <c r="G739" s="156">
        <v>1</v>
      </c>
      <c r="H739" s="120">
        <f>Tp_CHG!L162</f>
        <v>0</v>
      </c>
      <c r="I739" s="40" t="s">
        <v>58</v>
      </c>
      <c r="J739" s="40">
        <f t="shared" si="121"/>
        <v>0</v>
      </c>
      <c r="K739" s="40">
        <f t="shared" si="122"/>
        <v>0</v>
      </c>
      <c r="L739" s="40" t="s">
        <v>58</v>
      </c>
      <c r="M739" s="50" t="s">
        <v>266</v>
      </c>
      <c r="N739" s="190"/>
      <c r="O739" s="40">
        <f t="shared" ca="1" si="126"/>
        <v>0.87382837179433592</v>
      </c>
      <c r="P739" s="51">
        <f t="shared" si="123"/>
        <v>0</v>
      </c>
      <c r="Q739" s="51">
        <f t="shared" si="124"/>
        <v>0</v>
      </c>
      <c r="R739" s="51">
        <f t="shared" si="125"/>
        <v>0</v>
      </c>
      <c r="S739"/>
      <c r="T739" s="83"/>
    </row>
    <row r="740" spans="1:20" ht="16" x14ac:dyDescent="0.2">
      <c r="A740"/>
      <c r="B740" s="103"/>
      <c r="C740" s="243"/>
      <c r="D740" s="119">
        <v>727</v>
      </c>
      <c r="E740" s="25" t="str">
        <f>Tp_CHG!I163</f>
        <v>Transition Probability from state 2 to state 5 on day 25 (CHG)</v>
      </c>
      <c r="F740" s="40">
        <f t="shared" si="120"/>
        <v>0</v>
      </c>
      <c r="G740" s="156">
        <v>1</v>
      </c>
      <c r="H740" s="120">
        <f>Tp_CHG!L163</f>
        <v>0</v>
      </c>
      <c r="I740" s="40" t="s">
        <v>58</v>
      </c>
      <c r="J740" s="40">
        <f t="shared" si="121"/>
        <v>0</v>
      </c>
      <c r="K740" s="40">
        <f t="shared" si="122"/>
        <v>0</v>
      </c>
      <c r="L740" s="40" t="s">
        <v>58</v>
      </c>
      <c r="M740" s="50" t="s">
        <v>266</v>
      </c>
      <c r="N740" s="190"/>
      <c r="O740" s="40">
        <f t="shared" ca="1" si="126"/>
        <v>0.30167153085430565</v>
      </c>
      <c r="P740" s="51">
        <f t="shared" si="123"/>
        <v>0</v>
      </c>
      <c r="Q740" s="51">
        <f t="shared" si="124"/>
        <v>0</v>
      </c>
      <c r="R740" s="51">
        <f t="shared" si="125"/>
        <v>0</v>
      </c>
      <c r="S740"/>
      <c r="T740" s="83"/>
    </row>
    <row r="741" spans="1:20" ht="16" x14ac:dyDescent="0.2">
      <c r="A741"/>
      <c r="B741" s="103"/>
      <c r="C741" s="243"/>
      <c r="D741" s="119">
        <v>728</v>
      </c>
      <c r="E741" s="25" t="str">
        <f>Tp_CHG!I164</f>
        <v>Transition Probability from state 2 to state 5 on day 26 (CHG)</v>
      </c>
      <c r="F741" s="40">
        <f t="shared" si="120"/>
        <v>0</v>
      </c>
      <c r="G741" s="156">
        <v>1</v>
      </c>
      <c r="H741" s="120">
        <f>Tp_CHG!L164</f>
        <v>0</v>
      </c>
      <c r="I741" s="40" t="s">
        <v>58</v>
      </c>
      <c r="J741" s="40">
        <f t="shared" si="121"/>
        <v>0</v>
      </c>
      <c r="K741" s="40">
        <f t="shared" si="122"/>
        <v>0</v>
      </c>
      <c r="L741" s="40" t="s">
        <v>58</v>
      </c>
      <c r="M741" s="50" t="s">
        <v>266</v>
      </c>
      <c r="N741" s="190"/>
      <c r="O741" s="40">
        <f t="shared" ca="1" si="126"/>
        <v>0.89403206652937917</v>
      </c>
      <c r="P741" s="51">
        <f t="shared" si="123"/>
        <v>0</v>
      </c>
      <c r="Q741" s="51">
        <f t="shared" si="124"/>
        <v>0</v>
      </c>
      <c r="R741" s="51">
        <f t="shared" si="125"/>
        <v>0</v>
      </c>
      <c r="S741"/>
      <c r="T741" s="83"/>
    </row>
    <row r="742" spans="1:20" ht="16" x14ac:dyDescent="0.2">
      <c r="A742"/>
      <c r="B742" s="103"/>
      <c r="C742" s="243"/>
      <c r="D742" s="119">
        <v>729</v>
      </c>
      <c r="E742" s="25" t="str">
        <f>Tp_CHG!I165</f>
        <v>Transition Probability from state 2 to state 5 on day 27 (CHG)</v>
      </c>
      <c r="F742" s="40">
        <f t="shared" si="120"/>
        <v>0</v>
      </c>
      <c r="G742" s="156">
        <v>1</v>
      </c>
      <c r="H742" s="120">
        <f>Tp_CHG!L165</f>
        <v>0</v>
      </c>
      <c r="I742" s="40" t="s">
        <v>58</v>
      </c>
      <c r="J742" s="40">
        <f t="shared" si="121"/>
        <v>0</v>
      </c>
      <c r="K742" s="40">
        <f t="shared" si="122"/>
        <v>0</v>
      </c>
      <c r="L742" s="40" t="s">
        <v>58</v>
      </c>
      <c r="M742" s="50" t="s">
        <v>266</v>
      </c>
      <c r="N742" s="190"/>
      <c r="O742" s="40">
        <f t="shared" ca="1" si="126"/>
        <v>0.49927719694877748</v>
      </c>
      <c r="P742" s="51">
        <f t="shared" si="123"/>
        <v>0</v>
      </c>
      <c r="Q742" s="51">
        <f t="shared" si="124"/>
        <v>0</v>
      </c>
      <c r="R742" s="51">
        <f t="shared" si="125"/>
        <v>0</v>
      </c>
      <c r="S742"/>
      <c r="T742" s="83"/>
    </row>
    <row r="743" spans="1:20" ht="16" x14ac:dyDescent="0.2">
      <c r="A743"/>
      <c r="B743" s="103"/>
      <c r="C743" s="243"/>
      <c r="D743" s="119">
        <v>730</v>
      </c>
      <c r="E743" s="25" t="str">
        <f>Tp_CHG!I167</f>
        <v>Transition Probability from state 2 to state 5 on day 29 (CHG)</v>
      </c>
      <c r="F743" s="40">
        <f t="shared" si="120"/>
        <v>0</v>
      </c>
      <c r="G743" s="156">
        <v>1</v>
      </c>
      <c r="H743" s="120">
        <f>Tp_CHG!L167</f>
        <v>0</v>
      </c>
      <c r="I743" s="40" t="s">
        <v>58</v>
      </c>
      <c r="J743" s="40">
        <f t="shared" si="121"/>
        <v>0</v>
      </c>
      <c r="K743" s="40">
        <f t="shared" si="122"/>
        <v>0</v>
      </c>
      <c r="L743" s="40" t="s">
        <v>58</v>
      </c>
      <c r="M743" s="50" t="s">
        <v>266</v>
      </c>
      <c r="N743" s="190"/>
      <c r="O743" s="40">
        <f t="shared" ca="1" si="126"/>
        <v>0.75088903968859189</v>
      </c>
      <c r="P743" s="51">
        <f t="shared" si="123"/>
        <v>0</v>
      </c>
      <c r="Q743" s="51">
        <f t="shared" si="124"/>
        <v>0</v>
      </c>
      <c r="R743" s="51">
        <f t="shared" si="125"/>
        <v>0</v>
      </c>
      <c r="S743"/>
      <c r="T743" s="83"/>
    </row>
    <row r="744" spans="1:20" ht="16" x14ac:dyDescent="0.2">
      <c r="A744"/>
      <c r="B744" s="103"/>
      <c r="C744" s="243"/>
      <c r="D744" s="119">
        <v>731</v>
      </c>
      <c r="E744" s="25" t="str">
        <f>Tp_CHG!I168</f>
        <v>Transition Probability from state 2 to state 5 on day 30 (CHG)</v>
      </c>
      <c r="F744" s="40">
        <f t="shared" si="120"/>
        <v>0</v>
      </c>
      <c r="G744" s="156">
        <v>1</v>
      </c>
      <c r="H744" s="120">
        <f>Tp_CHG!L168</f>
        <v>0</v>
      </c>
      <c r="I744" s="40" t="s">
        <v>58</v>
      </c>
      <c r="J744" s="40">
        <f t="shared" si="121"/>
        <v>0</v>
      </c>
      <c r="K744" s="40">
        <f t="shared" si="122"/>
        <v>0</v>
      </c>
      <c r="L744" s="40" t="s">
        <v>58</v>
      </c>
      <c r="M744" s="50" t="s">
        <v>266</v>
      </c>
      <c r="N744" s="190"/>
      <c r="O744" s="40">
        <f t="shared" ca="1" si="126"/>
        <v>0.41674636992613012</v>
      </c>
      <c r="P744" s="51">
        <f t="shared" si="123"/>
        <v>0</v>
      </c>
      <c r="Q744" s="51">
        <f t="shared" si="124"/>
        <v>0</v>
      </c>
      <c r="R744" s="51">
        <f t="shared" si="125"/>
        <v>0</v>
      </c>
      <c r="S744"/>
      <c r="T744" s="83"/>
    </row>
    <row r="745" spans="1:20" ht="16" x14ac:dyDescent="0.2">
      <c r="A745"/>
      <c r="B745" s="103"/>
      <c r="C745" s="243"/>
      <c r="D745" s="119">
        <v>732</v>
      </c>
      <c r="E745" s="25" t="str">
        <f>Tp_CHG!N139</f>
        <v>Transition Probability from state 3 to state 5 on day 1 (CHG)</v>
      </c>
      <c r="F745" s="40">
        <f t="shared" si="120"/>
        <v>0</v>
      </c>
      <c r="G745" s="156">
        <v>1</v>
      </c>
      <c r="H745" s="120">
        <f>Tp_CHG!Q139</f>
        <v>0</v>
      </c>
      <c r="I745" s="40" t="s">
        <v>58</v>
      </c>
      <c r="J745" s="40">
        <f t="shared" si="121"/>
        <v>0</v>
      </c>
      <c r="K745" s="40">
        <f t="shared" si="122"/>
        <v>0</v>
      </c>
      <c r="L745" s="40" t="s">
        <v>58</v>
      </c>
      <c r="M745" s="50" t="s">
        <v>266</v>
      </c>
      <c r="N745" s="190"/>
      <c r="O745" s="40">
        <f t="shared" ca="1" si="126"/>
        <v>0.56970957638174979</v>
      </c>
      <c r="P745" s="51">
        <f t="shared" si="123"/>
        <v>0</v>
      </c>
      <c r="Q745" s="51">
        <f t="shared" si="124"/>
        <v>0</v>
      </c>
      <c r="R745" s="51">
        <f t="shared" si="125"/>
        <v>0</v>
      </c>
      <c r="S745"/>
      <c r="T745" s="83"/>
    </row>
    <row r="746" spans="1:20" ht="16" x14ac:dyDescent="0.2">
      <c r="A746"/>
      <c r="B746" s="103"/>
      <c r="C746" s="243"/>
      <c r="D746" s="119">
        <v>733</v>
      </c>
      <c r="E746" s="25" t="str">
        <f>Tp_CHG!N140</f>
        <v>Transition Probability from state 3 to state 5 on day 2 (CHG)</v>
      </c>
      <c r="F746" s="40">
        <f t="shared" si="120"/>
        <v>0</v>
      </c>
      <c r="G746" s="156">
        <v>1</v>
      </c>
      <c r="H746" s="120">
        <f>Tp_CHG!Q140</f>
        <v>0</v>
      </c>
      <c r="I746" s="40" t="s">
        <v>58</v>
      </c>
      <c r="J746" s="40">
        <f t="shared" si="121"/>
        <v>0</v>
      </c>
      <c r="K746" s="40">
        <f t="shared" si="122"/>
        <v>0</v>
      </c>
      <c r="L746" s="40" t="s">
        <v>58</v>
      </c>
      <c r="M746" s="50" t="s">
        <v>266</v>
      </c>
      <c r="N746" s="190"/>
      <c r="O746" s="40">
        <f t="shared" ca="1" si="126"/>
        <v>0.40262297602009178</v>
      </c>
      <c r="P746" s="51">
        <f t="shared" si="123"/>
        <v>0</v>
      </c>
      <c r="Q746" s="51">
        <f t="shared" si="124"/>
        <v>0</v>
      </c>
      <c r="R746" s="51">
        <f t="shared" si="125"/>
        <v>0</v>
      </c>
      <c r="S746"/>
      <c r="T746" s="83"/>
    </row>
    <row r="747" spans="1:20" ht="16" x14ac:dyDescent="0.2">
      <c r="A747"/>
      <c r="B747" s="103"/>
      <c r="C747" s="243"/>
      <c r="D747" s="119">
        <v>734</v>
      </c>
      <c r="E747" s="25" t="str">
        <f>Tp_CHG!N141</f>
        <v>Transition Probability from state 3 to state 5 on day 3 (CHG)</v>
      </c>
      <c r="F747" s="40">
        <f t="shared" si="120"/>
        <v>0</v>
      </c>
      <c r="G747" s="156">
        <v>1</v>
      </c>
      <c r="H747" s="120">
        <f>Tp_CHG!Q141</f>
        <v>0</v>
      </c>
      <c r="I747" s="40" t="s">
        <v>58</v>
      </c>
      <c r="J747" s="40">
        <f t="shared" si="121"/>
        <v>0</v>
      </c>
      <c r="K747" s="40">
        <f t="shared" si="122"/>
        <v>0</v>
      </c>
      <c r="L747" s="40" t="s">
        <v>58</v>
      </c>
      <c r="M747" s="50" t="s">
        <v>266</v>
      </c>
      <c r="N747" s="190"/>
      <c r="O747" s="40">
        <f t="shared" ca="1" si="126"/>
        <v>0.29675582734483297</v>
      </c>
      <c r="P747" s="51">
        <f t="shared" si="123"/>
        <v>0</v>
      </c>
      <c r="Q747" s="51">
        <f t="shared" si="124"/>
        <v>0</v>
      </c>
      <c r="R747" s="51">
        <f t="shared" si="125"/>
        <v>0</v>
      </c>
      <c r="S747"/>
      <c r="T747" s="83"/>
    </row>
    <row r="748" spans="1:20" ht="16" x14ac:dyDescent="0.2">
      <c r="A748"/>
      <c r="B748" s="103"/>
      <c r="C748" s="243"/>
      <c r="D748" s="119">
        <v>735</v>
      </c>
      <c r="E748" s="25" t="str">
        <f>Tp_CHG!N142</f>
        <v>Transition Probability from state 3 to state 5 on day 4 (CHG)</v>
      </c>
      <c r="F748" s="40">
        <f t="shared" si="120"/>
        <v>0</v>
      </c>
      <c r="G748" s="156">
        <v>1</v>
      </c>
      <c r="H748" s="120">
        <f>Tp_CHG!Q142</f>
        <v>0</v>
      </c>
      <c r="I748" s="40" t="s">
        <v>58</v>
      </c>
      <c r="J748" s="40">
        <f t="shared" si="121"/>
        <v>0</v>
      </c>
      <c r="K748" s="40">
        <f t="shared" si="122"/>
        <v>0</v>
      </c>
      <c r="L748" s="40" t="s">
        <v>58</v>
      </c>
      <c r="M748" s="50" t="s">
        <v>266</v>
      </c>
      <c r="N748" s="190"/>
      <c r="O748" s="40">
        <f t="shared" ca="1" si="126"/>
        <v>0.69453868510491779</v>
      </c>
      <c r="P748" s="51">
        <f t="shared" si="123"/>
        <v>0</v>
      </c>
      <c r="Q748" s="51">
        <f t="shared" si="124"/>
        <v>0</v>
      </c>
      <c r="R748" s="51">
        <f t="shared" si="125"/>
        <v>0</v>
      </c>
      <c r="S748"/>
      <c r="T748" s="83"/>
    </row>
    <row r="749" spans="1:20" ht="16" x14ac:dyDescent="0.2">
      <c r="A749"/>
      <c r="B749" s="103"/>
      <c r="C749" s="243"/>
      <c r="D749" s="119">
        <v>736</v>
      </c>
      <c r="E749" s="25" t="str">
        <f>Tp_CHG!N143</f>
        <v>Transition Probability from state 3 to state 5 on day 5 (CHG)</v>
      </c>
      <c r="F749" s="40">
        <f t="shared" si="120"/>
        <v>0</v>
      </c>
      <c r="G749" s="156">
        <v>1</v>
      </c>
      <c r="H749" s="120">
        <f>Tp_CHG!Q143</f>
        <v>0</v>
      </c>
      <c r="I749" s="40" t="s">
        <v>58</v>
      </c>
      <c r="J749" s="40">
        <f t="shared" si="121"/>
        <v>0</v>
      </c>
      <c r="K749" s="40">
        <f t="shared" si="122"/>
        <v>0</v>
      </c>
      <c r="L749" s="40" t="s">
        <v>58</v>
      </c>
      <c r="M749" s="50" t="s">
        <v>266</v>
      </c>
      <c r="N749" s="190"/>
      <c r="O749" s="40">
        <f t="shared" ca="1" si="126"/>
        <v>0.2268506227608541</v>
      </c>
      <c r="P749" s="51">
        <f t="shared" si="123"/>
        <v>0</v>
      </c>
      <c r="Q749" s="51">
        <f t="shared" si="124"/>
        <v>0</v>
      </c>
      <c r="R749" s="51">
        <f t="shared" si="125"/>
        <v>0</v>
      </c>
      <c r="S749"/>
      <c r="T749" s="83"/>
    </row>
    <row r="750" spans="1:20" ht="16" x14ac:dyDescent="0.2">
      <c r="A750"/>
      <c r="B750" s="103"/>
      <c r="C750" s="243"/>
      <c r="D750" s="119">
        <v>737</v>
      </c>
      <c r="E750" s="25" t="str">
        <f>Tp_CHG!N144</f>
        <v>Transition Probability from state 3 to state 5 on day 6 (CHG)</v>
      </c>
      <c r="F750" s="40">
        <f t="shared" si="120"/>
        <v>0</v>
      </c>
      <c r="G750" s="156">
        <v>1</v>
      </c>
      <c r="H750" s="120">
        <f>Tp_CHG!Q144</f>
        <v>0</v>
      </c>
      <c r="I750" s="40" t="s">
        <v>58</v>
      </c>
      <c r="J750" s="40">
        <f t="shared" si="121"/>
        <v>0</v>
      </c>
      <c r="K750" s="40">
        <f t="shared" si="122"/>
        <v>0</v>
      </c>
      <c r="L750" s="40" t="s">
        <v>58</v>
      </c>
      <c r="M750" s="50" t="s">
        <v>266</v>
      </c>
      <c r="N750" s="190"/>
      <c r="O750" s="40">
        <f t="shared" ca="1" si="126"/>
        <v>0.48798669901090763</v>
      </c>
      <c r="P750" s="51">
        <f t="shared" si="123"/>
        <v>0</v>
      </c>
      <c r="Q750" s="51">
        <f t="shared" si="124"/>
        <v>0</v>
      </c>
      <c r="R750" s="51">
        <f t="shared" si="125"/>
        <v>0</v>
      </c>
      <c r="S750"/>
      <c r="T750" s="83"/>
    </row>
    <row r="751" spans="1:20" ht="16" x14ac:dyDescent="0.2">
      <c r="A751"/>
      <c r="B751" s="103"/>
      <c r="C751" s="243"/>
      <c r="D751" s="119">
        <v>738</v>
      </c>
      <c r="E751" s="25" t="str">
        <f>Tp_CHG!N145</f>
        <v>Transition Probability from state 3 to state 5 on day 7 (CHG)</v>
      </c>
      <c r="F751" s="40">
        <f t="shared" si="120"/>
        <v>0</v>
      </c>
      <c r="G751" s="156">
        <v>1</v>
      </c>
      <c r="H751" s="120">
        <f>Tp_CHG!Q145</f>
        <v>0</v>
      </c>
      <c r="I751" s="40" t="s">
        <v>58</v>
      </c>
      <c r="J751" s="40">
        <f t="shared" ref="J751:J782" si="127">IF(H751=0,0,_xlfn.NORM.INV(0.025,H751,R751))</f>
        <v>0</v>
      </c>
      <c r="K751" s="40">
        <f t="shared" ref="K751:K782" si="128">IF(H751=0,0,_xlfn.NORM.INV(0.975,H751,R751))</f>
        <v>0</v>
      </c>
      <c r="L751" s="40" t="s">
        <v>58</v>
      </c>
      <c r="M751" s="50" t="s">
        <v>266</v>
      </c>
      <c r="N751" s="190"/>
      <c r="O751" s="40">
        <f t="shared" ca="1" si="126"/>
        <v>6.2062309507829427E-2</v>
      </c>
      <c r="P751" s="51">
        <f t="shared" si="123"/>
        <v>0</v>
      </c>
      <c r="Q751" s="51">
        <f t="shared" si="124"/>
        <v>0</v>
      </c>
      <c r="R751" s="51">
        <f t="shared" ref="R751:R782" si="129">assumedSE*H751</f>
        <v>0</v>
      </c>
      <c r="S751"/>
      <c r="T751" s="83"/>
    </row>
    <row r="752" spans="1:20" ht="16" x14ac:dyDescent="0.2">
      <c r="A752"/>
      <c r="B752" s="103"/>
      <c r="C752" s="243"/>
      <c r="D752" s="119">
        <v>739</v>
      </c>
      <c r="E752" s="25" t="str">
        <f>Tp_CHG!N146</f>
        <v>Transition Probability from state 3 to state 5 on day 8 (CHG)</v>
      </c>
      <c r="F752" s="40">
        <f t="shared" si="120"/>
        <v>0</v>
      </c>
      <c r="G752" s="156">
        <v>1</v>
      </c>
      <c r="H752" s="120">
        <f>Tp_CHG!Q146</f>
        <v>0</v>
      </c>
      <c r="I752" s="40" t="s">
        <v>58</v>
      </c>
      <c r="J752" s="40">
        <f t="shared" si="127"/>
        <v>0</v>
      </c>
      <c r="K752" s="40">
        <f t="shared" si="128"/>
        <v>0</v>
      </c>
      <c r="L752" s="40" t="s">
        <v>58</v>
      </c>
      <c r="M752" s="50" t="s">
        <v>266</v>
      </c>
      <c r="N752" s="190"/>
      <c r="O752" s="40">
        <f t="shared" ca="1" si="126"/>
        <v>0.63588364968356637</v>
      </c>
      <c r="P752" s="51">
        <f t="shared" si="123"/>
        <v>0</v>
      </c>
      <c r="Q752" s="51">
        <f t="shared" si="124"/>
        <v>0</v>
      </c>
      <c r="R752" s="51">
        <f t="shared" si="129"/>
        <v>0</v>
      </c>
      <c r="S752"/>
      <c r="T752" s="83"/>
    </row>
    <row r="753" spans="1:20" ht="16" x14ac:dyDescent="0.2">
      <c r="A753"/>
      <c r="B753" s="103"/>
      <c r="C753" s="243"/>
      <c r="D753" s="119">
        <v>740</v>
      </c>
      <c r="E753" s="25" t="str">
        <f>Tp_CHG!N147</f>
        <v>Transition Probability from state 3 to state 5 on day 9 (CHG)</v>
      </c>
      <c r="F753" s="40">
        <f t="shared" si="120"/>
        <v>0</v>
      </c>
      <c r="G753" s="156">
        <v>1</v>
      </c>
      <c r="H753" s="120">
        <f>Tp_CHG!Q147</f>
        <v>0</v>
      </c>
      <c r="I753" s="40" t="s">
        <v>58</v>
      </c>
      <c r="J753" s="40">
        <f t="shared" si="127"/>
        <v>0</v>
      </c>
      <c r="K753" s="40">
        <f t="shared" si="128"/>
        <v>0</v>
      </c>
      <c r="L753" s="40" t="s">
        <v>58</v>
      </c>
      <c r="M753" s="50" t="s">
        <v>266</v>
      </c>
      <c r="N753" s="190"/>
      <c r="O753" s="40">
        <f t="shared" ca="1" si="126"/>
        <v>0.37735233024953929</v>
      </c>
      <c r="P753" s="51">
        <f t="shared" si="123"/>
        <v>0</v>
      </c>
      <c r="Q753" s="51">
        <f t="shared" si="124"/>
        <v>0</v>
      </c>
      <c r="R753" s="51">
        <f t="shared" si="129"/>
        <v>0</v>
      </c>
      <c r="S753"/>
      <c r="T753" s="83"/>
    </row>
    <row r="754" spans="1:20" ht="16" x14ac:dyDescent="0.2">
      <c r="A754"/>
      <c r="B754" s="103"/>
      <c r="C754" s="243"/>
      <c r="D754" s="119">
        <v>741</v>
      </c>
      <c r="E754" s="25" t="str">
        <f>Tp_CHG!N148</f>
        <v>Transition Probability from state 3 to state 5 on day 10 (CHG)</v>
      </c>
      <c r="F754" s="40">
        <f t="shared" si="120"/>
        <v>0</v>
      </c>
      <c r="G754" s="156">
        <v>1</v>
      </c>
      <c r="H754" s="120">
        <f>Tp_CHG!Q148</f>
        <v>0</v>
      </c>
      <c r="I754" s="40" t="s">
        <v>58</v>
      </c>
      <c r="J754" s="40">
        <f t="shared" si="127"/>
        <v>0</v>
      </c>
      <c r="K754" s="40">
        <f t="shared" si="128"/>
        <v>0</v>
      </c>
      <c r="L754" s="40" t="s">
        <v>58</v>
      </c>
      <c r="M754" s="50" t="s">
        <v>266</v>
      </c>
      <c r="N754" s="190"/>
      <c r="O754" s="40">
        <f t="shared" ca="1" si="126"/>
        <v>0.7482593070563387</v>
      </c>
      <c r="P754" s="51">
        <f t="shared" si="123"/>
        <v>0</v>
      </c>
      <c r="Q754" s="51">
        <f t="shared" si="124"/>
        <v>0</v>
      </c>
      <c r="R754" s="51">
        <f t="shared" si="129"/>
        <v>0</v>
      </c>
      <c r="S754"/>
      <c r="T754" s="83"/>
    </row>
    <row r="755" spans="1:20" ht="16" x14ac:dyDescent="0.2">
      <c r="A755"/>
      <c r="B755" s="103"/>
      <c r="C755" s="243"/>
      <c r="D755" s="119">
        <v>742</v>
      </c>
      <c r="E755" s="25" t="str">
        <f>Tp_CHG!N149</f>
        <v>Transition Probability from state 3 to state 5 on day 11 (CHG)</v>
      </c>
      <c r="F755" s="40">
        <f t="shared" si="120"/>
        <v>0</v>
      </c>
      <c r="G755" s="156">
        <v>1</v>
      </c>
      <c r="H755" s="120">
        <f>Tp_CHG!Q149</f>
        <v>0</v>
      </c>
      <c r="I755" s="40" t="s">
        <v>58</v>
      </c>
      <c r="J755" s="40">
        <f t="shared" si="127"/>
        <v>0</v>
      </c>
      <c r="K755" s="40">
        <f t="shared" si="128"/>
        <v>0</v>
      </c>
      <c r="L755" s="40" t="s">
        <v>58</v>
      </c>
      <c r="M755" s="50" t="s">
        <v>266</v>
      </c>
      <c r="N755" s="190"/>
      <c r="O755" s="40">
        <f t="shared" ca="1" si="126"/>
        <v>0.93435126800044421</v>
      </c>
      <c r="P755" s="51">
        <f t="shared" si="123"/>
        <v>0</v>
      </c>
      <c r="Q755" s="51">
        <f t="shared" si="124"/>
        <v>0</v>
      </c>
      <c r="R755" s="51">
        <f t="shared" si="129"/>
        <v>0</v>
      </c>
      <c r="S755"/>
      <c r="T755" s="83"/>
    </row>
    <row r="756" spans="1:20" ht="16" x14ac:dyDescent="0.2">
      <c r="A756"/>
      <c r="B756" s="103"/>
      <c r="C756" s="243"/>
      <c r="D756" s="119">
        <v>743</v>
      </c>
      <c r="E756" s="25" t="str">
        <f>Tp_CHG!N150</f>
        <v>Transition Probability from state 3 to state 5 on day 12 (CHG)</v>
      </c>
      <c r="F756" s="40">
        <f t="shared" si="120"/>
        <v>0</v>
      </c>
      <c r="G756" s="156">
        <v>1</v>
      </c>
      <c r="H756" s="120">
        <f>Tp_CHG!Q150</f>
        <v>0</v>
      </c>
      <c r="I756" s="40" t="s">
        <v>58</v>
      </c>
      <c r="J756" s="40">
        <f t="shared" si="127"/>
        <v>0</v>
      </c>
      <c r="K756" s="40">
        <f t="shared" si="128"/>
        <v>0</v>
      </c>
      <c r="L756" s="40" t="s">
        <v>58</v>
      </c>
      <c r="M756" s="50" t="s">
        <v>266</v>
      </c>
      <c r="N756" s="190"/>
      <c r="O756" s="40">
        <f t="shared" ca="1" si="126"/>
        <v>0.43334387744600766</v>
      </c>
      <c r="P756" s="51">
        <f t="shared" si="123"/>
        <v>0</v>
      </c>
      <c r="Q756" s="51">
        <f t="shared" si="124"/>
        <v>0</v>
      </c>
      <c r="R756" s="51">
        <f t="shared" si="129"/>
        <v>0</v>
      </c>
      <c r="S756"/>
      <c r="T756" s="83"/>
    </row>
    <row r="757" spans="1:20" ht="16" x14ac:dyDescent="0.2">
      <c r="A757"/>
      <c r="B757" s="103"/>
      <c r="C757" s="243"/>
      <c r="D757" s="119">
        <v>744</v>
      </c>
      <c r="E757" s="25" t="str">
        <f>Tp_CHG!N151</f>
        <v>Transition Probability from state 3 to state 5 on day 13 (CHG)</v>
      </c>
      <c r="F757" s="40">
        <f t="shared" si="120"/>
        <v>0</v>
      </c>
      <c r="G757" s="156">
        <v>1</v>
      </c>
      <c r="H757" s="120">
        <f>Tp_CHG!Q151</f>
        <v>0</v>
      </c>
      <c r="I757" s="40" t="s">
        <v>58</v>
      </c>
      <c r="J757" s="40">
        <f t="shared" si="127"/>
        <v>0</v>
      </c>
      <c r="K757" s="40">
        <f t="shared" si="128"/>
        <v>0</v>
      </c>
      <c r="L757" s="40" t="s">
        <v>58</v>
      </c>
      <c r="M757" s="50" t="s">
        <v>266</v>
      </c>
      <c r="N757" s="190"/>
      <c r="O757" s="40">
        <f t="shared" ca="1" si="126"/>
        <v>2.9443595714435111E-2</v>
      </c>
      <c r="P757" s="51">
        <f t="shared" si="123"/>
        <v>0</v>
      </c>
      <c r="Q757" s="51">
        <f t="shared" si="124"/>
        <v>0</v>
      </c>
      <c r="R757" s="51">
        <f t="shared" si="129"/>
        <v>0</v>
      </c>
      <c r="S757"/>
      <c r="T757" s="83"/>
    </row>
    <row r="758" spans="1:20" ht="16" x14ac:dyDescent="0.2">
      <c r="A758"/>
      <c r="B758" s="103"/>
      <c r="C758" s="243"/>
      <c r="D758" s="119">
        <v>745</v>
      </c>
      <c r="E758" s="25" t="str">
        <f>Tp_CHG!N152</f>
        <v>Transition Probability from state 3 to state 5 on day 14 (CHG)</v>
      </c>
      <c r="F758" s="40">
        <f t="shared" si="120"/>
        <v>0</v>
      </c>
      <c r="G758" s="156">
        <v>1</v>
      </c>
      <c r="H758" s="120">
        <f>Tp_CHG!Q152</f>
        <v>0</v>
      </c>
      <c r="I758" s="40" t="s">
        <v>58</v>
      </c>
      <c r="J758" s="40">
        <f t="shared" si="127"/>
        <v>0</v>
      </c>
      <c r="K758" s="40">
        <f t="shared" si="128"/>
        <v>0</v>
      </c>
      <c r="L758" s="40" t="s">
        <v>58</v>
      </c>
      <c r="M758" s="50" t="s">
        <v>266</v>
      </c>
      <c r="N758" s="190"/>
      <c r="O758" s="40">
        <f t="shared" ca="1" si="126"/>
        <v>0.40741448625289078</v>
      </c>
      <c r="P758" s="51">
        <f t="shared" si="123"/>
        <v>0</v>
      </c>
      <c r="Q758" s="51">
        <f t="shared" si="124"/>
        <v>0</v>
      </c>
      <c r="R758" s="51">
        <f t="shared" si="129"/>
        <v>0</v>
      </c>
      <c r="S758"/>
      <c r="T758" s="83"/>
    </row>
    <row r="759" spans="1:20" ht="16" x14ac:dyDescent="0.2">
      <c r="A759"/>
      <c r="B759" s="103"/>
      <c r="C759" s="243"/>
      <c r="D759" s="119">
        <v>746</v>
      </c>
      <c r="E759" s="25" t="str">
        <f>Tp_CHG!N153</f>
        <v>Transition Probability from state 3 to state 5 on day 15 (CHG)</v>
      </c>
      <c r="F759" s="40">
        <f t="shared" si="120"/>
        <v>0</v>
      </c>
      <c r="G759" s="156">
        <v>1</v>
      </c>
      <c r="H759" s="120">
        <f>Tp_CHG!Q153</f>
        <v>0</v>
      </c>
      <c r="I759" s="40" t="s">
        <v>58</v>
      </c>
      <c r="J759" s="40">
        <f t="shared" si="127"/>
        <v>0</v>
      </c>
      <c r="K759" s="40">
        <f t="shared" si="128"/>
        <v>0</v>
      </c>
      <c r="L759" s="40" t="s">
        <v>58</v>
      </c>
      <c r="M759" s="50" t="s">
        <v>266</v>
      </c>
      <c r="N759" s="190"/>
      <c r="O759" s="40">
        <f t="shared" ca="1" si="126"/>
        <v>0.65644291558302437</v>
      </c>
      <c r="P759" s="51">
        <f t="shared" si="123"/>
        <v>0</v>
      </c>
      <c r="Q759" s="51">
        <f t="shared" si="124"/>
        <v>0</v>
      </c>
      <c r="R759" s="51">
        <f t="shared" si="129"/>
        <v>0</v>
      </c>
      <c r="S759"/>
      <c r="T759" s="83"/>
    </row>
    <row r="760" spans="1:20" ht="16" x14ac:dyDescent="0.2">
      <c r="A760"/>
      <c r="B760" s="103"/>
      <c r="C760" s="243"/>
      <c r="D760" s="119">
        <v>747</v>
      </c>
      <c r="E760" s="25" t="str">
        <f>Tp_CHG!N154</f>
        <v>Transition Probability from state 3 to state 5 on day 16 (CHG)</v>
      </c>
      <c r="F760" s="40">
        <f t="shared" si="120"/>
        <v>0</v>
      </c>
      <c r="G760" s="156">
        <v>1</v>
      </c>
      <c r="H760" s="120">
        <f>Tp_CHG!Q154</f>
        <v>0</v>
      </c>
      <c r="I760" s="40" t="s">
        <v>58</v>
      </c>
      <c r="J760" s="40">
        <f t="shared" si="127"/>
        <v>0</v>
      </c>
      <c r="K760" s="40">
        <f t="shared" si="128"/>
        <v>0</v>
      </c>
      <c r="L760" s="40" t="s">
        <v>58</v>
      </c>
      <c r="M760" s="50" t="s">
        <v>266</v>
      </c>
      <c r="N760" s="190"/>
      <c r="O760" s="40">
        <f t="shared" ca="1" si="126"/>
        <v>0.42898974038590321</v>
      </c>
      <c r="P760" s="51">
        <f t="shared" si="123"/>
        <v>0</v>
      </c>
      <c r="Q760" s="51">
        <f t="shared" si="124"/>
        <v>0</v>
      </c>
      <c r="R760" s="51">
        <f t="shared" si="129"/>
        <v>0</v>
      </c>
      <c r="S760"/>
      <c r="T760" s="83"/>
    </row>
    <row r="761" spans="1:20" ht="16" x14ac:dyDescent="0.2">
      <c r="A761"/>
      <c r="B761" s="103"/>
      <c r="C761" s="243"/>
      <c r="D761" s="119">
        <v>748</v>
      </c>
      <c r="E761" s="25" t="str">
        <f>Tp_CHG!N155</f>
        <v>Transition Probability from state 3 to state 5 on day 17 (CHG)</v>
      </c>
      <c r="F761" s="40">
        <f t="shared" si="120"/>
        <v>0</v>
      </c>
      <c r="G761" s="156">
        <v>1</v>
      </c>
      <c r="H761" s="120">
        <f>Tp_CHG!Q155</f>
        <v>0</v>
      </c>
      <c r="I761" s="40" t="s">
        <v>58</v>
      </c>
      <c r="J761" s="40">
        <f t="shared" si="127"/>
        <v>0</v>
      </c>
      <c r="K761" s="40">
        <f t="shared" si="128"/>
        <v>0</v>
      </c>
      <c r="L761" s="40" t="s">
        <v>58</v>
      </c>
      <c r="M761" s="50" t="s">
        <v>266</v>
      </c>
      <c r="N761" s="190"/>
      <c r="O761" s="40">
        <f t="shared" ca="1" si="126"/>
        <v>0.81585490200351274</v>
      </c>
      <c r="P761" s="51">
        <f t="shared" si="123"/>
        <v>0</v>
      </c>
      <c r="Q761" s="51">
        <f t="shared" si="124"/>
        <v>0</v>
      </c>
      <c r="R761" s="51">
        <f t="shared" si="129"/>
        <v>0</v>
      </c>
      <c r="S761"/>
      <c r="T761" s="83"/>
    </row>
    <row r="762" spans="1:20" ht="16" x14ac:dyDescent="0.2">
      <c r="A762"/>
      <c r="B762" s="103"/>
      <c r="C762" s="243"/>
      <c r="D762" s="119">
        <v>749</v>
      </c>
      <c r="E762" s="25" t="str">
        <f>Tp_CHG!N156</f>
        <v>Transition Probability from state 3 to state 5 on day 18 (CHG)</v>
      </c>
      <c r="F762" s="40">
        <f t="shared" si="120"/>
        <v>0</v>
      </c>
      <c r="G762" s="156">
        <v>1</v>
      </c>
      <c r="H762" s="120">
        <f>Tp_CHG!Q156</f>
        <v>0</v>
      </c>
      <c r="I762" s="40" t="s">
        <v>58</v>
      </c>
      <c r="J762" s="40">
        <f t="shared" si="127"/>
        <v>0</v>
      </c>
      <c r="K762" s="40">
        <f t="shared" si="128"/>
        <v>0</v>
      </c>
      <c r="L762" s="40" t="s">
        <v>58</v>
      </c>
      <c r="M762" s="50" t="s">
        <v>266</v>
      </c>
      <c r="N762" s="190"/>
      <c r="O762" s="40">
        <f t="shared" ca="1" si="126"/>
        <v>0.62070111375629222</v>
      </c>
      <c r="P762" s="51">
        <f t="shared" si="123"/>
        <v>0</v>
      </c>
      <c r="Q762" s="51">
        <f t="shared" si="124"/>
        <v>0</v>
      </c>
      <c r="R762" s="51">
        <f t="shared" si="129"/>
        <v>0</v>
      </c>
      <c r="S762"/>
      <c r="T762" s="83"/>
    </row>
    <row r="763" spans="1:20" ht="16" x14ac:dyDescent="0.2">
      <c r="A763"/>
      <c r="B763" s="103"/>
      <c r="C763" s="243"/>
      <c r="D763" s="119">
        <v>750</v>
      </c>
      <c r="E763" s="25" t="str">
        <f>Tp_CHG!N157</f>
        <v>Transition Probability from state 3 to state 5 on day 19 (CHG)</v>
      </c>
      <c r="F763" s="40">
        <f t="shared" si="120"/>
        <v>0</v>
      </c>
      <c r="G763" s="156">
        <v>1</v>
      </c>
      <c r="H763" s="120">
        <f>Tp_CHG!Q157</f>
        <v>0</v>
      </c>
      <c r="I763" s="40" t="s">
        <v>58</v>
      </c>
      <c r="J763" s="40">
        <f t="shared" si="127"/>
        <v>0</v>
      </c>
      <c r="K763" s="40">
        <f t="shared" si="128"/>
        <v>0</v>
      </c>
      <c r="L763" s="40" t="s">
        <v>58</v>
      </c>
      <c r="M763" s="50" t="s">
        <v>266</v>
      </c>
      <c r="N763" s="190"/>
      <c r="O763" s="40">
        <f t="shared" ca="1" si="126"/>
        <v>0.6113633640967997</v>
      </c>
      <c r="P763" s="51">
        <f t="shared" si="123"/>
        <v>0</v>
      </c>
      <c r="Q763" s="51">
        <f t="shared" si="124"/>
        <v>0</v>
      </c>
      <c r="R763" s="51">
        <f t="shared" si="129"/>
        <v>0</v>
      </c>
      <c r="S763"/>
      <c r="T763" s="83"/>
    </row>
    <row r="764" spans="1:20" ht="16" x14ac:dyDescent="0.2">
      <c r="A764"/>
      <c r="B764" s="103"/>
      <c r="C764" s="243"/>
      <c r="D764" s="119">
        <v>751</v>
      </c>
      <c r="E764" s="25" t="str">
        <f>Tp_CHG!N158</f>
        <v>Transition Probability from state 3 to state 5 on day 20 (CHG)</v>
      </c>
      <c r="F764" s="40">
        <f t="shared" si="120"/>
        <v>0</v>
      </c>
      <c r="G764" s="156">
        <v>1</v>
      </c>
      <c r="H764" s="120">
        <f>Tp_CHG!Q158</f>
        <v>0</v>
      </c>
      <c r="I764" s="40" t="s">
        <v>58</v>
      </c>
      <c r="J764" s="40">
        <f t="shared" si="127"/>
        <v>0</v>
      </c>
      <c r="K764" s="40">
        <f t="shared" si="128"/>
        <v>0</v>
      </c>
      <c r="L764" s="40" t="s">
        <v>58</v>
      </c>
      <c r="M764" s="50" t="s">
        <v>266</v>
      </c>
      <c r="N764" s="190"/>
      <c r="O764" s="40">
        <f t="shared" ca="1" si="126"/>
        <v>0.32412316069774105</v>
      </c>
      <c r="P764" s="51">
        <f t="shared" si="123"/>
        <v>0</v>
      </c>
      <c r="Q764" s="51">
        <f t="shared" si="124"/>
        <v>0</v>
      </c>
      <c r="R764" s="51">
        <f t="shared" si="129"/>
        <v>0</v>
      </c>
      <c r="S764"/>
      <c r="T764" s="83"/>
    </row>
    <row r="765" spans="1:20" ht="16" x14ac:dyDescent="0.2">
      <c r="A765"/>
      <c r="B765" s="103"/>
      <c r="C765" s="243"/>
      <c r="D765" s="119">
        <v>752</v>
      </c>
      <c r="E765" s="25" t="str">
        <f>Tp_CHG!N159</f>
        <v>Transition Probability from state 3 to state 5 on day 21 (CHG)</v>
      </c>
      <c r="F765" s="40">
        <f t="shared" si="120"/>
        <v>0</v>
      </c>
      <c r="G765" s="156">
        <v>1</v>
      </c>
      <c r="H765" s="120">
        <f>Tp_CHG!Q159</f>
        <v>0</v>
      </c>
      <c r="I765" s="40" t="s">
        <v>58</v>
      </c>
      <c r="J765" s="40">
        <f t="shared" si="127"/>
        <v>0</v>
      </c>
      <c r="K765" s="40">
        <f t="shared" si="128"/>
        <v>0</v>
      </c>
      <c r="L765" s="40" t="s">
        <v>58</v>
      </c>
      <c r="M765" s="50" t="s">
        <v>266</v>
      </c>
      <c r="N765" s="190"/>
      <c r="O765" s="40">
        <f t="shared" ca="1" si="126"/>
        <v>0.18052236991710524</v>
      </c>
      <c r="P765" s="51">
        <f t="shared" si="123"/>
        <v>0</v>
      </c>
      <c r="Q765" s="51">
        <f t="shared" si="124"/>
        <v>0</v>
      </c>
      <c r="R765" s="51">
        <f t="shared" si="129"/>
        <v>0</v>
      </c>
      <c r="S765"/>
      <c r="T765" s="83"/>
    </row>
    <row r="766" spans="1:20" ht="16" x14ac:dyDescent="0.2">
      <c r="A766"/>
      <c r="B766" s="103"/>
      <c r="C766" s="243"/>
      <c r="D766" s="119">
        <v>753</v>
      </c>
      <c r="E766" s="25" t="str">
        <f>Tp_CHG!N160</f>
        <v>Transition Probability from state 3 to state 5 on day 22 (CHG)</v>
      </c>
      <c r="F766" s="40">
        <f t="shared" si="120"/>
        <v>0</v>
      </c>
      <c r="G766" s="156">
        <v>1</v>
      </c>
      <c r="H766" s="120">
        <f>Tp_CHG!Q160</f>
        <v>0</v>
      </c>
      <c r="I766" s="40" t="s">
        <v>58</v>
      </c>
      <c r="J766" s="40">
        <f t="shared" si="127"/>
        <v>0</v>
      </c>
      <c r="K766" s="40">
        <f t="shared" si="128"/>
        <v>0</v>
      </c>
      <c r="L766" s="40" t="s">
        <v>58</v>
      </c>
      <c r="M766" s="50" t="s">
        <v>266</v>
      </c>
      <c r="N766" s="190"/>
      <c r="O766" s="40">
        <f t="shared" ca="1" si="126"/>
        <v>0.89183641628457122</v>
      </c>
      <c r="P766" s="51">
        <f t="shared" si="123"/>
        <v>0</v>
      </c>
      <c r="Q766" s="51">
        <f t="shared" si="124"/>
        <v>0</v>
      </c>
      <c r="R766" s="51">
        <f t="shared" si="129"/>
        <v>0</v>
      </c>
      <c r="S766"/>
      <c r="T766" s="83"/>
    </row>
    <row r="767" spans="1:20" ht="16" x14ac:dyDescent="0.2">
      <c r="A767"/>
      <c r="B767" s="103"/>
      <c r="C767" s="243"/>
      <c r="D767" s="119">
        <v>754</v>
      </c>
      <c r="E767" s="25" t="str">
        <f>Tp_CHG!N161</f>
        <v>Transition Probability from state 3 to state 5 on day 23 (CHG)</v>
      </c>
      <c r="F767" s="40">
        <f t="shared" si="120"/>
        <v>0</v>
      </c>
      <c r="G767" s="156">
        <v>1</v>
      </c>
      <c r="H767" s="120">
        <f>Tp_CHG!Q161</f>
        <v>0</v>
      </c>
      <c r="I767" s="40" t="s">
        <v>58</v>
      </c>
      <c r="J767" s="40">
        <f t="shared" si="127"/>
        <v>0</v>
      </c>
      <c r="K767" s="40">
        <f t="shared" si="128"/>
        <v>0</v>
      </c>
      <c r="L767" s="40" t="s">
        <v>58</v>
      </c>
      <c r="M767" s="50" t="s">
        <v>266</v>
      </c>
      <c r="N767" s="190"/>
      <c r="O767" s="40">
        <f t="shared" ca="1" si="126"/>
        <v>0.22665382923635158</v>
      </c>
      <c r="P767" s="51">
        <f t="shared" si="123"/>
        <v>0</v>
      </c>
      <c r="Q767" s="51">
        <f t="shared" si="124"/>
        <v>0</v>
      </c>
      <c r="R767" s="51">
        <f t="shared" si="129"/>
        <v>0</v>
      </c>
      <c r="S767"/>
      <c r="T767" s="83"/>
    </row>
    <row r="768" spans="1:20" ht="16" x14ac:dyDescent="0.2">
      <c r="A768"/>
      <c r="B768" s="103"/>
      <c r="C768" s="243"/>
      <c r="D768" s="119">
        <v>755</v>
      </c>
      <c r="E768" s="25" t="str">
        <f>Tp_CHG!N162</f>
        <v>Transition Probability from state 3 to state 5 on day 24 (CHG)</v>
      </c>
      <c r="F768" s="40">
        <f t="shared" si="120"/>
        <v>0</v>
      </c>
      <c r="G768" s="156">
        <v>1</v>
      </c>
      <c r="H768" s="120">
        <f>Tp_CHG!Q162</f>
        <v>0</v>
      </c>
      <c r="I768" s="40" t="s">
        <v>58</v>
      </c>
      <c r="J768" s="40">
        <f t="shared" si="127"/>
        <v>0</v>
      </c>
      <c r="K768" s="40">
        <f t="shared" si="128"/>
        <v>0</v>
      </c>
      <c r="L768" s="40" t="s">
        <v>58</v>
      </c>
      <c r="M768" s="50" t="s">
        <v>266</v>
      </c>
      <c r="N768" s="190"/>
      <c r="O768" s="40">
        <f t="shared" ca="1" si="126"/>
        <v>0.83931768310079313</v>
      </c>
      <c r="P768" s="51">
        <f t="shared" si="123"/>
        <v>0</v>
      </c>
      <c r="Q768" s="51">
        <f t="shared" si="124"/>
        <v>0</v>
      </c>
      <c r="R768" s="51">
        <f t="shared" si="129"/>
        <v>0</v>
      </c>
      <c r="S768"/>
      <c r="T768" s="83"/>
    </row>
    <row r="769" spans="1:20" ht="16" x14ac:dyDescent="0.2">
      <c r="A769"/>
      <c r="B769" s="103"/>
      <c r="C769" s="243"/>
      <c r="D769" s="119">
        <v>756</v>
      </c>
      <c r="E769" s="25" t="str">
        <f>Tp_CHG!S139</f>
        <v>Transition Probability from state 4 to state 5 on day 1 (CHG)</v>
      </c>
      <c r="F769" s="40">
        <f t="shared" si="120"/>
        <v>0</v>
      </c>
      <c r="G769" s="156">
        <v>1</v>
      </c>
      <c r="H769" s="120">
        <f>Tp_CHG!V139</f>
        <v>0</v>
      </c>
      <c r="I769" s="40" t="s">
        <v>58</v>
      </c>
      <c r="J769" s="40">
        <f t="shared" si="127"/>
        <v>0</v>
      </c>
      <c r="K769" s="40">
        <f t="shared" si="128"/>
        <v>0</v>
      </c>
      <c r="L769" s="40" t="s">
        <v>58</v>
      </c>
      <c r="M769" s="50" t="s">
        <v>266</v>
      </c>
      <c r="N769" s="190"/>
      <c r="O769" s="40">
        <f t="shared" ca="1" si="126"/>
        <v>0.61042256603786182</v>
      </c>
      <c r="P769" s="51">
        <f t="shared" si="123"/>
        <v>0</v>
      </c>
      <c r="Q769" s="51">
        <f t="shared" si="124"/>
        <v>0</v>
      </c>
      <c r="R769" s="51">
        <f t="shared" si="129"/>
        <v>0</v>
      </c>
      <c r="S769"/>
      <c r="T769" s="83"/>
    </row>
    <row r="770" spans="1:20" ht="16" x14ac:dyDescent="0.2">
      <c r="A770"/>
      <c r="B770" s="103"/>
      <c r="C770" s="243"/>
      <c r="D770" s="119">
        <v>757</v>
      </c>
      <c r="E770" s="25" t="str">
        <f>Tp_CHG!S140</f>
        <v>Transition Probability from state 4 to state 5 on day 2 (CHG)</v>
      </c>
      <c r="F770" s="40">
        <f t="shared" si="120"/>
        <v>0</v>
      </c>
      <c r="G770" s="156">
        <v>1</v>
      </c>
      <c r="H770" s="120">
        <f>Tp_CHG!V140</f>
        <v>0</v>
      </c>
      <c r="I770" s="40" t="s">
        <v>58</v>
      </c>
      <c r="J770" s="40">
        <f t="shared" si="127"/>
        <v>0</v>
      </c>
      <c r="K770" s="40">
        <f t="shared" si="128"/>
        <v>0</v>
      </c>
      <c r="L770" s="40" t="s">
        <v>58</v>
      </c>
      <c r="M770" s="50" t="s">
        <v>266</v>
      </c>
      <c r="N770" s="190"/>
      <c r="O770" s="40">
        <f t="shared" ca="1" si="126"/>
        <v>0.48215171991666284</v>
      </c>
      <c r="P770" s="51">
        <f t="shared" si="123"/>
        <v>0</v>
      </c>
      <c r="Q770" s="51">
        <f t="shared" si="124"/>
        <v>0</v>
      </c>
      <c r="R770" s="51">
        <f t="shared" si="129"/>
        <v>0</v>
      </c>
      <c r="S770"/>
      <c r="T770" s="83"/>
    </row>
    <row r="771" spans="1:20" ht="16" x14ac:dyDescent="0.2">
      <c r="A771"/>
      <c r="B771" s="103"/>
      <c r="C771" s="243"/>
      <c r="D771" s="119">
        <v>758</v>
      </c>
      <c r="E771" s="25" t="str">
        <f>Tp_CHG!S141</f>
        <v>Transition Probability from state 4 to state 5 on day 3 (CHG)</v>
      </c>
      <c r="F771" s="40">
        <f t="shared" si="120"/>
        <v>0</v>
      </c>
      <c r="G771" s="156">
        <v>1</v>
      </c>
      <c r="H771" s="120">
        <f>Tp_CHG!V141</f>
        <v>0</v>
      </c>
      <c r="I771" s="40" t="s">
        <v>58</v>
      </c>
      <c r="J771" s="40">
        <f t="shared" si="127"/>
        <v>0</v>
      </c>
      <c r="K771" s="40">
        <f t="shared" si="128"/>
        <v>0</v>
      </c>
      <c r="L771" s="40" t="s">
        <v>58</v>
      </c>
      <c r="M771" s="50" t="s">
        <v>266</v>
      </c>
      <c r="N771" s="190"/>
      <c r="O771" s="40">
        <f t="shared" ca="1" si="126"/>
        <v>0.13789868293038088</v>
      </c>
      <c r="P771" s="51">
        <f t="shared" si="123"/>
        <v>0</v>
      </c>
      <c r="Q771" s="51">
        <f t="shared" si="124"/>
        <v>0</v>
      </c>
      <c r="R771" s="51">
        <f t="shared" si="129"/>
        <v>0</v>
      </c>
      <c r="S771"/>
      <c r="T771" s="83"/>
    </row>
    <row r="772" spans="1:20" ht="16" x14ac:dyDescent="0.2">
      <c r="A772"/>
      <c r="B772" s="103"/>
      <c r="C772" s="243"/>
      <c r="D772" s="119">
        <v>759</v>
      </c>
      <c r="E772" s="25" t="str">
        <f>Tp_CHG!S142</f>
        <v>Transition Probability from state 4 to state 5 on day 4 (CHG)</v>
      </c>
      <c r="F772" s="40">
        <f t="shared" si="120"/>
        <v>0</v>
      </c>
      <c r="G772" s="156">
        <v>1</v>
      </c>
      <c r="H772" s="120">
        <f>Tp_CHG!V142</f>
        <v>0</v>
      </c>
      <c r="I772" s="40" t="s">
        <v>58</v>
      </c>
      <c r="J772" s="40">
        <f t="shared" si="127"/>
        <v>0</v>
      </c>
      <c r="K772" s="40">
        <f t="shared" si="128"/>
        <v>0</v>
      </c>
      <c r="L772" s="40" t="s">
        <v>58</v>
      </c>
      <c r="M772" s="50" t="s">
        <v>266</v>
      </c>
      <c r="N772" s="190"/>
      <c r="O772" s="40">
        <f t="shared" ca="1" si="126"/>
        <v>4.7719240898884352E-2</v>
      </c>
      <c r="P772" s="51">
        <f t="shared" si="123"/>
        <v>0</v>
      </c>
      <c r="Q772" s="51">
        <f t="shared" si="124"/>
        <v>0</v>
      </c>
      <c r="R772" s="51">
        <f t="shared" si="129"/>
        <v>0</v>
      </c>
      <c r="S772"/>
      <c r="T772" s="83"/>
    </row>
    <row r="773" spans="1:20" ht="16" x14ac:dyDescent="0.2">
      <c r="A773"/>
      <c r="B773" s="103"/>
      <c r="C773" s="243"/>
      <c r="D773" s="119">
        <v>760</v>
      </c>
      <c r="E773" s="25" t="str">
        <f>Tp_CHG!S143</f>
        <v>Transition Probability from state 4 to state 5 on day 5 (CHG)</v>
      </c>
      <c r="F773" s="40">
        <f t="shared" si="120"/>
        <v>0</v>
      </c>
      <c r="G773" s="156">
        <v>1</v>
      </c>
      <c r="H773" s="120">
        <f>Tp_CHG!V143</f>
        <v>0</v>
      </c>
      <c r="I773" s="40" t="s">
        <v>58</v>
      </c>
      <c r="J773" s="40">
        <f t="shared" si="127"/>
        <v>0</v>
      </c>
      <c r="K773" s="40">
        <f t="shared" si="128"/>
        <v>0</v>
      </c>
      <c r="L773" s="40" t="s">
        <v>58</v>
      </c>
      <c r="M773" s="50" t="s">
        <v>266</v>
      </c>
      <c r="N773" s="190"/>
      <c r="O773" s="40">
        <f t="shared" ca="1" si="126"/>
        <v>0.1517451136192659</v>
      </c>
      <c r="P773" s="51">
        <f t="shared" si="123"/>
        <v>0</v>
      </c>
      <c r="Q773" s="51">
        <f t="shared" si="124"/>
        <v>0</v>
      </c>
      <c r="R773" s="51">
        <f t="shared" si="129"/>
        <v>0</v>
      </c>
      <c r="S773"/>
      <c r="T773" s="83"/>
    </row>
    <row r="774" spans="1:20" ht="16" x14ac:dyDescent="0.2">
      <c r="A774"/>
      <c r="B774" s="103"/>
      <c r="C774" s="243"/>
      <c r="D774" s="119">
        <v>761</v>
      </c>
      <c r="E774" s="25" t="str">
        <f>Tp_CHG!S144</f>
        <v>Transition Probability from state 4 to state 5 on day 6 (CHG)</v>
      </c>
      <c r="F774" s="40">
        <f t="shared" si="120"/>
        <v>0</v>
      </c>
      <c r="G774" s="156">
        <v>1</v>
      </c>
      <c r="H774" s="120">
        <f>Tp_CHG!V144</f>
        <v>0</v>
      </c>
      <c r="I774" s="40" t="s">
        <v>58</v>
      </c>
      <c r="J774" s="40">
        <f t="shared" si="127"/>
        <v>0</v>
      </c>
      <c r="K774" s="40">
        <f t="shared" si="128"/>
        <v>0</v>
      </c>
      <c r="L774" s="40" t="s">
        <v>58</v>
      </c>
      <c r="M774" s="50" t="s">
        <v>266</v>
      </c>
      <c r="N774" s="190"/>
      <c r="O774" s="40">
        <f t="shared" ca="1" si="126"/>
        <v>0.97916406946376788</v>
      </c>
      <c r="P774" s="51">
        <f t="shared" si="123"/>
        <v>0</v>
      </c>
      <c r="Q774" s="51">
        <f t="shared" si="124"/>
        <v>0</v>
      </c>
      <c r="R774" s="51">
        <f t="shared" si="129"/>
        <v>0</v>
      </c>
      <c r="S774"/>
      <c r="T774" s="83"/>
    </row>
    <row r="775" spans="1:20" ht="16" x14ac:dyDescent="0.2">
      <c r="A775"/>
      <c r="B775" s="103"/>
      <c r="C775" s="243"/>
      <c r="D775" s="119">
        <v>762</v>
      </c>
      <c r="E775" s="25" t="str">
        <f>Tp_CHG!S145</f>
        <v>Transition Probability from state 4 to state 5 on day 7 (CHG)</v>
      </c>
      <c r="F775" s="40">
        <f t="shared" si="120"/>
        <v>0</v>
      </c>
      <c r="G775" s="156">
        <v>1</v>
      </c>
      <c r="H775" s="120">
        <f>Tp_CHG!V145</f>
        <v>0</v>
      </c>
      <c r="I775" s="40" t="s">
        <v>58</v>
      </c>
      <c r="J775" s="40">
        <f t="shared" si="127"/>
        <v>0</v>
      </c>
      <c r="K775" s="40">
        <f t="shared" si="128"/>
        <v>0</v>
      </c>
      <c r="L775" s="40" t="s">
        <v>58</v>
      </c>
      <c r="M775" s="50" t="s">
        <v>266</v>
      </c>
      <c r="N775" s="190"/>
      <c r="O775" s="40">
        <f t="shared" ca="1" si="126"/>
        <v>3.385873963125563E-2</v>
      </c>
      <c r="P775" s="51">
        <f t="shared" si="123"/>
        <v>0</v>
      </c>
      <c r="Q775" s="51">
        <f t="shared" si="124"/>
        <v>0</v>
      </c>
      <c r="R775" s="51">
        <f t="shared" si="129"/>
        <v>0</v>
      </c>
      <c r="S775"/>
      <c r="T775" s="83"/>
    </row>
    <row r="776" spans="1:20" ht="16" x14ac:dyDescent="0.2">
      <c r="A776"/>
      <c r="B776" s="103"/>
      <c r="C776" s="243"/>
      <c r="D776" s="119">
        <v>763</v>
      </c>
      <c r="E776" s="25" t="str">
        <f>Tp_CHG!S146</f>
        <v>Transition Probability from state 4 to state 5 on day 8 (CHG)</v>
      </c>
      <c r="F776" s="40">
        <f t="shared" si="120"/>
        <v>0</v>
      </c>
      <c r="G776" s="156">
        <v>1</v>
      </c>
      <c r="H776" s="120">
        <f>Tp_CHG!V146</f>
        <v>0</v>
      </c>
      <c r="I776" s="40" t="s">
        <v>58</v>
      </c>
      <c r="J776" s="40">
        <f t="shared" si="127"/>
        <v>0</v>
      </c>
      <c r="K776" s="40">
        <f t="shared" si="128"/>
        <v>0</v>
      </c>
      <c r="L776" s="40" t="s">
        <v>58</v>
      </c>
      <c r="M776" s="50" t="s">
        <v>266</v>
      </c>
      <c r="N776" s="190"/>
      <c r="O776" s="40">
        <f t="shared" ca="1" si="126"/>
        <v>0.11036993345834123</v>
      </c>
      <c r="P776" s="51">
        <f t="shared" si="123"/>
        <v>0</v>
      </c>
      <c r="Q776" s="51">
        <f t="shared" si="124"/>
        <v>0</v>
      </c>
      <c r="R776" s="51">
        <f t="shared" si="129"/>
        <v>0</v>
      </c>
      <c r="S776"/>
      <c r="T776" s="83"/>
    </row>
    <row r="777" spans="1:20" ht="16" x14ac:dyDescent="0.2">
      <c r="A777"/>
      <c r="B777" s="103"/>
      <c r="C777" s="243"/>
      <c r="D777" s="119">
        <v>764</v>
      </c>
      <c r="E777" s="25" t="str">
        <f>Tp_CHG!S147</f>
        <v>Transition Probability from state 4 to state 5 on day 9 (CHG)</v>
      </c>
      <c r="F777" s="40">
        <f t="shared" si="120"/>
        <v>0</v>
      </c>
      <c r="G777" s="156">
        <v>1</v>
      </c>
      <c r="H777" s="120">
        <f>Tp_CHG!V147</f>
        <v>0</v>
      </c>
      <c r="I777" s="40" t="s">
        <v>58</v>
      </c>
      <c r="J777" s="40">
        <f t="shared" si="127"/>
        <v>0</v>
      </c>
      <c r="K777" s="40">
        <f t="shared" si="128"/>
        <v>0</v>
      </c>
      <c r="L777" s="40" t="s">
        <v>58</v>
      </c>
      <c r="M777" s="50" t="s">
        <v>266</v>
      </c>
      <c r="N777" s="190"/>
      <c r="O777" s="40">
        <f t="shared" ca="1" si="126"/>
        <v>0.35898300419806428</v>
      </c>
      <c r="P777" s="51">
        <f t="shared" si="123"/>
        <v>0</v>
      </c>
      <c r="Q777" s="51">
        <f t="shared" si="124"/>
        <v>0</v>
      </c>
      <c r="R777" s="51">
        <f t="shared" si="129"/>
        <v>0</v>
      </c>
      <c r="S777"/>
      <c r="T777" s="83"/>
    </row>
    <row r="778" spans="1:20" ht="16" x14ac:dyDescent="0.2">
      <c r="A778"/>
      <c r="B778" s="103"/>
      <c r="C778" s="243"/>
      <c r="D778" s="119">
        <v>765</v>
      </c>
      <c r="E778" s="25" t="str">
        <f>Tp_CHG!S148</f>
        <v>Transition Probability from state 4 to state 5 on day 10 (CHG)</v>
      </c>
      <c r="F778" s="40">
        <f t="shared" si="120"/>
        <v>0</v>
      </c>
      <c r="G778" s="156">
        <v>1</v>
      </c>
      <c r="H778" s="120">
        <f>Tp_CHG!V148</f>
        <v>0</v>
      </c>
      <c r="I778" s="40" t="s">
        <v>58</v>
      </c>
      <c r="J778" s="40">
        <f t="shared" si="127"/>
        <v>0</v>
      </c>
      <c r="K778" s="40">
        <f t="shared" si="128"/>
        <v>0</v>
      </c>
      <c r="L778" s="40" t="s">
        <v>58</v>
      </c>
      <c r="M778" s="50" t="s">
        <v>266</v>
      </c>
      <c r="N778" s="190"/>
      <c r="O778" s="40">
        <f t="shared" ca="1" si="126"/>
        <v>0.11428778631590686</v>
      </c>
      <c r="P778" s="51">
        <f t="shared" si="123"/>
        <v>0</v>
      </c>
      <c r="Q778" s="51">
        <f t="shared" si="124"/>
        <v>0</v>
      </c>
      <c r="R778" s="51">
        <f t="shared" si="129"/>
        <v>0</v>
      </c>
      <c r="S778"/>
      <c r="T778" s="83"/>
    </row>
    <row r="779" spans="1:20" ht="16" x14ac:dyDescent="0.2">
      <c r="A779"/>
      <c r="B779" s="103"/>
      <c r="C779" s="243"/>
      <c r="D779" s="119">
        <v>766</v>
      </c>
      <c r="E779" s="25" t="str">
        <f>Tp_CHG!S149</f>
        <v>Transition Probability from state 4 to state 5 on day 11 (CHG)</v>
      </c>
      <c r="F779" s="40">
        <f t="shared" si="120"/>
        <v>0</v>
      </c>
      <c r="G779" s="156">
        <v>1</v>
      </c>
      <c r="H779" s="120">
        <f>Tp_CHG!V149</f>
        <v>0</v>
      </c>
      <c r="I779" s="40" t="s">
        <v>58</v>
      </c>
      <c r="J779" s="40">
        <f t="shared" si="127"/>
        <v>0</v>
      </c>
      <c r="K779" s="40">
        <f t="shared" si="128"/>
        <v>0</v>
      </c>
      <c r="L779" s="40" t="s">
        <v>58</v>
      </c>
      <c r="M779" s="50" t="s">
        <v>266</v>
      </c>
      <c r="N779" s="190"/>
      <c r="O779" s="40">
        <f t="shared" ca="1" si="126"/>
        <v>0.64134976407221755</v>
      </c>
      <c r="P779" s="51">
        <f t="shared" si="123"/>
        <v>0</v>
      </c>
      <c r="Q779" s="51">
        <f t="shared" si="124"/>
        <v>0</v>
      </c>
      <c r="R779" s="51">
        <f t="shared" si="129"/>
        <v>0</v>
      </c>
      <c r="S779"/>
      <c r="T779" s="83"/>
    </row>
    <row r="780" spans="1:20" ht="16" x14ac:dyDescent="0.2">
      <c r="A780"/>
      <c r="B780" s="103"/>
      <c r="C780" s="243"/>
      <c r="D780" s="119">
        <v>767</v>
      </c>
      <c r="E780" s="25" t="str">
        <f>Tp_CHG!S150</f>
        <v>Transition Probability from state 4 to state 5 on day 12 (CHG)</v>
      </c>
      <c r="F780" s="40">
        <f t="shared" si="120"/>
        <v>0</v>
      </c>
      <c r="G780" s="156">
        <v>1</v>
      </c>
      <c r="H780" s="120">
        <f>Tp_CHG!V150</f>
        <v>0</v>
      </c>
      <c r="I780" s="40" t="s">
        <v>58</v>
      </c>
      <c r="J780" s="40">
        <f t="shared" si="127"/>
        <v>0</v>
      </c>
      <c r="K780" s="40">
        <f t="shared" si="128"/>
        <v>0</v>
      </c>
      <c r="L780" s="40" t="s">
        <v>58</v>
      </c>
      <c r="M780" s="50" t="s">
        <v>266</v>
      </c>
      <c r="N780" s="190"/>
      <c r="O780" s="40">
        <f t="shared" ca="1" si="126"/>
        <v>0.10792774079935497</v>
      </c>
      <c r="P780" s="51">
        <f t="shared" si="123"/>
        <v>0</v>
      </c>
      <c r="Q780" s="51">
        <f t="shared" si="124"/>
        <v>0</v>
      </c>
      <c r="R780" s="51">
        <f t="shared" si="129"/>
        <v>0</v>
      </c>
      <c r="S780"/>
      <c r="T780" s="83"/>
    </row>
    <row r="781" spans="1:20" ht="16" x14ac:dyDescent="0.2">
      <c r="A781"/>
      <c r="B781" s="103"/>
      <c r="C781" s="243"/>
      <c r="D781" s="119">
        <v>768</v>
      </c>
      <c r="E781" s="25" t="str">
        <f>Tp_CHG!S151</f>
        <v>Transition Probability from state 4 to state 5 on day 13 (CHG)</v>
      </c>
      <c r="F781" s="40">
        <f t="shared" si="120"/>
        <v>0</v>
      </c>
      <c r="G781" s="156">
        <v>1</v>
      </c>
      <c r="H781" s="120">
        <f>Tp_CHG!V151</f>
        <v>0</v>
      </c>
      <c r="I781" s="40" t="s">
        <v>58</v>
      </c>
      <c r="J781" s="40">
        <f t="shared" si="127"/>
        <v>0</v>
      </c>
      <c r="K781" s="40">
        <f t="shared" si="128"/>
        <v>0</v>
      </c>
      <c r="L781" s="40" t="s">
        <v>58</v>
      </c>
      <c r="M781" s="50" t="s">
        <v>266</v>
      </c>
      <c r="N781" s="190"/>
      <c r="O781" s="40">
        <f t="shared" ca="1" si="126"/>
        <v>0.72153444843076442</v>
      </c>
      <c r="P781" s="51">
        <f t="shared" si="123"/>
        <v>0</v>
      </c>
      <c r="Q781" s="51">
        <f t="shared" si="124"/>
        <v>0</v>
      </c>
      <c r="R781" s="51">
        <f t="shared" si="129"/>
        <v>0</v>
      </c>
      <c r="S781"/>
      <c r="T781" s="83"/>
    </row>
    <row r="782" spans="1:20" ht="16" x14ac:dyDescent="0.2">
      <c r="A782"/>
      <c r="B782" s="103"/>
      <c r="C782" s="243"/>
      <c r="D782" s="119">
        <v>769</v>
      </c>
      <c r="E782" s="25" t="str">
        <f>Tp_CHG!S152</f>
        <v>Transition Probability from state 4 to state 5 on day 14 (CHG)</v>
      </c>
      <c r="F782" s="40">
        <f t="shared" si="120"/>
        <v>0</v>
      </c>
      <c r="G782" s="156">
        <v>1</v>
      </c>
      <c r="H782" s="120">
        <f>Tp_CHG!V152</f>
        <v>0</v>
      </c>
      <c r="I782" s="40" t="s">
        <v>58</v>
      </c>
      <c r="J782" s="40">
        <f t="shared" si="127"/>
        <v>0</v>
      </c>
      <c r="K782" s="40">
        <f t="shared" si="128"/>
        <v>0</v>
      </c>
      <c r="L782" s="40" t="s">
        <v>58</v>
      </c>
      <c r="M782" s="50" t="s">
        <v>266</v>
      </c>
      <c r="N782" s="190"/>
      <c r="O782" s="40">
        <f t="shared" ca="1" si="126"/>
        <v>0.17452775966450884</v>
      </c>
      <c r="P782" s="51">
        <f t="shared" si="123"/>
        <v>0</v>
      </c>
      <c r="Q782" s="51">
        <f t="shared" si="124"/>
        <v>0</v>
      </c>
      <c r="R782" s="51">
        <f t="shared" si="129"/>
        <v>0</v>
      </c>
      <c r="S782"/>
      <c r="T782" s="83"/>
    </row>
    <row r="783" spans="1:20" ht="16" x14ac:dyDescent="0.2">
      <c r="A783"/>
      <c r="B783" s="103"/>
      <c r="C783" s="243"/>
      <c r="D783" s="119">
        <v>770</v>
      </c>
      <c r="E783" s="25" t="str">
        <f>Tp_CHG!S153</f>
        <v>Transition Probability from state 4 to state 5 on day 15 (CHG)</v>
      </c>
      <c r="F783" s="40">
        <f t="shared" ref="F783:F846" si="130">IFERROR(CHOOSE(G783,H783,J783,K783,N783),0)</f>
        <v>0</v>
      </c>
      <c r="G783" s="156">
        <v>1</v>
      </c>
      <c r="H783" s="120">
        <f>Tp_CHG!V153</f>
        <v>0</v>
      </c>
      <c r="I783" s="40" t="s">
        <v>58</v>
      </c>
      <c r="J783" s="40">
        <f t="shared" ref="J783:J809" si="131">IF(H783=0,0,_xlfn.NORM.INV(0.025,H783,R783))</f>
        <v>0</v>
      </c>
      <c r="K783" s="40">
        <f t="shared" ref="K783:K809" si="132">IF(H783=0,0,_xlfn.NORM.INV(0.975,H783,R783))</f>
        <v>0</v>
      </c>
      <c r="L783" s="40" t="s">
        <v>58</v>
      </c>
      <c r="M783" s="50" t="s">
        <v>266</v>
      </c>
      <c r="N783" s="190"/>
      <c r="O783" s="40">
        <f t="shared" ca="1" si="126"/>
        <v>0.99784395403626758</v>
      </c>
      <c r="P783" s="51">
        <f t="shared" si="123"/>
        <v>0</v>
      </c>
      <c r="Q783" s="51">
        <f t="shared" si="124"/>
        <v>0</v>
      </c>
      <c r="R783" s="51">
        <f t="shared" ref="R783:R809" si="133">assumedSE*H783</f>
        <v>0</v>
      </c>
      <c r="S783"/>
      <c r="T783" s="83"/>
    </row>
    <row r="784" spans="1:20" ht="16" x14ac:dyDescent="0.2">
      <c r="A784"/>
      <c r="B784" s="103"/>
      <c r="C784" s="243"/>
      <c r="D784" s="119">
        <v>771</v>
      </c>
      <c r="E784" s="25" t="str">
        <f>Tp_CHG!S154</f>
        <v>Transition Probability from state 4 to state 5 on day 16 (CHG)</v>
      </c>
      <c r="F784" s="40">
        <f t="shared" si="130"/>
        <v>0</v>
      </c>
      <c r="G784" s="156">
        <v>1</v>
      </c>
      <c r="H784" s="120">
        <f>Tp_CHG!V154</f>
        <v>0</v>
      </c>
      <c r="I784" s="40" t="s">
        <v>58</v>
      </c>
      <c r="J784" s="40">
        <f t="shared" si="131"/>
        <v>0</v>
      </c>
      <c r="K784" s="40">
        <f t="shared" si="132"/>
        <v>0</v>
      </c>
      <c r="L784" s="40" t="s">
        <v>58</v>
      </c>
      <c r="M784" s="50" t="s">
        <v>266</v>
      </c>
      <c r="N784" s="190"/>
      <c r="O784" s="40">
        <f t="shared" ca="1" si="126"/>
        <v>0.49512688601920996</v>
      </c>
      <c r="P784" s="51">
        <f t="shared" si="123"/>
        <v>0</v>
      </c>
      <c r="Q784" s="51">
        <f t="shared" si="124"/>
        <v>0</v>
      </c>
      <c r="R784" s="51">
        <f t="shared" si="133"/>
        <v>0</v>
      </c>
      <c r="S784"/>
      <c r="T784" s="83"/>
    </row>
    <row r="785" spans="1:20" ht="16" x14ac:dyDescent="0.2">
      <c r="A785"/>
      <c r="B785" s="103"/>
      <c r="C785" s="243"/>
      <c r="D785" s="119">
        <v>772</v>
      </c>
      <c r="E785" s="25" t="str">
        <f>Tp_CHG!S155</f>
        <v>Transition Probability from state 4 to state 5 on day 17 (CHG)</v>
      </c>
      <c r="F785" s="40">
        <f t="shared" si="130"/>
        <v>0</v>
      </c>
      <c r="G785" s="156">
        <v>1</v>
      </c>
      <c r="H785" s="120">
        <f>Tp_CHG!V155</f>
        <v>0</v>
      </c>
      <c r="I785" s="40" t="s">
        <v>58</v>
      </c>
      <c r="J785" s="40">
        <f t="shared" si="131"/>
        <v>0</v>
      </c>
      <c r="K785" s="40">
        <f t="shared" si="132"/>
        <v>0</v>
      </c>
      <c r="L785" s="40" t="s">
        <v>58</v>
      </c>
      <c r="M785" s="50" t="s">
        <v>266</v>
      </c>
      <c r="N785" s="190"/>
      <c r="O785" s="40">
        <f t="shared" ca="1" si="126"/>
        <v>0.95818065870274038</v>
      </c>
      <c r="P785" s="51">
        <f t="shared" ref="P785:P848" si="134">IFERROR(H785*((H785*(1-H785)/(R785^2))-1),0)</f>
        <v>0</v>
      </c>
      <c r="Q785" s="51">
        <f t="shared" ref="Q785:Q848" si="135">IFERROR((1-H785)*((H785*(1-H785))/(R785^2)-1),0)</f>
        <v>0</v>
      </c>
      <c r="R785" s="51">
        <f t="shared" si="133"/>
        <v>0</v>
      </c>
      <c r="S785"/>
      <c r="T785" s="83"/>
    </row>
    <row r="786" spans="1:20" ht="16" x14ac:dyDescent="0.2">
      <c r="A786"/>
      <c r="B786" s="103"/>
      <c r="C786" s="243"/>
      <c r="D786" s="119">
        <v>773</v>
      </c>
      <c r="E786" s="25" t="str">
        <f>Tp_CHG!S156</f>
        <v>Transition Probability from state 4 to state 5 on day 18 (CHG)</v>
      </c>
      <c r="F786" s="40">
        <f t="shared" si="130"/>
        <v>0</v>
      </c>
      <c r="G786" s="156">
        <v>1</v>
      </c>
      <c r="H786" s="120">
        <f>Tp_CHG!V156</f>
        <v>0</v>
      </c>
      <c r="I786" s="40" t="s">
        <v>58</v>
      </c>
      <c r="J786" s="40">
        <f t="shared" si="131"/>
        <v>0</v>
      </c>
      <c r="K786" s="40">
        <f t="shared" si="132"/>
        <v>0</v>
      </c>
      <c r="L786" s="40" t="s">
        <v>58</v>
      </c>
      <c r="M786" s="50" t="s">
        <v>266</v>
      </c>
      <c r="N786" s="190"/>
      <c r="O786" s="40">
        <f t="shared" ca="1" si="126"/>
        <v>0.65446455566665795</v>
      </c>
      <c r="P786" s="51">
        <f t="shared" si="134"/>
        <v>0</v>
      </c>
      <c r="Q786" s="51">
        <f t="shared" si="135"/>
        <v>0</v>
      </c>
      <c r="R786" s="51">
        <f t="shared" si="133"/>
        <v>0</v>
      </c>
      <c r="S786"/>
      <c r="T786" s="83"/>
    </row>
    <row r="787" spans="1:20" ht="16" x14ac:dyDescent="0.2">
      <c r="A787"/>
      <c r="B787" s="103"/>
      <c r="C787" s="243"/>
      <c r="D787" s="119">
        <v>774</v>
      </c>
      <c r="E787" s="25" t="str">
        <f>Tp_CHG!S157</f>
        <v>Transition Probability from state 4 to state 5 on day 19 (CHG)</v>
      </c>
      <c r="F787" s="40">
        <f t="shared" si="130"/>
        <v>0</v>
      </c>
      <c r="G787" s="156">
        <v>1</v>
      </c>
      <c r="H787" s="120">
        <f>Tp_CHG!V157</f>
        <v>0</v>
      </c>
      <c r="I787" s="40" t="s">
        <v>58</v>
      </c>
      <c r="J787" s="40">
        <f t="shared" si="131"/>
        <v>0</v>
      </c>
      <c r="K787" s="40">
        <f t="shared" si="132"/>
        <v>0</v>
      </c>
      <c r="L787" s="40" t="s">
        <v>58</v>
      </c>
      <c r="M787" s="50" t="s">
        <v>266</v>
      </c>
      <c r="N787" s="190"/>
      <c r="O787" s="40">
        <f t="shared" ca="1" si="126"/>
        <v>0.17382651994288889</v>
      </c>
      <c r="P787" s="51">
        <f t="shared" si="134"/>
        <v>0</v>
      </c>
      <c r="Q787" s="51">
        <f t="shared" si="135"/>
        <v>0</v>
      </c>
      <c r="R787" s="51">
        <f t="shared" si="133"/>
        <v>0</v>
      </c>
      <c r="S787"/>
      <c r="T787" s="83"/>
    </row>
    <row r="788" spans="1:20" ht="16" x14ac:dyDescent="0.2">
      <c r="A788"/>
      <c r="B788" s="103"/>
      <c r="C788" s="243"/>
      <c r="D788" s="119">
        <v>775</v>
      </c>
      <c r="E788" s="25" t="str">
        <f>Tp_CHG!S158</f>
        <v>Transition Probability from state 4 to state 5 on day 20 (CHG)</v>
      </c>
      <c r="F788" s="40">
        <f t="shared" si="130"/>
        <v>0</v>
      </c>
      <c r="G788" s="156">
        <v>1</v>
      </c>
      <c r="H788" s="120">
        <f>Tp_CHG!V158</f>
        <v>0</v>
      </c>
      <c r="I788" s="40" t="s">
        <v>58</v>
      </c>
      <c r="J788" s="40">
        <f t="shared" si="131"/>
        <v>0</v>
      </c>
      <c r="K788" s="40">
        <f t="shared" si="132"/>
        <v>0</v>
      </c>
      <c r="L788" s="40" t="s">
        <v>58</v>
      </c>
      <c r="M788" s="50" t="s">
        <v>266</v>
      </c>
      <c r="N788" s="190"/>
      <c r="O788" s="40">
        <f t="shared" ca="1" si="126"/>
        <v>0.4492692539330907</v>
      </c>
      <c r="P788" s="51">
        <f t="shared" si="134"/>
        <v>0</v>
      </c>
      <c r="Q788" s="51">
        <f t="shared" si="135"/>
        <v>0</v>
      </c>
      <c r="R788" s="51">
        <f t="shared" si="133"/>
        <v>0</v>
      </c>
      <c r="S788"/>
      <c r="T788" s="83"/>
    </row>
    <row r="789" spans="1:20" ht="16" x14ac:dyDescent="0.2">
      <c r="A789"/>
      <c r="B789" s="103"/>
      <c r="C789" s="243"/>
      <c r="D789" s="119">
        <v>776</v>
      </c>
      <c r="E789" s="25" t="str">
        <f>Tp_CHG!S159</f>
        <v>Transition Probability from state 4 to state 5 on day 21 (CHG)</v>
      </c>
      <c r="F789" s="40">
        <f t="shared" si="130"/>
        <v>0</v>
      </c>
      <c r="G789" s="156">
        <v>1</v>
      </c>
      <c r="H789" s="120">
        <f>Tp_CHG!V159</f>
        <v>0</v>
      </c>
      <c r="I789" s="40" t="s">
        <v>58</v>
      </c>
      <c r="J789" s="40">
        <f t="shared" si="131"/>
        <v>0</v>
      </c>
      <c r="K789" s="40">
        <f t="shared" si="132"/>
        <v>0</v>
      </c>
      <c r="L789" s="40" t="s">
        <v>58</v>
      </c>
      <c r="M789" s="50" t="s">
        <v>266</v>
      </c>
      <c r="N789" s="190"/>
      <c r="O789" s="40">
        <f t="shared" ref="O789:O846" ca="1" si="136">RAND()</f>
        <v>0.56003104474710597</v>
      </c>
      <c r="P789" s="51">
        <f t="shared" si="134"/>
        <v>0</v>
      </c>
      <c r="Q789" s="51">
        <f t="shared" si="135"/>
        <v>0</v>
      </c>
      <c r="R789" s="51">
        <f t="shared" si="133"/>
        <v>0</v>
      </c>
      <c r="S789"/>
      <c r="T789" s="83"/>
    </row>
    <row r="790" spans="1:20" ht="16" x14ac:dyDescent="0.2">
      <c r="A790"/>
      <c r="B790" s="103"/>
      <c r="C790" s="243"/>
      <c r="D790" s="119">
        <v>777</v>
      </c>
      <c r="E790" s="25" t="str">
        <f>Tp_CHG!S160</f>
        <v>Transition Probability from state 4 to state 5 on day 22 (CHG)</v>
      </c>
      <c r="F790" s="40">
        <f t="shared" si="130"/>
        <v>0</v>
      </c>
      <c r="G790" s="156">
        <v>1</v>
      </c>
      <c r="H790" s="120">
        <f>Tp_CHG!V160</f>
        <v>0</v>
      </c>
      <c r="I790" s="40" t="s">
        <v>58</v>
      </c>
      <c r="J790" s="40">
        <f t="shared" si="131"/>
        <v>0</v>
      </c>
      <c r="K790" s="40">
        <f t="shared" si="132"/>
        <v>0</v>
      </c>
      <c r="L790" s="40" t="s">
        <v>58</v>
      </c>
      <c r="M790" s="50" t="s">
        <v>266</v>
      </c>
      <c r="N790" s="190"/>
      <c r="O790" s="40">
        <f t="shared" ca="1" si="136"/>
        <v>0.29061608020155427</v>
      </c>
      <c r="P790" s="51">
        <f t="shared" si="134"/>
        <v>0</v>
      </c>
      <c r="Q790" s="51">
        <f t="shared" si="135"/>
        <v>0</v>
      </c>
      <c r="R790" s="51">
        <f t="shared" si="133"/>
        <v>0</v>
      </c>
      <c r="S790"/>
      <c r="T790" s="83"/>
    </row>
    <row r="791" spans="1:20" ht="16" x14ac:dyDescent="0.2">
      <c r="A791"/>
      <c r="B791" s="103"/>
      <c r="C791" s="243"/>
      <c r="D791" s="119">
        <v>778</v>
      </c>
      <c r="E791" s="25" t="str">
        <f>Tp_CHG!S161</f>
        <v>Transition Probability from state 4 to state 5 on day 23 (CHG)</v>
      </c>
      <c r="F791" s="40">
        <f t="shared" si="130"/>
        <v>0</v>
      </c>
      <c r="G791" s="156">
        <v>1</v>
      </c>
      <c r="H791" s="120">
        <f>Tp_CHG!V161</f>
        <v>0</v>
      </c>
      <c r="I791" s="40" t="s">
        <v>58</v>
      </c>
      <c r="J791" s="40">
        <f t="shared" si="131"/>
        <v>0</v>
      </c>
      <c r="K791" s="40">
        <f t="shared" si="132"/>
        <v>0</v>
      </c>
      <c r="L791" s="40" t="s">
        <v>58</v>
      </c>
      <c r="M791" s="50" t="s">
        <v>266</v>
      </c>
      <c r="N791" s="190"/>
      <c r="O791" s="40">
        <f t="shared" ca="1" si="136"/>
        <v>0.83175035397183172</v>
      </c>
      <c r="P791" s="51">
        <f t="shared" si="134"/>
        <v>0</v>
      </c>
      <c r="Q791" s="51">
        <f t="shared" si="135"/>
        <v>0</v>
      </c>
      <c r="R791" s="51">
        <f t="shared" si="133"/>
        <v>0</v>
      </c>
      <c r="S791"/>
      <c r="T791" s="83"/>
    </row>
    <row r="792" spans="1:20" ht="16" x14ac:dyDescent="0.2">
      <c r="A792"/>
      <c r="B792" s="103"/>
      <c r="C792" s="243"/>
      <c r="D792" s="119">
        <v>779</v>
      </c>
      <c r="E792" s="25" t="str">
        <f>Tp_CHG!S162</f>
        <v>Transition Probability from state 4 to state 5 on day 24 (CHG)</v>
      </c>
      <c r="F792" s="40">
        <f t="shared" si="130"/>
        <v>0</v>
      </c>
      <c r="G792" s="156">
        <v>1</v>
      </c>
      <c r="H792" s="120">
        <f>Tp_CHG!V162</f>
        <v>0</v>
      </c>
      <c r="I792" s="40" t="s">
        <v>58</v>
      </c>
      <c r="J792" s="40">
        <f t="shared" si="131"/>
        <v>0</v>
      </c>
      <c r="K792" s="40">
        <f t="shared" si="132"/>
        <v>0</v>
      </c>
      <c r="L792" s="40" t="s">
        <v>58</v>
      </c>
      <c r="M792" s="50" t="s">
        <v>266</v>
      </c>
      <c r="N792" s="190"/>
      <c r="O792" s="40">
        <f t="shared" ca="1" si="136"/>
        <v>0.45621575493276378</v>
      </c>
      <c r="P792" s="51">
        <f t="shared" si="134"/>
        <v>0</v>
      </c>
      <c r="Q792" s="51">
        <f t="shared" si="135"/>
        <v>0</v>
      </c>
      <c r="R792" s="51">
        <f t="shared" si="133"/>
        <v>0</v>
      </c>
      <c r="S792"/>
      <c r="T792" s="83"/>
    </row>
    <row r="793" spans="1:20" ht="16" x14ac:dyDescent="0.2">
      <c r="A793"/>
      <c r="B793" s="103"/>
      <c r="C793" s="243"/>
      <c r="D793" s="119">
        <v>780</v>
      </c>
      <c r="E793" s="25" t="str">
        <f>Tp_CHG!S163</f>
        <v>Transition Probability from state 4 to state 5 on day 25 (CHG)</v>
      </c>
      <c r="F793" s="40">
        <f t="shared" si="130"/>
        <v>0</v>
      </c>
      <c r="G793" s="156">
        <v>1</v>
      </c>
      <c r="H793" s="120">
        <f>Tp_CHG!V163</f>
        <v>0</v>
      </c>
      <c r="I793" s="40" t="s">
        <v>58</v>
      </c>
      <c r="J793" s="40">
        <f t="shared" si="131"/>
        <v>0</v>
      </c>
      <c r="K793" s="40">
        <f t="shared" si="132"/>
        <v>0</v>
      </c>
      <c r="L793" s="40" t="s">
        <v>58</v>
      </c>
      <c r="M793" s="50" t="s">
        <v>266</v>
      </c>
      <c r="N793" s="190"/>
      <c r="O793" s="40">
        <f t="shared" ca="1" si="136"/>
        <v>0.89225233987598584</v>
      </c>
      <c r="P793" s="51">
        <f t="shared" si="134"/>
        <v>0</v>
      </c>
      <c r="Q793" s="51">
        <f t="shared" si="135"/>
        <v>0</v>
      </c>
      <c r="R793" s="51">
        <f t="shared" si="133"/>
        <v>0</v>
      </c>
      <c r="S793"/>
      <c r="T793" s="83"/>
    </row>
    <row r="794" spans="1:20" ht="16" x14ac:dyDescent="0.2">
      <c r="A794"/>
      <c r="B794" s="103"/>
      <c r="C794" s="243"/>
      <c r="D794" s="119">
        <v>781</v>
      </c>
      <c r="E794" s="25" t="str">
        <f>Tp_CHG!S164</f>
        <v>Transition Probability from state 4 to state 5 on day 26 (CHG)</v>
      </c>
      <c r="F794" s="40">
        <f t="shared" si="130"/>
        <v>0</v>
      </c>
      <c r="G794" s="156">
        <v>1</v>
      </c>
      <c r="H794" s="120">
        <f>Tp_CHG!V164</f>
        <v>0</v>
      </c>
      <c r="I794" s="40" t="s">
        <v>58</v>
      </c>
      <c r="J794" s="40">
        <f t="shared" si="131"/>
        <v>0</v>
      </c>
      <c r="K794" s="40">
        <f t="shared" si="132"/>
        <v>0</v>
      </c>
      <c r="L794" s="40" t="s">
        <v>58</v>
      </c>
      <c r="M794" s="50" t="s">
        <v>266</v>
      </c>
      <c r="N794" s="190"/>
      <c r="O794" s="40">
        <f t="shared" ca="1" si="136"/>
        <v>0.9774562526173779</v>
      </c>
      <c r="P794" s="51">
        <f t="shared" si="134"/>
        <v>0</v>
      </c>
      <c r="Q794" s="51">
        <f t="shared" si="135"/>
        <v>0</v>
      </c>
      <c r="R794" s="51">
        <f t="shared" si="133"/>
        <v>0</v>
      </c>
      <c r="S794"/>
      <c r="T794" s="83"/>
    </row>
    <row r="795" spans="1:20" ht="16" x14ac:dyDescent="0.2">
      <c r="A795"/>
      <c r="B795" s="103"/>
      <c r="C795" s="243"/>
      <c r="D795" s="119">
        <v>782</v>
      </c>
      <c r="E795" s="25" t="str">
        <f>Tp_CHG!S165</f>
        <v>Transition Probability from state 4 to state 5 on day 27 (CHG)</v>
      </c>
      <c r="F795" s="40">
        <f t="shared" si="130"/>
        <v>0</v>
      </c>
      <c r="G795" s="156">
        <v>1</v>
      </c>
      <c r="H795" s="120">
        <f>Tp_CHG!V165</f>
        <v>0</v>
      </c>
      <c r="I795" s="40" t="s">
        <v>58</v>
      </c>
      <c r="J795" s="40">
        <f t="shared" si="131"/>
        <v>0</v>
      </c>
      <c r="K795" s="40">
        <f t="shared" si="132"/>
        <v>0</v>
      </c>
      <c r="L795" s="40" t="s">
        <v>58</v>
      </c>
      <c r="M795" s="50" t="s">
        <v>266</v>
      </c>
      <c r="N795" s="190"/>
      <c r="O795" s="40">
        <f t="shared" ca="1" si="136"/>
        <v>0.67327010133676291</v>
      </c>
      <c r="P795" s="51">
        <f t="shared" si="134"/>
        <v>0</v>
      </c>
      <c r="Q795" s="51">
        <f t="shared" si="135"/>
        <v>0</v>
      </c>
      <c r="R795" s="51">
        <f t="shared" si="133"/>
        <v>0</v>
      </c>
      <c r="S795"/>
      <c r="T795" s="83"/>
    </row>
    <row r="796" spans="1:20" ht="16" x14ac:dyDescent="0.2">
      <c r="A796"/>
      <c r="B796" s="103"/>
      <c r="C796" s="243"/>
      <c r="D796" s="119">
        <v>783</v>
      </c>
      <c r="E796" s="25" t="str">
        <f>Tp_CHG!S166</f>
        <v>Transition Probability from state 4 to state 5 on day 28 (CHG)</v>
      </c>
      <c r="F796" s="40">
        <f t="shared" si="130"/>
        <v>0</v>
      </c>
      <c r="G796" s="156">
        <v>1</v>
      </c>
      <c r="H796" s="120">
        <f>Tp_CHG!V166</f>
        <v>0</v>
      </c>
      <c r="I796" s="40" t="s">
        <v>58</v>
      </c>
      <c r="J796" s="40">
        <f t="shared" si="131"/>
        <v>0</v>
      </c>
      <c r="K796" s="40">
        <f t="shared" si="132"/>
        <v>0</v>
      </c>
      <c r="L796" s="40" t="s">
        <v>58</v>
      </c>
      <c r="M796" s="50" t="s">
        <v>266</v>
      </c>
      <c r="N796" s="190"/>
      <c r="O796" s="40">
        <f t="shared" ca="1" si="136"/>
        <v>0.33918230109912773</v>
      </c>
      <c r="P796" s="51">
        <f t="shared" si="134"/>
        <v>0</v>
      </c>
      <c r="Q796" s="51">
        <f t="shared" si="135"/>
        <v>0</v>
      </c>
      <c r="R796" s="51">
        <f t="shared" si="133"/>
        <v>0</v>
      </c>
      <c r="S796"/>
      <c r="T796" s="83"/>
    </row>
    <row r="797" spans="1:20" ht="16" x14ac:dyDescent="0.2">
      <c r="A797"/>
      <c r="B797" s="103"/>
      <c r="C797" s="243"/>
      <c r="D797" s="119">
        <v>784</v>
      </c>
      <c r="E797" s="25" t="str">
        <f>Tp_CHG!S167</f>
        <v>Transition Probability from state 4 to state 5 on day 29 (CHG)</v>
      </c>
      <c r="F797" s="40">
        <f t="shared" si="130"/>
        <v>0</v>
      </c>
      <c r="G797" s="156">
        <v>1</v>
      </c>
      <c r="H797" s="120">
        <f>Tp_CHG!V167</f>
        <v>0</v>
      </c>
      <c r="I797" s="40" t="s">
        <v>58</v>
      </c>
      <c r="J797" s="40">
        <f t="shared" si="131"/>
        <v>0</v>
      </c>
      <c r="K797" s="40">
        <f t="shared" si="132"/>
        <v>0</v>
      </c>
      <c r="L797" s="40" t="s">
        <v>58</v>
      </c>
      <c r="M797" s="50" t="s">
        <v>266</v>
      </c>
      <c r="N797" s="190"/>
      <c r="O797" s="40">
        <f t="shared" ca="1" si="136"/>
        <v>0.12471725592994032</v>
      </c>
      <c r="P797" s="51">
        <f t="shared" si="134"/>
        <v>0</v>
      </c>
      <c r="Q797" s="51">
        <f t="shared" si="135"/>
        <v>0</v>
      </c>
      <c r="R797" s="51">
        <f t="shared" si="133"/>
        <v>0</v>
      </c>
      <c r="S797"/>
      <c r="T797" s="83"/>
    </row>
    <row r="798" spans="1:20" ht="16" x14ac:dyDescent="0.2">
      <c r="A798"/>
      <c r="B798" s="103"/>
      <c r="C798" s="243"/>
      <c r="D798" s="119">
        <v>785</v>
      </c>
      <c r="E798" s="25" t="str">
        <f>Tp_CHG!S168</f>
        <v>Transition Probability from state 4 to state 5 on day 30 (CHG)</v>
      </c>
      <c r="F798" s="40">
        <f t="shared" si="130"/>
        <v>0</v>
      </c>
      <c r="G798" s="156">
        <v>1</v>
      </c>
      <c r="H798" s="120">
        <f>Tp_CHG!V168</f>
        <v>0</v>
      </c>
      <c r="I798" s="40" t="s">
        <v>58</v>
      </c>
      <c r="J798" s="40">
        <f t="shared" si="131"/>
        <v>0</v>
      </c>
      <c r="K798" s="40">
        <f t="shared" si="132"/>
        <v>0</v>
      </c>
      <c r="L798" s="40" t="s">
        <v>58</v>
      </c>
      <c r="M798" s="50" t="s">
        <v>266</v>
      </c>
      <c r="N798" s="190"/>
      <c r="O798" s="40">
        <f t="shared" ca="1" si="136"/>
        <v>0.59298698832391339</v>
      </c>
      <c r="P798" s="51">
        <f t="shared" si="134"/>
        <v>0</v>
      </c>
      <c r="Q798" s="51">
        <f t="shared" si="135"/>
        <v>0</v>
      </c>
      <c r="R798" s="51">
        <f t="shared" si="133"/>
        <v>0</v>
      </c>
      <c r="S798"/>
      <c r="T798" s="83"/>
    </row>
    <row r="799" spans="1:20" ht="16" x14ac:dyDescent="0.2">
      <c r="A799"/>
      <c r="B799" s="103"/>
      <c r="C799" s="243"/>
      <c r="D799" s="119">
        <v>786</v>
      </c>
      <c r="E799" s="25" t="str">
        <f>Tp_CHG!X139</f>
        <v>Transition Probability from state 6 to state 5 on day 1 (CHG)</v>
      </c>
      <c r="F799" s="40">
        <f t="shared" si="130"/>
        <v>0</v>
      </c>
      <c r="G799" s="156">
        <v>1</v>
      </c>
      <c r="H799" s="120">
        <f>Tp_CHG!AA139</f>
        <v>0</v>
      </c>
      <c r="I799" s="40" t="s">
        <v>58</v>
      </c>
      <c r="J799" s="40">
        <f t="shared" si="131"/>
        <v>0</v>
      </c>
      <c r="K799" s="40">
        <f t="shared" si="132"/>
        <v>0</v>
      </c>
      <c r="L799" s="40" t="s">
        <v>58</v>
      </c>
      <c r="M799" s="50" t="s">
        <v>266</v>
      </c>
      <c r="N799" s="190"/>
      <c r="O799" s="40">
        <f t="shared" ca="1" si="136"/>
        <v>0.46105066486968704</v>
      </c>
      <c r="P799" s="51">
        <f t="shared" si="134"/>
        <v>0</v>
      </c>
      <c r="Q799" s="51">
        <f t="shared" si="135"/>
        <v>0</v>
      </c>
      <c r="R799" s="51">
        <f t="shared" si="133"/>
        <v>0</v>
      </c>
      <c r="S799"/>
      <c r="T799" s="83"/>
    </row>
    <row r="800" spans="1:20" ht="16" x14ac:dyDescent="0.2">
      <c r="A800"/>
      <c r="B800" s="103"/>
      <c r="C800" s="243"/>
      <c r="D800" s="119">
        <v>787</v>
      </c>
      <c r="E800" s="25" t="str">
        <f>Tp_CHG!X140</f>
        <v>Transition Probability from state 6 to state 5 on day 2 (CHG)</v>
      </c>
      <c r="F800" s="40">
        <f t="shared" si="130"/>
        <v>0</v>
      </c>
      <c r="G800" s="156">
        <v>1</v>
      </c>
      <c r="H800" s="120">
        <f>Tp_CHG!AA140</f>
        <v>0</v>
      </c>
      <c r="I800" s="40" t="s">
        <v>58</v>
      </c>
      <c r="J800" s="40">
        <f t="shared" si="131"/>
        <v>0</v>
      </c>
      <c r="K800" s="40">
        <f t="shared" si="132"/>
        <v>0</v>
      </c>
      <c r="L800" s="40" t="s">
        <v>58</v>
      </c>
      <c r="M800" s="50" t="s">
        <v>266</v>
      </c>
      <c r="N800" s="190"/>
      <c r="O800" s="40">
        <f t="shared" ca="1" si="136"/>
        <v>0.35257716614064849</v>
      </c>
      <c r="P800" s="51">
        <f t="shared" si="134"/>
        <v>0</v>
      </c>
      <c r="Q800" s="51">
        <f t="shared" si="135"/>
        <v>0</v>
      </c>
      <c r="R800" s="51">
        <f t="shared" si="133"/>
        <v>0</v>
      </c>
      <c r="S800"/>
      <c r="T800" s="83"/>
    </row>
    <row r="801" spans="1:20" ht="16" x14ac:dyDescent="0.2">
      <c r="A801"/>
      <c r="B801" s="103"/>
      <c r="C801" s="243"/>
      <c r="D801" s="119">
        <v>788</v>
      </c>
      <c r="E801" s="25" t="str">
        <f>Tp_CHG!X141</f>
        <v>Transition Probability from state 6 to state 5 on day 3 (CHG)</v>
      </c>
      <c r="F801" s="40">
        <f t="shared" si="130"/>
        <v>0</v>
      </c>
      <c r="G801" s="156">
        <v>1</v>
      </c>
      <c r="H801" s="120">
        <f>Tp_CHG!AA141</f>
        <v>0</v>
      </c>
      <c r="I801" s="40" t="s">
        <v>58</v>
      </c>
      <c r="J801" s="40">
        <f t="shared" si="131"/>
        <v>0</v>
      </c>
      <c r="K801" s="40">
        <f t="shared" si="132"/>
        <v>0</v>
      </c>
      <c r="L801" s="40" t="s">
        <v>58</v>
      </c>
      <c r="M801" s="50" t="s">
        <v>266</v>
      </c>
      <c r="N801" s="190"/>
      <c r="O801" s="40">
        <f t="shared" ca="1" si="136"/>
        <v>0.54512712215919878</v>
      </c>
      <c r="P801" s="51">
        <f t="shared" si="134"/>
        <v>0</v>
      </c>
      <c r="Q801" s="51">
        <f t="shared" si="135"/>
        <v>0</v>
      </c>
      <c r="R801" s="51">
        <f t="shared" si="133"/>
        <v>0</v>
      </c>
      <c r="S801"/>
      <c r="T801" s="83"/>
    </row>
    <row r="802" spans="1:20" ht="16" x14ac:dyDescent="0.2">
      <c r="A802"/>
      <c r="B802" s="103"/>
      <c r="C802" s="243"/>
      <c r="D802" s="119">
        <v>789</v>
      </c>
      <c r="E802" s="25" t="str">
        <f>Tp_CHG!X142</f>
        <v>Transition Probability from state 6 to state 5 on day 4 (CHG)</v>
      </c>
      <c r="F802" s="40">
        <f t="shared" si="130"/>
        <v>0</v>
      </c>
      <c r="G802" s="156">
        <v>1</v>
      </c>
      <c r="H802" s="120">
        <f>Tp_CHG!AA142</f>
        <v>0</v>
      </c>
      <c r="I802" s="40" t="s">
        <v>58</v>
      </c>
      <c r="J802" s="40">
        <f t="shared" si="131"/>
        <v>0</v>
      </c>
      <c r="K802" s="40">
        <f t="shared" si="132"/>
        <v>0</v>
      </c>
      <c r="L802" s="40" t="s">
        <v>58</v>
      </c>
      <c r="M802" s="50" t="s">
        <v>266</v>
      </c>
      <c r="N802" s="190"/>
      <c r="O802" s="40">
        <f t="shared" ca="1" si="136"/>
        <v>0.49143767516095238</v>
      </c>
      <c r="P802" s="51">
        <f t="shared" si="134"/>
        <v>0</v>
      </c>
      <c r="Q802" s="51">
        <f t="shared" si="135"/>
        <v>0</v>
      </c>
      <c r="R802" s="51">
        <f t="shared" si="133"/>
        <v>0</v>
      </c>
      <c r="S802"/>
      <c r="T802" s="83"/>
    </row>
    <row r="803" spans="1:20" ht="16" x14ac:dyDescent="0.2">
      <c r="A803"/>
      <c r="B803" s="103"/>
      <c r="C803" s="243"/>
      <c r="D803" s="119">
        <v>790</v>
      </c>
      <c r="E803" s="25" t="str">
        <f>Tp_CHG!X143</f>
        <v>Transition Probability from state 6 to state 5 on day 5 (CHG)</v>
      </c>
      <c r="F803" s="40">
        <f t="shared" si="130"/>
        <v>0</v>
      </c>
      <c r="G803" s="156">
        <v>1</v>
      </c>
      <c r="H803" s="120">
        <f>Tp_CHG!AA143</f>
        <v>0</v>
      </c>
      <c r="I803" s="40" t="s">
        <v>58</v>
      </c>
      <c r="J803" s="40">
        <f t="shared" si="131"/>
        <v>0</v>
      </c>
      <c r="K803" s="40">
        <f t="shared" si="132"/>
        <v>0</v>
      </c>
      <c r="L803" s="40" t="s">
        <v>58</v>
      </c>
      <c r="M803" s="50" t="s">
        <v>266</v>
      </c>
      <c r="N803" s="190"/>
      <c r="O803" s="40">
        <f t="shared" ca="1" si="136"/>
        <v>0.15232176491829952</v>
      </c>
      <c r="P803" s="51">
        <f t="shared" si="134"/>
        <v>0</v>
      </c>
      <c r="Q803" s="51">
        <f t="shared" si="135"/>
        <v>0</v>
      </c>
      <c r="R803" s="51">
        <f t="shared" si="133"/>
        <v>0</v>
      </c>
      <c r="S803"/>
      <c r="T803" s="83"/>
    </row>
    <row r="804" spans="1:20" ht="16" x14ac:dyDescent="0.2">
      <c r="A804"/>
      <c r="B804" s="103"/>
      <c r="C804" s="243"/>
      <c r="D804" s="119">
        <v>791</v>
      </c>
      <c r="E804" s="25" t="str">
        <f>Tp_CHG!X144</f>
        <v>Transition Probability from state 6 to state 5 on day 6 (CHG)</v>
      </c>
      <c r="F804" s="40">
        <f t="shared" si="130"/>
        <v>0</v>
      </c>
      <c r="G804" s="156">
        <v>1</v>
      </c>
      <c r="H804" s="120">
        <f>Tp_CHG!AA144</f>
        <v>0</v>
      </c>
      <c r="I804" s="40" t="s">
        <v>58</v>
      </c>
      <c r="J804" s="40">
        <f t="shared" si="131"/>
        <v>0</v>
      </c>
      <c r="K804" s="40">
        <f t="shared" si="132"/>
        <v>0</v>
      </c>
      <c r="L804" s="40" t="s">
        <v>58</v>
      </c>
      <c r="M804" s="50" t="s">
        <v>266</v>
      </c>
      <c r="N804" s="190"/>
      <c r="O804" s="40">
        <f t="shared" ca="1" si="136"/>
        <v>0.63183918657519023</v>
      </c>
      <c r="P804" s="51">
        <f t="shared" si="134"/>
        <v>0</v>
      </c>
      <c r="Q804" s="51">
        <f t="shared" si="135"/>
        <v>0</v>
      </c>
      <c r="R804" s="51">
        <f t="shared" si="133"/>
        <v>0</v>
      </c>
      <c r="S804"/>
      <c r="T804" s="83"/>
    </row>
    <row r="805" spans="1:20" ht="16" x14ac:dyDescent="0.2">
      <c r="A805"/>
      <c r="B805" s="103"/>
      <c r="C805" s="243"/>
      <c r="D805" s="119">
        <v>792</v>
      </c>
      <c r="E805" s="25" t="str">
        <f>Tp_CHG!X145</f>
        <v>Transition Probability from state 6 to state 5 on day 7 (CHG)</v>
      </c>
      <c r="F805" s="40">
        <f t="shared" si="130"/>
        <v>0</v>
      </c>
      <c r="G805" s="156">
        <v>1</v>
      </c>
      <c r="H805" s="120">
        <f>Tp_CHG!AA145</f>
        <v>0</v>
      </c>
      <c r="I805" s="40" t="s">
        <v>58</v>
      </c>
      <c r="J805" s="40">
        <f t="shared" si="131"/>
        <v>0</v>
      </c>
      <c r="K805" s="40">
        <f t="shared" si="132"/>
        <v>0</v>
      </c>
      <c r="L805" s="40" t="s">
        <v>58</v>
      </c>
      <c r="M805" s="50" t="s">
        <v>266</v>
      </c>
      <c r="N805" s="190"/>
      <c r="O805" s="40">
        <f t="shared" ca="1" si="136"/>
        <v>0.38795804894636421</v>
      </c>
      <c r="P805" s="51">
        <f t="shared" si="134"/>
        <v>0</v>
      </c>
      <c r="Q805" s="51">
        <f t="shared" si="135"/>
        <v>0</v>
      </c>
      <c r="R805" s="51">
        <f t="shared" si="133"/>
        <v>0</v>
      </c>
      <c r="S805"/>
      <c r="T805" s="83"/>
    </row>
    <row r="806" spans="1:20" ht="16" x14ac:dyDescent="0.2">
      <c r="A806"/>
      <c r="B806" s="103"/>
      <c r="C806" s="243"/>
      <c r="D806" s="119">
        <v>793</v>
      </c>
      <c r="E806" s="25" t="str">
        <f>Tp_CHG!X146</f>
        <v>Transition Probability from state 6 to state 5 on day 8 (CHG)</v>
      </c>
      <c r="F806" s="40">
        <f t="shared" si="130"/>
        <v>0</v>
      </c>
      <c r="G806" s="156">
        <v>1</v>
      </c>
      <c r="H806" s="120">
        <f>Tp_CHG!AA146</f>
        <v>0</v>
      </c>
      <c r="I806" s="40" t="s">
        <v>58</v>
      </c>
      <c r="J806" s="40">
        <f t="shared" si="131"/>
        <v>0</v>
      </c>
      <c r="K806" s="40">
        <f t="shared" si="132"/>
        <v>0</v>
      </c>
      <c r="L806" s="40" t="s">
        <v>58</v>
      </c>
      <c r="M806" s="50" t="s">
        <v>266</v>
      </c>
      <c r="N806" s="190"/>
      <c r="O806" s="40">
        <f t="shared" ca="1" si="136"/>
        <v>0.15067554523513005</v>
      </c>
      <c r="P806" s="51">
        <f t="shared" si="134"/>
        <v>0</v>
      </c>
      <c r="Q806" s="51">
        <f t="shared" si="135"/>
        <v>0</v>
      </c>
      <c r="R806" s="51">
        <f t="shared" si="133"/>
        <v>0</v>
      </c>
      <c r="S806"/>
      <c r="T806" s="83"/>
    </row>
    <row r="807" spans="1:20" ht="16" x14ac:dyDescent="0.2">
      <c r="A807"/>
      <c r="B807" s="103"/>
      <c r="C807" s="243"/>
      <c r="D807" s="119">
        <v>794</v>
      </c>
      <c r="E807" s="25" t="str">
        <f>Tp_CHG!X147</f>
        <v>Transition Probability from state 6 to state 5 on day 9 (CHG)</v>
      </c>
      <c r="F807" s="40">
        <f t="shared" si="130"/>
        <v>0</v>
      </c>
      <c r="G807" s="156">
        <v>1</v>
      </c>
      <c r="H807" s="120">
        <f>Tp_CHG!AA147</f>
        <v>0</v>
      </c>
      <c r="I807" s="40" t="s">
        <v>58</v>
      </c>
      <c r="J807" s="40">
        <f t="shared" si="131"/>
        <v>0</v>
      </c>
      <c r="K807" s="40">
        <f t="shared" si="132"/>
        <v>0</v>
      </c>
      <c r="L807" s="40" t="s">
        <v>58</v>
      </c>
      <c r="M807" s="50" t="s">
        <v>266</v>
      </c>
      <c r="N807" s="190"/>
      <c r="O807" s="40">
        <f t="shared" ca="1" si="136"/>
        <v>0.27087031714584042</v>
      </c>
      <c r="P807" s="51">
        <f t="shared" si="134"/>
        <v>0</v>
      </c>
      <c r="Q807" s="51">
        <f t="shared" si="135"/>
        <v>0</v>
      </c>
      <c r="R807" s="51">
        <f t="shared" si="133"/>
        <v>0</v>
      </c>
      <c r="S807"/>
      <c r="T807" s="83"/>
    </row>
    <row r="808" spans="1:20" ht="16" x14ac:dyDescent="0.2">
      <c r="A808"/>
      <c r="B808" s="103"/>
      <c r="C808" s="243"/>
      <c r="D808" s="119">
        <v>795</v>
      </c>
      <c r="E808" s="25" t="str">
        <f>Tp_CHG!X152</f>
        <v>Transition Probability from state 6 to state 5 on day 14 (CHG)</v>
      </c>
      <c r="F808" s="40">
        <f t="shared" si="130"/>
        <v>0</v>
      </c>
      <c r="G808" s="156">
        <v>1</v>
      </c>
      <c r="H808" s="120">
        <f>Tp_CHG!AA152</f>
        <v>0</v>
      </c>
      <c r="I808" s="40" t="s">
        <v>58</v>
      </c>
      <c r="J808" s="40">
        <f t="shared" si="131"/>
        <v>0</v>
      </c>
      <c r="K808" s="40">
        <f t="shared" si="132"/>
        <v>0</v>
      </c>
      <c r="L808" s="40" t="s">
        <v>58</v>
      </c>
      <c r="M808" s="50" t="s">
        <v>266</v>
      </c>
      <c r="N808" s="190"/>
      <c r="O808" s="40">
        <f t="shared" ca="1" si="136"/>
        <v>0.64770782046464137</v>
      </c>
      <c r="P808" s="51">
        <f t="shared" si="134"/>
        <v>0</v>
      </c>
      <c r="Q808" s="51">
        <f t="shared" si="135"/>
        <v>0</v>
      </c>
      <c r="R808" s="51">
        <f t="shared" si="133"/>
        <v>0</v>
      </c>
      <c r="S808"/>
      <c r="T808" s="83"/>
    </row>
    <row r="809" spans="1:20" ht="16" x14ac:dyDescent="0.2">
      <c r="A809"/>
      <c r="B809" s="103"/>
      <c r="C809" s="243"/>
      <c r="D809" s="119">
        <v>796</v>
      </c>
      <c r="E809" s="25" t="str">
        <f>Tp_CHG!X154</f>
        <v>Transition Probability from state 6 to state 5 on day 16 (CHG)</v>
      </c>
      <c r="F809" s="40">
        <f t="shared" si="130"/>
        <v>0</v>
      </c>
      <c r="G809" s="156">
        <v>1</v>
      </c>
      <c r="H809" s="120">
        <f>Tp_CHG!AA154</f>
        <v>0</v>
      </c>
      <c r="I809" s="40" t="s">
        <v>58</v>
      </c>
      <c r="J809" s="40">
        <f t="shared" si="131"/>
        <v>0</v>
      </c>
      <c r="K809" s="40">
        <f t="shared" si="132"/>
        <v>0</v>
      </c>
      <c r="L809" s="40" t="s">
        <v>58</v>
      </c>
      <c r="M809" s="50" t="s">
        <v>266</v>
      </c>
      <c r="N809" s="190"/>
      <c r="O809" s="40">
        <f t="shared" ca="1" si="136"/>
        <v>0.84771198308528883</v>
      </c>
      <c r="P809" s="51">
        <f t="shared" si="134"/>
        <v>0</v>
      </c>
      <c r="Q809" s="51">
        <f t="shared" si="135"/>
        <v>0</v>
      </c>
      <c r="R809" s="51">
        <f t="shared" si="133"/>
        <v>0</v>
      </c>
      <c r="S809"/>
      <c r="T809" s="83"/>
    </row>
    <row r="810" spans="1:20" ht="16" x14ac:dyDescent="0.2">
      <c r="A810"/>
      <c r="B810" s="103"/>
      <c r="C810" s="243"/>
      <c r="D810" s="119">
        <v>797</v>
      </c>
      <c r="E810" s="25" t="str">
        <f>Tp_CHG!X155</f>
        <v>Transition Probability from state 6 to state 5 on day 17 (CHG)</v>
      </c>
      <c r="F810" s="40">
        <f t="shared" si="130"/>
        <v>0</v>
      </c>
      <c r="G810" s="156">
        <v>1</v>
      </c>
      <c r="H810" s="120">
        <f>Tp_CHG!AA155</f>
        <v>0</v>
      </c>
      <c r="I810" s="40" t="s">
        <v>58</v>
      </c>
      <c r="J810" s="40">
        <f t="shared" ref="J810:J840" si="137">IF(H810=0,0,_xlfn.NORM.INV(0.025,H810,R810))</f>
        <v>0</v>
      </c>
      <c r="K810" s="40">
        <f t="shared" ref="K810:K840" si="138">IF(H810=0,0,_xlfn.NORM.INV(0.975,H810,R810))</f>
        <v>0</v>
      </c>
      <c r="L810" s="40" t="s">
        <v>58</v>
      </c>
      <c r="M810" s="50" t="s">
        <v>266</v>
      </c>
      <c r="N810" s="190"/>
      <c r="O810" s="40">
        <f t="shared" ca="1" si="136"/>
        <v>0.43005406508266542</v>
      </c>
      <c r="P810" s="51">
        <f t="shared" si="134"/>
        <v>0</v>
      </c>
      <c r="Q810" s="51">
        <f t="shared" si="135"/>
        <v>0</v>
      </c>
      <c r="R810" s="51">
        <f t="shared" ref="R810:R840" si="139">assumedSE*H810</f>
        <v>0</v>
      </c>
      <c r="S810"/>
      <c r="T810" s="83"/>
    </row>
    <row r="811" spans="1:20" ht="16" x14ac:dyDescent="0.2">
      <c r="A811"/>
      <c r="B811" s="103"/>
      <c r="C811" s="243"/>
      <c r="D811" s="119">
        <v>798</v>
      </c>
      <c r="E811" s="25" t="str">
        <f>Tp_CHG!X156</f>
        <v>Transition Probability from state 6 to state 5 on day 18 (CHG)</v>
      </c>
      <c r="F811" s="40">
        <f t="shared" si="130"/>
        <v>0</v>
      </c>
      <c r="G811" s="156">
        <v>1</v>
      </c>
      <c r="H811" s="120">
        <f>Tp_CHG!AA156</f>
        <v>0</v>
      </c>
      <c r="I811" s="40" t="s">
        <v>58</v>
      </c>
      <c r="J811" s="40">
        <f t="shared" si="137"/>
        <v>0</v>
      </c>
      <c r="K811" s="40">
        <f t="shared" si="138"/>
        <v>0</v>
      </c>
      <c r="L811" s="40" t="s">
        <v>58</v>
      </c>
      <c r="M811" s="50" t="s">
        <v>266</v>
      </c>
      <c r="N811" s="190"/>
      <c r="O811" s="40">
        <f t="shared" ca="1" si="136"/>
        <v>0.86174571192200966</v>
      </c>
      <c r="P811" s="51">
        <f t="shared" si="134"/>
        <v>0</v>
      </c>
      <c r="Q811" s="51">
        <f t="shared" si="135"/>
        <v>0</v>
      </c>
      <c r="R811" s="51">
        <f t="shared" si="139"/>
        <v>0</v>
      </c>
      <c r="S811"/>
      <c r="T811" s="83"/>
    </row>
    <row r="812" spans="1:20" ht="16" x14ac:dyDescent="0.2">
      <c r="A812"/>
      <c r="B812" s="103"/>
      <c r="C812" s="243"/>
      <c r="D812" s="119">
        <v>799</v>
      </c>
      <c r="E812" s="25" t="str">
        <f>Tp_CHG!X157</f>
        <v>Transition Probability from state 6 to state 5 on day 19 (CHG)</v>
      </c>
      <c r="F812" s="40">
        <f t="shared" si="130"/>
        <v>0</v>
      </c>
      <c r="G812" s="156">
        <v>1</v>
      </c>
      <c r="H812" s="120">
        <f>Tp_CHG!AA157</f>
        <v>0</v>
      </c>
      <c r="I812" s="40" t="s">
        <v>58</v>
      </c>
      <c r="J812" s="40">
        <f t="shared" si="137"/>
        <v>0</v>
      </c>
      <c r="K812" s="40">
        <f t="shared" si="138"/>
        <v>0</v>
      </c>
      <c r="L812" s="40" t="s">
        <v>58</v>
      </c>
      <c r="M812" s="50" t="s">
        <v>266</v>
      </c>
      <c r="N812" s="190"/>
      <c r="O812" s="40">
        <f t="shared" ca="1" si="136"/>
        <v>0.3233700067782983</v>
      </c>
      <c r="P812" s="51">
        <f t="shared" si="134"/>
        <v>0</v>
      </c>
      <c r="Q812" s="51">
        <f t="shared" si="135"/>
        <v>0</v>
      </c>
      <c r="R812" s="51">
        <f t="shared" si="139"/>
        <v>0</v>
      </c>
      <c r="S812"/>
      <c r="T812" s="83"/>
    </row>
    <row r="813" spans="1:20" ht="16" x14ac:dyDescent="0.2">
      <c r="A813"/>
      <c r="B813" s="103"/>
      <c r="C813" s="243"/>
      <c r="D813" s="119">
        <v>800</v>
      </c>
      <c r="E813" s="25" t="str">
        <f>Tp_CHG!X158</f>
        <v>Transition Probability from state 6 to state 5 on day 20 (CHG)</v>
      </c>
      <c r="F813" s="40">
        <f t="shared" si="130"/>
        <v>0</v>
      </c>
      <c r="G813" s="156">
        <v>1</v>
      </c>
      <c r="H813" s="120">
        <f>Tp_CHG!AA158</f>
        <v>0</v>
      </c>
      <c r="I813" s="40" t="s">
        <v>58</v>
      </c>
      <c r="J813" s="40">
        <f t="shared" si="137"/>
        <v>0</v>
      </c>
      <c r="K813" s="40">
        <f t="shared" si="138"/>
        <v>0</v>
      </c>
      <c r="L813" s="40" t="s">
        <v>58</v>
      </c>
      <c r="M813" s="50" t="s">
        <v>266</v>
      </c>
      <c r="N813" s="190"/>
      <c r="O813" s="40">
        <f t="shared" ca="1" si="136"/>
        <v>0.32297400602222448</v>
      </c>
      <c r="P813" s="51">
        <f t="shared" si="134"/>
        <v>0</v>
      </c>
      <c r="Q813" s="51">
        <f t="shared" si="135"/>
        <v>0</v>
      </c>
      <c r="R813" s="51">
        <f t="shared" si="139"/>
        <v>0</v>
      </c>
      <c r="S813"/>
      <c r="T813" s="83"/>
    </row>
    <row r="814" spans="1:20" ht="16" x14ac:dyDescent="0.2">
      <c r="A814"/>
      <c r="B814" s="103"/>
      <c r="C814" s="243"/>
      <c r="D814" s="119">
        <v>801</v>
      </c>
      <c r="E814" s="25" t="str">
        <f>Tp_CHG!X159</f>
        <v>Transition Probability from state 6 to state 5 on day 21 (CHG)</v>
      </c>
      <c r="F814" s="40">
        <f t="shared" si="130"/>
        <v>0</v>
      </c>
      <c r="G814" s="156">
        <v>1</v>
      </c>
      <c r="H814" s="120">
        <f>Tp_CHG!AA159</f>
        <v>0</v>
      </c>
      <c r="I814" s="40" t="s">
        <v>58</v>
      </c>
      <c r="J814" s="40">
        <f t="shared" si="137"/>
        <v>0</v>
      </c>
      <c r="K814" s="40">
        <f t="shared" si="138"/>
        <v>0</v>
      </c>
      <c r="L814" s="40" t="s">
        <v>58</v>
      </c>
      <c r="M814" s="50" t="s">
        <v>266</v>
      </c>
      <c r="N814" s="190"/>
      <c r="O814" s="40">
        <f t="shared" ca="1" si="136"/>
        <v>0.69709771744618632</v>
      </c>
      <c r="P814" s="51">
        <f t="shared" si="134"/>
        <v>0</v>
      </c>
      <c r="Q814" s="51">
        <f t="shared" si="135"/>
        <v>0</v>
      </c>
      <c r="R814" s="51">
        <f t="shared" si="139"/>
        <v>0</v>
      </c>
      <c r="S814"/>
      <c r="T814" s="83"/>
    </row>
    <row r="815" spans="1:20" ht="16" x14ac:dyDescent="0.2">
      <c r="A815"/>
      <c r="B815" s="103"/>
      <c r="C815" s="243"/>
      <c r="D815" s="119">
        <v>802</v>
      </c>
      <c r="E815" s="25" t="str">
        <f>Tp_CHG!X160</f>
        <v>Transition Probability from state 6 to state 5 on day 22 (CHG)</v>
      </c>
      <c r="F815" s="40">
        <f t="shared" si="130"/>
        <v>0</v>
      </c>
      <c r="G815" s="156">
        <v>1</v>
      </c>
      <c r="H815" s="120">
        <f>Tp_CHG!AA160</f>
        <v>0</v>
      </c>
      <c r="I815" s="40" t="s">
        <v>58</v>
      </c>
      <c r="J815" s="40">
        <f t="shared" si="137"/>
        <v>0</v>
      </c>
      <c r="K815" s="40">
        <f t="shared" si="138"/>
        <v>0</v>
      </c>
      <c r="L815" s="40" t="s">
        <v>58</v>
      </c>
      <c r="M815" s="50" t="s">
        <v>266</v>
      </c>
      <c r="N815" s="190"/>
      <c r="O815" s="40">
        <f t="shared" ca="1" si="136"/>
        <v>5.849444423554695E-2</v>
      </c>
      <c r="P815" s="51">
        <f t="shared" si="134"/>
        <v>0</v>
      </c>
      <c r="Q815" s="51">
        <f t="shared" si="135"/>
        <v>0</v>
      </c>
      <c r="R815" s="51">
        <f t="shared" si="139"/>
        <v>0</v>
      </c>
      <c r="S815"/>
      <c r="T815" s="83"/>
    </row>
    <row r="816" spans="1:20" ht="16" x14ac:dyDescent="0.2">
      <c r="A816"/>
      <c r="B816" s="103"/>
      <c r="C816" s="243"/>
      <c r="D816" s="119">
        <v>803</v>
      </c>
      <c r="E816" s="25" t="str">
        <f>Tp_CHG!X161</f>
        <v>Transition Probability from state 6 to state 5 on day 23 (CHG)</v>
      </c>
      <c r="F816" s="40">
        <f t="shared" si="130"/>
        <v>0</v>
      </c>
      <c r="G816" s="156">
        <v>1</v>
      </c>
      <c r="H816" s="120">
        <f>Tp_CHG!AA161</f>
        <v>0</v>
      </c>
      <c r="I816" s="40" t="s">
        <v>58</v>
      </c>
      <c r="J816" s="40">
        <f t="shared" si="137"/>
        <v>0</v>
      </c>
      <c r="K816" s="40">
        <f t="shared" si="138"/>
        <v>0</v>
      </c>
      <c r="L816" s="40" t="s">
        <v>58</v>
      </c>
      <c r="M816" s="50" t="s">
        <v>266</v>
      </c>
      <c r="N816" s="190"/>
      <c r="O816" s="40">
        <f t="shared" ca="1" si="136"/>
        <v>2.1832904499010208E-2</v>
      </c>
      <c r="P816" s="51">
        <f t="shared" si="134"/>
        <v>0</v>
      </c>
      <c r="Q816" s="51">
        <f t="shared" si="135"/>
        <v>0</v>
      </c>
      <c r="R816" s="51">
        <f t="shared" si="139"/>
        <v>0</v>
      </c>
      <c r="S816"/>
      <c r="T816" s="83"/>
    </row>
    <row r="817" spans="1:20" ht="16" x14ac:dyDescent="0.2">
      <c r="A817"/>
      <c r="B817" s="103"/>
      <c r="C817" s="243"/>
      <c r="D817" s="119">
        <v>804</v>
      </c>
      <c r="E817" s="25" t="str">
        <f>Tp_CHG!X162</f>
        <v>Transition Probability from state 6 to state 5 on day 24 (CHG)</v>
      </c>
      <c r="F817" s="40">
        <f t="shared" si="130"/>
        <v>0</v>
      </c>
      <c r="G817" s="156">
        <v>1</v>
      </c>
      <c r="H817" s="120">
        <f>Tp_CHG!AA162</f>
        <v>0</v>
      </c>
      <c r="I817" s="40" t="s">
        <v>58</v>
      </c>
      <c r="J817" s="40">
        <f t="shared" si="137"/>
        <v>0</v>
      </c>
      <c r="K817" s="40">
        <f t="shared" si="138"/>
        <v>0</v>
      </c>
      <c r="L817" s="40" t="s">
        <v>58</v>
      </c>
      <c r="M817" s="50" t="s">
        <v>266</v>
      </c>
      <c r="N817" s="190"/>
      <c r="O817" s="40">
        <f t="shared" ca="1" si="136"/>
        <v>0.39633912069487098</v>
      </c>
      <c r="P817" s="51">
        <f t="shared" si="134"/>
        <v>0</v>
      </c>
      <c r="Q817" s="51">
        <f t="shared" si="135"/>
        <v>0</v>
      </c>
      <c r="R817" s="51">
        <f t="shared" si="139"/>
        <v>0</v>
      </c>
      <c r="S817"/>
      <c r="T817" s="83"/>
    </row>
    <row r="818" spans="1:20" ht="16" x14ac:dyDescent="0.2">
      <c r="A818"/>
      <c r="B818" s="103"/>
      <c r="C818" s="243"/>
      <c r="D818" s="119">
        <v>805</v>
      </c>
      <c r="E818" s="25" t="str">
        <f>Tp_CHG!X164</f>
        <v>Transition Probability from state 6 to state 5 on day 26 (CHG)</v>
      </c>
      <c r="F818" s="40">
        <f t="shared" si="130"/>
        <v>0</v>
      </c>
      <c r="G818" s="156">
        <v>1</v>
      </c>
      <c r="H818" s="120">
        <f>Tp_CHG!AA164</f>
        <v>0</v>
      </c>
      <c r="I818" s="40" t="s">
        <v>58</v>
      </c>
      <c r="J818" s="40">
        <f t="shared" si="137"/>
        <v>0</v>
      </c>
      <c r="K818" s="40">
        <f t="shared" si="138"/>
        <v>0</v>
      </c>
      <c r="L818" s="40" t="s">
        <v>58</v>
      </c>
      <c r="M818" s="50" t="s">
        <v>266</v>
      </c>
      <c r="N818" s="190"/>
      <c r="O818" s="40">
        <f t="shared" ca="1" si="136"/>
        <v>9.3273987588791463E-2</v>
      </c>
      <c r="P818" s="51">
        <f t="shared" si="134"/>
        <v>0</v>
      </c>
      <c r="Q818" s="51">
        <f t="shared" si="135"/>
        <v>0</v>
      </c>
      <c r="R818" s="51">
        <f t="shared" si="139"/>
        <v>0</v>
      </c>
      <c r="S818"/>
      <c r="T818" s="83"/>
    </row>
    <row r="819" spans="1:20" ht="16" x14ac:dyDescent="0.2">
      <c r="A819"/>
      <c r="B819" s="103"/>
      <c r="C819" s="243"/>
      <c r="D819" s="119">
        <v>806</v>
      </c>
      <c r="E819" s="25" t="str">
        <f>Tp_CHG!X165</f>
        <v>Transition Probability from state 6 to state 5 on day 27 (CHG)</v>
      </c>
      <c r="F819" s="40">
        <f t="shared" si="130"/>
        <v>0</v>
      </c>
      <c r="G819" s="156">
        <v>1</v>
      </c>
      <c r="H819" s="120">
        <f>Tp_CHG!AA165</f>
        <v>0</v>
      </c>
      <c r="I819" s="40" t="s">
        <v>58</v>
      </c>
      <c r="J819" s="40">
        <f t="shared" si="137"/>
        <v>0</v>
      </c>
      <c r="K819" s="40">
        <f t="shared" si="138"/>
        <v>0</v>
      </c>
      <c r="L819" s="40" t="s">
        <v>58</v>
      </c>
      <c r="M819" s="50" t="s">
        <v>266</v>
      </c>
      <c r="N819" s="190"/>
      <c r="O819" s="40">
        <f t="shared" ca="1" si="136"/>
        <v>0.42729485451261451</v>
      </c>
      <c r="P819" s="51">
        <f t="shared" si="134"/>
        <v>0</v>
      </c>
      <c r="Q819" s="51">
        <f t="shared" si="135"/>
        <v>0</v>
      </c>
      <c r="R819" s="51">
        <f t="shared" si="139"/>
        <v>0</v>
      </c>
      <c r="S819"/>
      <c r="T819" s="83"/>
    </row>
    <row r="820" spans="1:20" ht="16" x14ac:dyDescent="0.2">
      <c r="A820"/>
      <c r="B820" s="103"/>
      <c r="C820" s="243"/>
      <c r="D820" s="119">
        <v>807</v>
      </c>
      <c r="E820" s="25" t="str">
        <f>Tp_CHG!X166</f>
        <v>Transition Probability from state 6 to state 5 on day 28 (CHG)</v>
      </c>
      <c r="F820" s="40">
        <f t="shared" si="130"/>
        <v>0</v>
      </c>
      <c r="G820" s="156">
        <v>1</v>
      </c>
      <c r="H820" s="120">
        <f>Tp_CHG!AA166</f>
        <v>0</v>
      </c>
      <c r="I820" s="40" t="s">
        <v>58</v>
      </c>
      <c r="J820" s="40">
        <f t="shared" si="137"/>
        <v>0</v>
      </c>
      <c r="K820" s="40">
        <f t="shared" si="138"/>
        <v>0</v>
      </c>
      <c r="L820" s="40" t="s">
        <v>58</v>
      </c>
      <c r="M820" s="50" t="s">
        <v>266</v>
      </c>
      <c r="N820" s="190"/>
      <c r="O820" s="40">
        <f t="shared" ca="1" si="136"/>
        <v>0.29203416928110859</v>
      </c>
      <c r="P820" s="51">
        <f t="shared" si="134"/>
        <v>0</v>
      </c>
      <c r="Q820" s="51">
        <f t="shared" si="135"/>
        <v>0</v>
      </c>
      <c r="R820" s="51">
        <f t="shared" si="139"/>
        <v>0</v>
      </c>
      <c r="S820"/>
      <c r="T820" s="83"/>
    </row>
    <row r="821" spans="1:20" ht="16" x14ac:dyDescent="0.2">
      <c r="A821"/>
      <c r="B821" s="103"/>
      <c r="C821" s="243"/>
      <c r="D821" s="119">
        <v>808</v>
      </c>
      <c r="E821" s="25" t="str">
        <f>Tp_CHG!X167</f>
        <v>Transition Probability from state 6 to state 5 on day 29 (CHG)</v>
      </c>
      <c r="F821" s="40">
        <f t="shared" si="130"/>
        <v>0</v>
      </c>
      <c r="G821" s="156">
        <v>1</v>
      </c>
      <c r="H821" s="120">
        <f>Tp_CHG!AA167</f>
        <v>0</v>
      </c>
      <c r="I821" s="40" t="s">
        <v>58</v>
      </c>
      <c r="J821" s="40">
        <f t="shared" si="137"/>
        <v>0</v>
      </c>
      <c r="K821" s="40">
        <f t="shared" si="138"/>
        <v>0</v>
      </c>
      <c r="L821" s="40" t="s">
        <v>58</v>
      </c>
      <c r="M821" s="50" t="s">
        <v>266</v>
      </c>
      <c r="N821" s="190"/>
      <c r="O821" s="40">
        <f t="shared" ca="1" si="136"/>
        <v>7.3286991777843591E-2</v>
      </c>
      <c r="P821" s="51">
        <f t="shared" si="134"/>
        <v>0</v>
      </c>
      <c r="Q821" s="51">
        <f t="shared" si="135"/>
        <v>0</v>
      </c>
      <c r="R821" s="51">
        <f t="shared" si="139"/>
        <v>0</v>
      </c>
      <c r="S821"/>
      <c r="T821" s="83"/>
    </row>
    <row r="822" spans="1:20" ht="16" x14ac:dyDescent="0.2">
      <c r="A822"/>
      <c r="B822" s="103"/>
      <c r="C822" s="243"/>
      <c r="D822" s="119">
        <v>809</v>
      </c>
      <c r="E822" s="25" t="str">
        <f>Tp_CHG!X168</f>
        <v>Transition Probability from state 6 to state 5 on day 30 (CHG)</v>
      </c>
      <c r="F822" s="40">
        <f t="shared" si="130"/>
        <v>0</v>
      </c>
      <c r="G822" s="156">
        <v>1</v>
      </c>
      <c r="H822" s="120">
        <f>Tp_CHG!AA168</f>
        <v>0</v>
      </c>
      <c r="I822" s="40" t="s">
        <v>58</v>
      </c>
      <c r="J822" s="40">
        <f t="shared" si="137"/>
        <v>0</v>
      </c>
      <c r="K822" s="40">
        <f t="shared" si="138"/>
        <v>0</v>
      </c>
      <c r="L822" s="40" t="s">
        <v>58</v>
      </c>
      <c r="M822" s="50" t="s">
        <v>266</v>
      </c>
      <c r="N822" s="190"/>
      <c r="O822" s="40">
        <f t="shared" ca="1" si="136"/>
        <v>0.38069470912502734</v>
      </c>
      <c r="P822" s="51">
        <f t="shared" si="134"/>
        <v>0</v>
      </c>
      <c r="Q822" s="51">
        <f t="shared" si="135"/>
        <v>0</v>
      </c>
      <c r="R822" s="51">
        <f t="shared" si="139"/>
        <v>0</v>
      </c>
      <c r="S822"/>
      <c r="T822" s="83"/>
    </row>
    <row r="823" spans="1:20" ht="16" x14ac:dyDescent="0.2">
      <c r="A823"/>
      <c r="B823" s="103"/>
      <c r="C823" s="243"/>
      <c r="D823" s="119">
        <v>810</v>
      </c>
      <c r="E823" s="25" t="str">
        <f>Tp_CHG!D172</f>
        <v>Transition Probability from state 5 to state 6 on day 1 (CHG)</v>
      </c>
      <c r="F823" s="40">
        <f t="shared" si="130"/>
        <v>0</v>
      </c>
      <c r="G823" s="156">
        <v>1</v>
      </c>
      <c r="H823" s="120">
        <f>Tp_CHG!G172</f>
        <v>0</v>
      </c>
      <c r="I823" s="40" t="s">
        <v>58</v>
      </c>
      <c r="J823" s="40">
        <f t="shared" si="137"/>
        <v>0</v>
      </c>
      <c r="K823" s="40">
        <f t="shared" si="138"/>
        <v>0</v>
      </c>
      <c r="L823" s="40" t="s">
        <v>58</v>
      </c>
      <c r="M823" s="50" t="s">
        <v>266</v>
      </c>
      <c r="N823" s="190"/>
      <c r="O823" s="40">
        <f t="shared" ca="1" si="136"/>
        <v>0.96357682654511878</v>
      </c>
      <c r="P823" s="51">
        <f t="shared" si="134"/>
        <v>0</v>
      </c>
      <c r="Q823" s="51">
        <f t="shared" si="135"/>
        <v>0</v>
      </c>
      <c r="R823" s="51">
        <f t="shared" si="139"/>
        <v>0</v>
      </c>
      <c r="S823"/>
      <c r="T823" s="83"/>
    </row>
    <row r="824" spans="1:20" ht="16" x14ac:dyDescent="0.2">
      <c r="A824"/>
      <c r="B824" s="103"/>
      <c r="C824" s="243"/>
      <c r="D824" s="119">
        <v>811</v>
      </c>
      <c r="E824" s="25" t="str">
        <f>Tp_CHG!D173</f>
        <v>Transition Probability from state 5 to state 6 on day 2 (CHG)</v>
      </c>
      <c r="F824" s="40">
        <f t="shared" si="130"/>
        <v>0</v>
      </c>
      <c r="G824" s="156">
        <v>1</v>
      </c>
      <c r="H824" s="120">
        <f>Tp_CHG!G173</f>
        <v>0</v>
      </c>
      <c r="I824" s="40" t="s">
        <v>58</v>
      </c>
      <c r="J824" s="40">
        <f t="shared" si="137"/>
        <v>0</v>
      </c>
      <c r="K824" s="40">
        <f t="shared" si="138"/>
        <v>0</v>
      </c>
      <c r="L824" s="40" t="s">
        <v>58</v>
      </c>
      <c r="M824" s="50" t="s">
        <v>266</v>
      </c>
      <c r="N824" s="190"/>
      <c r="O824" s="40">
        <f t="shared" ca="1" si="136"/>
        <v>0.10399237516432114</v>
      </c>
      <c r="P824" s="51">
        <f t="shared" si="134"/>
        <v>0</v>
      </c>
      <c r="Q824" s="51">
        <f t="shared" si="135"/>
        <v>0</v>
      </c>
      <c r="R824" s="51">
        <f t="shared" si="139"/>
        <v>0</v>
      </c>
      <c r="S824"/>
      <c r="T824" s="83"/>
    </row>
    <row r="825" spans="1:20" ht="16" x14ac:dyDescent="0.2">
      <c r="A825"/>
      <c r="B825" s="103"/>
      <c r="C825" s="243"/>
      <c r="D825" s="119">
        <v>812</v>
      </c>
      <c r="E825" s="25" t="str">
        <f>Tp_CHG!D174</f>
        <v>Transition Probability from state 5 to state 6 on day 3 (CHG)</v>
      </c>
      <c r="F825" s="40">
        <f t="shared" si="130"/>
        <v>0</v>
      </c>
      <c r="G825" s="156">
        <v>1</v>
      </c>
      <c r="H825" s="120">
        <f>Tp_CHG!G174</f>
        <v>0</v>
      </c>
      <c r="I825" s="40" t="s">
        <v>58</v>
      </c>
      <c r="J825" s="40">
        <f t="shared" si="137"/>
        <v>0</v>
      </c>
      <c r="K825" s="40">
        <f t="shared" si="138"/>
        <v>0</v>
      </c>
      <c r="L825" s="40" t="s">
        <v>58</v>
      </c>
      <c r="M825" s="50" t="s">
        <v>266</v>
      </c>
      <c r="N825" s="190"/>
      <c r="O825" s="40">
        <f t="shared" ca="1" si="136"/>
        <v>0.26339361156617902</v>
      </c>
      <c r="P825" s="51">
        <f t="shared" si="134"/>
        <v>0</v>
      </c>
      <c r="Q825" s="51">
        <f t="shared" si="135"/>
        <v>0</v>
      </c>
      <c r="R825" s="51">
        <f t="shared" si="139"/>
        <v>0</v>
      </c>
      <c r="S825"/>
      <c r="T825" s="83"/>
    </row>
    <row r="826" spans="1:20" ht="16" x14ac:dyDescent="0.2">
      <c r="A826"/>
      <c r="B826" s="103"/>
      <c r="C826" s="243"/>
      <c r="D826" s="119">
        <v>813</v>
      </c>
      <c r="E826" s="25" t="str">
        <f>Tp_CHG!D175</f>
        <v>Transition Probability from state 5 to state 6 on day 4 (CHG)</v>
      </c>
      <c r="F826" s="40">
        <f t="shared" si="130"/>
        <v>0</v>
      </c>
      <c r="G826" s="156">
        <v>1</v>
      </c>
      <c r="H826" s="120">
        <f>Tp_CHG!G175</f>
        <v>0</v>
      </c>
      <c r="I826" s="40" t="s">
        <v>58</v>
      </c>
      <c r="J826" s="40">
        <f t="shared" si="137"/>
        <v>0</v>
      </c>
      <c r="K826" s="40">
        <f t="shared" si="138"/>
        <v>0</v>
      </c>
      <c r="L826" s="40" t="s">
        <v>58</v>
      </c>
      <c r="M826" s="50" t="s">
        <v>266</v>
      </c>
      <c r="N826" s="190"/>
      <c r="O826" s="40">
        <f t="shared" ca="1" si="136"/>
        <v>0.96797083648002447</v>
      </c>
      <c r="P826" s="51">
        <f t="shared" si="134"/>
        <v>0</v>
      </c>
      <c r="Q826" s="51">
        <f t="shared" si="135"/>
        <v>0</v>
      </c>
      <c r="R826" s="51">
        <f t="shared" si="139"/>
        <v>0</v>
      </c>
      <c r="S826"/>
      <c r="T826" s="83"/>
    </row>
    <row r="827" spans="1:20" ht="16" x14ac:dyDescent="0.2">
      <c r="A827"/>
      <c r="B827" s="103"/>
      <c r="C827" s="243"/>
      <c r="D827" s="119">
        <v>814</v>
      </c>
      <c r="E827" s="25" t="str">
        <f>Tp_CHG!D176</f>
        <v>Transition Probability from state 5 to state 6 on day 5 (CHG)</v>
      </c>
      <c r="F827" s="40">
        <f t="shared" si="130"/>
        <v>0</v>
      </c>
      <c r="G827" s="156">
        <v>1</v>
      </c>
      <c r="H827" s="120">
        <f>Tp_CHG!G176</f>
        <v>0</v>
      </c>
      <c r="I827" s="40" t="s">
        <v>58</v>
      </c>
      <c r="J827" s="40">
        <f t="shared" si="137"/>
        <v>0</v>
      </c>
      <c r="K827" s="40">
        <f t="shared" si="138"/>
        <v>0</v>
      </c>
      <c r="L827" s="40" t="s">
        <v>58</v>
      </c>
      <c r="M827" s="50" t="s">
        <v>266</v>
      </c>
      <c r="N827" s="190"/>
      <c r="O827" s="40">
        <f t="shared" ca="1" si="136"/>
        <v>0.25072082421491926</v>
      </c>
      <c r="P827" s="51">
        <f t="shared" si="134"/>
        <v>0</v>
      </c>
      <c r="Q827" s="51">
        <f t="shared" si="135"/>
        <v>0</v>
      </c>
      <c r="R827" s="51">
        <f t="shared" si="139"/>
        <v>0</v>
      </c>
      <c r="S827"/>
      <c r="T827" s="83"/>
    </row>
    <row r="828" spans="1:20" ht="16" x14ac:dyDescent="0.2">
      <c r="A828"/>
      <c r="B828" s="103"/>
      <c r="C828" s="243"/>
      <c r="D828" s="119">
        <v>815</v>
      </c>
      <c r="E828" s="25" t="str">
        <f>Tp_CHG!D177</f>
        <v>Transition Probability from state 5 to state 6 on day 6 (CHG)</v>
      </c>
      <c r="F828" s="40">
        <f t="shared" si="130"/>
        <v>1</v>
      </c>
      <c r="G828" s="156">
        <v>1</v>
      </c>
      <c r="H828" s="120">
        <f>Tp_CHG!G177</f>
        <v>1</v>
      </c>
      <c r="I828" s="40" t="s">
        <v>58</v>
      </c>
      <c r="J828" s="40">
        <f t="shared" si="137"/>
        <v>0.8040036015459946</v>
      </c>
      <c r="K828" s="40">
        <f t="shared" si="138"/>
        <v>1.1959963984540054</v>
      </c>
      <c r="L828" s="40" t="s">
        <v>58</v>
      </c>
      <c r="M828" s="50" t="s">
        <v>266</v>
      </c>
      <c r="N828" s="190"/>
      <c r="O828" s="40">
        <f t="shared" ca="1" si="136"/>
        <v>0.95484093555692728</v>
      </c>
      <c r="P828" s="51">
        <f t="shared" si="134"/>
        <v>-1</v>
      </c>
      <c r="Q828" s="51">
        <f t="shared" si="135"/>
        <v>0</v>
      </c>
      <c r="R828" s="51">
        <f t="shared" si="139"/>
        <v>0.1</v>
      </c>
      <c r="S828"/>
      <c r="T828" s="83"/>
    </row>
    <row r="829" spans="1:20" ht="16" x14ac:dyDescent="0.2">
      <c r="A829"/>
      <c r="B829" s="103"/>
      <c r="C829" s="243"/>
      <c r="D829" s="119">
        <v>816</v>
      </c>
      <c r="E829" s="25" t="str">
        <f>Tp_CHG!D178</f>
        <v>Transition Probability from state 5 to state 6 on day 7 (CHG)</v>
      </c>
      <c r="F829" s="40">
        <f t="shared" si="130"/>
        <v>1</v>
      </c>
      <c r="G829" s="156">
        <v>1</v>
      </c>
      <c r="H829" s="120">
        <f>Tp_CHG!G178</f>
        <v>1</v>
      </c>
      <c r="I829" s="40" t="s">
        <v>58</v>
      </c>
      <c r="J829" s="40">
        <f t="shared" si="137"/>
        <v>0.8040036015459946</v>
      </c>
      <c r="K829" s="40">
        <f t="shared" si="138"/>
        <v>1.1959963984540054</v>
      </c>
      <c r="L829" s="40" t="s">
        <v>58</v>
      </c>
      <c r="M829" s="50" t="s">
        <v>266</v>
      </c>
      <c r="N829" s="190"/>
      <c r="O829" s="40">
        <f t="shared" ca="1" si="136"/>
        <v>0.16985217740916447</v>
      </c>
      <c r="P829" s="51">
        <f t="shared" si="134"/>
        <v>-1</v>
      </c>
      <c r="Q829" s="51">
        <f t="shared" si="135"/>
        <v>0</v>
      </c>
      <c r="R829" s="51">
        <f t="shared" si="139"/>
        <v>0.1</v>
      </c>
      <c r="S829"/>
      <c r="T829" s="83"/>
    </row>
    <row r="830" spans="1:20" ht="16" x14ac:dyDescent="0.2">
      <c r="A830"/>
      <c r="B830" s="103"/>
      <c r="C830" s="243"/>
      <c r="D830" s="119">
        <v>817</v>
      </c>
      <c r="E830" s="25" t="str">
        <f>Tp_CHG!D179</f>
        <v>Transition Probability from state 5 to state 6 on day 8 (CHG)</v>
      </c>
      <c r="F830" s="40">
        <f t="shared" si="130"/>
        <v>0</v>
      </c>
      <c r="G830" s="156">
        <v>1</v>
      </c>
      <c r="H830" s="120">
        <f>Tp_CHG!G179</f>
        <v>0</v>
      </c>
      <c r="I830" s="40" t="s">
        <v>58</v>
      </c>
      <c r="J830" s="40">
        <f t="shared" si="137"/>
        <v>0</v>
      </c>
      <c r="K830" s="40">
        <f t="shared" si="138"/>
        <v>0</v>
      </c>
      <c r="L830" s="40" t="s">
        <v>58</v>
      </c>
      <c r="M830" s="50" t="s">
        <v>266</v>
      </c>
      <c r="N830" s="190"/>
      <c r="O830" s="40">
        <f t="shared" ca="1" si="136"/>
        <v>0.30857437203321392</v>
      </c>
      <c r="P830" s="51">
        <f t="shared" si="134"/>
        <v>0</v>
      </c>
      <c r="Q830" s="51">
        <f t="shared" si="135"/>
        <v>0</v>
      </c>
      <c r="R830" s="51">
        <f t="shared" si="139"/>
        <v>0</v>
      </c>
      <c r="S830"/>
      <c r="T830" s="83"/>
    </row>
    <row r="831" spans="1:20" ht="16" x14ac:dyDescent="0.2">
      <c r="A831"/>
      <c r="B831" s="103"/>
      <c r="C831" s="243"/>
      <c r="D831" s="119">
        <v>818</v>
      </c>
      <c r="E831" s="25" t="str">
        <f>Tp_CHG!D180</f>
        <v>Transition Probability from state 5 to state 6 on day 9 (CHG)</v>
      </c>
      <c r="F831" s="40">
        <f t="shared" si="130"/>
        <v>1</v>
      </c>
      <c r="G831" s="156">
        <v>1</v>
      </c>
      <c r="H831" s="120">
        <f>Tp_CHG!G180</f>
        <v>1</v>
      </c>
      <c r="I831" s="40" t="s">
        <v>58</v>
      </c>
      <c r="J831" s="40">
        <f t="shared" si="137"/>
        <v>0.8040036015459946</v>
      </c>
      <c r="K831" s="40">
        <f t="shared" si="138"/>
        <v>1.1959963984540054</v>
      </c>
      <c r="L831" s="40" t="s">
        <v>58</v>
      </c>
      <c r="M831" s="50" t="s">
        <v>266</v>
      </c>
      <c r="N831" s="190"/>
      <c r="O831" s="40">
        <f t="shared" ca="1" si="136"/>
        <v>0.11373422641047937</v>
      </c>
      <c r="P831" s="51">
        <f t="shared" si="134"/>
        <v>-1</v>
      </c>
      <c r="Q831" s="51">
        <f t="shared" si="135"/>
        <v>0</v>
      </c>
      <c r="R831" s="51">
        <f t="shared" si="139"/>
        <v>0.1</v>
      </c>
      <c r="S831"/>
      <c r="T831" s="83"/>
    </row>
    <row r="832" spans="1:20" ht="16" x14ac:dyDescent="0.2">
      <c r="A832"/>
      <c r="B832" s="103"/>
      <c r="C832" s="243"/>
      <c r="D832" s="119">
        <v>819</v>
      </c>
      <c r="E832" s="25" t="str">
        <f>Tp_CHG!D181</f>
        <v>Transition Probability from state 5 to state 6 on day 10 (CHG)</v>
      </c>
      <c r="F832" s="40">
        <f t="shared" si="130"/>
        <v>1</v>
      </c>
      <c r="G832" s="156">
        <v>1</v>
      </c>
      <c r="H832" s="120">
        <f>Tp_CHG!G181</f>
        <v>1</v>
      </c>
      <c r="I832" s="40" t="s">
        <v>58</v>
      </c>
      <c r="J832" s="40">
        <f t="shared" si="137"/>
        <v>0.8040036015459946</v>
      </c>
      <c r="K832" s="40">
        <f t="shared" si="138"/>
        <v>1.1959963984540054</v>
      </c>
      <c r="L832" s="40" t="s">
        <v>58</v>
      </c>
      <c r="M832" s="50" t="s">
        <v>266</v>
      </c>
      <c r="N832" s="190"/>
      <c r="O832" s="40">
        <f t="shared" ca="1" si="136"/>
        <v>0.5155340819587606</v>
      </c>
      <c r="P832" s="51">
        <f t="shared" si="134"/>
        <v>-1</v>
      </c>
      <c r="Q832" s="51">
        <f t="shared" si="135"/>
        <v>0</v>
      </c>
      <c r="R832" s="51">
        <f t="shared" si="139"/>
        <v>0.1</v>
      </c>
      <c r="S832"/>
      <c r="T832" s="83"/>
    </row>
    <row r="833" spans="1:20" ht="16" x14ac:dyDescent="0.2">
      <c r="A833"/>
      <c r="B833" s="103"/>
      <c r="C833" s="243"/>
      <c r="D833" s="119">
        <v>820</v>
      </c>
      <c r="E833" s="25" t="str">
        <f>Tp_CHG!D182</f>
        <v>Transition Probability from state 5 to state 6 on day 11 (CHG)</v>
      </c>
      <c r="F833" s="40">
        <f t="shared" si="130"/>
        <v>1</v>
      </c>
      <c r="G833" s="156">
        <v>1</v>
      </c>
      <c r="H833" s="120">
        <f>Tp_CHG!G182</f>
        <v>1</v>
      </c>
      <c r="I833" s="40" t="s">
        <v>58</v>
      </c>
      <c r="J833" s="40">
        <f t="shared" si="137"/>
        <v>0.8040036015459946</v>
      </c>
      <c r="K833" s="40">
        <f t="shared" si="138"/>
        <v>1.1959963984540054</v>
      </c>
      <c r="L833" s="40" t="s">
        <v>58</v>
      </c>
      <c r="M833" s="50" t="s">
        <v>266</v>
      </c>
      <c r="N833" s="190"/>
      <c r="O833" s="40">
        <f t="shared" ca="1" si="136"/>
        <v>0.29830985584176994</v>
      </c>
      <c r="P833" s="51">
        <f t="shared" si="134"/>
        <v>-1</v>
      </c>
      <c r="Q833" s="51">
        <f t="shared" si="135"/>
        <v>0</v>
      </c>
      <c r="R833" s="51">
        <f t="shared" si="139"/>
        <v>0.1</v>
      </c>
      <c r="S833"/>
      <c r="T833" s="83"/>
    </row>
    <row r="834" spans="1:20" ht="16" x14ac:dyDescent="0.2">
      <c r="A834"/>
      <c r="B834" s="103"/>
      <c r="C834" s="243"/>
      <c r="D834" s="119">
        <v>821</v>
      </c>
      <c r="E834" s="25" t="str">
        <f>Tp_CHG!D183</f>
        <v>Transition Probability from state 5 to state 6 on day 12 (CHG)</v>
      </c>
      <c r="F834" s="40">
        <f t="shared" si="130"/>
        <v>1</v>
      </c>
      <c r="G834" s="156">
        <v>1</v>
      </c>
      <c r="H834" s="120">
        <f>Tp_CHG!G183</f>
        <v>1</v>
      </c>
      <c r="I834" s="40" t="s">
        <v>58</v>
      </c>
      <c r="J834" s="40">
        <f t="shared" si="137"/>
        <v>0.8040036015459946</v>
      </c>
      <c r="K834" s="40">
        <f t="shared" si="138"/>
        <v>1.1959963984540054</v>
      </c>
      <c r="L834" s="40" t="s">
        <v>58</v>
      </c>
      <c r="M834" s="50" t="s">
        <v>266</v>
      </c>
      <c r="N834" s="190"/>
      <c r="O834" s="40">
        <f t="shared" ca="1" si="136"/>
        <v>0.52759309470762461</v>
      </c>
      <c r="P834" s="51">
        <f t="shared" si="134"/>
        <v>-1</v>
      </c>
      <c r="Q834" s="51">
        <f t="shared" si="135"/>
        <v>0</v>
      </c>
      <c r="R834" s="51">
        <f t="shared" si="139"/>
        <v>0.1</v>
      </c>
      <c r="S834"/>
      <c r="T834" s="83"/>
    </row>
    <row r="835" spans="1:20" ht="16" x14ac:dyDescent="0.2">
      <c r="A835"/>
      <c r="B835" s="103"/>
      <c r="C835" s="243"/>
      <c r="D835" s="119">
        <v>822</v>
      </c>
      <c r="E835" s="25" t="str">
        <f>Tp_CHG!D184</f>
        <v>Transition Probability from state 5 to state 6 on day 13 (CHG)</v>
      </c>
      <c r="F835" s="40">
        <f t="shared" si="130"/>
        <v>1</v>
      </c>
      <c r="G835" s="156">
        <v>1</v>
      </c>
      <c r="H835" s="120">
        <f>Tp_CHG!G184</f>
        <v>1</v>
      </c>
      <c r="I835" s="40" t="s">
        <v>58</v>
      </c>
      <c r="J835" s="40">
        <f t="shared" si="137"/>
        <v>0.8040036015459946</v>
      </c>
      <c r="K835" s="40">
        <f t="shared" si="138"/>
        <v>1.1959963984540054</v>
      </c>
      <c r="L835" s="40" t="s">
        <v>58</v>
      </c>
      <c r="M835" s="50" t="s">
        <v>266</v>
      </c>
      <c r="N835" s="190"/>
      <c r="O835" s="40">
        <f t="shared" ca="1" si="136"/>
        <v>0.75291263737829628</v>
      </c>
      <c r="P835" s="51">
        <f t="shared" si="134"/>
        <v>-1</v>
      </c>
      <c r="Q835" s="51">
        <f t="shared" si="135"/>
        <v>0</v>
      </c>
      <c r="R835" s="51">
        <f t="shared" si="139"/>
        <v>0.1</v>
      </c>
      <c r="S835"/>
      <c r="T835" s="83"/>
    </row>
    <row r="836" spans="1:20" ht="16" x14ac:dyDescent="0.2">
      <c r="A836"/>
      <c r="B836" s="103"/>
      <c r="C836" s="243"/>
      <c r="D836" s="119">
        <v>823</v>
      </c>
      <c r="E836" s="25" t="str">
        <f>Tp_CHG!D185</f>
        <v>Transition Probability from state 5 to state 6 on day 14 (CHG)</v>
      </c>
      <c r="F836" s="40">
        <f t="shared" si="130"/>
        <v>1</v>
      </c>
      <c r="G836" s="156">
        <v>1</v>
      </c>
      <c r="H836" s="120">
        <f>Tp_CHG!G185</f>
        <v>1</v>
      </c>
      <c r="I836" s="40" t="s">
        <v>58</v>
      </c>
      <c r="J836" s="40">
        <f t="shared" si="137"/>
        <v>0.8040036015459946</v>
      </c>
      <c r="K836" s="40">
        <f t="shared" si="138"/>
        <v>1.1959963984540054</v>
      </c>
      <c r="L836" s="40" t="s">
        <v>58</v>
      </c>
      <c r="M836" s="50" t="s">
        <v>266</v>
      </c>
      <c r="N836" s="190"/>
      <c r="O836" s="40">
        <f t="shared" ca="1" si="136"/>
        <v>0.75667383443353753</v>
      </c>
      <c r="P836" s="51">
        <f t="shared" si="134"/>
        <v>-1</v>
      </c>
      <c r="Q836" s="51">
        <f t="shared" si="135"/>
        <v>0</v>
      </c>
      <c r="R836" s="51">
        <f t="shared" si="139"/>
        <v>0.1</v>
      </c>
      <c r="S836"/>
      <c r="T836" s="83"/>
    </row>
    <row r="837" spans="1:20" ht="16" x14ac:dyDescent="0.2">
      <c r="A837"/>
      <c r="B837" s="103"/>
      <c r="C837" s="243"/>
      <c r="D837" s="119">
        <v>824</v>
      </c>
      <c r="E837" s="25" t="str">
        <f>Tp_CHG!D186</f>
        <v>Transition Probability from state 5 to state 6 on day 15 (CHG)</v>
      </c>
      <c r="F837" s="40">
        <f t="shared" si="130"/>
        <v>1</v>
      </c>
      <c r="G837" s="156">
        <v>1</v>
      </c>
      <c r="H837" s="120">
        <f>Tp_CHG!G186</f>
        <v>1</v>
      </c>
      <c r="I837" s="40" t="s">
        <v>58</v>
      </c>
      <c r="J837" s="40">
        <f t="shared" si="137"/>
        <v>0.8040036015459946</v>
      </c>
      <c r="K837" s="40">
        <f t="shared" si="138"/>
        <v>1.1959963984540054</v>
      </c>
      <c r="L837" s="40" t="s">
        <v>58</v>
      </c>
      <c r="M837" s="50" t="s">
        <v>266</v>
      </c>
      <c r="N837" s="190"/>
      <c r="O837" s="40">
        <f t="shared" ca="1" si="136"/>
        <v>0.68090536784650402</v>
      </c>
      <c r="P837" s="51">
        <f t="shared" si="134"/>
        <v>-1</v>
      </c>
      <c r="Q837" s="51">
        <f t="shared" si="135"/>
        <v>0</v>
      </c>
      <c r="R837" s="51">
        <f t="shared" si="139"/>
        <v>0.1</v>
      </c>
      <c r="S837"/>
      <c r="T837" s="83"/>
    </row>
    <row r="838" spans="1:20" ht="16" x14ac:dyDescent="0.2">
      <c r="A838"/>
      <c r="B838" s="103"/>
      <c r="C838" s="243"/>
      <c r="D838" s="119">
        <v>825</v>
      </c>
      <c r="E838" s="25" t="str">
        <f>Tp_CHG!D187</f>
        <v>Transition Probability from state 5 to state 6 on day 16 (CHG)</v>
      </c>
      <c r="F838" s="40">
        <f t="shared" si="130"/>
        <v>1</v>
      </c>
      <c r="G838" s="156">
        <v>1</v>
      </c>
      <c r="H838" s="120">
        <f>Tp_CHG!G187</f>
        <v>1</v>
      </c>
      <c r="I838" s="40" t="s">
        <v>58</v>
      </c>
      <c r="J838" s="40">
        <f t="shared" si="137"/>
        <v>0.8040036015459946</v>
      </c>
      <c r="K838" s="40">
        <f t="shared" si="138"/>
        <v>1.1959963984540054</v>
      </c>
      <c r="L838" s="40" t="s">
        <v>58</v>
      </c>
      <c r="M838" s="50" t="s">
        <v>266</v>
      </c>
      <c r="N838" s="190"/>
      <c r="O838" s="40">
        <f t="shared" ca="1" si="136"/>
        <v>0.83864763843140977</v>
      </c>
      <c r="P838" s="51">
        <f t="shared" si="134"/>
        <v>-1</v>
      </c>
      <c r="Q838" s="51">
        <f t="shared" si="135"/>
        <v>0</v>
      </c>
      <c r="R838" s="51">
        <f t="shared" si="139"/>
        <v>0.1</v>
      </c>
      <c r="S838"/>
      <c r="T838" s="83"/>
    </row>
    <row r="839" spans="1:20" ht="16" x14ac:dyDescent="0.2">
      <c r="A839"/>
      <c r="B839" s="103"/>
      <c r="C839" s="243"/>
      <c r="D839" s="119">
        <v>826</v>
      </c>
      <c r="E839" s="25" t="str">
        <f>Tp_CHG!D188</f>
        <v>Transition Probability from state 5 to state 6 on day 17 (CHG)</v>
      </c>
      <c r="F839" s="40">
        <f t="shared" si="130"/>
        <v>0</v>
      </c>
      <c r="G839" s="156">
        <v>1</v>
      </c>
      <c r="H839" s="120">
        <f>Tp_CHG!G188</f>
        <v>0</v>
      </c>
      <c r="I839" s="40" t="s">
        <v>58</v>
      </c>
      <c r="J839" s="40">
        <f t="shared" si="137"/>
        <v>0</v>
      </c>
      <c r="K839" s="40">
        <f t="shared" si="138"/>
        <v>0</v>
      </c>
      <c r="L839" s="40" t="s">
        <v>58</v>
      </c>
      <c r="M839" s="50" t="s">
        <v>266</v>
      </c>
      <c r="N839" s="190"/>
      <c r="O839" s="40">
        <f t="shared" ca="1" si="136"/>
        <v>0.35356196500582815</v>
      </c>
      <c r="P839" s="51">
        <f t="shared" si="134"/>
        <v>0</v>
      </c>
      <c r="Q839" s="51">
        <f t="shared" si="135"/>
        <v>0</v>
      </c>
      <c r="R839" s="51">
        <f t="shared" si="139"/>
        <v>0</v>
      </c>
      <c r="S839"/>
      <c r="T839" s="83"/>
    </row>
    <row r="840" spans="1:20" ht="16" x14ac:dyDescent="0.2">
      <c r="A840"/>
      <c r="B840" s="103"/>
      <c r="C840" s="243"/>
      <c r="D840" s="119">
        <v>827</v>
      </c>
      <c r="E840" s="25" t="str">
        <f>Tp_CHG!D189</f>
        <v>Transition Probability from state 5 to state 6 on day 18 (CHG)</v>
      </c>
      <c r="F840" s="40">
        <f t="shared" si="130"/>
        <v>0</v>
      </c>
      <c r="G840" s="156">
        <v>1</v>
      </c>
      <c r="H840" s="120">
        <f>Tp_CHG!G189</f>
        <v>0</v>
      </c>
      <c r="I840" s="40" t="s">
        <v>58</v>
      </c>
      <c r="J840" s="40">
        <f t="shared" si="137"/>
        <v>0</v>
      </c>
      <c r="K840" s="40">
        <f t="shared" si="138"/>
        <v>0</v>
      </c>
      <c r="L840" s="40" t="s">
        <v>58</v>
      </c>
      <c r="M840" s="50" t="s">
        <v>266</v>
      </c>
      <c r="N840" s="190"/>
      <c r="O840" s="40">
        <f t="shared" ca="1" si="136"/>
        <v>0.90806353350622027</v>
      </c>
      <c r="P840" s="51">
        <f t="shared" si="134"/>
        <v>0</v>
      </c>
      <c r="Q840" s="51">
        <f t="shared" si="135"/>
        <v>0</v>
      </c>
      <c r="R840" s="51">
        <f t="shared" si="139"/>
        <v>0</v>
      </c>
      <c r="S840"/>
      <c r="T840" s="83"/>
    </row>
    <row r="841" spans="1:20" ht="16" x14ac:dyDescent="0.2">
      <c r="A841"/>
      <c r="B841" s="103"/>
      <c r="C841" s="243"/>
      <c r="D841" s="119">
        <v>828</v>
      </c>
      <c r="E841" s="25" t="str">
        <f>Tp_CHG!D190</f>
        <v>Transition Probability from state 5 to state 6 on day 19 (CHG)</v>
      </c>
      <c r="F841" s="40">
        <f t="shared" si="130"/>
        <v>0</v>
      </c>
      <c r="G841" s="156">
        <v>1</v>
      </c>
      <c r="H841" s="120">
        <f>Tp_CHG!G190</f>
        <v>0</v>
      </c>
      <c r="I841" s="40" t="s">
        <v>58</v>
      </c>
      <c r="J841" s="40">
        <f t="shared" ref="J841:J852" si="140">IF(H841=0,0,_xlfn.NORM.INV(0.025,H841,R841))</f>
        <v>0</v>
      </c>
      <c r="K841" s="40">
        <f t="shared" ref="K841:K852" si="141">IF(H841=0,0,_xlfn.NORM.INV(0.975,H841,R841))</f>
        <v>0</v>
      </c>
      <c r="L841" s="40" t="s">
        <v>58</v>
      </c>
      <c r="M841" s="50" t="s">
        <v>266</v>
      </c>
      <c r="N841" s="190"/>
      <c r="O841" s="40">
        <f t="shared" ca="1" si="136"/>
        <v>3.9025839075443436E-2</v>
      </c>
      <c r="P841" s="51">
        <f t="shared" si="134"/>
        <v>0</v>
      </c>
      <c r="Q841" s="51">
        <f t="shared" si="135"/>
        <v>0</v>
      </c>
      <c r="R841" s="51">
        <f t="shared" ref="R841:R852" si="142">assumedSE*H841</f>
        <v>0</v>
      </c>
      <c r="S841"/>
      <c r="T841" s="83"/>
    </row>
    <row r="842" spans="1:20" ht="16" x14ac:dyDescent="0.2">
      <c r="A842"/>
      <c r="B842" s="103"/>
      <c r="C842" s="243"/>
      <c r="D842" s="119">
        <v>829</v>
      </c>
      <c r="E842" s="25" t="str">
        <f>Tp_CHG!D191</f>
        <v>Transition Probability from state 5 to state 6 on day 20 (CHG)</v>
      </c>
      <c r="F842" s="40">
        <f t="shared" si="130"/>
        <v>1</v>
      </c>
      <c r="G842" s="156">
        <v>1</v>
      </c>
      <c r="H842" s="120">
        <f>Tp_CHG!G191</f>
        <v>1</v>
      </c>
      <c r="I842" s="40" t="s">
        <v>58</v>
      </c>
      <c r="J842" s="40">
        <f t="shared" si="140"/>
        <v>0.8040036015459946</v>
      </c>
      <c r="K842" s="40">
        <f t="shared" si="141"/>
        <v>1.1959963984540054</v>
      </c>
      <c r="L842" s="40" t="s">
        <v>58</v>
      </c>
      <c r="M842" s="50" t="s">
        <v>266</v>
      </c>
      <c r="N842" s="190"/>
      <c r="O842" s="40">
        <f t="shared" ca="1" si="136"/>
        <v>0.55577819846367482</v>
      </c>
      <c r="P842" s="51">
        <f t="shared" si="134"/>
        <v>-1</v>
      </c>
      <c r="Q842" s="51">
        <f t="shared" si="135"/>
        <v>0</v>
      </c>
      <c r="R842" s="51">
        <f t="shared" si="142"/>
        <v>0.1</v>
      </c>
      <c r="S842"/>
      <c r="T842" s="83"/>
    </row>
    <row r="843" spans="1:20" ht="14" customHeight="1" x14ac:dyDescent="0.2">
      <c r="A843"/>
      <c r="B843" s="103"/>
      <c r="C843" s="243"/>
      <c r="D843" s="119">
        <v>830</v>
      </c>
      <c r="E843" s="25" t="str">
        <f>Tp_CHG!D192</f>
        <v>Transition Probability from state 5 to state 6 on day 21 (CHG)</v>
      </c>
      <c r="F843" s="40">
        <f t="shared" si="130"/>
        <v>0</v>
      </c>
      <c r="G843" s="156">
        <v>1</v>
      </c>
      <c r="H843" s="120">
        <f>Tp_CHG!G192</f>
        <v>0</v>
      </c>
      <c r="I843" s="40" t="s">
        <v>58</v>
      </c>
      <c r="J843" s="40">
        <f t="shared" si="140"/>
        <v>0</v>
      </c>
      <c r="K843" s="40">
        <f t="shared" si="141"/>
        <v>0</v>
      </c>
      <c r="L843" s="40" t="s">
        <v>58</v>
      </c>
      <c r="M843" s="50" t="s">
        <v>266</v>
      </c>
      <c r="N843" s="190"/>
      <c r="O843" s="40">
        <f t="shared" ca="1" si="136"/>
        <v>0.94468750841476457</v>
      </c>
      <c r="P843" s="51">
        <f t="shared" si="134"/>
        <v>0</v>
      </c>
      <c r="Q843" s="51">
        <f t="shared" si="135"/>
        <v>0</v>
      </c>
      <c r="R843" s="51">
        <f t="shared" si="142"/>
        <v>0</v>
      </c>
      <c r="S843"/>
      <c r="T843" s="83"/>
    </row>
    <row r="844" spans="1:20" ht="16" x14ac:dyDescent="0.2">
      <c r="A844"/>
      <c r="B844" s="103"/>
      <c r="C844" s="243"/>
      <c r="D844" s="119">
        <v>831</v>
      </c>
      <c r="E844" s="25" t="str">
        <f>Tp_CHG!D193</f>
        <v>Transition Probability from state 5 to state 6 on day 22 (CHG)</v>
      </c>
      <c r="F844" s="40">
        <f t="shared" si="130"/>
        <v>1</v>
      </c>
      <c r="G844" s="156">
        <v>1</v>
      </c>
      <c r="H844" s="120">
        <f>Tp_CHG!G193</f>
        <v>1</v>
      </c>
      <c r="I844" s="40" t="s">
        <v>58</v>
      </c>
      <c r="J844" s="40">
        <f t="shared" si="140"/>
        <v>0.8040036015459946</v>
      </c>
      <c r="K844" s="40">
        <f t="shared" si="141"/>
        <v>1.1959963984540054</v>
      </c>
      <c r="L844" s="40" t="s">
        <v>58</v>
      </c>
      <c r="M844" s="50" t="s">
        <v>266</v>
      </c>
      <c r="N844" s="190"/>
      <c r="O844" s="40">
        <f t="shared" ca="1" si="136"/>
        <v>0.37987117469488474</v>
      </c>
      <c r="P844" s="51">
        <f t="shared" si="134"/>
        <v>-1</v>
      </c>
      <c r="Q844" s="51">
        <f t="shared" si="135"/>
        <v>0</v>
      </c>
      <c r="R844" s="51">
        <f t="shared" si="142"/>
        <v>0.1</v>
      </c>
      <c r="S844"/>
      <c r="T844" s="83"/>
    </row>
    <row r="845" spans="1:20" ht="16" x14ac:dyDescent="0.2">
      <c r="A845"/>
      <c r="B845" s="103"/>
      <c r="C845" s="243"/>
      <c r="D845" s="119">
        <v>832</v>
      </c>
      <c r="E845" s="25" t="str">
        <f>Tp_CHG!D194</f>
        <v>Transition Probability from state 5 to state 6 on day 23 (CHG)</v>
      </c>
      <c r="F845" s="40">
        <f t="shared" si="130"/>
        <v>0</v>
      </c>
      <c r="G845" s="156">
        <v>1</v>
      </c>
      <c r="H845" s="120">
        <f>Tp_CHG!G194</f>
        <v>0</v>
      </c>
      <c r="I845" s="40" t="s">
        <v>58</v>
      </c>
      <c r="J845" s="40">
        <f t="shared" si="140"/>
        <v>0</v>
      </c>
      <c r="K845" s="40">
        <f t="shared" si="141"/>
        <v>0</v>
      </c>
      <c r="L845" s="40" t="s">
        <v>58</v>
      </c>
      <c r="M845" s="50" t="s">
        <v>266</v>
      </c>
      <c r="N845" s="190"/>
      <c r="O845" s="40">
        <f t="shared" ca="1" si="136"/>
        <v>0.36585425764079282</v>
      </c>
      <c r="P845" s="51">
        <f t="shared" si="134"/>
        <v>0</v>
      </c>
      <c r="Q845" s="51">
        <f t="shared" si="135"/>
        <v>0</v>
      </c>
      <c r="R845" s="51">
        <f t="shared" si="142"/>
        <v>0</v>
      </c>
      <c r="S845"/>
      <c r="T845" s="83"/>
    </row>
    <row r="846" spans="1:20" ht="16" x14ac:dyDescent="0.2">
      <c r="A846"/>
      <c r="B846" s="103"/>
      <c r="C846" s="243"/>
      <c r="D846" s="119">
        <v>833</v>
      </c>
      <c r="E846" s="25" t="str">
        <f>Tp_CHG!D195</f>
        <v>Transition Probability from state 5 to state 6 on day 24 (CHG)</v>
      </c>
      <c r="F846" s="40">
        <f t="shared" si="130"/>
        <v>1</v>
      </c>
      <c r="G846" s="156">
        <v>1</v>
      </c>
      <c r="H846" s="120">
        <f>Tp_CHG!G195</f>
        <v>1</v>
      </c>
      <c r="I846" s="40" t="s">
        <v>58</v>
      </c>
      <c r="J846" s="40">
        <f t="shared" si="140"/>
        <v>0.8040036015459946</v>
      </c>
      <c r="K846" s="40">
        <f t="shared" si="141"/>
        <v>1.1959963984540054</v>
      </c>
      <c r="L846" s="40" t="s">
        <v>58</v>
      </c>
      <c r="M846" s="50" t="s">
        <v>266</v>
      </c>
      <c r="N846" s="190"/>
      <c r="O846" s="40">
        <f t="shared" ca="1" si="136"/>
        <v>0.55389423268813343</v>
      </c>
      <c r="P846" s="51">
        <f t="shared" si="134"/>
        <v>-1</v>
      </c>
      <c r="Q846" s="51">
        <f t="shared" si="135"/>
        <v>0</v>
      </c>
      <c r="R846" s="51">
        <f t="shared" si="142"/>
        <v>0.1</v>
      </c>
      <c r="S846"/>
      <c r="T846" s="83"/>
    </row>
    <row r="847" spans="1:20" ht="16" x14ac:dyDescent="0.2">
      <c r="A847"/>
      <c r="B847" s="103"/>
      <c r="C847" s="243"/>
      <c r="D847" s="119">
        <v>834</v>
      </c>
      <c r="E847" s="25" t="str">
        <f>Tp_CHG!D196</f>
        <v>Transition Probability from state 5 to state 6 on day 25 (CHG)</v>
      </c>
      <c r="F847" s="40">
        <f t="shared" ref="F847:F910" si="143">IFERROR(CHOOSE(G847,H847,J847,K847,N847),0)</f>
        <v>0</v>
      </c>
      <c r="G847" s="156">
        <v>1</v>
      </c>
      <c r="H847" s="120">
        <f>Tp_CHG!G196</f>
        <v>0</v>
      </c>
      <c r="I847" s="40" t="s">
        <v>58</v>
      </c>
      <c r="J847" s="40">
        <f t="shared" si="140"/>
        <v>0</v>
      </c>
      <c r="K847" s="40">
        <f t="shared" si="141"/>
        <v>0</v>
      </c>
      <c r="L847" s="40" t="s">
        <v>58</v>
      </c>
      <c r="M847" s="50" t="s">
        <v>266</v>
      </c>
      <c r="N847" s="190"/>
      <c r="O847" s="40">
        <f t="shared" ref="O847:O879" ca="1" si="144">RAND()</f>
        <v>0.15058260984796301</v>
      </c>
      <c r="P847" s="51">
        <f t="shared" si="134"/>
        <v>0</v>
      </c>
      <c r="Q847" s="51">
        <f t="shared" si="135"/>
        <v>0</v>
      </c>
      <c r="R847" s="51">
        <f t="shared" si="142"/>
        <v>0</v>
      </c>
      <c r="S847"/>
      <c r="T847" s="83"/>
    </row>
    <row r="848" spans="1:20" ht="16" x14ac:dyDescent="0.2">
      <c r="A848"/>
      <c r="B848" s="103"/>
      <c r="C848" s="243"/>
      <c r="D848" s="119">
        <v>835</v>
      </c>
      <c r="E848" s="25" t="str">
        <f>Tp_CHG!D197</f>
        <v>Transition Probability from state 5 to state 6 on day 26 (CHG)</v>
      </c>
      <c r="F848" s="40">
        <f t="shared" si="143"/>
        <v>1</v>
      </c>
      <c r="G848" s="156">
        <v>1</v>
      </c>
      <c r="H848" s="120">
        <f>Tp_CHG!G197</f>
        <v>1</v>
      </c>
      <c r="I848" s="40" t="s">
        <v>58</v>
      </c>
      <c r="J848" s="40">
        <f t="shared" si="140"/>
        <v>0.8040036015459946</v>
      </c>
      <c r="K848" s="40">
        <f t="shared" si="141"/>
        <v>1.1959963984540054</v>
      </c>
      <c r="L848" s="40" t="s">
        <v>58</v>
      </c>
      <c r="M848" s="50" t="s">
        <v>266</v>
      </c>
      <c r="N848" s="190"/>
      <c r="O848" s="40">
        <f t="shared" ca="1" si="144"/>
        <v>0.49818251509860023</v>
      </c>
      <c r="P848" s="51">
        <f t="shared" si="134"/>
        <v>-1</v>
      </c>
      <c r="Q848" s="51">
        <f t="shared" si="135"/>
        <v>0</v>
      </c>
      <c r="R848" s="51">
        <f t="shared" si="142"/>
        <v>0.1</v>
      </c>
      <c r="S848"/>
      <c r="T848" s="83"/>
    </row>
    <row r="849" spans="1:20" ht="16" x14ac:dyDescent="0.2">
      <c r="A849"/>
      <c r="B849" s="103"/>
      <c r="C849" s="243"/>
      <c r="D849" s="119">
        <v>836</v>
      </c>
      <c r="E849" s="25" t="str">
        <f>Tp_CHG!D198</f>
        <v>Transition Probability from state 5 to state 6 on day 27 (CHG)</v>
      </c>
      <c r="F849" s="40">
        <f t="shared" si="143"/>
        <v>1</v>
      </c>
      <c r="G849" s="156">
        <v>1</v>
      </c>
      <c r="H849" s="120">
        <f>Tp_CHG!G198</f>
        <v>1</v>
      </c>
      <c r="I849" s="40" t="s">
        <v>58</v>
      </c>
      <c r="J849" s="40">
        <f t="shared" si="140"/>
        <v>0.8040036015459946</v>
      </c>
      <c r="K849" s="40">
        <f t="shared" si="141"/>
        <v>1.1959963984540054</v>
      </c>
      <c r="L849" s="40" t="s">
        <v>58</v>
      </c>
      <c r="M849" s="50" t="s">
        <v>266</v>
      </c>
      <c r="N849" s="190"/>
      <c r="O849" s="40">
        <f t="shared" ca="1" si="144"/>
        <v>0.22945114213017859</v>
      </c>
      <c r="P849" s="51">
        <f t="shared" ref="P849:P912" si="145">IFERROR(H849*((H849*(1-H849)/(R849^2))-1),0)</f>
        <v>-1</v>
      </c>
      <c r="Q849" s="51">
        <f t="shared" ref="Q849:Q912" si="146">IFERROR((1-H849)*((H849*(1-H849))/(R849^2)-1),0)</f>
        <v>0</v>
      </c>
      <c r="R849" s="51">
        <f t="shared" si="142"/>
        <v>0.1</v>
      </c>
      <c r="S849"/>
      <c r="T849" s="83"/>
    </row>
    <row r="850" spans="1:20" ht="16" x14ac:dyDescent="0.2">
      <c r="A850"/>
      <c r="B850" s="103"/>
      <c r="C850" s="243"/>
      <c r="D850" s="119">
        <v>837</v>
      </c>
      <c r="E850" s="25" t="str">
        <f>Tp_CHG!D199</f>
        <v>Transition Probability from state 5 to state 6 on day 28 (CHG)</v>
      </c>
      <c r="F850" s="40">
        <f t="shared" si="143"/>
        <v>0</v>
      </c>
      <c r="G850" s="156">
        <v>1</v>
      </c>
      <c r="H850" s="120">
        <f>Tp_CHG!G199</f>
        <v>0</v>
      </c>
      <c r="I850" s="40" t="s">
        <v>58</v>
      </c>
      <c r="J850" s="40">
        <f t="shared" si="140"/>
        <v>0</v>
      </c>
      <c r="K850" s="40">
        <f t="shared" si="141"/>
        <v>0</v>
      </c>
      <c r="L850" s="40" t="s">
        <v>58</v>
      </c>
      <c r="M850" s="50" t="s">
        <v>266</v>
      </c>
      <c r="N850" s="190"/>
      <c r="O850" s="40">
        <f t="shared" ca="1" si="144"/>
        <v>0.49660488336122066</v>
      </c>
      <c r="P850" s="51">
        <f t="shared" si="145"/>
        <v>0</v>
      </c>
      <c r="Q850" s="51">
        <f t="shared" si="146"/>
        <v>0</v>
      </c>
      <c r="R850" s="51">
        <f t="shared" si="142"/>
        <v>0</v>
      </c>
      <c r="S850"/>
      <c r="T850" s="83"/>
    </row>
    <row r="851" spans="1:20" ht="16" x14ac:dyDescent="0.2">
      <c r="A851"/>
      <c r="B851" s="103"/>
      <c r="C851" s="243"/>
      <c r="D851" s="119">
        <v>838</v>
      </c>
      <c r="E851" s="25" t="str">
        <f>Tp_CHG!D200</f>
        <v>Transition Probability from state 5 to state 6 on day 29 (CHG)</v>
      </c>
      <c r="F851" s="40">
        <f t="shared" si="143"/>
        <v>1</v>
      </c>
      <c r="G851" s="156">
        <v>1</v>
      </c>
      <c r="H851" s="120">
        <f>Tp_CHG!G200</f>
        <v>1</v>
      </c>
      <c r="I851" s="40" t="s">
        <v>58</v>
      </c>
      <c r="J851" s="40">
        <f t="shared" si="140"/>
        <v>0.8040036015459946</v>
      </c>
      <c r="K851" s="40">
        <f t="shared" si="141"/>
        <v>1.1959963984540054</v>
      </c>
      <c r="L851" s="40" t="s">
        <v>58</v>
      </c>
      <c r="M851" s="50" t="s">
        <v>266</v>
      </c>
      <c r="N851" s="190"/>
      <c r="O851" s="40">
        <f t="shared" ca="1" si="144"/>
        <v>0.45465668970474893</v>
      </c>
      <c r="P851" s="51">
        <f t="shared" si="145"/>
        <v>-1</v>
      </c>
      <c r="Q851" s="51">
        <f t="shared" si="146"/>
        <v>0</v>
      </c>
      <c r="R851" s="51">
        <f t="shared" si="142"/>
        <v>0.1</v>
      </c>
      <c r="S851"/>
      <c r="T851" s="83"/>
    </row>
    <row r="852" spans="1:20" ht="16" x14ac:dyDescent="0.2">
      <c r="A852"/>
      <c r="B852" s="103"/>
      <c r="C852" s="243"/>
      <c r="D852" s="119">
        <v>839</v>
      </c>
      <c r="E852" s="25" t="str">
        <f>Tp_CHG!D201</f>
        <v>Transition Probability from state 5 to state 6 on day 30 (CHG)</v>
      </c>
      <c r="F852" s="40">
        <f t="shared" si="143"/>
        <v>0</v>
      </c>
      <c r="G852" s="156">
        <v>1</v>
      </c>
      <c r="H852" s="120">
        <f>Tp_CHG!G201</f>
        <v>0</v>
      </c>
      <c r="I852" s="40" t="s">
        <v>58</v>
      </c>
      <c r="J852" s="40">
        <f t="shared" si="140"/>
        <v>0</v>
      </c>
      <c r="K852" s="40">
        <f t="shared" si="141"/>
        <v>0</v>
      </c>
      <c r="L852" s="40" t="s">
        <v>58</v>
      </c>
      <c r="M852" s="50" t="s">
        <v>266</v>
      </c>
      <c r="N852" s="190"/>
      <c r="O852" s="40">
        <f t="shared" ca="1" si="144"/>
        <v>2.0149276481866707E-3</v>
      </c>
      <c r="P852" s="51">
        <f t="shared" si="145"/>
        <v>0</v>
      </c>
      <c r="Q852" s="51">
        <f t="shared" si="146"/>
        <v>0</v>
      </c>
      <c r="R852" s="51">
        <f t="shared" si="142"/>
        <v>0</v>
      </c>
      <c r="S852"/>
      <c r="T852" s="83"/>
    </row>
    <row r="853" spans="1:20" ht="16" x14ac:dyDescent="0.2">
      <c r="A853"/>
      <c r="B853" s="103"/>
      <c r="C853" s="243"/>
      <c r="D853" s="119">
        <v>840</v>
      </c>
      <c r="E853" s="25" t="str">
        <f>Tp_CHG!I204</f>
        <v>Transition Probability from state 2 to state 7 on day 1 (CHG)</v>
      </c>
      <c r="F853" s="40">
        <f t="shared" si="143"/>
        <v>0</v>
      </c>
      <c r="G853" s="156">
        <v>1</v>
      </c>
      <c r="H853" s="120">
        <f>Tp_CHG!L204</f>
        <v>0</v>
      </c>
      <c r="I853" s="40" t="s">
        <v>58</v>
      </c>
      <c r="J853" s="40">
        <f t="shared" ref="J853:J856" si="147">IF(H853=0,0,_xlfn.NORM.INV(0.025,H853,R853))</f>
        <v>0</v>
      </c>
      <c r="K853" s="40">
        <f t="shared" ref="K853:K856" si="148">IF(H853=0,0,_xlfn.NORM.INV(0.975,H853,R853))</f>
        <v>0</v>
      </c>
      <c r="L853" s="40" t="s">
        <v>58</v>
      </c>
      <c r="M853" s="50" t="s">
        <v>266</v>
      </c>
      <c r="N853" s="190"/>
      <c r="O853" s="40">
        <f t="shared" ca="1" si="144"/>
        <v>0.79532138729905621</v>
      </c>
      <c r="P853" s="51">
        <f t="shared" si="145"/>
        <v>0</v>
      </c>
      <c r="Q853" s="51">
        <f t="shared" si="146"/>
        <v>0</v>
      </c>
      <c r="R853" s="51">
        <f t="shared" ref="R853:R856" si="149">assumedSE*H853</f>
        <v>0</v>
      </c>
      <c r="S853"/>
      <c r="T853" s="83"/>
    </row>
    <row r="854" spans="1:20" ht="16" x14ac:dyDescent="0.2">
      <c r="A854"/>
      <c r="B854" s="103"/>
      <c r="C854" s="243"/>
      <c r="D854" s="119">
        <v>841</v>
      </c>
      <c r="E854" s="25" t="str">
        <f>Tp_CHG!I205</f>
        <v>Transition Probability from state 2 to state 7 on day 2 (CHG)</v>
      </c>
      <c r="F854" s="40">
        <f t="shared" si="143"/>
        <v>0</v>
      </c>
      <c r="G854" s="156">
        <v>1</v>
      </c>
      <c r="H854" s="120">
        <f>Tp_CHG!L205</f>
        <v>0</v>
      </c>
      <c r="I854" s="40" t="s">
        <v>58</v>
      </c>
      <c r="J854" s="40">
        <f t="shared" si="147"/>
        <v>0</v>
      </c>
      <c r="K854" s="40">
        <f t="shared" si="148"/>
        <v>0</v>
      </c>
      <c r="L854" s="40" t="s">
        <v>58</v>
      </c>
      <c r="M854" s="50" t="s">
        <v>266</v>
      </c>
      <c r="N854" s="190"/>
      <c r="O854" s="40">
        <f t="shared" ca="1" si="144"/>
        <v>9.3397480703042435E-3</v>
      </c>
      <c r="P854" s="51">
        <f t="shared" si="145"/>
        <v>0</v>
      </c>
      <c r="Q854" s="51">
        <f t="shared" si="146"/>
        <v>0</v>
      </c>
      <c r="R854" s="51">
        <f t="shared" si="149"/>
        <v>0</v>
      </c>
      <c r="S854"/>
      <c r="T854" s="83"/>
    </row>
    <row r="855" spans="1:20" ht="16" x14ac:dyDescent="0.2">
      <c r="A855"/>
      <c r="B855" s="103"/>
      <c r="C855" s="243"/>
      <c r="D855" s="119">
        <v>842</v>
      </c>
      <c r="E855" s="25" t="str">
        <f>Tp_CHG!I206</f>
        <v>Transition Probability from state 2 to state 7 on day 3 (CHG)</v>
      </c>
      <c r="F855" s="40">
        <f t="shared" si="143"/>
        <v>0</v>
      </c>
      <c r="G855" s="156">
        <v>1</v>
      </c>
      <c r="H855" s="120">
        <f>Tp_CHG!L206</f>
        <v>0</v>
      </c>
      <c r="I855" s="40" t="s">
        <v>58</v>
      </c>
      <c r="J855" s="40">
        <f t="shared" si="147"/>
        <v>0</v>
      </c>
      <c r="K855" s="40">
        <f t="shared" si="148"/>
        <v>0</v>
      </c>
      <c r="L855" s="40" t="s">
        <v>58</v>
      </c>
      <c r="M855" s="50" t="s">
        <v>266</v>
      </c>
      <c r="N855" s="190"/>
      <c r="O855" s="40">
        <f t="shared" ca="1" si="144"/>
        <v>0.31899685274545841</v>
      </c>
      <c r="P855" s="51">
        <f t="shared" si="145"/>
        <v>0</v>
      </c>
      <c r="Q855" s="51">
        <f t="shared" si="146"/>
        <v>0</v>
      </c>
      <c r="R855" s="51">
        <f t="shared" si="149"/>
        <v>0</v>
      </c>
      <c r="S855"/>
      <c r="T855" s="83"/>
    </row>
    <row r="856" spans="1:20" ht="16" x14ac:dyDescent="0.2">
      <c r="A856"/>
      <c r="B856" s="103"/>
      <c r="C856" s="243"/>
      <c r="D856" s="119">
        <v>843</v>
      </c>
      <c r="E856" s="25" t="str">
        <f>Tp_CHG!I207</f>
        <v>Transition Probability from state 2 to state 7 on day 4 (CHG)</v>
      </c>
      <c r="F856" s="40">
        <f t="shared" si="143"/>
        <v>0</v>
      </c>
      <c r="G856" s="156">
        <v>1</v>
      </c>
      <c r="H856" s="120">
        <f>Tp_CHG!L207</f>
        <v>0</v>
      </c>
      <c r="I856" s="40" t="s">
        <v>58</v>
      </c>
      <c r="J856" s="40">
        <f t="shared" si="147"/>
        <v>0</v>
      </c>
      <c r="K856" s="40">
        <f t="shared" si="148"/>
        <v>0</v>
      </c>
      <c r="L856" s="40" t="s">
        <v>58</v>
      </c>
      <c r="M856" s="50" t="s">
        <v>266</v>
      </c>
      <c r="N856" s="190"/>
      <c r="O856" s="40">
        <f t="shared" ca="1" si="144"/>
        <v>0.141546694701288</v>
      </c>
      <c r="P856" s="51">
        <f t="shared" si="145"/>
        <v>0</v>
      </c>
      <c r="Q856" s="51">
        <f t="shared" si="146"/>
        <v>0</v>
      </c>
      <c r="R856" s="51">
        <f t="shared" si="149"/>
        <v>0</v>
      </c>
      <c r="S856"/>
      <c r="T856" s="83"/>
    </row>
    <row r="857" spans="1:20" ht="16" x14ac:dyDescent="0.2">
      <c r="A857"/>
      <c r="B857" s="103"/>
      <c r="C857" s="243"/>
      <c r="D857" s="119">
        <v>844</v>
      </c>
      <c r="E857" s="25" t="str">
        <f>Tp_CHG!I208</f>
        <v>Transition Probability from state 2 to state 7 on day 5 (CHG)</v>
      </c>
      <c r="F857" s="40">
        <f t="shared" si="143"/>
        <v>0</v>
      </c>
      <c r="G857" s="156">
        <v>1</v>
      </c>
      <c r="H857" s="120">
        <f>Tp_CHG!L208</f>
        <v>0</v>
      </c>
      <c r="I857" s="40" t="s">
        <v>58</v>
      </c>
      <c r="J857" s="40">
        <f t="shared" ref="J857:J887" si="150">IF(H857=0,0,_xlfn.NORM.INV(0.025,H857,R857))</f>
        <v>0</v>
      </c>
      <c r="K857" s="40">
        <f t="shared" ref="K857:K887" si="151">IF(H857=0,0,_xlfn.NORM.INV(0.975,H857,R857))</f>
        <v>0</v>
      </c>
      <c r="L857" s="40" t="s">
        <v>58</v>
      </c>
      <c r="M857" s="50" t="s">
        <v>266</v>
      </c>
      <c r="N857" s="190"/>
      <c r="O857" s="40">
        <f t="shared" ca="1" si="144"/>
        <v>0.24496422826753472</v>
      </c>
      <c r="P857" s="51">
        <f t="shared" si="145"/>
        <v>0</v>
      </c>
      <c r="Q857" s="51">
        <f t="shared" si="146"/>
        <v>0</v>
      </c>
      <c r="R857" s="51">
        <f t="shared" ref="R857:R887" si="152">assumedSE*H857</f>
        <v>0</v>
      </c>
      <c r="S857"/>
      <c r="T857" s="83"/>
    </row>
    <row r="858" spans="1:20" ht="16" x14ac:dyDescent="0.2">
      <c r="A858"/>
      <c r="B858" s="103"/>
      <c r="C858" s="243"/>
      <c r="D858" s="119">
        <v>845</v>
      </c>
      <c r="E858" s="25" t="str">
        <f>Tp_CHG!I209</f>
        <v>Transition Probability from state 2 to state 7 on day 6 (CHG)</v>
      </c>
      <c r="F858" s="40">
        <f t="shared" si="143"/>
        <v>0</v>
      </c>
      <c r="G858" s="156">
        <v>1</v>
      </c>
      <c r="H858" s="120">
        <f>Tp_CHG!L209</f>
        <v>0</v>
      </c>
      <c r="I858" s="40" t="s">
        <v>58</v>
      </c>
      <c r="J858" s="40">
        <f t="shared" si="150"/>
        <v>0</v>
      </c>
      <c r="K858" s="40">
        <f t="shared" si="151"/>
        <v>0</v>
      </c>
      <c r="L858" s="40" t="s">
        <v>58</v>
      </c>
      <c r="M858" s="50" t="s">
        <v>266</v>
      </c>
      <c r="N858" s="190"/>
      <c r="O858" s="40">
        <f t="shared" ca="1" si="144"/>
        <v>0.28057055926593333</v>
      </c>
      <c r="P858" s="51">
        <f t="shared" si="145"/>
        <v>0</v>
      </c>
      <c r="Q858" s="51">
        <f t="shared" si="146"/>
        <v>0</v>
      </c>
      <c r="R858" s="51">
        <f t="shared" si="152"/>
        <v>0</v>
      </c>
      <c r="S858"/>
      <c r="T858" s="83"/>
    </row>
    <row r="859" spans="1:20" ht="16" x14ac:dyDescent="0.2">
      <c r="A859"/>
      <c r="B859" s="103"/>
      <c r="C859" s="243"/>
      <c r="D859" s="119">
        <v>846</v>
      </c>
      <c r="E859" s="25" t="str">
        <f>Tp_CHG!I210</f>
        <v>Transition Probability from state 2 to state 7 on day 7 (CHG)</v>
      </c>
      <c r="F859" s="40">
        <f t="shared" si="143"/>
        <v>0</v>
      </c>
      <c r="G859" s="156">
        <v>1</v>
      </c>
      <c r="H859" s="120">
        <f>Tp_CHG!L210</f>
        <v>0</v>
      </c>
      <c r="I859" s="40" t="s">
        <v>58</v>
      </c>
      <c r="J859" s="40">
        <f t="shared" si="150"/>
        <v>0</v>
      </c>
      <c r="K859" s="40">
        <f t="shared" si="151"/>
        <v>0</v>
      </c>
      <c r="L859" s="40" t="s">
        <v>58</v>
      </c>
      <c r="M859" s="50" t="s">
        <v>266</v>
      </c>
      <c r="N859" s="190"/>
      <c r="O859" s="40">
        <f t="shared" ca="1" si="144"/>
        <v>9.5409214053723157E-2</v>
      </c>
      <c r="P859" s="51">
        <f t="shared" si="145"/>
        <v>0</v>
      </c>
      <c r="Q859" s="51">
        <f t="shared" si="146"/>
        <v>0</v>
      </c>
      <c r="R859" s="51">
        <f t="shared" si="152"/>
        <v>0</v>
      </c>
      <c r="S859"/>
      <c r="T859" s="83"/>
    </row>
    <row r="860" spans="1:20" ht="16" x14ac:dyDescent="0.2">
      <c r="A860"/>
      <c r="B860" s="103"/>
      <c r="C860" s="243"/>
      <c r="D860" s="119">
        <v>847</v>
      </c>
      <c r="E860" s="25" t="str">
        <f>Tp_CHG!I211</f>
        <v>Transition Probability from state 2 to state 7 on day 8 (CHG)</v>
      </c>
      <c r="F860" s="40">
        <f t="shared" si="143"/>
        <v>0</v>
      </c>
      <c r="G860" s="156">
        <v>1</v>
      </c>
      <c r="H860" s="120">
        <f>Tp_CHG!L211</f>
        <v>0</v>
      </c>
      <c r="I860" s="40" t="s">
        <v>58</v>
      </c>
      <c r="J860" s="40">
        <f t="shared" si="150"/>
        <v>0</v>
      </c>
      <c r="K860" s="40">
        <f t="shared" si="151"/>
        <v>0</v>
      </c>
      <c r="L860" s="40" t="s">
        <v>58</v>
      </c>
      <c r="M860" s="50" t="s">
        <v>266</v>
      </c>
      <c r="N860" s="190"/>
      <c r="O860" s="40">
        <f t="shared" ca="1" si="144"/>
        <v>0.89147969437152719</v>
      </c>
      <c r="P860" s="51">
        <f t="shared" si="145"/>
        <v>0</v>
      </c>
      <c r="Q860" s="51">
        <f t="shared" si="146"/>
        <v>0</v>
      </c>
      <c r="R860" s="51">
        <f t="shared" si="152"/>
        <v>0</v>
      </c>
      <c r="S860"/>
      <c r="T860" s="83"/>
    </row>
    <row r="861" spans="1:20" ht="16" x14ac:dyDescent="0.2">
      <c r="A861"/>
      <c r="B861" s="103"/>
      <c r="C861" s="243"/>
      <c r="D861" s="119">
        <v>848</v>
      </c>
      <c r="E861" s="25" t="str">
        <f>Tp_CHG!I212</f>
        <v>Transition Probability from state 2 to state 7 on day 9 (CHG)</v>
      </c>
      <c r="F861" s="40">
        <f t="shared" si="143"/>
        <v>0</v>
      </c>
      <c r="G861" s="156">
        <v>1</v>
      </c>
      <c r="H861" s="120">
        <f>Tp_CHG!L212</f>
        <v>0</v>
      </c>
      <c r="I861" s="40" t="s">
        <v>58</v>
      </c>
      <c r="J861" s="40">
        <f t="shared" si="150"/>
        <v>0</v>
      </c>
      <c r="K861" s="40">
        <f t="shared" si="151"/>
        <v>0</v>
      </c>
      <c r="L861" s="40" t="s">
        <v>58</v>
      </c>
      <c r="M861" s="50" t="s">
        <v>266</v>
      </c>
      <c r="N861" s="190"/>
      <c r="O861" s="40">
        <f t="shared" ca="1" si="144"/>
        <v>0.44585609785955926</v>
      </c>
      <c r="P861" s="51">
        <f t="shared" si="145"/>
        <v>0</v>
      </c>
      <c r="Q861" s="51">
        <f t="shared" si="146"/>
        <v>0</v>
      </c>
      <c r="R861" s="51">
        <f t="shared" si="152"/>
        <v>0</v>
      </c>
      <c r="S861"/>
      <c r="T861" s="83"/>
    </row>
    <row r="862" spans="1:20" ht="16" x14ac:dyDescent="0.2">
      <c r="A862"/>
      <c r="B862" s="103"/>
      <c r="C862" s="243"/>
      <c r="D862" s="119">
        <v>849</v>
      </c>
      <c r="E862" s="25" t="str">
        <f>Tp_CHG!I213</f>
        <v>Transition Probability from state 2 to state 7 on day 10 (CHG)</v>
      </c>
      <c r="F862" s="40">
        <f t="shared" si="143"/>
        <v>0</v>
      </c>
      <c r="G862" s="156">
        <v>1</v>
      </c>
      <c r="H862" s="120">
        <f>Tp_CHG!L213</f>
        <v>0</v>
      </c>
      <c r="I862" s="40" t="s">
        <v>58</v>
      </c>
      <c r="J862" s="40">
        <f t="shared" si="150"/>
        <v>0</v>
      </c>
      <c r="K862" s="40">
        <f t="shared" si="151"/>
        <v>0</v>
      </c>
      <c r="L862" s="40" t="s">
        <v>58</v>
      </c>
      <c r="M862" s="50" t="s">
        <v>266</v>
      </c>
      <c r="N862" s="190"/>
      <c r="O862" s="40">
        <f t="shared" ca="1" si="144"/>
        <v>0.66128915468087746</v>
      </c>
      <c r="P862" s="51">
        <f t="shared" si="145"/>
        <v>0</v>
      </c>
      <c r="Q862" s="51">
        <f t="shared" si="146"/>
        <v>0</v>
      </c>
      <c r="R862" s="51">
        <f t="shared" si="152"/>
        <v>0</v>
      </c>
      <c r="S862"/>
      <c r="T862" s="83"/>
    </row>
    <row r="863" spans="1:20" ht="16" x14ac:dyDescent="0.2">
      <c r="A863"/>
      <c r="B863" s="103"/>
      <c r="C863" s="243"/>
      <c r="D863" s="119">
        <v>850</v>
      </c>
      <c r="E863" s="25" t="str">
        <f>Tp_CHG!I214</f>
        <v>Transition Probability from state 2 to state 7 on day 11 (CHG)</v>
      </c>
      <c r="F863" s="40">
        <f t="shared" si="143"/>
        <v>0</v>
      </c>
      <c r="G863" s="156">
        <v>1</v>
      </c>
      <c r="H863" s="120">
        <f>Tp_CHG!L214</f>
        <v>0</v>
      </c>
      <c r="I863" s="40" t="s">
        <v>58</v>
      </c>
      <c r="J863" s="40">
        <f t="shared" si="150"/>
        <v>0</v>
      </c>
      <c r="K863" s="40">
        <f t="shared" si="151"/>
        <v>0</v>
      </c>
      <c r="L863" s="40" t="s">
        <v>58</v>
      </c>
      <c r="M863" s="50" t="s">
        <v>266</v>
      </c>
      <c r="N863" s="190"/>
      <c r="O863" s="40">
        <f t="shared" ca="1" si="144"/>
        <v>0.89825670294148308</v>
      </c>
      <c r="P863" s="51">
        <f t="shared" si="145"/>
        <v>0</v>
      </c>
      <c r="Q863" s="51">
        <f t="shared" si="146"/>
        <v>0</v>
      </c>
      <c r="R863" s="51">
        <f t="shared" si="152"/>
        <v>0</v>
      </c>
      <c r="S863"/>
      <c r="T863" s="83"/>
    </row>
    <row r="864" spans="1:20" ht="16" x14ac:dyDescent="0.2">
      <c r="A864"/>
      <c r="B864" s="103"/>
      <c r="C864" s="243"/>
      <c r="D864" s="119">
        <v>851</v>
      </c>
      <c r="E864" s="25" t="str">
        <f>Tp_CHG!I215</f>
        <v>Transition Probability from state 2 to state 7 on day 12 (CHG)</v>
      </c>
      <c r="F864" s="40">
        <f t="shared" si="143"/>
        <v>0</v>
      </c>
      <c r="G864" s="156">
        <v>1</v>
      </c>
      <c r="H864" s="120">
        <f>Tp_CHG!L215</f>
        <v>0</v>
      </c>
      <c r="I864" s="40" t="s">
        <v>58</v>
      </c>
      <c r="J864" s="40">
        <f t="shared" si="150"/>
        <v>0</v>
      </c>
      <c r="K864" s="40">
        <f t="shared" si="151"/>
        <v>0</v>
      </c>
      <c r="L864" s="40" t="s">
        <v>58</v>
      </c>
      <c r="M864" s="50" t="s">
        <v>266</v>
      </c>
      <c r="N864" s="190"/>
      <c r="O864" s="40">
        <f t="shared" ca="1" si="144"/>
        <v>0.32975231369717528</v>
      </c>
      <c r="P864" s="51">
        <f t="shared" si="145"/>
        <v>0</v>
      </c>
      <c r="Q864" s="51">
        <f t="shared" si="146"/>
        <v>0</v>
      </c>
      <c r="R864" s="51">
        <f t="shared" si="152"/>
        <v>0</v>
      </c>
      <c r="S864"/>
      <c r="T864" s="83"/>
    </row>
    <row r="865" spans="1:20" ht="16" x14ac:dyDescent="0.2">
      <c r="A865"/>
      <c r="B865" s="103"/>
      <c r="C865" s="243"/>
      <c r="D865" s="119">
        <v>852</v>
      </c>
      <c r="E865" s="25" t="str">
        <f>Tp_CHG!I216</f>
        <v>Transition Probability from state 2 to state 7 on day 13 (CHG)</v>
      </c>
      <c r="F865" s="40">
        <f t="shared" si="143"/>
        <v>0</v>
      </c>
      <c r="G865" s="156">
        <v>1</v>
      </c>
      <c r="H865" s="120">
        <f>Tp_CHG!L216</f>
        <v>0</v>
      </c>
      <c r="I865" s="40" t="s">
        <v>58</v>
      </c>
      <c r="J865" s="40">
        <f t="shared" si="150"/>
        <v>0</v>
      </c>
      <c r="K865" s="40">
        <f t="shared" si="151"/>
        <v>0</v>
      </c>
      <c r="L865" s="40" t="s">
        <v>58</v>
      </c>
      <c r="M865" s="50" t="s">
        <v>266</v>
      </c>
      <c r="N865" s="190"/>
      <c r="O865" s="40">
        <f t="shared" ca="1" si="144"/>
        <v>0.3666936931921243</v>
      </c>
      <c r="P865" s="51">
        <f t="shared" si="145"/>
        <v>0</v>
      </c>
      <c r="Q865" s="51">
        <f t="shared" si="146"/>
        <v>0</v>
      </c>
      <c r="R865" s="51">
        <f t="shared" si="152"/>
        <v>0</v>
      </c>
      <c r="S865"/>
      <c r="T865" s="83"/>
    </row>
    <row r="866" spans="1:20" ht="16" x14ac:dyDescent="0.2">
      <c r="A866"/>
      <c r="B866" s="103"/>
      <c r="C866" s="243"/>
      <c r="D866" s="119">
        <v>853</v>
      </c>
      <c r="E866" s="25" t="str">
        <f>Tp_CHG!I217</f>
        <v>Transition Probability from state 2 to state 7 on day 14 (CHG)</v>
      </c>
      <c r="F866" s="40">
        <f t="shared" si="143"/>
        <v>0</v>
      </c>
      <c r="G866" s="156">
        <v>1</v>
      </c>
      <c r="H866" s="120">
        <f>Tp_CHG!L217</f>
        <v>0</v>
      </c>
      <c r="I866" s="40" t="s">
        <v>58</v>
      </c>
      <c r="J866" s="40">
        <f t="shared" si="150"/>
        <v>0</v>
      </c>
      <c r="K866" s="40">
        <f t="shared" si="151"/>
        <v>0</v>
      </c>
      <c r="L866" s="40" t="s">
        <v>58</v>
      </c>
      <c r="M866" s="50" t="s">
        <v>266</v>
      </c>
      <c r="N866" s="190"/>
      <c r="O866" s="40">
        <f t="shared" ca="1" si="144"/>
        <v>0.4009687298254313</v>
      </c>
      <c r="P866" s="51">
        <f t="shared" si="145"/>
        <v>0</v>
      </c>
      <c r="Q866" s="51">
        <f t="shared" si="146"/>
        <v>0</v>
      </c>
      <c r="R866" s="51">
        <f t="shared" si="152"/>
        <v>0</v>
      </c>
      <c r="S866"/>
      <c r="T866" s="83"/>
    </row>
    <row r="867" spans="1:20" ht="16" x14ac:dyDescent="0.2">
      <c r="A867"/>
      <c r="B867" s="103"/>
      <c r="C867" s="243"/>
      <c r="D867" s="119">
        <v>854</v>
      </c>
      <c r="E867" s="25" t="str">
        <f>Tp_CHG!I218</f>
        <v>Transition Probability from state 2 to state 7 on day 15 (CHG)</v>
      </c>
      <c r="F867" s="40">
        <f t="shared" si="143"/>
        <v>0</v>
      </c>
      <c r="G867" s="156">
        <v>1</v>
      </c>
      <c r="H867" s="120">
        <f>Tp_CHG!L218</f>
        <v>0</v>
      </c>
      <c r="I867" s="40" t="s">
        <v>58</v>
      </c>
      <c r="J867" s="40">
        <f t="shared" si="150"/>
        <v>0</v>
      </c>
      <c r="K867" s="40">
        <f t="shared" si="151"/>
        <v>0</v>
      </c>
      <c r="L867" s="40" t="s">
        <v>58</v>
      </c>
      <c r="M867" s="50" t="s">
        <v>266</v>
      </c>
      <c r="N867" s="190"/>
      <c r="O867" s="40">
        <f t="shared" ca="1" si="144"/>
        <v>0.59978637924262079</v>
      </c>
      <c r="P867" s="51">
        <f t="shared" si="145"/>
        <v>0</v>
      </c>
      <c r="Q867" s="51">
        <f t="shared" si="146"/>
        <v>0</v>
      </c>
      <c r="R867" s="51">
        <f t="shared" si="152"/>
        <v>0</v>
      </c>
      <c r="S867"/>
      <c r="T867" s="83"/>
    </row>
    <row r="868" spans="1:20" ht="16" x14ac:dyDescent="0.2">
      <c r="A868"/>
      <c r="B868" s="103"/>
      <c r="C868" s="243"/>
      <c r="D868" s="119">
        <v>855</v>
      </c>
      <c r="E868" s="25" t="str">
        <f>Tp_CHG!I219</f>
        <v>Transition Probability from state 2 to state 7 on day 16 (CHG)</v>
      </c>
      <c r="F868" s="40">
        <f t="shared" si="143"/>
        <v>0</v>
      </c>
      <c r="G868" s="156">
        <v>1</v>
      </c>
      <c r="H868" s="120">
        <f>Tp_CHG!L219</f>
        <v>0</v>
      </c>
      <c r="I868" s="40" t="s">
        <v>58</v>
      </c>
      <c r="J868" s="40">
        <f t="shared" si="150"/>
        <v>0</v>
      </c>
      <c r="K868" s="40">
        <f t="shared" si="151"/>
        <v>0</v>
      </c>
      <c r="L868" s="40" t="s">
        <v>58</v>
      </c>
      <c r="M868" s="50" t="s">
        <v>266</v>
      </c>
      <c r="N868" s="190"/>
      <c r="O868" s="40">
        <f t="shared" ca="1" si="144"/>
        <v>0.41851585350644949</v>
      </c>
      <c r="P868" s="51">
        <f t="shared" si="145"/>
        <v>0</v>
      </c>
      <c r="Q868" s="51">
        <f t="shared" si="146"/>
        <v>0</v>
      </c>
      <c r="R868" s="51">
        <f t="shared" si="152"/>
        <v>0</v>
      </c>
      <c r="S868"/>
      <c r="T868" s="83"/>
    </row>
    <row r="869" spans="1:20" ht="16" x14ac:dyDescent="0.2">
      <c r="A869"/>
      <c r="B869" s="103"/>
      <c r="C869" s="243"/>
      <c r="D869" s="119">
        <v>856</v>
      </c>
      <c r="E869" s="25" t="str">
        <f>Tp_CHG!I220</f>
        <v>Transition Probability from state 2 to state 7 on day 17 (CHG)</v>
      </c>
      <c r="F869" s="40">
        <f t="shared" si="143"/>
        <v>0</v>
      </c>
      <c r="G869" s="156">
        <v>1</v>
      </c>
      <c r="H869" s="120">
        <f>Tp_CHG!L220</f>
        <v>0</v>
      </c>
      <c r="I869" s="40" t="s">
        <v>58</v>
      </c>
      <c r="J869" s="40">
        <f t="shared" si="150"/>
        <v>0</v>
      </c>
      <c r="K869" s="40">
        <f t="shared" si="151"/>
        <v>0</v>
      </c>
      <c r="L869" s="40" t="s">
        <v>58</v>
      </c>
      <c r="M869" s="50" t="s">
        <v>266</v>
      </c>
      <c r="N869" s="190"/>
      <c r="O869" s="40">
        <f t="shared" ca="1" si="144"/>
        <v>0.42365219428610768</v>
      </c>
      <c r="P869" s="51">
        <f t="shared" si="145"/>
        <v>0</v>
      </c>
      <c r="Q869" s="51">
        <f t="shared" si="146"/>
        <v>0</v>
      </c>
      <c r="R869" s="51">
        <f t="shared" si="152"/>
        <v>0</v>
      </c>
      <c r="S869"/>
      <c r="T869" s="83"/>
    </row>
    <row r="870" spans="1:20" ht="16" x14ac:dyDescent="0.2">
      <c r="A870"/>
      <c r="B870" s="103"/>
      <c r="C870" s="243"/>
      <c r="D870" s="119">
        <v>857</v>
      </c>
      <c r="E870" s="25" t="str">
        <f>Tp_CHG!I221</f>
        <v>Transition Probability from state 2 to state 7 on day 18 (CHG)</v>
      </c>
      <c r="F870" s="40">
        <f t="shared" si="143"/>
        <v>0</v>
      </c>
      <c r="G870" s="156">
        <v>1</v>
      </c>
      <c r="H870" s="120">
        <f>Tp_CHG!L221</f>
        <v>0</v>
      </c>
      <c r="I870" s="40" t="s">
        <v>58</v>
      </c>
      <c r="J870" s="40">
        <f t="shared" si="150"/>
        <v>0</v>
      </c>
      <c r="K870" s="40">
        <f t="shared" si="151"/>
        <v>0</v>
      </c>
      <c r="L870" s="40" t="s">
        <v>58</v>
      </c>
      <c r="M870" s="50" t="s">
        <v>266</v>
      </c>
      <c r="N870" s="190"/>
      <c r="O870" s="40">
        <f t="shared" ca="1" si="144"/>
        <v>0.28504846937622952</v>
      </c>
      <c r="P870" s="51">
        <f t="shared" si="145"/>
        <v>0</v>
      </c>
      <c r="Q870" s="51">
        <f t="shared" si="146"/>
        <v>0</v>
      </c>
      <c r="R870" s="51">
        <f t="shared" si="152"/>
        <v>0</v>
      </c>
      <c r="S870"/>
      <c r="T870" s="83"/>
    </row>
    <row r="871" spans="1:20" ht="16" x14ac:dyDescent="0.2">
      <c r="A871"/>
      <c r="B871" s="103"/>
      <c r="C871" s="243"/>
      <c r="D871" s="119">
        <v>858</v>
      </c>
      <c r="E871" s="25" t="str">
        <f>Tp_CHG!I222</f>
        <v>Transition Probability from state 2 to state 7 on day 19 (CHG)</v>
      </c>
      <c r="F871" s="40">
        <f t="shared" si="143"/>
        <v>0</v>
      </c>
      <c r="G871" s="156">
        <v>1</v>
      </c>
      <c r="H871" s="120">
        <f>Tp_CHG!L222</f>
        <v>0</v>
      </c>
      <c r="I871" s="40" t="s">
        <v>58</v>
      </c>
      <c r="J871" s="40">
        <f t="shared" si="150"/>
        <v>0</v>
      </c>
      <c r="K871" s="40">
        <f t="shared" si="151"/>
        <v>0</v>
      </c>
      <c r="L871" s="40" t="s">
        <v>58</v>
      </c>
      <c r="M871" s="50" t="s">
        <v>266</v>
      </c>
      <c r="N871" s="190"/>
      <c r="O871" s="40">
        <f t="shared" ca="1" si="144"/>
        <v>0.8996988402164654</v>
      </c>
      <c r="P871" s="51">
        <f t="shared" si="145"/>
        <v>0</v>
      </c>
      <c r="Q871" s="51">
        <f t="shared" si="146"/>
        <v>0</v>
      </c>
      <c r="R871" s="51">
        <f t="shared" si="152"/>
        <v>0</v>
      </c>
      <c r="S871"/>
      <c r="T871" s="83"/>
    </row>
    <row r="872" spans="1:20" ht="16" x14ac:dyDescent="0.2">
      <c r="A872"/>
      <c r="B872" s="103"/>
      <c r="C872" s="243"/>
      <c r="D872" s="119">
        <v>859</v>
      </c>
      <c r="E872" s="25" t="str">
        <f>Tp_CHG!I223</f>
        <v>Transition Probability from state 2 to state 7 on day 20 (CHG)</v>
      </c>
      <c r="F872" s="40">
        <f t="shared" si="143"/>
        <v>0</v>
      </c>
      <c r="G872" s="156">
        <v>1</v>
      </c>
      <c r="H872" s="120">
        <f>Tp_CHG!L223</f>
        <v>0</v>
      </c>
      <c r="I872" s="40" t="s">
        <v>58</v>
      </c>
      <c r="J872" s="40">
        <f t="shared" si="150"/>
        <v>0</v>
      </c>
      <c r="K872" s="40">
        <f t="shared" si="151"/>
        <v>0</v>
      </c>
      <c r="L872" s="40" t="s">
        <v>58</v>
      </c>
      <c r="M872" s="50" t="s">
        <v>266</v>
      </c>
      <c r="N872" s="190"/>
      <c r="O872" s="40">
        <f t="shared" ca="1" si="144"/>
        <v>0.34638591322567047</v>
      </c>
      <c r="P872" s="51">
        <f t="shared" si="145"/>
        <v>0</v>
      </c>
      <c r="Q872" s="51">
        <f t="shared" si="146"/>
        <v>0</v>
      </c>
      <c r="R872" s="51">
        <f t="shared" si="152"/>
        <v>0</v>
      </c>
      <c r="S872"/>
      <c r="T872" s="83"/>
    </row>
    <row r="873" spans="1:20" ht="16" x14ac:dyDescent="0.2">
      <c r="A873"/>
      <c r="B873" s="103"/>
      <c r="C873" s="243"/>
      <c r="D873" s="119">
        <v>860</v>
      </c>
      <c r="E873" s="25" t="str">
        <f>Tp_CHG!I224</f>
        <v>Transition Probability from state 2 to state 7 on day 21 (CHG)</v>
      </c>
      <c r="F873" s="40">
        <f t="shared" si="143"/>
        <v>0</v>
      </c>
      <c r="G873" s="156">
        <v>1</v>
      </c>
      <c r="H873" s="120">
        <f>Tp_CHG!L224</f>
        <v>0</v>
      </c>
      <c r="I873" s="40" t="s">
        <v>58</v>
      </c>
      <c r="J873" s="40">
        <f t="shared" si="150"/>
        <v>0</v>
      </c>
      <c r="K873" s="40">
        <f t="shared" si="151"/>
        <v>0</v>
      </c>
      <c r="L873" s="40" t="s">
        <v>58</v>
      </c>
      <c r="M873" s="50" t="s">
        <v>266</v>
      </c>
      <c r="N873" s="190"/>
      <c r="O873" s="40">
        <f t="shared" ca="1" si="144"/>
        <v>0.51105384404958443</v>
      </c>
      <c r="P873" s="51">
        <f t="shared" si="145"/>
        <v>0</v>
      </c>
      <c r="Q873" s="51">
        <f t="shared" si="146"/>
        <v>0</v>
      </c>
      <c r="R873" s="51">
        <f t="shared" si="152"/>
        <v>0</v>
      </c>
      <c r="S873"/>
      <c r="T873" s="83"/>
    </row>
    <row r="874" spans="1:20" ht="16" x14ac:dyDescent="0.2">
      <c r="A874"/>
      <c r="B874" s="103"/>
      <c r="C874" s="243"/>
      <c r="D874" s="119">
        <v>861</v>
      </c>
      <c r="E874" s="25" t="str">
        <f>Tp_CHG!I225</f>
        <v>Transition Probability from state 2 to state 7 on day 22 (CHG)</v>
      </c>
      <c r="F874" s="40">
        <f t="shared" si="143"/>
        <v>0</v>
      </c>
      <c r="G874" s="156">
        <v>1</v>
      </c>
      <c r="H874" s="120">
        <f>Tp_CHG!L225</f>
        <v>0</v>
      </c>
      <c r="I874" s="40" t="s">
        <v>58</v>
      </c>
      <c r="J874" s="40">
        <f t="shared" si="150"/>
        <v>0</v>
      </c>
      <c r="K874" s="40">
        <f t="shared" si="151"/>
        <v>0</v>
      </c>
      <c r="L874" s="40" t="s">
        <v>58</v>
      </c>
      <c r="M874" s="50" t="s">
        <v>266</v>
      </c>
      <c r="N874" s="190"/>
      <c r="O874" s="40">
        <f t="shared" ca="1" si="144"/>
        <v>0.53225395069113624</v>
      </c>
      <c r="P874" s="51">
        <f t="shared" si="145"/>
        <v>0</v>
      </c>
      <c r="Q874" s="51">
        <f t="shared" si="146"/>
        <v>0</v>
      </c>
      <c r="R874" s="51">
        <f t="shared" si="152"/>
        <v>0</v>
      </c>
      <c r="S874"/>
      <c r="T874" s="83"/>
    </row>
    <row r="875" spans="1:20" ht="16" x14ac:dyDescent="0.2">
      <c r="A875"/>
      <c r="B875" s="103"/>
      <c r="C875" s="243"/>
      <c r="D875" s="119">
        <v>862</v>
      </c>
      <c r="E875" s="25" t="str">
        <f>Tp_CHG!I226</f>
        <v>Transition Probability from state 2 to state 7 on day 23 (CHG)</v>
      </c>
      <c r="F875" s="40">
        <f t="shared" si="143"/>
        <v>0</v>
      </c>
      <c r="G875" s="156">
        <v>1</v>
      </c>
      <c r="H875" s="120">
        <f>Tp_CHG!L226</f>
        <v>0</v>
      </c>
      <c r="I875" s="40" t="s">
        <v>58</v>
      </c>
      <c r="J875" s="40">
        <f t="shared" si="150"/>
        <v>0</v>
      </c>
      <c r="K875" s="40">
        <f t="shared" si="151"/>
        <v>0</v>
      </c>
      <c r="L875" s="40" t="s">
        <v>58</v>
      </c>
      <c r="M875" s="50" t="s">
        <v>266</v>
      </c>
      <c r="N875" s="190"/>
      <c r="O875" s="40">
        <f t="shared" ca="1" si="144"/>
        <v>0.64350689415670415</v>
      </c>
      <c r="P875" s="51">
        <f t="shared" si="145"/>
        <v>0</v>
      </c>
      <c r="Q875" s="51">
        <f t="shared" si="146"/>
        <v>0</v>
      </c>
      <c r="R875" s="51">
        <f t="shared" si="152"/>
        <v>0</v>
      </c>
      <c r="S875"/>
      <c r="T875" s="83"/>
    </row>
    <row r="876" spans="1:20" ht="16" x14ac:dyDescent="0.2">
      <c r="A876"/>
      <c r="B876" s="103"/>
      <c r="C876" s="243"/>
      <c r="D876" s="119">
        <v>863</v>
      </c>
      <c r="E876" s="25" t="str">
        <f>Tp_CHG!I227</f>
        <v>Transition Probability from state 2 to state 7 on day 24 (CHG)</v>
      </c>
      <c r="F876" s="40">
        <f t="shared" si="143"/>
        <v>0</v>
      </c>
      <c r="G876" s="156">
        <v>1</v>
      </c>
      <c r="H876" s="120">
        <f>Tp_CHG!L227</f>
        <v>0</v>
      </c>
      <c r="I876" s="40" t="s">
        <v>58</v>
      </c>
      <c r="J876" s="40">
        <f t="shared" si="150"/>
        <v>0</v>
      </c>
      <c r="K876" s="40">
        <f t="shared" si="151"/>
        <v>0</v>
      </c>
      <c r="L876" s="40" t="s">
        <v>58</v>
      </c>
      <c r="M876" s="50" t="s">
        <v>266</v>
      </c>
      <c r="N876" s="190"/>
      <c r="O876" s="40">
        <f t="shared" ca="1" si="144"/>
        <v>0.41879794783251578</v>
      </c>
      <c r="P876" s="51">
        <f t="shared" si="145"/>
        <v>0</v>
      </c>
      <c r="Q876" s="51">
        <f t="shared" si="146"/>
        <v>0</v>
      </c>
      <c r="R876" s="51">
        <f t="shared" si="152"/>
        <v>0</v>
      </c>
      <c r="S876"/>
      <c r="T876" s="83"/>
    </row>
    <row r="877" spans="1:20" ht="16" x14ac:dyDescent="0.2">
      <c r="A877"/>
      <c r="B877" s="103"/>
      <c r="C877" s="243"/>
      <c r="D877" s="119">
        <v>864</v>
      </c>
      <c r="E877" s="25" t="str">
        <f>Tp_CHG!I228</f>
        <v>Transition Probability from state 2 to state 7 on day 25 (CHG)</v>
      </c>
      <c r="F877" s="40">
        <f t="shared" si="143"/>
        <v>0</v>
      </c>
      <c r="G877" s="156">
        <v>1</v>
      </c>
      <c r="H877" s="120">
        <f>Tp_CHG!L228</f>
        <v>0</v>
      </c>
      <c r="I877" s="40" t="s">
        <v>58</v>
      </c>
      <c r="J877" s="40">
        <f t="shared" si="150"/>
        <v>0</v>
      </c>
      <c r="K877" s="40">
        <f t="shared" si="151"/>
        <v>0</v>
      </c>
      <c r="L877" s="40" t="s">
        <v>58</v>
      </c>
      <c r="M877" s="50" t="s">
        <v>266</v>
      </c>
      <c r="N877" s="190"/>
      <c r="O877" s="40">
        <f t="shared" ca="1" si="144"/>
        <v>0.55465504723283754</v>
      </c>
      <c r="P877" s="51">
        <f t="shared" si="145"/>
        <v>0</v>
      </c>
      <c r="Q877" s="51">
        <f t="shared" si="146"/>
        <v>0</v>
      </c>
      <c r="R877" s="51">
        <f t="shared" si="152"/>
        <v>0</v>
      </c>
      <c r="S877"/>
      <c r="T877" s="83"/>
    </row>
    <row r="878" spans="1:20" ht="16" x14ac:dyDescent="0.2">
      <c r="A878"/>
      <c r="B878" s="103"/>
      <c r="C878" s="243"/>
      <c r="D878" s="119">
        <v>865</v>
      </c>
      <c r="E878" s="25" t="str">
        <f>Tp_CHG!I229</f>
        <v>Transition Probability from state 2 to state 7 on day 26 (CHG)</v>
      </c>
      <c r="F878" s="40">
        <f t="shared" si="143"/>
        <v>0</v>
      </c>
      <c r="G878" s="156">
        <v>1</v>
      </c>
      <c r="H878" s="120">
        <f>Tp_CHG!L229</f>
        <v>0</v>
      </c>
      <c r="I878" s="40" t="s">
        <v>58</v>
      </c>
      <c r="J878" s="40">
        <f t="shared" si="150"/>
        <v>0</v>
      </c>
      <c r="K878" s="40">
        <f t="shared" si="151"/>
        <v>0</v>
      </c>
      <c r="L878" s="40" t="s">
        <v>58</v>
      </c>
      <c r="M878" s="50" t="s">
        <v>266</v>
      </c>
      <c r="N878" s="190"/>
      <c r="O878" s="40">
        <f t="shared" ca="1" si="144"/>
        <v>0.83061527334136231</v>
      </c>
      <c r="P878" s="51">
        <f t="shared" si="145"/>
        <v>0</v>
      </c>
      <c r="Q878" s="51">
        <f t="shared" si="146"/>
        <v>0</v>
      </c>
      <c r="R878" s="51">
        <f t="shared" si="152"/>
        <v>0</v>
      </c>
      <c r="S878"/>
      <c r="T878" s="83"/>
    </row>
    <row r="879" spans="1:20" ht="16" x14ac:dyDescent="0.2">
      <c r="A879"/>
      <c r="B879" s="103"/>
      <c r="C879" s="243"/>
      <c r="D879" s="119">
        <v>866</v>
      </c>
      <c r="E879" s="25" t="str">
        <f>Tp_CHG!I230</f>
        <v>Transition Probability from state 2 to state 7 on day 27 (CHG)</v>
      </c>
      <c r="F879" s="40">
        <f t="shared" si="143"/>
        <v>0</v>
      </c>
      <c r="G879" s="156">
        <v>1</v>
      </c>
      <c r="H879" s="120">
        <f>Tp_CHG!L230</f>
        <v>0</v>
      </c>
      <c r="I879" s="40" t="s">
        <v>58</v>
      </c>
      <c r="J879" s="40">
        <f t="shared" si="150"/>
        <v>0</v>
      </c>
      <c r="K879" s="40">
        <f t="shared" si="151"/>
        <v>0</v>
      </c>
      <c r="L879" s="40" t="s">
        <v>58</v>
      </c>
      <c r="M879" s="50" t="s">
        <v>266</v>
      </c>
      <c r="N879" s="190"/>
      <c r="O879" s="40">
        <f t="shared" ca="1" si="144"/>
        <v>0.25930990029203282</v>
      </c>
      <c r="P879" s="51">
        <f t="shared" si="145"/>
        <v>0</v>
      </c>
      <c r="Q879" s="51">
        <f t="shared" si="146"/>
        <v>0</v>
      </c>
      <c r="R879" s="51">
        <f t="shared" si="152"/>
        <v>0</v>
      </c>
      <c r="S879"/>
      <c r="T879" s="83"/>
    </row>
    <row r="880" spans="1:20" ht="16" x14ac:dyDescent="0.2">
      <c r="A880"/>
      <c r="B880" s="103"/>
      <c r="C880" s="243"/>
      <c r="D880" s="119">
        <v>867</v>
      </c>
      <c r="E880" s="25" t="str">
        <f>Tp_CHG!I232</f>
        <v>Transition Probability from state 2 to state 7 on day 29 (CHG)</v>
      </c>
      <c r="F880" s="40">
        <f t="shared" si="143"/>
        <v>0</v>
      </c>
      <c r="G880" s="156">
        <v>1</v>
      </c>
      <c r="H880" s="120">
        <f>Tp_CHG!L232</f>
        <v>0</v>
      </c>
      <c r="I880" s="40" t="s">
        <v>58</v>
      </c>
      <c r="J880" s="40">
        <f t="shared" si="150"/>
        <v>0</v>
      </c>
      <c r="K880" s="40">
        <f t="shared" si="151"/>
        <v>0</v>
      </c>
      <c r="L880" s="40" t="s">
        <v>58</v>
      </c>
      <c r="M880" s="50" t="s">
        <v>266</v>
      </c>
      <c r="N880" s="190"/>
      <c r="O880" s="40">
        <f t="shared" ref="O880:O943" ca="1" si="153">RAND()</f>
        <v>0.66764673144118547</v>
      </c>
      <c r="P880" s="51">
        <f t="shared" si="145"/>
        <v>0</v>
      </c>
      <c r="Q880" s="51">
        <f t="shared" si="146"/>
        <v>0</v>
      </c>
      <c r="R880" s="51">
        <f t="shared" si="152"/>
        <v>0</v>
      </c>
      <c r="S880"/>
      <c r="T880" s="83"/>
    </row>
    <row r="881" spans="1:20" ht="16" x14ac:dyDescent="0.2">
      <c r="A881"/>
      <c r="B881" s="103"/>
      <c r="C881" s="243"/>
      <c r="D881" s="119">
        <v>868</v>
      </c>
      <c r="E881" s="25" t="str">
        <f>Tp_CHG!I233</f>
        <v>Transition Probability from state 2 to state 7 on day 30 (CHG)</v>
      </c>
      <c r="F881" s="40">
        <f t="shared" si="143"/>
        <v>0</v>
      </c>
      <c r="G881" s="156">
        <v>1</v>
      </c>
      <c r="H881" s="120">
        <f>Tp_CHG!L233</f>
        <v>0</v>
      </c>
      <c r="I881" s="40" t="s">
        <v>58</v>
      </c>
      <c r="J881" s="40">
        <f t="shared" si="150"/>
        <v>0</v>
      </c>
      <c r="K881" s="40">
        <f t="shared" si="151"/>
        <v>0</v>
      </c>
      <c r="L881" s="40" t="s">
        <v>58</v>
      </c>
      <c r="M881" s="50" t="s">
        <v>266</v>
      </c>
      <c r="N881" s="190"/>
      <c r="O881" s="40">
        <f t="shared" ca="1" si="153"/>
        <v>0.75996688654336553</v>
      </c>
      <c r="P881" s="51">
        <f t="shared" si="145"/>
        <v>0</v>
      </c>
      <c r="Q881" s="51">
        <f t="shared" si="146"/>
        <v>0</v>
      </c>
      <c r="R881" s="51">
        <f t="shared" si="152"/>
        <v>0</v>
      </c>
      <c r="S881"/>
      <c r="T881" s="83"/>
    </row>
    <row r="882" spans="1:20" ht="16" x14ac:dyDescent="0.2">
      <c r="A882"/>
      <c r="B882" s="103"/>
      <c r="C882" s="243"/>
      <c r="D882" s="119">
        <v>869</v>
      </c>
      <c r="E882" s="25" t="str">
        <f>Tp_CHG!N204</f>
        <v>Transition Probability from state 3 to state 7 on day 1 (CHG)</v>
      </c>
      <c r="F882" s="40">
        <f t="shared" si="143"/>
        <v>0</v>
      </c>
      <c r="G882" s="156">
        <v>1</v>
      </c>
      <c r="H882" s="120">
        <f>Tp_CHG!Q204</f>
        <v>0</v>
      </c>
      <c r="I882" s="40" t="s">
        <v>58</v>
      </c>
      <c r="J882" s="40">
        <f t="shared" si="150"/>
        <v>0</v>
      </c>
      <c r="K882" s="40">
        <f t="shared" si="151"/>
        <v>0</v>
      </c>
      <c r="L882" s="40" t="s">
        <v>58</v>
      </c>
      <c r="M882" s="50" t="s">
        <v>266</v>
      </c>
      <c r="N882" s="190"/>
      <c r="O882" s="40">
        <f t="shared" ca="1" si="153"/>
        <v>0.10599521800669831</v>
      </c>
      <c r="P882" s="51">
        <f t="shared" si="145"/>
        <v>0</v>
      </c>
      <c r="Q882" s="51">
        <f t="shared" si="146"/>
        <v>0</v>
      </c>
      <c r="R882" s="51">
        <f t="shared" si="152"/>
        <v>0</v>
      </c>
      <c r="S882"/>
      <c r="T882" s="83"/>
    </row>
    <row r="883" spans="1:20" ht="16" x14ac:dyDescent="0.2">
      <c r="A883"/>
      <c r="B883" s="103"/>
      <c r="C883" s="243"/>
      <c r="D883" s="119">
        <v>870</v>
      </c>
      <c r="E883" s="25" t="str">
        <f>Tp_CHG!N205</f>
        <v>Transition Probability from state 3 to state 7 on day 2 (CHG)</v>
      </c>
      <c r="F883" s="40">
        <f t="shared" si="143"/>
        <v>0</v>
      </c>
      <c r="G883" s="156">
        <v>1</v>
      </c>
      <c r="H883" s="120">
        <f>Tp_CHG!Q205</f>
        <v>0</v>
      </c>
      <c r="I883" s="40" t="s">
        <v>58</v>
      </c>
      <c r="J883" s="40">
        <f t="shared" si="150"/>
        <v>0</v>
      </c>
      <c r="K883" s="40">
        <f t="shared" si="151"/>
        <v>0</v>
      </c>
      <c r="L883" s="40" t="s">
        <v>58</v>
      </c>
      <c r="M883" s="50" t="s">
        <v>266</v>
      </c>
      <c r="N883" s="190"/>
      <c r="O883" s="40">
        <f t="shared" ca="1" si="153"/>
        <v>0.60103702243126222</v>
      </c>
      <c r="P883" s="51">
        <f t="shared" si="145"/>
        <v>0</v>
      </c>
      <c r="Q883" s="51">
        <f t="shared" si="146"/>
        <v>0</v>
      </c>
      <c r="R883" s="51">
        <f t="shared" si="152"/>
        <v>0</v>
      </c>
      <c r="S883"/>
      <c r="T883" s="83"/>
    </row>
    <row r="884" spans="1:20" ht="16" x14ac:dyDescent="0.2">
      <c r="A884"/>
      <c r="B884" s="103"/>
      <c r="C884" s="243"/>
      <c r="D884" s="119">
        <v>871</v>
      </c>
      <c r="E884" s="25" t="str">
        <f>Tp_CHG!N206</f>
        <v>Transition Probability from state 3 to state 7 on day 3 (CHG)</v>
      </c>
      <c r="F884" s="40">
        <f t="shared" si="143"/>
        <v>0</v>
      </c>
      <c r="G884" s="156">
        <v>1</v>
      </c>
      <c r="H884" s="120">
        <f>Tp_CHG!Q206</f>
        <v>0</v>
      </c>
      <c r="I884" s="40" t="s">
        <v>58</v>
      </c>
      <c r="J884" s="40">
        <f t="shared" si="150"/>
        <v>0</v>
      </c>
      <c r="K884" s="40">
        <f t="shared" si="151"/>
        <v>0</v>
      </c>
      <c r="L884" s="40" t="s">
        <v>58</v>
      </c>
      <c r="M884" s="50" t="s">
        <v>266</v>
      </c>
      <c r="N884" s="190"/>
      <c r="O884" s="40">
        <f t="shared" ca="1" si="153"/>
        <v>0.56271377879495299</v>
      </c>
      <c r="P884" s="51">
        <f t="shared" si="145"/>
        <v>0</v>
      </c>
      <c r="Q884" s="51">
        <f t="shared" si="146"/>
        <v>0</v>
      </c>
      <c r="R884" s="51">
        <f t="shared" si="152"/>
        <v>0</v>
      </c>
      <c r="S884"/>
      <c r="T884" s="83"/>
    </row>
    <row r="885" spans="1:20" ht="16" x14ac:dyDescent="0.2">
      <c r="A885"/>
      <c r="B885" s="103"/>
      <c r="C885" s="243"/>
      <c r="D885" s="119">
        <v>872</v>
      </c>
      <c r="E885" s="25" t="str">
        <f>Tp_CHG!N207</f>
        <v>Transition Probability from state 3 to state 7 on day 4 (CHG)</v>
      </c>
      <c r="F885" s="40">
        <f t="shared" si="143"/>
        <v>0</v>
      </c>
      <c r="G885" s="156">
        <v>1</v>
      </c>
      <c r="H885" s="120">
        <f>Tp_CHG!Q207</f>
        <v>0</v>
      </c>
      <c r="I885" s="40" t="s">
        <v>58</v>
      </c>
      <c r="J885" s="40">
        <f t="shared" si="150"/>
        <v>0</v>
      </c>
      <c r="K885" s="40">
        <f t="shared" si="151"/>
        <v>0</v>
      </c>
      <c r="L885" s="40" t="s">
        <v>58</v>
      </c>
      <c r="M885" s="50" t="s">
        <v>266</v>
      </c>
      <c r="N885" s="190"/>
      <c r="O885" s="40">
        <f t="shared" ca="1" si="153"/>
        <v>0.19757752062593703</v>
      </c>
      <c r="P885" s="51">
        <f t="shared" si="145"/>
        <v>0</v>
      </c>
      <c r="Q885" s="51">
        <f t="shared" si="146"/>
        <v>0</v>
      </c>
      <c r="R885" s="51">
        <f t="shared" si="152"/>
        <v>0</v>
      </c>
      <c r="S885"/>
      <c r="T885" s="83"/>
    </row>
    <row r="886" spans="1:20" ht="16" x14ac:dyDescent="0.2">
      <c r="A886"/>
      <c r="B886" s="103"/>
      <c r="C886" s="243"/>
      <c r="D886" s="119">
        <v>873</v>
      </c>
      <c r="E886" s="25" t="str">
        <f>Tp_CHG!N208</f>
        <v>Transition Probability from state 3 to state 7 on day 5 (CHG)</v>
      </c>
      <c r="F886" s="40">
        <f t="shared" si="143"/>
        <v>0</v>
      </c>
      <c r="G886" s="156">
        <v>1</v>
      </c>
      <c r="H886" s="120">
        <f>Tp_CHG!Q208</f>
        <v>0</v>
      </c>
      <c r="I886" s="40" t="s">
        <v>58</v>
      </c>
      <c r="J886" s="40">
        <f t="shared" si="150"/>
        <v>0</v>
      </c>
      <c r="K886" s="40">
        <f t="shared" si="151"/>
        <v>0</v>
      </c>
      <c r="L886" s="40" t="s">
        <v>58</v>
      </c>
      <c r="M886" s="50" t="s">
        <v>266</v>
      </c>
      <c r="N886" s="190"/>
      <c r="O886" s="40">
        <f t="shared" ca="1" si="153"/>
        <v>0.44659924001714157</v>
      </c>
      <c r="P886" s="51">
        <f t="shared" si="145"/>
        <v>0</v>
      </c>
      <c r="Q886" s="51">
        <f t="shared" si="146"/>
        <v>0</v>
      </c>
      <c r="R886" s="51">
        <f t="shared" si="152"/>
        <v>0</v>
      </c>
      <c r="S886"/>
      <c r="T886" s="83"/>
    </row>
    <row r="887" spans="1:20" ht="16" x14ac:dyDescent="0.2">
      <c r="A887"/>
      <c r="B887" s="103"/>
      <c r="C887" s="243"/>
      <c r="D887" s="119">
        <v>874</v>
      </c>
      <c r="E887" s="25" t="str">
        <f>Tp_CHG!N209</f>
        <v>Transition Probability from state 3 to state 7 on day 6 (CHG)</v>
      </c>
      <c r="F887" s="40">
        <f t="shared" si="143"/>
        <v>0</v>
      </c>
      <c r="G887" s="156">
        <v>1</v>
      </c>
      <c r="H887" s="120">
        <f>Tp_CHG!Q209</f>
        <v>0</v>
      </c>
      <c r="I887" s="40" t="s">
        <v>58</v>
      </c>
      <c r="J887" s="40">
        <f t="shared" si="150"/>
        <v>0</v>
      </c>
      <c r="K887" s="40">
        <f t="shared" si="151"/>
        <v>0</v>
      </c>
      <c r="L887" s="40" t="s">
        <v>58</v>
      </c>
      <c r="M887" s="50" t="s">
        <v>266</v>
      </c>
      <c r="N887" s="190"/>
      <c r="O887" s="40">
        <f t="shared" ca="1" si="153"/>
        <v>0.21074426447069128</v>
      </c>
      <c r="P887" s="51">
        <f t="shared" si="145"/>
        <v>0</v>
      </c>
      <c r="Q887" s="51">
        <f t="shared" si="146"/>
        <v>0</v>
      </c>
      <c r="R887" s="51">
        <f t="shared" si="152"/>
        <v>0</v>
      </c>
      <c r="S887"/>
      <c r="T887" s="83"/>
    </row>
    <row r="888" spans="1:20" ht="16" x14ac:dyDescent="0.2">
      <c r="A888"/>
      <c r="B888" s="103"/>
      <c r="C888" s="243"/>
      <c r="D888" s="119">
        <v>875</v>
      </c>
      <c r="E888" s="25" t="str">
        <f>Tp_CHG!N210</f>
        <v>Transition Probability from state 3 to state 7 on day 7 (CHG)</v>
      </c>
      <c r="F888" s="40">
        <f t="shared" si="143"/>
        <v>0</v>
      </c>
      <c r="G888" s="156">
        <v>1</v>
      </c>
      <c r="H888" s="120">
        <f>Tp_CHG!Q210</f>
        <v>0</v>
      </c>
      <c r="I888" s="40" t="s">
        <v>58</v>
      </c>
      <c r="J888" s="40">
        <f t="shared" ref="J888:J919" si="154">IF(H888=0,0,_xlfn.NORM.INV(0.025,H888,R888))</f>
        <v>0</v>
      </c>
      <c r="K888" s="40">
        <f t="shared" ref="K888:K919" si="155">IF(H888=0,0,_xlfn.NORM.INV(0.975,H888,R888))</f>
        <v>0</v>
      </c>
      <c r="L888" s="40" t="s">
        <v>58</v>
      </c>
      <c r="M888" s="50" t="s">
        <v>266</v>
      </c>
      <c r="N888" s="190"/>
      <c r="O888" s="40">
        <f t="shared" ca="1" si="153"/>
        <v>0.84420817670072501</v>
      </c>
      <c r="P888" s="51">
        <f t="shared" si="145"/>
        <v>0</v>
      </c>
      <c r="Q888" s="51">
        <f t="shared" si="146"/>
        <v>0</v>
      </c>
      <c r="R888" s="51">
        <f t="shared" ref="R888:R919" si="156">assumedSE*H888</f>
        <v>0</v>
      </c>
      <c r="S888"/>
      <c r="T888" s="83"/>
    </row>
    <row r="889" spans="1:20" ht="16" x14ac:dyDescent="0.2">
      <c r="A889"/>
      <c r="B889" s="103"/>
      <c r="C889" s="243"/>
      <c r="D889" s="119">
        <v>876</v>
      </c>
      <c r="E889" s="25" t="str">
        <f>Tp_CHG!N211</f>
        <v>Transition Probability from state 3 to state 7 on day 8 (CHG)</v>
      </c>
      <c r="F889" s="40">
        <f t="shared" si="143"/>
        <v>0</v>
      </c>
      <c r="G889" s="156">
        <v>1</v>
      </c>
      <c r="H889" s="120">
        <f>Tp_CHG!Q211</f>
        <v>0</v>
      </c>
      <c r="I889" s="40" t="s">
        <v>58</v>
      </c>
      <c r="J889" s="40">
        <f t="shared" si="154"/>
        <v>0</v>
      </c>
      <c r="K889" s="40">
        <f t="shared" si="155"/>
        <v>0</v>
      </c>
      <c r="L889" s="40" t="s">
        <v>58</v>
      </c>
      <c r="M889" s="50" t="s">
        <v>266</v>
      </c>
      <c r="N889" s="190"/>
      <c r="O889" s="40">
        <f t="shared" ca="1" si="153"/>
        <v>0.977652287239414</v>
      </c>
      <c r="P889" s="51">
        <f t="shared" si="145"/>
        <v>0</v>
      </c>
      <c r="Q889" s="51">
        <f t="shared" si="146"/>
        <v>0</v>
      </c>
      <c r="R889" s="51">
        <f t="shared" si="156"/>
        <v>0</v>
      </c>
      <c r="S889"/>
      <c r="T889" s="83"/>
    </row>
    <row r="890" spans="1:20" ht="16" x14ac:dyDescent="0.2">
      <c r="A890"/>
      <c r="B890" s="103"/>
      <c r="C890" s="243"/>
      <c r="D890" s="119">
        <v>877</v>
      </c>
      <c r="E890" s="25" t="str">
        <f>Tp_CHG!N212</f>
        <v>Transition Probability from state 3 to state 7 on day 9 (CHG)</v>
      </c>
      <c r="F890" s="40">
        <f t="shared" si="143"/>
        <v>0</v>
      </c>
      <c r="G890" s="156">
        <v>1</v>
      </c>
      <c r="H890" s="120">
        <f>Tp_CHG!Q212</f>
        <v>0</v>
      </c>
      <c r="I890" s="40" t="s">
        <v>58</v>
      </c>
      <c r="J890" s="40">
        <f t="shared" si="154"/>
        <v>0</v>
      </c>
      <c r="K890" s="40">
        <f t="shared" si="155"/>
        <v>0</v>
      </c>
      <c r="L890" s="40" t="s">
        <v>58</v>
      </c>
      <c r="M890" s="50" t="s">
        <v>266</v>
      </c>
      <c r="N890" s="190"/>
      <c r="O890" s="40">
        <f t="shared" ca="1" si="153"/>
        <v>9.1219300787804714E-2</v>
      </c>
      <c r="P890" s="51">
        <f t="shared" si="145"/>
        <v>0</v>
      </c>
      <c r="Q890" s="51">
        <f t="shared" si="146"/>
        <v>0</v>
      </c>
      <c r="R890" s="51">
        <f t="shared" si="156"/>
        <v>0</v>
      </c>
      <c r="S890"/>
      <c r="T890" s="83"/>
    </row>
    <row r="891" spans="1:20" ht="16" x14ac:dyDescent="0.2">
      <c r="A891"/>
      <c r="B891" s="103"/>
      <c r="C891" s="243"/>
      <c r="D891" s="119">
        <v>878</v>
      </c>
      <c r="E891" s="25" t="str">
        <f>Tp_CHG!N213</f>
        <v>Transition Probability from state 3 to state 7 on day 10 (CHG)</v>
      </c>
      <c r="F891" s="40">
        <f t="shared" si="143"/>
        <v>0</v>
      </c>
      <c r="G891" s="156">
        <v>1</v>
      </c>
      <c r="H891" s="120">
        <f>Tp_CHG!Q213</f>
        <v>0</v>
      </c>
      <c r="I891" s="40" t="s">
        <v>58</v>
      </c>
      <c r="J891" s="40">
        <f t="shared" si="154"/>
        <v>0</v>
      </c>
      <c r="K891" s="40">
        <f t="shared" si="155"/>
        <v>0</v>
      </c>
      <c r="L891" s="40" t="s">
        <v>58</v>
      </c>
      <c r="M891" s="50" t="s">
        <v>266</v>
      </c>
      <c r="N891" s="190"/>
      <c r="O891" s="40">
        <f t="shared" ca="1" si="153"/>
        <v>0.74313130094197999</v>
      </c>
      <c r="P891" s="51">
        <f t="shared" si="145"/>
        <v>0</v>
      </c>
      <c r="Q891" s="51">
        <f t="shared" si="146"/>
        <v>0</v>
      </c>
      <c r="R891" s="51">
        <f t="shared" si="156"/>
        <v>0</v>
      </c>
      <c r="S891"/>
      <c r="T891" s="83"/>
    </row>
    <row r="892" spans="1:20" ht="16" x14ac:dyDescent="0.2">
      <c r="A892"/>
      <c r="B892" s="103"/>
      <c r="C892" s="243"/>
      <c r="D892" s="119">
        <v>879</v>
      </c>
      <c r="E892" s="25" t="str">
        <f>Tp_CHG!N214</f>
        <v>Transition Probability from state 3 to state 7 on day 11 (CHG)</v>
      </c>
      <c r="F892" s="40">
        <f t="shared" si="143"/>
        <v>0</v>
      </c>
      <c r="G892" s="156">
        <v>1</v>
      </c>
      <c r="H892" s="120">
        <f>Tp_CHG!Q214</f>
        <v>0</v>
      </c>
      <c r="I892" s="40" t="s">
        <v>58</v>
      </c>
      <c r="J892" s="40">
        <f t="shared" si="154"/>
        <v>0</v>
      </c>
      <c r="K892" s="40">
        <f t="shared" si="155"/>
        <v>0</v>
      </c>
      <c r="L892" s="40" t="s">
        <v>58</v>
      </c>
      <c r="M892" s="50" t="s">
        <v>266</v>
      </c>
      <c r="N892" s="190"/>
      <c r="O892" s="40">
        <f t="shared" ca="1" si="153"/>
        <v>0.77369938451329712</v>
      </c>
      <c r="P892" s="51">
        <f t="shared" si="145"/>
        <v>0</v>
      </c>
      <c r="Q892" s="51">
        <f t="shared" si="146"/>
        <v>0</v>
      </c>
      <c r="R892" s="51">
        <f t="shared" si="156"/>
        <v>0</v>
      </c>
      <c r="S892"/>
      <c r="T892" s="83"/>
    </row>
    <row r="893" spans="1:20" ht="16" x14ac:dyDescent="0.2">
      <c r="A893"/>
      <c r="B893" s="103"/>
      <c r="C893" s="243"/>
      <c r="D893" s="119">
        <v>880</v>
      </c>
      <c r="E893" s="25" t="str">
        <f>Tp_CHG!N215</f>
        <v>Transition Probability from state 3 to state 7 on day 12 (CHG)</v>
      </c>
      <c r="F893" s="40">
        <f t="shared" si="143"/>
        <v>0</v>
      </c>
      <c r="G893" s="156">
        <v>1</v>
      </c>
      <c r="H893" s="120">
        <f>Tp_CHG!Q215</f>
        <v>0</v>
      </c>
      <c r="I893" s="40" t="s">
        <v>58</v>
      </c>
      <c r="J893" s="40">
        <f t="shared" si="154"/>
        <v>0</v>
      </c>
      <c r="K893" s="40">
        <f t="shared" si="155"/>
        <v>0</v>
      </c>
      <c r="L893" s="40" t="s">
        <v>58</v>
      </c>
      <c r="M893" s="50" t="s">
        <v>266</v>
      </c>
      <c r="N893" s="190"/>
      <c r="O893" s="40">
        <f t="shared" ca="1" si="153"/>
        <v>0.6343234796158469</v>
      </c>
      <c r="P893" s="51">
        <f t="shared" si="145"/>
        <v>0</v>
      </c>
      <c r="Q893" s="51">
        <f t="shared" si="146"/>
        <v>0</v>
      </c>
      <c r="R893" s="51">
        <f t="shared" si="156"/>
        <v>0</v>
      </c>
      <c r="S893"/>
      <c r="T893" s="83"/>
    </row>
    <row r="894" spans="1:20" ht="16" x14ac:dyDescent="0.2">
      <c r="A894"/>
      <c r="B894" s="103"/>
      <c r="C894" s="243"/>
      <c r="D894" s="119">
        <v>881</v>
      </c>
      <c r="E894" s="25" t="str">
        <f>Tp_CHG!N216</f>
        <v>Transition Probability from state 3 to state 7 on day 13 (CHG)</v>
      </c>
      <c r="F894" s="40">
        <f t="shared" si="143"/>
        <v>0</v>
      </c>
      <c r="G894" s="156">
        <v>1</v>
      </c>
      <c r="H894" s="120">
        <f>Tp_CHG!Q216</f>
        <v>0</v>
      </c>
      <c r="I894" s="40" t="s">
        <v>58</v>
      </c>
      <c r="J894" s="40">
        <f t="shared" si="154"/>
        <v>0</v>
      </c>
      <c r="K894" s="40">
        <f t="shared" si="155"/>
        <v>0</v>
      </c>
      <c r="L894" s="40" t="s">
        <v>58</v>
      </c>
      <c r="M894" s="50" t="s">
        <v>266</v>
      </c>
      <c r="N894" s="190"/>
      <c r="O894" s="40">
        <f t="shared" ca="1" si="153"/>
        <v>0.7313875203856165</v>
      </c>
      <c r="P894" s="51">
        <f t="shared" si="145"/>
        <v>0</v>
      </c>
      <c r="Q894" s="51">
        <f t="shared" si="146"/>
        <v>0</v>
      </c>
      <c r="R894" s="51">
        <f t="shared" si="156"/>
        <v>0</v>
      </c>
      <c r="S894"/>
      <c r="T894" s="83"/>
    </row>
    <row r="895" spans="1:20" ht="16" x14ac:dyDescent="0.2">
      <c r="A895"/>
      <c r="B895" s="103"/>
      <c r="C895" s="243"/>
      <c r="D895" s="119">
        <v>882</v>
      </c>
      <c r="E895" s="25" t="str">
        <f>Tp_CHG!N217</f>
        <v>Transition Probability from state 3 to state 7 on day 14 (CHG)</v>
      </c>
      <c r="F895" s="40">
        <f t="shared" si="143"/>
        <v>0</v>
      </c>
      <c r="G895" s="156">
        <v>1</v>
      </c>
      <c r="H895" s="120">
        <f>Tp_CHG!Q217</f>
        <v>0</v>
      </c>
      <c r="I895" s="40" t="s">
        <v>58</v>
      </c>
      <c r="J895" s="40">
        <f t="shared" si="154"/>
        <v>0</v>
      </c>
      <c r="K895" s="40">
        <f t="shared" si="155"/>
        <v>0</v>
      </c>
      <c r="L895" s="40" t="s">
        <v>58</v>
      </c>
      <c r="M895" s="50" t="s">
        <v>266</v>
      </c>
      <c r="N895" s="190"/>
      <c r="O895" s="40">
        <f t="shared" ca="1" si="153"/>
        <v>0.60494756667564431</v>
      </c>
      <c r="P895" s="51">
        <f t="shared" si="145"/>
        <v>0</v>
      </c>
      <c r="Q895" s="51">
        <f t="shared" si="146"/>
        <v>0</v>
      </c>
      <c r="R895" s="51">
        <f t="shared" si="156"/>
        <v>0</v>
      </c>
      <c r="S895"/>
      <c r="T895" s="83"/>
    </row>
    <row r="896" spans="1:20" ht="16" x14ac:dyDescent="0.2">
      <c r="A896"/>
      <c r="B896" s="103"/>
      <c r="C896" s="243"/>
      <c r="D896" s="119">
        <v>883</v>
      </c>
      <c r="E896" s="25" t="str">
        <f>Tp_CHG!N218</f>
        <v>Transition Probability from state 3 to state 7 on day 15 (CHG)</v>
      </c>
      <c r="F896" s="40">
        <f t="shared" si="143"/>
        <v>0</v>
      </c>
      <c r="G896" s="156">
        <v>1</v>
      </c>
      <c r="H896" s="120">
        <f>Tp_CHG!Q218</f>
        <v>0</v>
      </c>
      <c r="I896" s="40" t="s">
        <v>58</v>
      </c>
      <c r="J896" s="40">
        <f t="shared" si="154"/>
        <v>0</v>
      </c>
      <c r="K896" s="40">
        <f t="shared" si="155"/>
        <v>0</v>
      </c>
      <c r="L896" s="40" t="s">
        <v>58</v>
      </c>
      <c r="M896" s="50" t="s">
        <v>266</v>
      </c>
      <c r="N896" s="190"/>
      <c r="O896" s="40">
        <f t="shared" ca="1" si="153"/>
        <v>0.50746512709616631</v>
      </c>
      <c r="P896" s="51">
        <f t="shared" si="145"/>
        <v>0</v>
      </c>
      <c r="Q896" s="51">
        <f t="shared" si="146"/>
        <v>0</v>
      </c>
      <c r="R896" s="51">
        <f t="shared" si="156"/>
        <v>0</v>
      </c>
      <c r="S896"/>
      <c r="T896" s="83"/>
    </row>
    <row r="897" spans="1:20" ht="16" x14ac:dyDescent="0.2">
      <c r="A897"/>
      <c r="B897" s="103"/>
      <c r="C897" s="243"/>
      <c r="D897" s="119">
        <v>884</v>
      </c>
      <c r="E897" s="25" t="str">
        <f>Tp_CHG!N219</f>
        <v>Transition Probability from state 3 to state 7 on day 16 (CHG)</v>
      </c>
      <c r="F897" s="40">
        <f t="shared" si="143"/>
        <v>0</v>
      </c>
      <c r="G897" s="156">
        <v>1</v>
      </c>
      <c r="H897" s="120">
        <f>Tp_CHG!Q219</f>
        <v>0</v>
      </c>
      <c r="I897" s="40" t="s">
        <v>58</v>
      </c>
      <c r="J897" s="40">
        <f t="shared" si="154"/>
        <v>0</v>
      </c>
      <c r="K897" s="40">
        <f t="shared" si="155"/>
        <v>0</v>
      </c>
      <c r="L897" s="40" t="s">
        <v>58</v>
      </c>
      <c r="M897" s="50" t="s">
        <v>266</v>
      </c>
      <c r="N897" s="190"/>
      <c r="O897" s="40">
        <f t="shared" ca="1" si="153"/>
        <v>0.11803705778838514</v>
      </c>
      <c r="P897" s="51">
        <f t="shared" si="145"/>
        <v>0</v>
      </c>
      <c r="Q897" s="51">
        <f t="shared" si="146"/>
        <v>0</v>
      </c>
      <c r="R897" s="51">
        <f t="shared" si="156"/>
        <v>0</v>
      </c>
      <c r="S897"/>
      <c r="T897" s="83"/>
    </row>
    <row r="898" spans="1:20" ht="16" x14ac:dyDescent="0.2">
      <c r="A898"/>
      <c r="B898" s="103"/>
      <c r="C898" s="243"/>
      <c r="D898" s="119">
        <v>885</v>
      </c>
      <c r="E898" s="25" t="str">
        <f>Tp_CHG!N220</f>
        <v>Transition Probability from state 3 to state 7 on day 17 (CHG)</v>
      </c>
      <c r="F898" s="40">
        <f t="shared" si="143"/>
        <v>0</v>
      </c>
      <c r="G898" s="156">
        <v>1</v>
      </c>
      <c r="H898" s="120">
        <f>Tp_CHG!Q220</f>
        <v>0</v>
      </c>
      <c r="I898" s="40" t="s">
        <v>58</v>
      </c>
      <c r="J898" s="40">
        <f t="shared" si="154"/>
        <v>0</v>
      </c>
      <c r="K898" s="40">
        <f t="shared" si="155"/>
        <v>0</v>
      </c>
      <c r="L898" s="40" t="s">
        <v>58</v>
      </c>
      <c r="M898" s="50" t="s">
        <v>266</v>
      </c>
      <c r="N898" s="190"/>
      <c r="O898" s="40">
        <f t="shared" ca="1" si="153"/>
        <v>0.22442607849254326</v>
      </c>
      <c r="P898" s="51">
        <f t="shared" si="145"/>
        <v>0</v>
      </c>
      <c r="Q898" s="51">
        <f t="shared" si="146"/>
        <v>0</v>
      </c>
      <c r="R898" s="51">
        <f t="shared" si="156"/>
        <v>0</v>
      </c>
      <c r="S898"/>
      <c r="T898" s="83"/>
    </row>
    <row r="899" spans="1:20" ht="16" x14ac:dyDescent="0.2">
      <c r="A899"/>
      <c r="B899" s="103"/>
      <c r="C899" s="243"/>
      <c r="D899" s="119">
        <v>886</v>
      </c>
      <c r="E899" s="25" t="str">
        <f>Tp_CHG!N221</f>
        <v>Transition Probability from state 3 to state 7 on day 18 (CHG)</v>
      </c>
      <c r="F899" s="40">
        <f t="shared" si="143"/>
        <v>0</v>
      </c>
      <c r="G899" s="156">
        <v>1</v>
      </c>
      <c r="H899" s="120">
        <f>Tp_CHG!Q221</f>
        <v>0</v>
      </c>
      <c r="I899" s="40" t="s">
        <v>58</v>
      </c>
      <c r="J899" s="40">
        <f t="shared" si="154"/>
        <v>0</v>
      </c>
      <c r="K899" s="40">
        <f t="shared" si="155"/>
        <v>0</v>
      </c>
      <c r="L899" s="40" t="s">
        <v>58</v>
      </c>
      <c r="M899" s="50" t="s">
        <v>266</v>
      </c>
      <c r="N899" s="190"/>
      <c r="O899" s="40">
        <f t="shared" ca="1" si="153"/>
        <v>0.92920691099301922</v>
      </c>
      <c r="P899" s="51">
        <f t="shared" si="145"/>
        <v>0</v>
      </c>
      <c r="Q899" s="51">
        <f t="shared" si="146"/>
        <v>0</v>
      </c>
      <c r="R899" s="51">
        <f t="shared" si="156"/>
        <v>0</v>
      </c>
      <c r="S899"/>
      <c r="T899" s="83"/>
    </row>
    <row r="900" spans="1:20" ht="16" x14ac:dyDescent="0.2">
      <c r="A900"/>
      <c r="B900" s="103"/>
      <c r="C900" s="243"/>
      <c r="D900" s="119">
        <v>887</v>
      </c>
      <c r="E900" s="25" t="str">
        <f>Tp_CHG!N222</f>
        <v>Transition Probability from state 3 to state 7 on day 19 (CHG)</v>
      </c>
      <c r="F900" s="40">
        <f t="shared" si="143"/>
        <v>0</v>
      </c>
      <c r="G900" s="156">
        <v>1</v>
      </c>
      <c r="H900" s="120">
        <f>Tp_CHG!Q222</f>
        <v>0</v>
      </c>
      <c r="I900" s="40" t="s">
        <v>58</v>
      </c>
      <c r="J900" s="40">
        <f t="shared" si="154"/>
        <v>0</v>
      </c>
      <c r="K900" s="40">
        <f t="shared" si="155"/>
        <v>0</v>
      </c>
      <c r="L900" s="40" t="s">
        <v>58</v>
      </c>
      <c r="M900" s="50" t="s">
        <v>266</v>
      </c>
      <c r="N900" s="190"/>
      <c r="O900" s="40">
        <f t="shared" ca="1" si="153"/>
        <v>0.40161027393297544</v>
      </c>
      <c r="P900" s="51">
        <f t="shared" si="145"/>
        <v>0</v>
      </c>
      <c r="Q900" s="51">
        <f t="shared" si="146"/>
        <v>0</v>
      </c>
      <c r="R900" s="51">
        <f t="shared" si="156"/>
        <v>0</v>
      </c>
      <c r="S900"/>
      <c r="T900" s="83"/>
    </row>
    <row r="901" spans="1:20" ht="16" x14ac:dyDescent="0.2">
      <c r="A901"/>
      <c r="B901" s="103"/>
      <c r="C901" s="243"/>
      <c r="D901" s="119">
        <v>888</v>
      </c>
      <c r="E901" s="25" t="str">
        <f>Tp_CHG!N223</f>
        <v>Transition Probability from state 3 to state 7 on day 20 (CHG)</v>
      </c>
      <c r="F901" s="40">
        <f t="shared" si="143"/>
        <v>0</v>
      </c>
      <c r="G901" s="156">
        <v>1</v>
      </c>
      <c r="H901" s="120">
        <f>Tp_CHG!Q223</f>
        <v>0</v>
      </c>
      <c r="I901" s="40" t="s">
        <v>58</v>
      </c>
      <c r="J901" s="40">
        <f t="shared" si="154"/>
        <v>0</v>
      </c>
      <c r="K901" s="40">
        <f t="shared" si="155"/>
        <v>0</v>
      </c>
      <c r="L901" s="40" t="s">
        <v>58</v>
      </c>
      <c r="M901" s="50" t="s">
        <v>266</v>
      </c>
      <c r="N901" s="190"/>
      <c r="O901" s="40">
        <f t="shared" ca="1" si="153"/>
        <v>0.27900513200174393</v>
      </c>
      <c r="P901" s="51">
        <f t="shared" si="145"/>
        <v>0</v>
      </c>
      <c r="Q901" s="51">
        <f t="shared" si="146"/>
        <v>0</v>
      </c>
      <c r="R901" s="51">
        <f t="shared" si="156"/>
        <v>0</v>
      </c>
      <c r="S901"/>
      <c r="T901" s="83"/>
    </row>
    <row r="902" spans="1:20" ht="16" x14ac:dyDescent="0.2">
      <c r="A902"/>
      <c r="B902" s="103"/>
      <c r="C902" s="243"/>
      <c r="D902" s="119">
        <v>889</v>
      </c>
      <c r="E902" s="25" t="str">
        <f>Tp_CHG!N224</f>
        <v>Transition Probability from state 3 to state 7 on day 21 (CHG)</v>
      </c>
      <c r="F902" s="40">
        <f t="shared" si="143"/>
        <v>0</v>
      </c>
      <c r="G902" s="156">
        <v>1</v>
      </c>
      <c r="H902" s="120">
        <f>Tp_CHG!Q224</f>
        <v>0</v>
      </c>
      <c r="I902" s="40" t="s">
        <v>58</v>
      </c>
      <c r="J902" s="40">
        <f t="shared" si="154"/>
        <v>0</v>
      </c>
      <c r="K902" s="40">
        <f t="shared" si="155"/>
        <v>0</v>
      </c>
      <c r="L902" s="40" t="s">
        <v>58</v>
      </c>
      <c r="M902" s="50" t="s">
        <v>266</v>
      </c>
      <c r="N902" s="190"/>
      <c r="O902" s="40">
        <f t="shared" ca="1" si="153"/>
        <v>0.41582479731981781</v>
      </c>
      <c r="P902" s="51">
        <f t="shared" si="145"/>
        <v>0</v>
      </c>
      <c r="Q902" s="51">
        <f t="shared" si="146"/>
        <v>0</v>
      </c>
      <c r="R902" s="51">
        <f t="shared" si="156"/>
        <v>0</v>
      </c>
      <c r="S902"/>
      <c r="T902" s="83"/>
    </row>
    <row r="903" spans="1:20" ht="16" x14ac:dyDescent="0.2">
      <c r="A903"/>
      <c r="B903" s="103"/>
      <c r="C903" s="243"/>
      <c r="D903" s="119">
        <v>890</v>
      </c>
      <c r="E903" s="25" t="str">
        <f>Tp_CHG!N225</f>
        <v>Transition Probability from state 3 to state 7 on day 22 (CHG)</v>
      </c>
      <c r="F903" s="40">
        <f t="shared" si="143"/>
        <v>0</v>
      </c>
      <c r="G903" s="156">
        <v>1</v>
      </c>
      <c r="H903" s="120">
        <f>Tp_CHG!Q225</f>
        <v>0</v>
      </c>
      <c r="I903" s="40" t="s">
        <v>58</v>
      </c>
      <c r="J903" s="40">
        <f t="shared" si="154"/>
        <v>0</v>
      </c>
      <c r="K903" s="40">
        <f t="shared" si="155"/>
        <v>0</v>
      </c>
      <c r="L903" s="40" t="s">
        <v>58</v>
      </c>
      <c r="M903" s="50" t="s">
        <v>266</v>
      </c>
      <c r="N903" s="190"/>
      <c r="O903" s="40">
        <f t="shared" ca="1" si="153"/>
        <v>0.70852873879912726</v>
      </c>
      <c r="P903" s="51">
        <f t="shared" si="145"/>
        <v>0</v>
      </c>
      <c r="Q903" s="51">
        <f t="shared" si="146"/>
        <v>0</v>
      </c>
      <c r="R903" s="51">
        <f t="shared" si="156"/>
        <v>0</v>
      </c>
      <c r="S903"/>
      <c r="T903" s="83"/>
    </row>
    <row r="904" spans="1:20" ht="16" x14ac:dyDescent="0.2">
      <c r="A904"/>
      <c r="B904" s="103"/>
      <c r="C904" s="243"/>
      <c r="D904" s="119">
        <v>891</v>
      </c>
      <c r="E904" s="25" t="str">
        <f>Tp_CHG!N226</f>
        <v>Transition Probability from state 3 to state 7 on day 23 (CHG)</v>
      </c>
      <c r="F904" s="40">
        <f t="shared" si="143"/>
        <v>0</v>
      </c>
      <c r="G904" s="156">
        <v>1</v>
      </c>
      <c r="H904" s="120">
        <f>Tp_CHG!Q226</f>
        <v>0</v>
      </c>
      <c r="I904" s="40" t="s">
        <v>58</v>
      </c>
      <c r="J904" s="40">
        <f t="shared" si="154"/>
        <v>0</v>
      </c>
      <c r="K904" s="40">
        <f t="shared" si="155"/>
        <v>0</v>
      </c>
      <c r="L904" s="40" t="s">
        <v>58</v>
      </c>
      <c r="M904" s="50" t="s">
        <v>266</v>
      </c>
      <c r="N904" s="190"/>
      <c r="O904" s="40">
        <f t="shared" ca="1" si="153"/>
        <v>0.99582654639838009</v>
      </c>
      <c r="P904" s="51">
        <f t="shared" si="145"/>
        <v>0</v>
      </c>
      <c r="Q904" s="51">
        <f t="shared" si="146"/>
        <v>0</v>
      </c>
      <c r="R904" s="51">
        <f t="shared" si="156"/>
        <v>0</v>
      </c>
      <c r="S904"/>
      <c r="T904" s="83"/>
    </row>
    <row r="905" spans="1:20" ht="16" x14ac:dyDescent="0.2">
      <c r="A905"/>
      <c r="B905" s="103"/>
      <c r="C905" s="243"/>
      <c r="D905" s="119">
        <v>892</v>
      </c>
      <c r="E905" s="25" t="str">
        <f>Tp_CHG!N227</f>
        <v>Transition Probability from state 3 to state 7 on day 24 (CHG)</v>
      </c>
      <c r="F905" s="40">
        <f t="shared" si="143"/>
        <v>0</v>
      </c>
      <c r="G905" s="156">
        <v>1</v>
      </c>
      <c r="H905" s="120">
        <f>Tp_CHG!Q227</f>
        <v>0</v>
      </c>
      <c r="I905" s="40" t="s">
        <v>58</v>
      </c>
      <c r="J905" s="40">
        <f t="shared" si="154"/>
        <v>0</v>
      </c>
      <c r="K905" s="40">
        <f t="shared" si="155"/>
        <v>0</v>
      </c>
      <c r="L905" s="40" t="s">
        <v>58</v>
      </c>
      <c r="M905" s="50" t="s">
        <v>266</v>
      </c>
      <c r="N905" s="190"/>
      <c r="O905" s="40">
        <f t="shared" ca="1" si="153"/>
        <v>5.326607145315565E-2</v>
      </c>
      <c r="P905" s="51">
        <f t="shared" si="145"/>
        <v>0</v>
      </c>
      <c r="Q905" s="51">
        <f t="shared" si="146"/>
        <v>0</v>
      </c>
      <c r="R905" s="51">
        <f t="shared" si="156"/>
        <v>0</v>
      </c>
      <c r="S905"/>
      <c r="T905" s="83"/>
    </row>
    <row r="906" spans="1:20" ht="16" x14ac:dyDescent="0.2">
      <c r="A906"/>
      <c r="B906" s="103"/>
      <c r="C906" s="243"/>
      <c r="D906" s="119">
        <v>893</v>
      </c>
      <c r="E906" s="25" t="str">
        <f>Tp_CHG!N228</f>
        <v>Transition Probability from state 3 to state 7 on day 25 (CHG)</v>
      </c>
      <c r="F906" s="40">
        <f t="shared" si="143"/>
        <v>0</v>
      </c>
      <c r="G906" s="156">
        <v>1</v>
      </c>
      <c r="H906" s="120">
        <f>Tp_CHG!Q228</f>
        <v>0</v>
      </c>
      <c r="I906" s="40" t="s">
        <v>58</v>
      </c>
      <c r="J906" s="40">
        <f t="shared" si="154"/>
        <v>0</v>
      </c>
      <c r="K906" s="40">
        <f t="shared" si="155"/>
        <v>0</v>
      </c>
      <c r="L906" s="40" t="s">
        <v>58</v>
      </c>
      <c r="M906" s="50" t="s">
        <v>266</v>
      </c>
      <c r="N906" s="190"/>
      <c r="O906" s="40">
        <f t="shared" ca="1" si="153"/>
        <v>0.72442331314607356</v>
      </c>
      <c r="P906" s="51">
        <f t="shared" si="145"/>
        <v>0</v>
      </c>
      <c r="Q906" s="51">
        <f t="shared" si="146"/>
        <v>0</v>
      </c>
      <c r="R906" s="51">
        <f t="shared" si="156"/>
        <v>0</v>
      </c>
      <c r="S906"/>
      <c r="T906" s="83"/>
    </row>
    <row r="907" spans="1:20" ht="16" x14ac:dyDescent="0.2">
      <c r="A907"/>
      <c r="B907" s="103"/>
      <c r="C907" s="243"/>
      <c r="D907" s="119">
        <v>894</v>
      </c>
      <c r="E907" s="25" t="str">
        <f>Tp_CHG!N229</f>
        <v>Transition Probability from state 3 to state 7 on day 26 (CHG)</v>
      </c>
      <c r="F907" s="40">
        <f t="shared" si="143"/>
        <v>0</v>
      </c>
      <c r="G907" s="156">
        <v>1</v>
      </c>
      <c r="H907" s="120">
        <f>Tp_CHG!Q229</f>
        <v>0</v>
      </c>
      <c r="I907" s="40" t="s">
        <v>58</v>
      </c>
      <c r="J907" s="40">
        <f t="shared" si="154"/>
        <v>0</v>
      </c>
      <c r="K907" s="40">
        <f t="shared" si="155"/>
        <v>0</v>
      </c>
      <c r="L907" s="40" t="s">
        <v>58</v>
      </c>
      <c r="M907" s="50" t="s">
        <v>266</v>
      </c>
      <c r="N907" s="190"/>
      <c r="O907" s="40">
        <f t="shared" ca="1" si="153"/>
        <v>0.11202396522983127</v>
      </c>
      <c r="P907" s="51">
        <f t="shared" si="145"/>
        <v>0</v>
      </c>
      <c r="Q907" s="51">
        <f t="shared" si="146"/>
        <v>0</v>
      </c>
      <c r="R907" s="51">
        <f t="shared" si="156"/>
        <v>0</v>
      </c>
      <c r="S907"/>
      <c r="T907" s="83"/>
    </row>
    <row r="908" spans="1:20" ht="16" x14ac:dyDescent="0.2">
      <c r="A908"/>
      <c r="B908" s="103"/>
      <c r="C908" s="243"/>
      <c r="D908" s="119">
        <v>895</v>
      </c>
      <c r="E908" s="25" t="str">
        <f>Tp_CHG!N230</f>
        <v>Transition Probability from state 3 to state 7 on day 27 (CHG)</v>
      </c>
      <c r="F908" s="40">
        <f t="shared" si="143"/>
        <v>0</v>
      </c>
      <c r="G908" s="156">
        <v>1</v>
      </c>
      <c r="H908" s="120">
        <f>Tp_CHG!Q230</f>
        <v>0</v>
      </c>
      <c r="I908" s="40" t="s">
        <v>58</v>
      </c>
      <c r="J908" s="40">
        <f t="shared" si="154"/>
        <v>0</v>
      </c>
      <c r="K908" s="40">
        <f t="shared" si="155"/>
        <v>0</v>
      </c>
      <c r="L908" s="40" t="s">
        <v>58</v>
      </c>
      <c r="M908" s="50" t="s">
        <v>266</v>
      </c>
      <c r="N908" s="190"/>
      <c r="O908" s="40">
        <f t="shared" ca="1" si="153"/>
        <v>0.76551731168005333</v>
      </c>
      <c r="P908" s="51">
        <f t="shared" si="145"/>
        <v>0</v>
      </c>
      <c r="Q908" s="51">
        <f t="shared" si="146"/>
        <v>0</v>
      </c>
      <c r="R908" s="51">
        <f t="shared" si="156"/>
        <v>0</v>
      </c>
      <c r="S908"/>
      <c r="T908" s="83"/>
    </row>
    <row r="909" spans="1:20" ht="16" x14ac:dyDescent="0.2">
      <c r="A909"/>
      <c r="B909" s="103"/>
      <c r="C909" s="243"/>
      <c r="D909" s="119">
        <v>896</v>
      </c>
      <c r="E909" s="25" t="str">
        <f>Tp_CHG!N231</f>
        <v>Transition Probability from state 3 to state 7 on day 28 (CHG)</v>
      </c>
      <c r="F909" s="40">
        <f t="shared" si="143"/>
        <v>0</v>
      </c>
      <c r="G909" s="156">
        <v>1</v>
      </c>
      <c r="H909" s="120">
        <f>Tp_CHG!Q231</f>
        <v>0</v>
      </c>
      <c r="I909" s="40" t="s">
        <v>58</v>
      </c>
      <c r="J909" s="40">
        <f t="shared" si="154"/>
        <v>0</v>
      </c>
      <c r="K909" s="40">
        <f t="shared" si="155"/>
        <v>0</v>
      </c>
      <c r="L909" s="40" t="s">
        <v>58</v>
      </c>
      <c r="M909" s="50" t="s">
        <v>266</v>
      </c>
      <c r="N909" s="190"/>
      <c r="O909" s="40">
        <f t="shared" ca="1" si="153"/>
        <v>0.41505958351365646</v>
      </c>
      <c r="P909" s="51">
        <f t="shared" si="145"/>
        <v>0</v>
      </c>
      <c r="Q909" s="51">
        <f t="shared" si="146"/>
        <v>0</v>
      </c>
      <c r="R909" s="51">
        <f t="shared" si="156"/>
        <v>0</v>
      </c>
      <c r="S909"/>
      <c r="T909" s="83"/>
    </row>
    <row r="910" spans="1:20" ht="16" x14ac:dyDescent="0.2">
      <c r="A910"/>
      <c r="B910" s="103"/>
      <c r="C910" s="243"/>
      <c r="D910" s="119">
        <v>897</v>
      </c>
      <c r="E910" s="25" t="str">
        <f>Tp_CHG!N232</f>
        <v>Transition Probability from state 3 to state 7 on day 29 (CHG)</v>
      </c>
      <c r="F910" s="40">
        <f t="shared" si="143"/>
        <v>0</v>
      </c>
      <c r="G910" s="156">
        <v>1</v>
      </c>
      <c r="H910" s="120">
        <f>Tp_CHG!Q232</f>
        <v>0</v>
      </c>
      <c r="I910" s="40" t="s">
        <v>58</v>
      </c>
      <c r="J910" s="40">
        <f t="shared" si="154"/>
        <v>0</v>
      </c>
      <c r="K910" s="40">
        <f t="shared" si="155"/>
        <v>0</v>
      </c>
      <c r="L910" s="40" t="s">
        <v>58</v>
      </c>
      <c r="M910" s="50" t="s">
        <v>266</v>
      </c>
      <c r="N910" s="190"/>
      <c r="O910" s="40">
        <f t="shared" ca="1" si="153"/>
        <v>0.4361497570103271</v>
      </c>
      <c r="P910" s="51">
        <f t="shared" si="145"/>
        <v>0</v>
      </c>
      <c r="Q910" s="51">
        <f t="shared" si="146"/>
        <v>0</v>
      </c>
      <c r="R910" s="51">
        <f t="shared" si="156"/>
        <v>0</v>
      </c>
      <c r="S910"/>
      <c r="T910" s="83"/>
    </row>
    <row r="911" spans="1:20" ht="16" x14ac:dyDescent="0.2">
      <c r="A911"/>
      <c r="B911" s="103"/>
      <c r="C911" s="243"/>
      <c r="D911" s="119">
        <v>898</v>
      </c>
      <c r="E911" s="25" t="str">
        <f>Tp_CHG!N233</f>
        <v>Transition Probability from state 3 to state 7 on day 30 (CHG)</v>
      </c>
      <c r="F911" s="40">
        <f t="shared" ref="F911:F974" si="157">IFERROR(CHOOSE(G911,H911,J911,K911,N911),0)</f>
        <v>0</v>
      </c>
      <c r="G911" s="156">
        <v>1</v>
      </c>
      <c r="H911" s="120">
        <f>Tp_CHG!Q233</f>
        <v>0</v>
      </c>
      <c r="I911" s="40" t="s">
        <v>58</v>
      </c>
      <c r="J911" s="40">
        <f t="shared" si="154"/>
        <v>0</v>
      </c>
      <c r="K911" s="40">
        <f t="shared" si="155"/>
        <v>0</v>
      </c>
      <c r="L911" s="40" t="s">
        <v>58</v>
      </c>
      <c r="M911" s="50" t="s">
        <v>266</v>
      </c>
      <c r="N911" s="190"/>
      <c r="O911" s="40">
        <f t="shared" ca="1" si="153"/>
        <v>0.49950368992551386</v>
      </c>
      <c r="P911" s="51">
        <f t="shared" si="145"/>
        <v>0</v>
      </c>
      <c r="Q911" s="51">
        <f t="shared" si="146"/>
        <v>0</v>
      </c>
      <c r="R911" s="51">
        <f t="shared" si="156"/>
        <v>0</v>
      </c>
      <c r="S911"/>
      <c r="T911" s="83"/>
    </row>
    <row r="912" spans="1:20" ht="16" x14ac:dyDescent="0.2">
      <c r="A912"/>
      <c r="B912" s="103"/>
      <c r="C912" s="243"/>
      <c r="D912" s="119">
        <v>899</v>
      </c>
      <c r="E912" s="25" t="str">
        <f>Tp_CHG!S204</f>
        <v>Transition Probability from state 4 to state 7 on day 1 (CHG)</v>
      </c>
      <c r="F912" s="40">
        <f t="shared" si="157"/>
        <v>0</v>
      </c>
      <c r="G912" s="156">
        <v>1</v>
      </c>
      <c r="H912" s="120">
        <f>Tp_CHG!V204</f>
        <v>0</v>
      </c>
      <c r="I912" s="40" t="s">
        <v>58</v>
      </c>
      <c r="J912" s="40">
        <f t="shared" si="154"/>
        <v>0</v>
      </c>
      <c r="K912" s="40">
        <f t="shared" si="155"/>
        <v>0</v>
      </c>
      <c r="L912" s="40" t="s">
        <v>58</v>
      </c>
      <c r="M912" s="50" t="s">
        <v>266</v>
      </c>
      <c r="N912" s="190"/>
      <c r="O912" s="40">
        <f t="shared" ca="1" si="153"/>
        <v>0.11749702265009843</v>
      </c>
      <c r="P912" s="51">
        <f t="shared" si="145"/>
        <v>0</v>
      </c>
      <c r="Q912" s="51">
        <f t="shared" si="146"/>
        <v>0</v>
      </c>
      <c r="R912" s="51">
        <f t="shared" si="156"/>
        <v>0</v>
      </c>
      <c r="S912"/>
      <c r="T912" s="83"/>
    </row>
    <row r="913" spans="1:20" ht="16" x14ac:dyDescent="0.2">
      <c r="A913"/>
      <c r="B913" s="103"/>
      <c r="C913" s="243"/>
      <c r="D913" s="119">
        <v>900</v>
      </c>
      <c r="E913" s="25" t="str">
        <f>Tp_CHG!S205</f>
        <v>Transition Probability from state 4 to state 7 on day 2 (CHG)</v>
      </c>
      <c r="F913" s="40">
        <f t="shared" si="157"/>
        <v>0</v>
      </c>
      <c r="G913" s="156">
        <v>1</v>
      </c>
      <c r="H913" s="120">
        <f>Tp_CHG!V205</f>
        <v>0</v>
      </c>
      <c r="I913" s="40" t="s">
        <v>58</v>
      </c>
      <c r="J913" s="40">
        <f t="shared" si="154"/>
        <v>0</v>
      </c>
      <c r="K913" s="40">
        <f t="shared" si="155"/>
        <v>0</v>
      </c>
      <c r="L913" s="40" t="s">
        <v>58</v>
      </c>
      <c r="M913" s="50" t="s">
        <v>266</v>
      </c>
      <c r="N913" s="190"/>
      <c r="O913" s="40">
        <f t="shared" ca="1" si="153"/>
        <v>0.46888126117763562</v>
      </c>
      <c r="P913" s="51">
        <f t="shared" ref="P913:P976" si="158">IFERROR(H913*((H913*(1-H913)/(R913^2))-1),0)</f>
        <v>0</v>
      </c>
      <c r="Q913" s="51">
        <f t="shared" ref="Q913:Q976" si="159">IFERROR((1-H913)*((H913*(1-H913))/(R913^2)-1),0)</f>
        <v>0</v>
      </c>
      <c r="R913" s="51">
        <f t="shared" si="156"/>
        <v>0</v>
      </c>
      <c r="S913"/>
      <c r="T913" s="83"/>
    </row>
    <row r="914" spans="1:20" ht="16" x14ac:dyDescent="0.2">
      <c r="A914"/>
      <c r="B914" s="103"/>
      <c r="C914" s="243"/>
      <c r="D914" s="119">
        <v>901</v>
      </c>
      <c r="E914" s="25" t="str">
        <f>Tp_CHG!S206</f>
        <v>Transition Probability from state 4 to state 7 on day 3 (CHG)</v>
      </c>
      <c r="F914" s="40">
        <f t="shared" si="157"/>
        <v>0</v>
      </c>
      <c r="G914" s="156">
        <v>1</v>
      </c>
      <c r="H914" s="120">
        <f>Tp_CHG!V206</f>
        <v>0</v>
      </c>
      <c r="I914" s="40" t="s">
        <v>58</v>
      </c>
      <c r="J914" s="40">
        <f t="shared" si="154"/>
        <v>0</v>
      </c>
      <c r="K914" s="40">
        <f t="shared" si="155"/>
        <v>0</v>
      </c>
      <c r="L914" s="40" t="s">
        <v>58</v>
      </c>
      <c r="M914" s="50" t="s">
        <v>266</v>
      </c>
      <c r="N914" s="190"/>
      <c r="O914" s="40">
        <f t="shared" ca="1" si="153"/>
        <v>0.83777369093443965</v>
      </c>
      <c r="P914" s="51">
        <f t="shared" si="158"/>
        <v>0</v>
      </c>
      <c r="Q914" s="51">
        <f t="shared" si="159"/>
        <v>0</v>
      </c>
      <c r="R914" s="51">
        <f t="shared" si="156"/>
        <v>0</v>
      </c>
      <c r="S914"/>
      <c r="T914" s="83"/>
    </row>
    <row r="915" spans="1:20" ht="16" x14ac:dyDescent="0.2">
      <c r="A915"/>
      <c r="B915" s="103"/>
      <c r="C915" s="243"/>
      <c r="D915" s="119">
        <v>902</v>
      </c>
      <c r="E915" s="25" t="str">
        <f>Tp_CHG!S207</f>
        <v>Transition Probability from state 4 to state 7 on day 4 (CHG)</v>
      </c>
      <c r="F915" s="40">
        <f t="shared" si="157"/>
        <v>0</v>
      </c>
      <c r="G915" s="156">
        <v>1</v>
      </c>
      <c r="H915" s="120">
        <f>Tp_CHG!V207</f>
        <v>0</v>
      </c>
      <c r="I915" s="40" t="s">
        <v>58</v>
      </c>
      <c r="J915" s="40">
        <f t="shared" si="154"/>
        <v>0</v>
      </c>
      <c r="K915" s="40">
        <f t="shared" si="155"/>
        <v>0</v>
      </c>
      <c r="L915" s="40" t="s">
        <v>58</v>
      </c>
      <c r="M915" s="50" t="s">
        <v>266</v>
      </c>
      <c r="N915" s="190"/>
      <c r="O915" s="40">
        <f t="shared" ca="1" si="153"/>
        <v>6.7104459840459763E-2</v>
      </c>
      <c r="P915" s="51">
        <f t="shared" si="158"/>
        <v>0</v>
      </c>
      <c r="Q915" s="51">
        <f t="shared" si="159"/>
        <v>0</v>
      </c>
      <c r="R915" s="51">
        <f t="shared" si="156"/>
        <v>0</v>
      </c>
      <c r="S915"/>
      <c r="T915" s="83"/>
    </row>
    <row r="916" spans="1:20" ht="16" x14ac:dyDescent="0.2">
      <c r="A916"/>
      <c r="B916" s="103"/>
      <c r="C916" s="243"/>
      <c r="D916" s="119">
        <v>903</v>
      </c>
      <c r="E916" s="25" t="str">
        <f>Tp_CHG!S208</f>
        <v>Transition Probability from state 4 to state 7 on day 5 (CHG)</v>
      </c>
      <c r="F916" s="40">
        <f t="shared" si="157"/>
        <v>0</v>
      </c>
      <c r="G916" s="156">
        <v>1</v>
      </c>
      <c r="H916" s="120">
        <f>Tp_CHG!V208</f>
        <v>0</v>
      </c>
      <c r="I916" s="40" t="s">
        <v>58</v>
      </c>
      <c r="J916" s="40">
        <f t="shared" si="154"/>
        <v>0</v>
      </c>
      <c r="K916" s="40">
        <f t="shared" si="155"/>
        <v>0</v>
      </c>
      <c r="L916" s="40" t="s">
        <v>58</v>
      </c>
      <c r="M916" s="50" t="s">
        <v>266</v>
      </c>
      <c r="N916" s="190"/>
      <c r="O916" s="40">
        <f t="shared" ca="1" si="153"/>
        <v>0.51433339708107051</v>
      </c>
      <c r="P916" s="51">
        <f t="shared" si="158"/>
        <v>0</v>
      </c>
      <c r="Q916" s="51">
        <f t="shared" si="159"/>
        <v>0</v>
      </c>
      <c r="R916" s="51">
        <f t="shared" si="156"/>
        <v>0</v>
      </c>
      <c r="S916"/>
      <c r="T916" s="83"/>
    </row>
    <row r="917" spans="1:20" ht="16" x14ac:dyDescent="0.2">
      <c r="A917"/>
      <c r="B917" s="103"/>
      <c r="C917" s="243"/>
      <c r="D917" s="119">
        <v>904</v>
      </c>
      <c r="E917" s="25" t="str">
        <f>Tp_CHG!S209</f>
        <v>Transition Probability from state 4 to state 7 on day 6 (CHG)</v>
      </c>
      <c r="F917" s="40">
        <f t="shared" si="157"/>
        <v>0</v>
      </c>
      <c r="G917" s="156">
        <v>1</v>
      </c>
      <c r="H917" s="120">
        <f>Tp_CHG!V209</f>
        <v>0</v>
      </c>
      <c r="I917" s="40" t="s">
        <v>58</v>
      </c>
      <c r="J917" s="40">
        <f t="shared" si="154"/>
        <v>0</v>
      </c>
      <c r="K917" s="40">
        <f t="shared" si="155"/>
        <v>0</v>
      </c>
      <c r="L917" s="40" t="s">
        <v>58</v>
      </c>
      <c r="M917" s="50" t="s">
        <v>266</v>
      </c>
      <c r="N917" s="190"/>
      <c r="O917" s="40">
        <f t="shared" ca="1" si="153"/>
        <v>0.29741461169601768</v>
      </c>
      <c r="P917" s="51">
        <f t="shared" si="158"/>
        <v>0</v>
      </c>
      <c r="Q917" s="51">
        <f t="shared" si="159"/>
        <v>0</v>
      </c>
      <c r="R917" s="51">
        <f t="shared" si="156"/>
        <v>0</v>
      </c>
      <c r="S917"/>
      <c r="T917" s="83"/>
    </row>
    <row r="918" spans="1:20" ht="16" x14ac:dyDescent="0.2">
      <c r="A918"/>
      <c r="B918" s="103"/>
      <c r="C918" s="243"/>
      <c r="D918" s="119">
        <v>905</v>
      </c>
      <c r="E918" s="25" t="str">
        <f>Tp_CHG!S210</f>
        <v>Transition Probability from state 4 to state 7 on day 7 (CHG)</v>
      </c>
      <c r="F918" s="40">
        <f t="shared" si="157"/>
        <v>0</v>
      </c>
      <c r="G918" s="156">
        <v>1</v>
      </c>
      <c r="H918" s="120">
        <f>Tp_CHG!V210</f>
        <v>0</v>
      </c>
      <c r="I918" s="40" t="s">
        <v>58</v>
      </c>
      <c r="J918" s="40">
        <f t="shared" si="154"/>
        <v>0</v>
      </c>
      <c r="K918" s="40">
        <f t="shared" si="155"/>
        <v>0</v>
      </c>
      <c r="L918" s="40" t="s">
        <v>58</v>
      </c>
      <c r="M918" s="50" t="s">
        <v>266</v>
      </c>
      <c r="N918" s="190"/>
      <c r="O918" s="40">
        <f t="shared" ca="1" si="153"/>
        <v>0.38800819292684641</v>
      </c>
      <c r="P918" s="51">
        <f t="shared" si="158"/>
        <v>0</v>
      </c>
      <c r="Q918" s="51">
        <f t="shared" si="159"/>
        <v>0</v>
      </c>
      <c r="R918" s="51">
        <f t="shared" si="156"/>
        <v>0</v>
      </c>
      <c r="S918"/>
      <c r="T918" s="83"/>
    </row>
    <row r="919" spans="1:20" ht="16" x14ac:dyDescent="0.2">
      <c r="A919"/>
      <c r="B919" s="103"/>
      <c r="C919" s="243"/>
      <c r="D919" s="119">
        <v>906</v>
      </c>
      <c r="E919" s="25" t="str">
        <f>Tp_CHG!S211</f>
        <v>Transition Probability from state 4 to state 7 on day 8 (CHG)</v>
      </c>
      <c r="F919" s="40">
        <f t="shared" si="157"/>
        <v>0</v>
      </c>
      <c r="G919" s="156">
        <v>1</v>
      </c>
      <c r="H919" s="120">
        <f>Tp_CHG!V211</f>
        <v>0</v>
      </c>
      <c r="I919" s="40" t="s">
        <v>58</v>
      </c>
      <c r="J919" s="40">
        <f t="shared" si="154"/>
        <v>0</v>
      </c>
      <c r="K919" s="40">
        <f t="shared" si="155"/>
        <v>0</v>
      </c>
      <c r="L919" s="40" t="s">
        <v>58</v>
      </c>
      <c r="M919" s="50" t="s">
        <v>266</v>
      </c>
      <c r="N919" s="190"/>
      <c r="O919" s="40">
        <f t="shared" ca="1" si="153"/>
        <v>0.72932477005065643</v>
      </c>
      <c r="P919" s="51">
        <f t="shared" si="158"/>
        <v>0</v>
      </c>
      <c r="Q919" s="51">
        <f t="shared" si="159"/>
        <v>0</v>
      </c>
      <c r="R919" s="51">
        <f t="shared" si="156"/>
        <v>0</v>
      </c>
      <c r="S919"/>
      <c r="T919" s="83"/>
    </row>
    <row r="920" spans="1:20" ht="16" x14ac:dyDescent="0.2">
      <c r="A920"/>
      <c r="B920" s="103"/>
      <c r="C920" s="243"/>
      <c r="D920" s="119">
        <v>907</v>
      </c>
      <c r="E920" s="25" t="str">
        <f>Tp_CHG!S212</f>
        <v>Transition Probability from state 4 to state 7 on day 9 (CHG)</v>
      </c>
      <c r="F920" s="40">
        <f t="shared" si="157"/>
        <v>0</v>
      </c>
      <c r="G920" s="156">
        <v>1</v>
      </c>
      <c r="H920" s="120">
        <f>Tp_CHG!V212</f>
        <v>0</v>
      </c>
      <c r="I920" s="40" t="s">
        <v>58</v>
      </c>
      <c r="J920" s="40">
        <f t="shared" ref="J920:J951" si="160">IF(H920=0,0,_xlfn.NORM.INV(0.025,H920,R920))</f>
        <v>0</v>
      </c>
      <c r="K920" s="40">
        <f t="shared" ref="K920:K951" si="161">IF(H920=0,0,_xlfn.NORM.INV(0.975,H920,R920))</f>
        <v>0</v>
      </c>
      <c r="L920" s="40" t="s">
        <v>58</v>
      </c>
      <c r="M920" s="50" t="s">
        <v>266</v>
      </c>
      <c r="N920" s="190"/>
      <c r="O920" s="40">
        <f t="shared" ca="1" si="153"/>
        <v>0.11173828548171072</v>
      </c>
      <c r="P920" s="51">
        <f t="shared" si="158"/>
        <v>0</v>
      </c>
      <c r="Q920" s="51">
        <f t="shared" si="159"/>
        <v>0</v>
      </c>
      <c r="R920" s="51">
        <f t="shared" ref="R920:R951" si="162">assumedSE*H920</f>
        <v>0</v>
      </c>
      <c r="S920"/>
      <c r="T920" s="83"/>
    </row>
    <row r="921" spans="1:20" ht="16" x14ac:dyDescent="0.2">
      <c r="A921"/>
      <c r="B921" s="103"/>
      <c r="C921" s="243"/>
      <c r="D921" s="119">
        <v>908</v>
      </c>
      <c r="E921" s="25" t="str">
        <f>Tp_CHG!S213</f>
        <v>Transition Probability from state 4 to state 7 on day 10 (CHG)</v>
      </c>
      <c r="F921" s="40">
        <f t="shared" si="157"/>
        <v>0</v>
      </c>
      <c r="G921" s="156">
        <v>1</v>
      </c>
      <c r="H921" s="120">
        <f>Tp_CHG!V213</f>
        <v>0</v>
      </c>
      <c r="I921" s="40" t="s">
        <v>58</v>
      </c>
      <c r="J921" s="40">
        <f t="shared" si="160"/>
        <v>0</v>
      </c>
      <c r="K921" s="40">
        <f t="shared" si="161"/>
        <v>0</v>
      </c>
      <c r="L921" s="40" t="s">
        <v>58</v>
      </c>
      <c r="M921" s="50" t="s">
        <v>266</v>
      </c>
      <c r="N921" s="190"/>
      <c r="O921" s="40">
        <f t="shared" ca="1" si="153"/>
        <v>0.30624426110976866</v>
      </c>
      <c r="P921" s="51">
        <f t="shared" si="158"/>
        <v>0</v>
      </c>
      <c r="Q921" s="51">
        <f t="shared" si="159"/>
        <v>0</v>
      </c>
      <c r="R921" s="51">
        <f t="shared" si="162"/>
        <v>0</v>
      </c>
      <c r="S921"/>
      <c r="T921" s="83"/>
    </row>
    <row r="922" spans="1:20" ht="16" x14ac:dyDescent="0.2">
      <c r="A922"/>
      <c r="B922" s="103"/>
      <c r="C922" s="243"/>
      <c r="D922" s="119">
        <v>909</v>
      </c>
      <c r="E922" s="25" t="str">
        <f>Tp_CHG!S214</f>
        <v>Transition Probability from state 4 to state 7 on day 11 (CHG)</v>
      </c>
      <c r="F922" s="40">
        <f t="shared" si="157"/>
        <v>0</v>
      </c>
      <c r="G922" s="156">
        <v>1</v>
      </c>
      <c r="H922" s="120">
        <f>Tp_CHG!V214</f>
        <v>0</v>
      </c>
      <c r="I922" s="40" t="s">
        <v>58</v>
      </c>
      <c r="J922" s="40">
        <f t="shared" si="160"/>
        <v>0</v>
      </c>
      <c r="K922" s="40">
        <f t="shared" si="161"/>
        <v>0</v>
      </c>
      <c r="L922" s="40" t="s">
        <v>58</v>
      </c>
      <c r="M922" s="50" t="s">
        <v>266</v>
      </c>
      <c r="N922" s="190"/>
      <c r="O922" s="40">
        <f t="shared" ca="1" si="153"/>
        <v>0.40867479103491922</v>
      </c>
      <c r="P922" s="51">
        <f t="shared" si="158"/>
        <v>0</v>
      </c>
      <c r="Q922" s="51">
        <f t="shared" si="159"/>
        <v>0</v>
      </c>
      <c r="R922" s="51">
        <f t="shared" si="162"/>
        <v>0</v>
      </c>
      <c r="S922"/>
      <c r="T922" s="83"/>
    </row>
    <row r="923" spans="1:20" ht="16" x14ac:dyDescent="0.2">
      <c r="A923"/>
      <c r="B923" s="103"/>
      <c r="C923" s="243"/>
      <c r="D923" s="119">
        <v>910</v>
      </c>
      <c r="E923" s="25" t="str">
        <f>Tp_CHG!S215</f>
        <v>Transition Probability from state 4 to state 7 on day 12 (CHG)</v>
      </c>
      <c r="F923" s="40">
        <f t="shared" si="157"/>
        <v>0</v>
      </c>
      <c r="G923" s="156">
        <v>1</v>
      </c>
      <c r="H923" s="120">
        <f>Tp_CHG!V215</f>
        <v>0</v>
      </c>
      <c r="I923" s="40" t="s">
        <v>58</v>
      </c>
      <c r="J923" s="40">
        <f t="shared" si="160"/>
        <v>0</v>
      </c>
      <c r="K923" s="40">
        <f t="shared" si="161"/>
        <v>0</v>
      </c>
      <c r="L923" s="40" t="s">
        <v>58</v>
      </c>
      <c r="M923" s="50" t="s">
        <v>266</v>
      </c>
      <c r="N923" s="190"/>
      <c r="O923" s="40">
        <f t="shared" ca="1" si="153"/>
        <v>0.72156204010412051</v>
      </c>
      <c r="P923" s="51">
        <f t="shared" si="158"/>
        <v>0</v>
      </c>
      <c r="Q923" s="51">
        <f t="shared" si="159"/>
        <v>0</v>
      </c>
      <c r="R923" s="51">
        <f t="shared" si="162"/>
        <v>0</v>
      </c>
      <c r="S923"/>
      <c r="T923" s="83"/>
    </row>
    <row r="924" spans="1:20" ht="16" x14ac:dyDescent="0.2">
      <c r="A924"/>
      <c r="B924" s="103"/>
      <c r="C924" s="243"/>
      <c r="D924" s="119">
        <v>911</v>
      </c>
      <c r="E924" s="25" t="str">
        <f>Tp_CHG!S216</f>
        <v>Transition Probability from state 4 to state 7 on day 13 (CHG)</v>
      </c>
      <c r="F924" s="40">
        <f t="shared" si="157"/>
        <v>0</v>
      </c>
      <c r="G924" s="156">
        <v>1</v>
      </c>
      <c r="H924" s="120">
        <f>Tp_CHG!V216</f>
        <v>0</v>
      </c>
      <c r="I924" s="40" t="s">
        <v>58</v>
      </c>
      <c r="J924" s="40">
        <f t="shared" si="160"/>
        <v>0</v>
      </c>
      <c r="K924" s="40">
        <f t="shared" si="161"/>
        <v>0</v>
      </c>
      <c r="L924" s="40" t="s">
        <v>58</v>
      </c>
      <c r="M924" s="50" t="s">
        <v>266</v>
      </c>
      <c r="N924" s="190"/>
      <c r="O924" s="40">
        <f t="shared" ca="1" si="153"/>
        <v>0.46259546291419162</v>
      </c>
      <c r="P924" s="51">
        <f t="shared" si="158"/>
        <v>0</v>
      </c>
      <c r="Q924" s="51">
        <f t="shared" si="159"/>
        <v>0</v>
      </c>
      <c r="R924" s="51">
        <f t="shared" si="162"/>
        <v>0</v>
      </c>
      <c r="S924"/>
      <c r="T924" s="83"/>
    </row>
    <row r="925" spans="1:20" ht="16" x14ac:dyDescent="0.2">
      <c r="A925"/>
      <c r="B925" s="103"/>
      <c r="C925" s="243"/>
      <c r="D925" s="119">
        <v>912</v>
      </c>
      <c r="E925" s="25" t="str">
        <f>Tp_CHG!S217</f>
        <v>Transition Probability from state 4 to state 7 on day 14 (CHG)</v>
      </c>
      <c r="F925" s="40">
        <f t="shared" si="157"/>
        <v>0</v>
      </c>
      <c r="G925" s="156">
        <v>1</v>
      </c>
      <c r="H925" s="120">
        <f>Tp_CHG!V217</f>
        <v>0</v>
      </c>
      <c r="I925" s="40" t="s">
        <v>58</v>
      </c>
      <c r="J925" s="40">
        <f t="shared" si="160"/>
        <v>0</v>
      </c>
      <c r="K925" s="40">
        <f t="shared" si="161"/>
        <v>0</v>
      </c>
      <c r="L925" s="40" t="s">
        <v>58</v>
      </c>
      <c r="M925" s="50" t="s">
        <v>266</v>
      </c>
      <c r="N925" s="190"/>
      <c r="O925" s="40">
        <f t="shared" ca="1" si="153"/>
        <v>0.1409025606852834</v>
      </c>
      <c r="P925" s="51">
        <f t="shared" si="158"/>
        <v>0</v>
      </c>
      <c r="Q925" s="51">
        <f t="shared" si="159"/>
        <v>0</v>
      </c>
      <c r="R925" s="51">
        <f t="shared" si="162"/>
        <v>0</v>
      </c>
      <c r="S925"/>
      <c r="T925" s="83"/>
    </row>
    <row r="926" spans="1:20" ht="16" x14ac:dyDescent="0.2">
      <c r="A926"/>
      <c r="B926" s="103"/>
      <c r="C926" s="243"/>
      <c r="D926" s="119">
        <v>913</v>
      </c>
      <c r="E926" s="25" t="str">
        <f>Tp_CHG!S218</f>
        <v>Transition Probability from state 4 to state 7 on day 15 (CHG)</v>
      </c>
      <c r="F926" s="40">
        <f t="shared" si="157"/>
        <v>0</v>
      </c>
      <c r="G926" s="156">
        <v>1</v>
      </c>
      <c r="H926" s="120">
        <f>Tp_CHG!V218</f>
        <v>0</v>
      </c>
      <c r="I926" s="40" t="s">
        <v>58</v>
      </c>
      <c r="J926" s="40">
        <f t="shared" si="160"/>
        <v>0</v>
      </c>
      <c r="K926" s="40">
        <f t="shared" si="161"/>
        <v>0</v>
      </c>
      <c r="L926" s="40" t="s">
        <v>58</v>
      </c>
      <c r="M926" s="50" t="s">
        <v>266</v>
      </c>
      <c r="N926" s="190"/>
      <c r="O926" s="40">
        <f t="shared" ca="1" si="153"/>
        <v>0.12167028853734674</v>
      </c>
      <c r="P926" s="51">
        <f t="shared" si="158"/>
        <v>0</v>
      </c>
      <c r="Q926" s="51">
        <f t="shared" si="159"/>
        <v>0</v>
      </c>
      <c r="R926" s="51">
        <f t="shared" si="162"/>
        <v>0</v>
      </c>
      <c r="S926"/>
      <c r="T926" s="83"/>
    </row>
    <row r="927" spans="1:20" ht="16" x14ac:dyDescent="0.2">
      <c r="A927"/>
      <c r="B927" s="103"/>
      <c r="C927" s="243"/>
      <c r="D927" s="119">
        <v>914</v>
      </c>
      <c r="E927" s="25" t="str">
        <f>Tp_CHG!S219</f>
        <v>Transition Probability from state 4 to state 7 on day 16 (CHG)</v>
      </c>
      <c r="F927" s="40">
        <f t="shared" si="157"/>
        <v>0</v>
      </c>
      <c r="G927" s="156">
        <v>1</v>
      </c>
      <c r="H927" s="120">
        <f>Tp_CHG!V219</f>
        <v>0</v>
      </c>
      <c r="I927" s="40" t="s">
        <v>58</v>
      </c>
      <c r="J927" s="40">
        <f t="shared" si="160"/>
        <v>0</v>
      </c>
      <c r="K927" s="40">
        <f t="shared" si="161"/>
        <v>0</v>
      </c>
      <c r="L927" s="40" t="s">
        <v>58</v>
      </c>
      <c r="M927" s="50" t="s">
        <v>266</v>
      </c>
      <c r="N927" s="190"/>
      <c r="O927" s="40">
        <f t="shared" ca="1" si="153"/>
        <v>8.6053839103226171E-3</v>
      </c>
      <c r="P927" s="51">
        <f t="shared" si="158"/>
        <v>0</v>
      </c>
      <c r="Q927" s="51">
        <f t="shared" si="159"/>
        <v>0</v>
      </c>
      <c r="R927" s="51">
        <f t="shared" si="162"/>
        <v>0</v>
      </c>
      <c r="S927"/>
      <c r="T927" s="83"/>
    </row>
    <row r="928" spans="1:20" ht="16" x14ac:dyDescent="0.2">
      <c r="A928"/>
      <c r="B928" s="103"/>
      <c r="C928" s="243"/>
      <c r="D928" s="119">
        <v>915</v>
      </c>
      <c r="E928" s="25" t="str">
        <f>Tp_CHG!S220</f>
        <v>Transition Probability from state 4 to state 7 on day 17 (CHG)</v>
      </c>
      <c r="F928" s="40">
        <f t="shared" si="157"/>
        <v>0</v>
      </c>
      <c r="G928" s="156">
        <v>1</v>
      </c>
      <c r="H928" s="120">
        <f>Tp_CHG!V220</f>
        <v>0</v>
      </c>
      <c r="I928" s="40" t="s">
        <v>58</v>
      </c>
      <c r="J928" s="40">
        <f t="shared" si="160"/>
        <v>0</v>
      </c>
      <c r="K928" s="40">
        <f t="shared" si="161"/>
        <v>0</v>
      </c>
      <c r="L928" s="40" t="s">
        <v>58</v>
      </c>
      <c r="M928" s="50" t="s">
        <v>266</v>
      </c>
      <c r="N928" s="190"/>
      <c r="O928" s="40">
        <f t="shared" ca="1" si="153"/>
        <v>0.85215007717175739</v>
      </c>
      <c r="P928" s="51">
        <f t="shared" si="158"/>
        <v>0</v>
      </c>
      <c r="Q928" s="51">
        <f t="shared" si="159"/>
        <v>0</v>
      </c>
      <c r="R928" s="51">
        <f t="shared" si="162"/>
        <v>0</v>
      </c>
      <c r="S928"/>
      <c r="T928" s="83"/>
    </row>
    <row r="929" spans="1:20" ht="16" x14ac:dyDescent="0.2">
      <c r="A929"/>
      <c r="B929" s="103"/>
      <c r="C929" s="243"/>
      <c r="D929" s="119">
        <v>916</v>
      </c>
      <c r="E929" s="25" t="str">
        <f>Tp_CHG!S221</f>
        <v>Transition Probability from state 4 to state 7 on day 18 (CHG)</v>
      </c>
      <c r="F929" s="40">
        <f t="shared" si="157"/>
        <v>0</v>
      </c>
      <c r="G929" s="156">
        <v>1</v>
      </c>
      <c r="H929" s="120">
        <f>Tp_CHG!V221</f>
        <v>0</v>
      </c>
      <c r="I929" s="40" t="s">
        <v>58</v>
      </c>
      <c r="J929" s="40">
        <f t="shared" si="160"/>
        <v>0</v>
      </c>
      <c r="K929" s="40">
        <f t="shared" si="161"/>
        <v>0</v>
      </c>
      <c r="L929" s="40" t="s">
        <v>58</v>
      </c>
      <c r="M929" s="50" t="s">
        <v>266</v>
      </c>
      <c r="N929" s="190"/>
      <c r="O929" s="40">
        <f t="shared" ca="1" si="153"/>
        <v>0.97687873230745759</v>
      </c>
      <c r="P929" s="51">
        <f t="shared" si="158"/>
        <v>0</v>
      </c>
      <c r="Q929" s="51">
        <f t="shared" si="159"/>
        <v>0</v>
      </c>
      <c r="R929" s="51">
        <f t="shared" si="162"/>
        <v>0</v>
      </c>
      <c r="S929"/>
      <c r="T929" s="83"/>
    </row>
    <row r="930" spans="1:20" ht="16" x14ac:dyDescent="0.2">
      <c r="A930"/>
      <c r="B930" s="103"/>
      <c r="C930" s="243"/>
      <c r="D930" s="119">
        <v>917</v>
      </c>
      <c r="E930" s="25" t="str">
        <f>Tp_CHG!S222</f>
        <v>Transition Probability from state 4 to state 7 on day 19 (CHG)</v>
      </c>
      <c r="F930" s="40">
        <f t="shared" si="157"/>
        <v>0</v>
      </c>
      <c r="G930" s="156">
        <v>1</v>
      </c>
      <c r="H930" s="120">
        <f>Tp_CHG!V222</f>
        <v>0</v>
      </c>
      <c r="I930" s="40" t="s">
        <v>58</v>
      </c>
      <c r="J930" s="40">
        <f t="shared" si="160"/>
        <v>0</v>
      </c>
      <c r="K930" s="40">
        <f t="shared" si="161"/>
        <v>0</v>
      </c>
      <c r="L930" s="40" t="s">
        <v>58</v>
      </c>
      <c r="M930" s="50" t="s">
        <v>266</v>
      </c>
      <c r="N930" s="190"/>
      <c r="O930" s="40">
        <f t="shared" ca="1" si="153"/>
        <v>0.57610259347337911</v>
      </c>
      <c r="P930" s="51">
        <f t="shared" si="158"/>
        <v>0</v>
      </c>
      <c r="Q930" s="51">
        <f t="shared" si="159"/>
        <v>0</v>
      </c>
      <c r="R930" s="51">
        <f t="shared" si="162"/>
        <v>0</v>
      </c>
      <c r="S930"/>
      <c r="T930" s="83"/>
    </row>
    <row r="931" spans="1:20" ht="16" x14ac:dyDescent="0.2">
      <c r="A931"/>
      <c r="B931" s="103"/>
      <c r="C931" s="243"/>
      <c r="D931" s="119">
        <v>918</v>
      </c>
      <c r="E931" s="25" t="str">
        <f>Tp_CHG!S223</f>
        <v>Transition Probability from state 4 to state 7 on day 20 (CHG)</v>
      </c>
      <c r="F931" s="40">
        <f t="shared" si="157"/>
        <v>0</v>
      </c>
      <c r="G931" s="156">
        <v>1</v>
      </c>
      <c r="H931" s="120">
        <f>Tp_CHG!V223</f>
        <v>0</v>
      </c>
      <c r="I931" s="40" t="s">
        <v>58</v>
      </c>
      <c r="J931" s="40">
        <f t="shared" si="160"/>
        <v>0</v>
      </c>
      <c r="K931" s="40">
        <f t="shared" si="161"/>
        <v>0</v>
      </c>
      <c r="L931" s="40" t="s">
        <v>58</v>
      </c>
      <c r="M931" s="50" t="s">
        <v>266</v>
      </c>
      <c r="N931" s="190"/>
      <c r="O931" s="40">
        <f t="shared" ca="1" si="153"/>
        <v>0.95012127765706655</v>
      </c>
      <c r="P931" s="51">
        <f t="shared" si="158"/>
        <v>0</v>
      </c>
      <c r="Q931" s="51">
        <f t="shared" si="159"/>
        <v>0</v>
      </c>
      <c r="R931" s="51">
        <f t="shared" si="162"/>
        <v>0</v>
      </c>
      <c r="S931"/>
      <c r="T931" s="83"/>
    </row>
    <row r="932" spans="1:20" ht="16" x14ac:dyDescent="0.2">
      <c r="A932"/>
      <c r="B932" s="103"/>
      <c r="C932" s="243"/>
      <c r="D932" s="119">
        <v>919</v>
      </c>
      <c r="E932" s="25" t="str">
        <f>Tp_CHG!S224</f>
        <v>Transition Probability from state 4 to state 7 on day 21 (CHG)</v>
      </c>
      <c r="F932" s="40">
        <f t="shared" si="157"/>
        <v>0</v>
      </c>
      <c r="G932" s="156">
        <v>1</v>
      </c>
      <c r="H932" s="120">
        <f>Tp_CHG!V224</f>
        <v>0</v>
      </c>
      <c r="I932" s="40" t="s">
        <v>58</v>
      </c>
      <c r="J932" s="40">
        <f t="shared" si="160"/>
        <v>0</v>
      </c>
      <c r="K932" s="40">
        <f t="shared" si="161"/>
        <v>0</v>
      </c>
      <c r="L932" s="40" t="s">
        <v>58</v>
      </c>
      <c r="M932" s="50" t="s">
        <v>266</v>
      </c>
      <c r="N932" s="190"/>
      <c r="O932" s="40">
        <f t="shared" ca="1" si="153"/>
        <v>0.97863956700899613</v>
      </c>
      <c r="P932" s="51">
        <f t="shared" si="158"/>
        <v>0</v>
      </c>
      <c r="Q932" s="51">
        <f t="shared" si="159"/>
        <v>0</v>
      </c>
      <c r="R932" s="51">
        <f t="shared" si="162"/>
        <v>0</v>
      </c>
      <c r="S932"/>
      <c r="T932" s="83"/>
    </row>
    <row r="933" spans="1:20" ht="16" x14ac:dyDescent="0.2">
      <c r="A933"/>
      <c r="B933" s="103"/>
      <c r="C933" s="243"/>
      <c r="D933" s="119">
        <v>920</v>
      </c>
      <c r="E933" s="25" t="str">
        <f>Tp_CHG!S225</f>
        <v>Transition Probability from state 4 to state 7 on day 22 (CHG)</v>
      </c>
      <c r="F933" s="40">
        <f t="shared" si="157"/>
        <v>0</v>
      </c>
      <c r="G933" s="156">
        <v>1</v>
      </c>
      <c r="H933" s="120">
        <f>Tp_CHG!V225</f>
        <v>0</v>
      </c>
      <c r="I933" s="40" t="s">
        <v>58</v>
      </c>
      <c r="J933" s="40">
        <f t="shared" si="160"/>
        <v>0</v>
      </c>
      <c r="K933" s="40">
        <f t="shared" si="161"/>
        <v>0</v>
      </c>
      <c r="L933" s="40" t="s">
        <v>58</v>
      </c>
      <c r="M933" s="50" t="s">
        <v>266</v>
      </c>
      <c r="N933" s="190"/>
      <c r="O933" s="40">
        <f t="shared" ca="1" si="153"/>
        <v>0.54982552187396028</v>
      </c>
      <c r="P933" s="51">
        <f t="shared" si="158"/>
        <v>0</v>
      </c>
      <c r="Q933" s="51">
        <f t="shared" si="159"/>
        <v>0</v>
      </c>
      <c r="R933" s="51">
        <f t="shared" si="162"/>
        <v>0</v>
      </c>
      <c r="S933"/>
      <c r="T933" s="83"/>
    </row>
    <row r="934" spans="1:20" ht="16" x14ac:dyDescent="0.2">
      <c r="A934"/>
      <c r="B934" s="103"/>
      <c r="C934" s="243"/>
      <c r="D934" s="119">
        <v>921</v>
      </c>
      <c r="E934" s="25" t="str">
        <f>Tp_CHG!S226</f>
        <v>Transition Probability from state 4 to state 7 on day 23 (CHG)</v>
      </c>
      <c r="F934" s="40">
        <f t="shared" si="157"/>
        <v>0</v>
      </c>
      <c r="G934" s="156">
        <v>1</v>
      </c>
      <c r="H934" s="120">
        <f>Tp_CHG!V226</f>
        <v>0</v>
      </c>
      <c r="I934" s="40" t="s">
        <v>58</v>
      </c>
      <c r="J934" s="40">
        <f t="shared" si="160"/>
        <v>0</v>
      </c>
      <c r="K934" s="40">
        <f t="shared" si="161"/>
        <v>0</v>
      </c>
      <c r="L934" s="40" t="s">
        <v>58</v>
      </c>
      <c r="M934" s="50" t="s">
        <v>266</v>
      </c>
      <c r="N934" s="190"/>
      <c r="O934" s="40">
        <f t="shared" ca="1" si="153"/>
        <v>0.99310921699901655</v>
      </c>
      <c r="P934" s="51">
        <f t="shared" si="158"/>
        <v>0</v>
      </c>
      <c r="Q934" s="51">
        <f t="shared" si="159"/>
        <v>0</v>
      </c>
      <c r="R934" s="51">
        <f t="shared" si="162"/>
        <v>0</v>
      </c>
      <c r="S934"/>
      <c r="T934" s="83"/>
    </row>
    <row r="935" spans="1:20" ht="16" x14ac:dyDescent="0.2">
      <c r="A935"/>
      <c r="B935" s="103"/>
      <c r="C935" s="243"/>
      <c r="D935" s="119">
        <v>922</v>
      </c>
      <c r="E935" s="25" t="str">
        <f>Tp_CHG!S227</f>
        <v>Transition Probability from state 4 to state 7 on day 24 (CHG)</v>
      </c>
      <c r="F935" s="40">
        <f t="shared" si="157"/>
        <v>0</v>
      </c>
      <c r="G935" s="156">
        <v>1</v>
      </c>
      <c r="H935" s="120">
        <f>Tp_CHG!V227</f>
        <v>0</v>
      </c>
      <c r="I935" s="40" t="s">
        <v>58</v>
      </c>
      <c r="J935" s="40">
        <f t="shared" si="160"/>
        <v>0</v>
      </c>
      <c r="K935" s="40">
        <f t="shared" si="161"/>
        <v>0</v>
      </c>
      <c r="L935" s="40" t="s">
        <v>58</v>
      </c>
      <c r="M935" s="50" t="s">
        <v>266</v>
      </c>
      <c r="N935" s="190"/>
      <c r="O935" s="40">
        <f t="shared" ca="1" si="153"/>
        <v>0.23789744635451959</v>
      </c>
      <c r="P935" s="51">
        <f t="shared" si="158"/>
        <v>0</v>
      </c>
      <c r="Q935" s="51">
        <f t="shared" si="159"/>
        <v>0</v>
      </c>
      <c r="R935" s="51">
        <f t="shared" si="162"/>
        <v>0</v>
      </c>
      <c r="S935"/>
      <c r="T935" s="83"/>
    </row>
    <row r="936" spans="1:20" ht="16" x14ac:dyDescent="0.2">
      <c r="A936"/>
      <c r="B936" s="103"/>
      <c r="C936" s="243"/>
      <c r="D936" s="119">
        <v>923</v>
      </c>
      <c r="E936" s="25" t="str">
        <f>Tp_CHG!S228</f>
        <v>Transition Probability from state 4 to state 7 on day 25 (CHG)</v>
      </c>
      <c r="F936" s="40">
        <f t="shared" si="157"/>
        <v>0</v>
      </c>
      <c r="G936" s="156">
        <v>1</v>
      </c>
      <c r="H936" s="120">
        <f>Tp_CHG!V228</f>
        <v>0</v>
      </c>
      <c r="I936" s="40" t="s">
        <v>58</v>
      </c>
      <c r="J936" s="40">
        <f t="shared" si="160"/>
        <v>0</v>
      </c>
      <c r="K936" s="40">
        <f t="shared" si="161"/>
        <v>0</v>
      </c>
      <c r="L936" s="40" t="s">
        <v>58</v>
      </c>
      <c r="M936" s="50" t="s">
        <v>266</v>
      </c>
      <c r="N936" s="190"/>
      <c r="O936" s="40">
        <f t="shared" ca="1" si="153"/>
        <v>0.89556092519613739</v>
      </c>
      <c r="P936" s="51">
        <f t="shared" si="158"/>
        <v>0</v>
      </c>
      <c r="Q936" s="51">
        <f t="shared" si="159"/>
        <v>0</v>
      </c>
      <c r="R936" s="51">
        <f t="shared" si="162"/>
        <v>0</v>
      </c>
      <c r="S936"/>
      <c r="T936" s="83"/>
    </row>
    <row r="937" spans="1:20" ht="16" x14ac:dyDescent="0.2">
      <c r="A937"/>
      <c r="B937" s="103"/>
      <c r="C937" s="243"/>
      <c r="D937" s="119">
        <v>924</v>
      </c>
      <c r="E937" s="25" t="str">
        <f>Tp_CHG!S229</f>
        <v>Transition Probability from state 4 to state 7 on day 26 (CHG)</v>
      </c>
      <c r="F937" s="40">
        <f t="shared" si="157"/>
        <v>0</v>
      </c>
      <c r="G937" s="156">
        <v>1</v>
      </c>
      <c r="H937" s="120">
        <f>Tp_CHG!V229</f>
        <v>0</v>
      </c>
      <c r="I937" s="40" t="s">
        <v>58</v>
      </c>
      <c r="J937" s="40">
        <f t="shared" si="160"/>
        <v>0</v>
      </c>
      <c r="K937" s="40">
        <f t="shared" si="161"/>
        <v>0</v>
      </c>
      <c r="L937" s="40" t="s">
        <v>58</v>
      </c>
      <c r="M937" s="50" t="s">
        <v>266</v>
      </c>
      <c r="N937" s="190"/>
      <c r="O937" s="40">
        <f t="shared" ca="1" si="153"/>
        <v>4.92712846706167E-3</v>
      </c>
      <c r="P937" s="51">
        <f t="shared" si="158"/>
        <v>0</v>
      </c>
      <c r="Q937" s="51">
        <f t="shared" si="159"/>
        <v>0</v>
      </c>
      <c r="R937" s="51">
        <f t="shared" si="162"/>
        <v>0</v>
      </c>
      <c r="S937"/>
      <c r="T937" s="83"/>
    </row>
    <row r="938" spans="1:20" ht="16" x14ac:dyDescent="0.2">
      <c r="A938"/>
      <c r="B938" s="103"/>
      <c r="C938" s="243"/>
      <c r="D938" s="119">
        <v>925</v>
      </c>
      <c r="E938" s="25" t="str">
        <f>Tp_CHG!S230</f>
        <v>Transition Probability from state 4 to state 7 on day 27 (CHG)</v>
      </c>
      <c r="F938" s="40">
        <f t="shared" si="157"/>
        <v>0</v>
      </c>
      <c r="G938" s="156">
        <v>1</v>
      </c>
      <c r="H938" s="120">
        <f>Tp_CHG!V230</f>
        <v>0</v>
      </c>
      <c r="I938" s="40" t="s">
        <v>58</v>
      </c>
      <c r="J938" s="40">
        <f t="shared" si="160"/>
        <v>0</v>
      </c>
      <c r="K938" s="40">
        <f t="shared" si="161"/>
        <v>0</v>
      </c>
      <c r="L938" s="40" t="s">
        <v>58</v>
      </c>
      <c r="M938" s="50" t="s">
        <v>266</v>
      </c>
      <c r="N938" s="190"/>
      <c r="O938" s="40">
        <f t="shared" ca="1" si="153"/>
        <v>0.82365416893484689</v>
      </c>
      <c r="P938" s="51">
        <f t="shared" si="158"/>
        <v>0</v>
      </c>
      <c r="Q938" s="51">
        <f t="shared" si="159"/>
        <v>0</v>
      </c>
      <c r="R938" s="51">
        <f t="shared" si="162"/>
        <v>0</v>
      </c>
      <c r="S938"/>
      <c r="T938" s="83"/>
    </row>
    <row r="939" spans="1:20" ht="16" x14ac:dyDescent="0.2">
      <c r="A939"/>
      <c r="B939" s="103"/>
      <c r="C939" s="243"/>
      <c r="D939" s="119">
        <v>926</v>
      </c>
      <c r="E939" s="25" t="str">
        <f>Tp_CHG!S231</f>
        <v>Transition Probability from state 4 to state 7 on day 28 (CHG)</v>
      </c>
      <c r="F939" s="40">
        <f t="shared" si="157"/>
        <v>0</v>
      </c>
      <c r="G939" s="156">
        <v>1</v>
      </c>
      <c r="H939" s="120">
        <f>Tp_CHG!V231</f>
        <v>0</v>
      </c>
      <c r="I939" s="40" t="s">
        <v>58</v>
      </c>
      <c r="J939" s="40">
        <f t="shared" si="160"/>
        <v>0</v>
      </c>
      <c r="K939" s="40">
        <f t="shared" si="161"/>
        <v>0</v>
      </c>
      <c r="L939" s="40" t="s">
        <v>58</v>
      </c>
      <c r="M939" s="50" t="s">
        <v>266</v>
      </c>
      <c r="N939" s="190"/>
      <c r="O939" s="40">
        <f t="shared" ca="1" si="153"/>
        <v>0.30105713874134432</v>
      </c>
      <c r="P939" s="51">
        <f t="shared" si="158"/>
        <v>0</v>
      </c>
      <c r="Q939" s="51">
        <f t="shared" si="159"/>
        <v>0</v>
      </c>
      <c r="R939" s="51">
        <f t="shared" si="162"/>
        <v>0</v>
      </c>
      <c r="S939"/>
      <c r="T939" s="83"/>
    </row>
    <row r="940" spans="1:20" ht="16" x14ac:dyDescent="0.2">
      <c r="A940"/>
      <c r="B940" s="103"/>
      <c r="C940" s="243"/>
      <c r="D940" s="119">
        <v>927</v>
      </c>
      <c r="E940" s="25" t="str">
        <f>Tp_CHG!S232</f>
        <v>Transition Probability from state 4 to state 7 on day 29 (CHG)</v>
      </c>
      <c r="F940" s="40">
        <f t="shared" si="157"/>
        <v>0</v>
      </c>
      <c r="G940" s="156">
        <v>1</v>
      </c>
      <c r="H940" s="120">
        <f>Tp_CHG!V232</f>
        <v>0</v>
      </c>
      <c r="I940" s="40" t="s">
        <v>58</v>
      </c>
      <c r="J940" s="40">
        <f t="shared" si="160"/>
        <v>0</v>
      </c>
      <c r="K940" s="40">
        <f t="shared" si="161"/>
        <v>0</v>
      </c>
      <c r="L940" s="40" t="s">
        <v>58</v>
      </c>
      <c r="M940" s="50" t="s">
        <v>266</v>
      </c>
      <c r="N940" s="190"/>
      <c r="O940" s="40">
        <f t="shared" ca="1" si="153"/>
        <v>0.36202582184352672</v>
      </c>
      <c r="P940" s="51">
        <f t="shared" si="158"/>
        <v>0</v>
      </c>
      <c r="Q940" s="51">
        <f t="shared" si="159"/>
        <v>0</v>
      </c>
      <c r="R940" s="51">
        <f t="shared" si="162"/>
        <v>0</v>
      </c>
      <c r="S940"/>
      <c r="T940" s="83"/>
    </row>
    <row r="941" spans="1:20" ht="16" x14ac:dyDescent="0.2">
      <c r="A941"/>
      <c r="B941" s="103"/>
      <c r="C941" s="243"/>
      <c r="D941" s="119">
        <v>928</v>
      </c>
      <c r="E941" s="25" t="str">
        <f>Tp_CHG!S233</f>
        <v>Transition Probability from state 4 to state 7 on day 30 (CHG)</v>
      </c>
      <c r="F941" s="40">
        <f t="shared" si="157"/>
        <v>0</v>
      </c>
      <c r="G941" s="156">
        <v>1</v>
      </c>
      <c r="H941" s="120">
        <f>Tp_CHG!V233</f>
        <v>0</v>
      </c>
      <c r="I941" s="40" t="s">
        <v>58</v>
      </c>
      <c r="J941" s="40">
        <f t="shared" si="160"/>
        <v>0</v>
      </c>
      <c r="K941" s="40">
        <f t="shared" si="161"/>
        <v>0</v>
      </c>
      <c r="L941" s="40" t="s">
        <v>58</v>
      </c>
      <c r="M941" s="50" t="s">
        <v>266</v>
      </c>
      <c r="N941" s="190"/>
      <c r="O941" s="40">
        <f t="shared" ca="1" si="153"/>
        <v>0.51291046226531356</v>
      </c>
      <c r="P941" s="51">
        <f t="shared" si="158"/>
        <v>0</v>
      </c>
      <c r="Q941" s="51">
        <f t="shared" si="159"/>
        <v>0</v>
      </c>
      <c r="R941" s="51">
        <f t="shared" si="162"/>
        <v>0</v>
      </c>
      <c r="S941"/>
      <c r="T941" s="83"/>
    </row>
    <row r="942" spans="1:20" ht="16" x14ac:dyDescent="0.2">
      <c r="A942"/>
      <c r="B942" s="103"/>
      <c r="C942" s="243"/>
      <c r="D942" s="119">
        <v>929</v>
      </c>
      <c r="E942" s="25" t="str">
        <f>Tp_CHG!X204</f>
        <v>Transition Probability from state 6 to state 7 on day 1 (CHG)</v>
      </c>
      <c r="F942" s="40">
        <f t="shared" si="157"/>
        <v>0</v>
      </c>
      <c r="G942" s="156">
        <v>1</v>
      </c>
      <c r="H942" s="120">
        <f>Tp_CHG!AA204</f>
        <v>0</v>
      </c>
      <c r="I942" s="40" t="s">
        <v>58</v>
      </c>
      <c r="J942" s="40">
        <f t="shared" si="160"/>
        <v>0</v>
      </c>
      <c r="K942" s="40">
        <f t="shared" si="161"/>
        <v>0</v>
      </c>
      <c r="L942" s="40" t="s">
        <v>58</v>
      </c>
      <c r="M942" s="50" t="s">
        <v>266</v>
      </c>
      <c r="N942" s="190"/>
      <c r="O942" s="40">
        <f t="shared" ca="1" si="153"/>
        <v>0.23892224939386131</v>
      </c>
      <c r="P942" s="51">
        <f t="shared" si="158"/>
        <v>0</v>
      </c>
      <c r="Q942" s="51">
        <f t="shared" si="159"/>
        <v>0</v>
      </c>
      <c r="R942" s="51">
        <f t="shared" si="162"/>
        <v>0</v>
      </c>
      <c r="S942"/>
      <c r="T942" s="83"/>
    </row>
    <row r="943" spans="1:20" ht="16" x14ac:dyDescent="0.2">
      <c r="A943"/>
      <c r="B943" s="103"/>
      <c r="C943" s="243"/>
      <c r="D943" s="119">
        <v>930</v>
      </c>
      <c r="E943" s="25" t="str">
        <f>Tp_CHG!X205</f>
        <v>Transition Probability from state 6 to state 7 on day 2 (CHG)</v>
      </c>
      <c r="F943" s="40">
        <f t="shared" si="157"/>
        <v>0</v>
      </c>
      <c r="G943" s="156">
        <v>1</v>
      </c>
      <c r="H943" s="120">
        <f>Tp_CHG!AA205</f>
        <v>0</v>
      </c>
      <c r="I943" s="40" t="s">
        <v>58</v>
      </c>
      <c r="J943" s="40">
        <f t="shared" si="160"/>
        <v>0</v>
      </c>
      <c r="K943" s="40">
        <f t="shared" si="161"/>
        <v>0</v>
      </c>
      <c r="L943" s="40" t="s">
        <v>58</v>
      </c>
      <c r="M943" s="50" t="s">
        <v>266</v>
      </c>
      <c r="N943" s="190"/>
      <c r="O943" s="40">
        <f t="shared" ca="1" si="153"/>
        <v>0.97349606990148152</v>
      </c>
      <c r="P943" s="51">
        <f t="shared" si="158"/>
        <v>0</v>
      </c>
      <c r="Q943" s="51">
        <f t="shared" si="159"/>
        <v>0</v>
      </c>
      <c r="R943" s="51">
        <f t="shared" si="162"/>
        <v>0</v>
      </c>
      <c r="S943"/>
      <c r="T943" s="83"/>
    </row>
    <row r="944" spans="1:20" ht="16" x14ac:dyDescent="0.2">
      <c r="A944"/>
      <c r="B944" s="103"/>
      <c r="C944" s="243"/>
      <c r="D944" s="119">
        <v>931</v>
      </c>
      <c r="E944" s="25" t="str">
        <f>Tp_CHG!X206</f>
        <v>Transition Probability from state 6 to state 7 on day 3 (CHG)</v>
      </c>
      <c r="F944" s="40">
        <f t="shared" si="157"/>
        <v>0</v>
      </c>
      <c r="G944" s="156">
        <v>1</v>
      </c>
      <c r="H944" s="120">
        <f>Tp_CHG!AA206</f>
        <v>0</v>
      </c>
      <c r="I944" s="40" t="s">
        <v>58</v>
      </c>
      <c r="J944" s="40">
        <f t="shared" si="160"/>
        <v>0</v>
      </c>
      <c r="K944" s="40">
        <f t="shared" si="161"/>
        <v>0</v>
      </c>
      <c r="L944" s="40" t="s">
        <v>58</v>
      </c>
      <c r="M944" s="50" t="s">
        <v>266</v>
      </c>
      <c r="N944" s="190"/>
      <c r="O944" s="40">
        <f t="shared" ref="O944:O975" ca="1" si="163">RAND()</f>
        <v>0.91617563292642368</v>
      </c>
      <c r="P944" s="51">
        <f t="shared" si="158"/>
        <v>0</v>
      </c>
      <c r="Q944" s="51">
        <f t="shared" si="159"/>
        <v>0</v>
      </c>
      <c r="R944" s="51">
        <f t="shared" si="162"/>
        <v>0</v>
      </c>
      <c r="S944"/>
      <c r="T944" s="83"/>
    </row>
    <row r="945" spans="1:20" ht="16" x14ac:dyDescent="0.2">
      <c r="A945"/>
      <c r="B945" s="103"/>
      <c r="C945" s="243"/>
      <c r="D945" s="119">
        <v>932</v>
      </c>
      <c r="E945" s="25" t="str">
        <f>Tp_CHG!X207</f>
        <v>Transition Probability from state 6 to state 7 on day 4 (CHG)</v>
      </c>
      <c r="F945" s="40">
        <f t="shared" si="157"/>
        <v>0</v>
      </c>
      <c r="G945" s="156">
        <v>1</v>
      </c>
      <c r="H945" s="120">
        <f>Tp_CHG!AA207</f>
        <v>0</v>
      </c>
      <c r="I945" s="40" t="s">
        <v>58</v>
      </c>
      <c r="J945" s="40">
        <f t="shared" si="160"/>
        <v>0</v>
      </c>
      <c r="K945" s="40">
        <f t="shared" si="161"/>
        <v>0</v>
      </c>
      <c r="L945" s="40" t="s">
        <v>58</v>
      </c>
      <c r="M945" s="50" t="s">
        <v>266</v>
      </c>
      <c r="N945" s="190"/>
      <c r="O945" s="40">
        <f t="shared" ca="1" si="163"/>
        <v>0.37362345721606183</v>
      </c>
      <c r="P945" s="51">
        <f t="shared" si="158"/>
        <v>0</v>
      </c>
      <c r="Q945" s="51">
        <f t="shared" si="159"/>
        <v>0</v>
      </c>
      <c r="R945" s="51">
        <f t="shared" si="162"/>
        <v>0</v>
      </c>
      <c r="S945"/>
      <c r="T945" s="83"/>
    </row>
    <row r="946" spans="1:20" ht="16" x14ac:dyDescent="0.2">
      <c r="A946"/>
      <c r="B946" s="103"/>
      <c r="C946" s="243"/>
      <c r="D946" s="119">
        <v>933</v>
      </c>
      <c r="E946" s="25" t="str">
        <f>Tp_CHG!X208</f>
        <v>Transition Probability from state 6 to state 7 on day 5 (CHG)</v>
      </c>
      <c r="F946" s="40">
        <f t="shared" si="157"/>
        <v>0</v>
      </c>
      <c r="G946" s="156">
        <v>1</v>
      </c>
      <c r="H946" s="120">
        <f>Tp_CHG!AA208</f>
        <v>0</v>
      </c>
      <c r="I946" s="40" t="s">
        <v>58</v>
      </c>
      <c r="J946" s="40">
        <f t="shared" si="160"/>
        <v>0</v>
      </c>
      <c r="K946" s="40">
        <f t="shared" si="161"/>
        <v>0</v>
      </c>
      <c r="L946" s="40" t="s">
        <v>58</v>
      </c>
      <c r="M946" s="50" t="s">
        <v>266</v>
      </c>
      <c r="N946" s="190"/>
      <c r="O946" s="40">
        <f t="shared" ca="1" si="163"/>
        <v>0.58369861051996585</v>
      </c>
      <c r="P946" s="51">
        <f t="shared" si="158"/>
        <v>0</v>
      </c>
      <c r="Q946" s="51">
        <f t="shared" si="159"/>
        <v>0</v>
      </c>
      <c r="R946" s="51">
        <f t="shared" si="162"/>
        <v>0</v>
      </c>
      <c r="S946"/>
      <c r="T946" s="83"/>
    </row>
    <row r="947" spans="1:20" ht="16" x14ac:dyDescent="0.2">
      <c r="A947"/>
      <c r="B947" s="103"/>
      <c r="C947" s="243"/>
      <c r="D947" s="119">
        <v>934</v>
      </c>
      <c r="E947" s="25" t="str">
        <f>Tp_CHG!X209</f>
        <v>Transition Probability from state 6 to state 7 on day 6 (CHG)</v>
      </c>
      <c r="F947" s="40">
        <f t="shared" si="157"/>
        <v>0</v>
      </c>
      <c r="G947" s="156">
        <v>1</v>
      </c>
      <c r="H947" s="120">
        <f>Tp_CHG!AA209</f>
        <v>0</v>
      </c>
      <c r="I947" s="40" t="s">
        <v>58</v>
      </c>
      <c r="J947" s="40">
        <f t="shared" si="160"/>
        <v>0</v>
      </c>
      <c r="K947" s="40">
        <f t="shared" si="161"/>
        <v>0</v>
      </c>
      <c r="L947" s="40" t="s">
        <v>58</v>
      </c>
      <c r="M947" s="50" t="s">
        <v>266</v>
      </c>
      <c r="N947" s="190"/>
      <c r="O947" s="40">
        <f t="shared" ca="1" si="163"/>
        <v>0.20861516526283985</v>
      </c>
      <c r="P947" s="51">
        <f t="shared" si="158"/>
        <v>0</v>
      </c>
      <c r="Q947" s="51">
        <f t="shared" si="159"/>
        <v>0</v>
      </c>
      <c r="R947" s="51">
        <f t="shared" si="162"/>
        <v>0</v>
      </c>
      <c r="S947"/>
      <c r="T947" s="83"/>
    </row>
    <row r="948" spans="1:20" ht="16" x14ac:dyDescent="0.2">
      <c r="A948"/>
      <c r="B948" s="103"/>
      <c r="C948" s="243"/>
      <c r="D948" s="119">
        <v>935</v>
      </c>
      <c r="E948" s="25" t="str">
        <f>Tp_CHG!X210</f>
        <v>Transition Probability from state 6 to state 7 on day 7 (CHG)</v>
      </c>
      <c r="F948" s="40">
        <f t="shared" si="157"/>
        <v>0</v>
      </c>
      <c r="G948" s="156">
        <v>1</v>
      </c>
      <c r="H948" s="120">
        <f>Tp_CHG!AA210</f>
        <v>0</v>
      </c>
      <c r="I948" s="40" t="s">
        <v>58</v>
      </c>
      <c r="J948" s="40">
        <f t="shared" si="160"/>
        <v>0</v>
      </c>
      <c r="K948" s="40">
        <f t="shared" si="161"/>
        <v>0</v>
      </c>
      <c r="L948" s="40" t="s">
        <v>58</v>
      </c>
      <c r="M948" s="50" t="s">
        <v>266</v>
      </c>
      <c r="N948" s="190"/>
      <c r="O948" s="40">
        <f t="shared" ca="1" si="163"/>
        <v>0.12877058847084855</v>
      </c>
      <c r="P948" s="51">
        <f t="shared" si="158"/>
        <v>0</v>
      </c>
      <c r="Q948" s="51">
        <f t="shared" si="159"/>
        <v>0</v>
      </c>
      <c r="R948" s="51">
        <f t="shared" si="162"/>
        <v>0</v>
      </c>
      <c r="S948"/>
      <c r="T948" s="83"/>
    </row>
    <row r="949" spans="1:20" ht="16" x14ac:dyDescent="0.2">
      <c r="A949"/>
      <c r="B949" s="103"/>
      <c r="C949" s="243"/>
      <c r="D949" s="119">
        <v>936</v>
      </c>
      <c r="E949" s="25" t="str">
        <f>Tp_CHG!X211</f>
        <v>Transition Probability from state 6 to state 7 on day 8 (CHG)</v>
      </c>
      <c r="F949" s="40">
        <f t="shared" si="157"/>
        <v>0</v>
      </c>
      <c r="G949" s="156">
        <v>1</v>
      </c>
      <c r="H949" s="120">
        <f>Tp_CHG!AA211</f>
        <v>0</v>
      </c>
      <c r="I949" s="40" t="s">
        <v>58</v>
      </c>
      <c r="J949" s="40">
        <f t="shared" si="160"/>
        <v>0</v>
      </c>
      <c r="K949" s="40">
        <f t="shared" si="161"/>
        <v>0</v>
      </c>
      <c r="L949" s="40" t="s">
        <v>58</v>
      </c>
      <c r="M949" s="50" t="s">
        <v>266</v>
      </c>
      <c r="N949" s="190"/>
      <c r="O949" s="40">
        <f t="shared" ca="1" si="163"/>
        <v>0.23494029391378901</v>
      </c>
      <c r="P949" s="51">
        <f t="shared" si="158"/>
        <v>0</v>
      </c>
      <c r="Q949" s="51">
        <f t="shared" si="159"/>
        <v>0</v>
      </c>
      <c r="R949" s="51">
        <f t="shared" si="162"/>
        <v>0</v>
      </c>
      <c r="S949"/>
      <c r="T949" s="83"/>
    </row>
    <row r="950" spans="1:20" ht="16" x14ac:dyDescent="0.2">
      <c r="A950"/>
      <c r="B950" s="103"/>
      <c r="C950" s="243"/>
      <c r="D950" s="119">
        <v>937</v>
      </c>
      <c r="E950" s="25" t="str">
        <f>Tp_CHG!X212</f>
        <v>Transition Probability from state 6 to state 7 on day 9 (CHG)</v>
      </c>
      <c r="F950" s="40">
        <f t="shared" si="157"/>
        <v>0</v>
      </c>
      <c r="G950" s="156">
        <v>1</v>
      </c>
      <c r="H950" s="120">
        <f>Tp_CHG!AA212</f>
        <v>0</v>
      </c>
      <c r="I950" s="40" t="s">
        <v>58</v>
      </c>
      <c r="J950" s="40">
        <f t="shared" si="160"/>
        <v>0</v>
      </c>
      <c r="K950" s="40">
        <f t="shared" si="161"/>
        <v>0</v>
      </c>
      <c r="L950" s="40" t="s">
        <v>58</v>
      </c>
      <c r="M950" s="50" t="s">
        <v>266</v>
      </c>
      <c r="N950" s="190"/>
      <c r="O950" s="40">
        <f t="shared" ca="1" si="163"/>
        <v>0.74552611908915734</v>
      </c>
      <c r="P950" s="51">
        <f t="shared" si="158"/>
        <v>0</v>
      </c>
      <c r="Q950" s="51">
        <f t="shared" si="159"/>
        <v>0</v>
      </c>
      <c r="R950" s="51">
        <f t="shared" si="162"/>
        <v>0</v>
      </c>
      <c r="S950"/>
      <c r="T950" s="83"/>
    </row>
    <row r="951" spans="1:20" ht="16" x14ac:dyDescent="0.2">
      <c r="A951"/>
      <c r="B951" s="103"/>
      <c r="C951" s="243"/>
      <c r="D951" s="119">
        <v>938</v>
      </c>
      <c r="E951" s="25" t="str">
        <f>Tp_CHG!X213</f>
        <v>Transition Probability from state 6 to state 7 on day 10 (CHG)</v>
      </c>
      <c r="F951" s="40">
        <f t="shared" si="157"/>
        <v>0</v>
      </c>
      <c r="G951" s="156">
        <v>1</v>
      </c>
      <c r="H951" s="120">
        <f>Tp_CHG!AA213</f>
        <v>0</v>
      </c>
      <c r="I951" s="40" t="s">
        <v>58</v>
      </c>
      <c r="J951" s="40">
        <f t="shared" si="160"/>
        <v>0</v>
      </c>
      <c r="K951" s="40">
        <f t="shared" si="161"/>
        <v>0</v>
      </c>
      <c r="L951" s="40" t="s">
        <v>58</v>
      </c>
      <c r="M951" s="50" t="s">
        <v>266</v>
      </c>
      <c r="N951" s="190"/>
      <c r="O951" s="40">
        <f t="shared" ca="1" si="163"/>
        <v>0.73379766908589228</v>
      </c>
      <c r="P951" s="51">
        <f t="shared" si="158"/>
        <v>0</v>
      </c>
      <c r="Q951" s="51">
        <f t="shared" si="159"/>
        <v>0</v>
      </c>
      <c r="R951" s="51">
        <f t="shared" si="162"/>
        <v>0</v>
      </c>
      <c r="S951"/>
      <c r="T951" s="83"/>
    </row>
    <row r="952" spans="1:20" ht="16" x14ac:dyDescent="0.2">
      <c r="A952"/>
      <c r="B952" s="103"/>
      <c r="C952" s="243"/>
      <c r="D952" s="119">
        <v>939</v>
      </c>
      <c r="E952" s="25" t="str">
        <f>Tp_CHG!X214</f>
        <v>Transition Probability from state 6 to state 7 on day 11 (CHG)</v>
      </c>
      <c r="F952" s="40">
        <f t="shared" si="157"/>
        <v>0</v>
      </c>
      <c r="G952" s="156">
        <v>1</v>
      </c>
      <c r="H952" s="120">
        <f>Tp_CHG!AA214</f>
        <v>0</v>
      </c>
      <c r="I952" s="40" t="s">
        <v>58</v>
      </c>
      <c r="J952" s="40">
        <f t="shared" ref="J952:J971" si="164">IF(H952=0,0,_xlfn.NORM.INV(0.025,H952,R952))</f>
        <v>0</v>
      </c>
      <c r="K952" s="40">
        <f t="shared" ref="K952:K971" si="165">IF(H952=0,0,_xlfn.NORM.INV(0.975,H952,R952))</f>
        <v>0</v>
      </c>
      <c r="L952" s="40" t="s">
        <v>58</v>
      </c>
      <c r="M952" s="50" t="s">
        <v>266</v>
      </c>
      <c r="N952" s="190"/>
      <c r="O952" s="40">
        <f t="shared" ca="1" si="163"/>
        <v>0.31426735168886444</v>
      </c>
      <c r="P952" s="51">
        <f t="shared" si="158"/>
        <v>0</v>
      </c>
      <c r="Q952" s="51">
        <f t="shared" si="159"/>
        <v>0</v>
      </c>
      <c r="R952" s="51">
        <f t="shared" ref="R952:R971" si="166">assumedSE*H952</f>
        <v>0</v>
      </c>
      <c r="S952"/>
      <c r="T952" s="83"/>
    </row>
    <row r="953" spans="1:20" ht="16" x14ac:dyDescent="0.2">
      <c r="A953"/>
      <c r="B953" s="103"/>
      <c r="C953" s="243"/>
      <c r="D953" s="119">
        <v>940</v>
      </c>
      <c r="E953" s="25" t="str">
        <f>Tp_CHG!X215</f>
        <v>Transition Probability from state 6 to state 7 on day 12 (CHG)</v>
      </c>
      <c r="F953" s="40">
        <f t="shared" si="157"/>
        <v>0</v>
      </c>
      <c r="G953" s="156">
        <v>1</v>
      </c>
      <c r="H953" s="120">
        <f>Tp_CHG!AA215</f>
        <v>0</v>
      </c>
      <c r="I953" s="40" t="s">
        <v>58</v>
      </c>
      <c r="J953" s="40">
        <f t="shared" si="164"/>
        <v>0</v>
      </c>
      <c r="K953" s="40">
        <f t="shared" si="165"/>
        <v>0</v>
      </c>
      <c r="L953" s="40" t="s">
        <v>58</v>
      </c>
      <c r="M953" s="50" t="s">
        <v>266</v>
      </c>
      <c r="N953" s="190"/>
      <c r="O953" s="40">
        <f t="shared" ca="1" si="163"/>
        <v>0.57074600708757506</v>
      </c>
      <c r="P953" s="51">
        <f t="shared" si="158"/>
        <v>0</v>
      </c>
      <c r="Q953" s="51">
        <f t="shared" si="159"/>
        <v>0</v>
      </c>
      <c r="R953" s="51">
        <f t="shared" si="166"/>
        <v>0</v>
      </c>
      <c r="S953"/>
      <c r="T953" s="83"/>
    </row>
    <row r="954" spans="1:20" ht="16" x14ac:dyDescent="0.2">
      <c r="A954"/>
      <c r="B954" s="103"/>
      <c r="C954" s="243"/>
      <c r="D954" s="119">
        <v>941</v>
      </c>
      <c r="E954" s="25" t="str">
        <f>Tp_CHG!X216</f>
        <v>Transition Probability from state 6 to state 7 on day 13 (CHG)</v>
      </c>
      <c r="F954" s="40">
        <f t="shared" si="157"/>
        <v>0</v>
      </c>
      <c r="G954" s="156">
        <v>1</v>
      </c>
      <c r="H954" s="120">
        <f>Tp_CHG!AA216</f>
        <v>0</v>
      </c>
      <c r="I954" s="40" t="s">
        <v>58</v>
      </c>
      <c r="J954" s="40">
        <f t="shared" si="164"/>
        <v>0</v>
      </c>
      <c r="K954" s="40">
        <f t="shared" si="165"/>
        <v>0</v>
      </c>
      <c r="L954" s="40" t="s">
        <v>58</v>
      </c>
      <c r="M954" s="50" t="s">
        <v>266</v>
      </c>
      <c r="N954" s="190"/>
      <c r="O954" s="40">
        <f t="shared" ca="1" si="163"/>
        <v>0.85406153994441547</v>
      </c>
      <c r="P954" s="51">
        <f t="shared" si="158"/>
        <v>0</v>
      </c>
      <c r="Q954" s="51">
        <f t="shared" si="159"/>
        <v>0</v>
      </c>
      <c r="R954" s="51">
        <f t="shared" si="166"/>
        <v>0</v>
      </c>
      <c r="S954"/>
      <c r="T954" s="83"/>
    </row>
    <row r="955" spans="1:20" ht="16" x14ac:dyDescent="0.2">
      <c r="A955"/>
      <c r="B955" s="103"/>
      <c r="C955" s="243"/>
      <c r="D955" s="119">
        <v>942</v>
      </c>
      <c r="E955" s="25" t="str">
        <f>Tp_CHG!X217</f>
        <v>Transition Probability from state 6 to state 7 on day 14 (CHG)</v>
      </c>
      <c r="F955" s="40">
        <f t="shared" si="157"/>
        <v>0</v>
      </c>
      <c r="G955" s="156">
        <v>1</v>
      </c>
      <c r="H955" s="120">
        <f>Tp_CHG!AA217</f>
        <v>0</v>
      </c>
      <c r="I955" s="40" t="s">
        <v>58</v>
      </c>
      <c r="J955" s="40">
        <f t="shared" si="164"/>
        <v>0</v>
      </c>
      <c r="K955" s="40">
        <f t="shared" si="165"/>
        <v>0</v>
      </c>
      <c r="L955" s="40" t="s">
        <v>58</v>
      </c>
      <c r="M955" s="50" t="s">
        <v>266</v>
      </c>
      <c r="N955" s="190"/>
      <c r="O955" s="40">
        <f t="shared" ca="1" si="163"/>
        <v>0.52085117764519251</v>
      </c>
      <c r="P955" s="51">
        <f t="shared" si="158"/>
        <v>0</v>
      </c>
      <c r="Q955" s="51">
        <f t="shared" si="159"/>
        <v>0</v>
      </c>
      <c r="R955" s="51">
        <f t="shared" si="166"/>
        <v>0</v>
      </c>
      <c r="S955"/>
      <c r="T955" s="83"/>
    </row>
    <row r="956" spans="1:20" ht="16" x14ac:dyDescent="0.2">
      <c r="A956"/>
      <c r="B956" s="103"/>
      <c r="C956" s="243"/>
      <c r="D956" s="119">
        <v>943</v>
      </c>
      <c r="E956" s="25" t="str">
        <f>Tp_CHG!X218</f>
        <v>Transition Probability from state 6 to state 7 on day 15 (CHG)</v>
      </c>
      <c r="F956" s="40">
        <f t="shared" si="157"/>
        <v>0</v>
      </c>
      <c r="G956" s="156">
        <v>1</v>
      </c>
      <c r="H956" s="120">
        <f>Tp_CHG!AA218</f>
        <v>0</v>
      </c>
      <c r="I956" s="40" t="s">
        <v>58</v>
      </c>
      <c r="J956" s="40">
        <f t="shared" si="164"/>
        <v>0</v>
      </c>
      <c r="K956" s="40">
        <f t="shared" si="165"/>
        <v>0</v>
      </c>
      <c r="L956" s="40" t="s">
        <v>58</v>
      </c>
      <c r="M956" s="50" t="s">
        <v>266</v>
      </c>
      <c r="N956" s="190"/>
      <c r="O956" s="40">
        <f t="shared" ca="1" si="163"/>
        <v>0.62602767190130415</v>
      </c>
      <c r="P956" s="51">
        <f t="shared" si="158"/>
        <v>0</v>
      </c>
      <c r="Q956" s="51">
        <f t="shared" si="159"/>
        <v>0</v>
      </c>
      <c r="R956" s="51">
        <f t="shared" si="166"/>
        <v>0</v>
      </c>
      <c r="S956"/>
      <c r="T956" s="83"/>
    </row>
    <row r="957" spans="1:20" ht="16" x14ac:dyDescent="0.2">
      <c r="A957"/>
      <c r="B957" s="103"/>
      <c r="C957" s="243"/>
      <c r="D957" s="119">
        <v>944</v>
      </c>
      <c r="E957" s="25" t="str">
        <f>Tp_CHG!X219</f>
        <v>Transition Probability from state 6 to state 7 on day 16 (CHG)</v>
      </c>
      <c r="F957" s="40">
        <f t="shared" si="157"/>
        <v>0</v>
      </c>
      <c r="G957" s="156">
        <v>1</v>
      </c>
      <c r="H957" s="120">
        <f>Tp_CHG!AA219</f>
        <v>0</v>
      </c>
      <c r="I957" s="40" t="s">
        <v>58</v>
      </c>
      <c r="J957" s="40">
        <f t="shared" si="164"/>
        <v>0</v>
      </c>
      <c r="K957" s="40">
        <f t="shared" si="165"/>
        <v>0</v>
      </c>
      <c r="L957" s="40" t="s">
        <v>58</v>
      </c>
      <c r="M957" s="50" t="s">
        <v>266</v>
      </c>
      <c r="N957" s="190"/>
      <c r="O957" s="40">
        <f t="shared" ca="1" si="163"/>
        <v>0.68926689942856745</v>
      </c>
      <c r="P957" s="51">
        <f t="shared" si="158"/>
        <v>0</v>
      </c>
      <c r="Q957" s="51">
        <f t="shared" si="159"/>
        <v>0</v>
      </c>
      <c r="R957" s="51">
        <f t="shared" si="166"/>
        <v>0</v>
      </c>
      <c r="S957"/>
      <c r="T957" s="83"/>
    </row>
    <row r="958" spans="1:20" ht="16" x14ac:dyDescent="0.2">
      <c r="A958"/>
      <c r="B958" s="103"/>
      <c r="C958" s="243"/>
      <c r="D958" s="119">
        <v>945</v>
      </c>
      <c r="E958" s="25" t="str">
        <f>Tp_CHG!X220</f>
        <v>Transition Probability from state 6 to state 7 on day 17 (CHG)</v>
      </c>
      <c r="F958" s="40">
        <f t="shared" si="157"/>
        <v>0</v>
      </c>
      <c r="G958" s="156">
        <v>1</v>
      </c>
      <c r="H958" s="120">
        <f>Tp_CHG!AA220</f>
        <v>0</v>
      </c>
      <c r="I958" s="40" t="s">
        <v>58</v>
      </c>
      <c r="J958" s="40">
        <f t="shared" si="164"/>
        <v>0</v>
      </c>
      <c r="K958" s="40">
        <f t="shared" si="165"/>
        <v>0</v>
      </c>
      <c r="L958" s="40" t="s">
        <v>58</v>
      </c>
      <c r="M958" s="50" t="s">
        <v>266</v>
      </c>
      <c r="N958" s="190"/>
      <c r="O958" s="40">
        <f t="shared" ca="1" si="163"/>
        <v>9.5301471705188656E-2</v>
      </c>
      <c r="P958" s="51">
        <f t="shared" si="158"/>
        <v>0</v>
      </c>
      <c r="Q958" s="51">
        <f t="shared" si="159"/>
        <v>0</v>
      </c>
      <c r="R958" s="51">
        <f t="shared" si="166"/>
        <v>0</v>
      </c>
      <c r="S958"/>
      <c r="T958" s="83"/>
    </row>
    <row r="959" spans="1:20" ht="16" x14ac:dyDescent="0.2">
      <c r="A959"/>
      <c r="B959" s="103"/>
      <c r="C959" s="243"/>
      <c r="D959" s="119">
        <v>946</v>
      </c>
      <c r="E959" s="25" t="str">
        <f>Tp_CHG!X221</f>
        <v>Transition Probability from state 6 to state 7 on day 18 (CHG)</v>
      </c>
      <c r="F959" s="40">
        <f t="shared" si="157"/>
        <v>0</v>
      </c>
      <c r="G959" s="156">
        <v>1</v>
      </c>
      <c r="H959" s="120">
        <f>Tp_CHG!AA221</f>
        <v>0</v>
      </c>
      <c r="I959" s="40" t="s">
        <v>58</v>
      </c>
      <c r="J959" s="40">
        <f t="shared" si="164"/>
        <v>0</v>
      </c>
      <c r="K959" s="40">
        <f t="shared" si="165"/>
        <v>0</v>
      </c>
      <c r="L959" s="40" t="s">
        <v>58</v>
      </c>
      <c r="M959" s="50" t="s">
        <v>266</v>
      </c>
      <c r="N959" s="190"/>
      <c r="O959" s="40">
        <f t="shared" ca="1" si="163"/>
        <v>0.52469462475344353</v>
      </c>
      <c r="P959" s="51">
        <f t="shared" si="158"/>
        <v>0</v>
      </c>
      <c r="Q959" s="51">
        <f t="shared" si="159"/>
        <v>0</v>
      </c>
      <c r="R959" s="51">
        <f t="shared" si="166"/>
        <v>0</v>
      </c>
      <c r="S959"/>
      <c r="T959" s="83"/>
    </row>
    <row r="960" spans="1:20" ht="16" x14ac:dyDescent="0.2">
      <c r="A960"/>
      <c r="B960" s="103"/>
      <c r="C960" s="243"/>
      <c r="D960" s="119">
        <v>947</v>
      </c>
      <c r="E960" s="25" t="str">
        <f>Tp_CHG!X222</f>
        <v>Transition Probability from state 6 to state 7 on day 19 (CHG)</v>
      </c>
      <c r="F960" s="40">
        <f t="shared" si="157"/>
        <v>0</v>
      </c>
      <c r="G960" s="156">
        <v>1</v>
      </c>
      <c r="H960" s="120">
        <f>Tp_CHG!AA222</f>
        <v>0</v>
      </c>
      <c r="I960" s="40" t="s">
        <v>58</v>
      </c>
      <c r="J960" s="40">
        <f t="shared" si="164"/>
        <v>0</v>
      </c>
      <c r="K960" s="40">
        <f t="shared" si="165"/>
        <v>0</v>
      </c>
      <c r="L960" s="40" t="s">
        <v>58</v>
      </c>
      <c r="M960" s="50" t="s">
        <v>266</v>
      </c>
      <c r="N960" s="190"/>
      <c r="O960" s="40">
        <f t="shared" ca="1" si="163"/>
        <v>0.41820795227540375</v>
      </c>
      <c r="P960" s="51">
        <f t="shared" si="158"/>
        <v>0</v>
      </c>
      <c r="Q960" s="51">
        <f t="shared" si="159"/>
        <v>0</v>
      </c>
      <c r="R960" s="51">
        <f t="shared" si="166"/>
        <v>0</v>
      </c>
      <c r="S960"/>
      <c r="T960" s="83"/>
    </row>
    <row r="961" spans="1:20" ht="16" x14ac:dyDescent="0.2">
      <c r="A961"/>
      <c r="B961" s="103"/>
      <c r="C961" s="243"/>
      <c r="D961" s="119">
        <v>948</v>
      </c>
      <c r="E961" s="25" t="str">
        <f>Tp_CHG!X223</f>
        <v>Transition Probability from state 6 to state 7 on day 20 (CHG)</v>
      </c>
      <c r="F961" s="40">
        <f t="shared" si="157"/>
        <v>0</v>
      </c>
      <c r="G961" s="156">
        <v>1</v>
      </c>
      <c r="H961" s="120">
        <f>Tp_CHG!AA223</f>
        <v>0</v>
      </c>
      <c r="I961" s="40" t="s">
        <v>58</v>
      </c>
      <c r="J961" s="40">
        <f t="shared" si="164"/>
        <v>0</v>
      </c>
      <c r="K961" s="40">
        <f t="shared" si="165"/>
        <v>0</v>
      </c>
      <c r="L961" s="40" t="s">
        <v>58</v>
      </c>
      <c r="M961" s="50" t="s">
        <v>266</v>
      </c>
      <c r="N961" s="190"/>
      <c r="O961" s="40">
        <f t="shared" ca="1" si="163"/>
        <v>0.85652814230825658</v>
      </c>
      <c r="P961" s="51">
        <f t="shared" si="158"/>
        <v>0</v>
      </c>
      <c r="Q961" s="51">
        <f t="shared" si="159"/>
        <v>0</v>
      </c>
      <c r="R961" s="51">
        <f t="shared" si="166"/>
        <v>0</v>
      </c>
      <c r="S961"/>
      <c r="T961" s="83"/>
    </row>
    <row r="962" spans="1:20" ht="16" x14ac:dyDescent="0.2">
      <c r="A962"/>
      <c r="B962" s="103"/>
      <c r="C962" s="243"/>
      <c r="D962" s="119">
        <v>949</v>
      </c>
      <c r="E962" s="25" t="str">
        <f>Tp_CHG!X224</f>
        <v>Transition Probability from state 6 to state 7 on day 21 (CHG)</v>
      </c>
      <c r="F962" s="40">
        <f t="shared" si="157"/>
        <v>0</v>
      </c>
      <c r="G962" s="156">
        <v>1</v>
      </c>
      <c r="H962" s="120">
        <f>Tp_CHG!AA224</f>
        <v>0</v>
      </c>
      <c r="I962" s="40" t="s">
        <v>58</v>
      </c>
      <c r="J962" s="40">
        <f t="shared" si="164"/>
        <v>0</v>
      </c>
      <c r="K962" s="40">
        <f t="shared" si="165"/>
        <v>0</v>
      </c>
      <c r="L962" s="40" t="s">
        <v>58</v>
      </c>
      <c r="M962" s="50" t="s">
        <v>266</v>
      </c>
      <c r="N962" s="190"/>
      <c r="O962" s="40">
        <f t="shared" ca="1" si="163"/>
        <v>3.3963168768958774E-2</v>
      </c>
      <c r="P962" s="51">
        <f t="shared" si="158"/>
        <v>0</v>
      </c>
      <c r="Q962" s="51">
        <f t="shared" si="159"/>
        <v>0</v>
      </c>
      <c r="R962" s="51">
        <f t="shared" si="166"/>
        <v>0</v>
      </c>
      <c r="S962"/>
      <c r="T962" s="83"/>
    </row>
    <row r="963" spans="1:20" ht="16" x14ac:dyDescent="0.2">
      <c r="A963"/>
      <c r="B963" s="103"/>
      <c r="C963" s="243"/>
      <c r="D963" s="119">
        <v>950</v>
      </c>
      <c r="E963" s="25" t="str">
        <f>Tp_CHG!X225</f>
        <v>Transition Probability from state 6 to state 7 on day 22 (CHG)</v>
      </c>
      <c r="F963" s="40">
        <f t="shared" si="157"/>
        <v>0</v>
      </c>
      <c r="G963" s="156">
        <v>1</v>
      </c>
      <c r="H963" s="120">
        <f>Tp_CHG!AA225</f>
        <v>0</v>
      </c>
      <c r="I963" s="40" t="s">
        <v>58</v>
      </c>
      <c r="J963" s="40">
        <f t="shared" si="164"/>
        <v>0</v>
      </c>
      <c r="K963" s="40">
        <f t="shared" si="165"/>
        <v>0</v>
      </c>
      <c r="L963" s="40" t="s">
        <v>58</v>
      </c>
      <c r="M963" s="50" t="s">
        <v>266</v>
      </c>
      <c r="N963" s="190"/>
      <c r="O963" s="40">
        <f t="shared" ca="1" si="163"/>
        <v>0.27922084791592838</v>
      </c>
      <c r="P963" s="51">
        <f t="shared" si="158"/>
        <v>0</v>
      </c>
      <c r="Q963" s="51">
        <f t="shared" si="159"/>
        <v>0</v>
      </c>
      <c r="R963" s="51">
        <f t="shared" si="166"/>
        <v>0</v>
      </c>
      <c r="S963"/>
      <c r="T963" s="83"/>
    </row>
    <row r="964" spans="1:20" ht="16" x14ac:dyDescent="0.2">
      <c r="A964"/>
      <c r="B964" s="103"/>
      <c r="C964" s="243"/>
      <c r="D964" s="119">
        <v>951</v>
      </c>
      <c r="E964" s="25" t="str">
        <f>Tp_CHG!X226</f>
        <v>Transition Probability from state 6 to state 7 on day 23 (CHG)</v>
      </c>
      <c r="F964" s="40">
        <f t="shared" si="157"/>
        <v>0</v>
      </c>
      <c r="G964" s="156">
        <v>1</v>
      </c>
      <c r="H964" s="120">
        <f>Tp_CHG!AA226</f>
        <v>0</v>
      </c>
      <c r="I964" s="40" t="s">
        <v>58</v>
      </c>
      <c r="J964" s="40">
        <f t="shared" si="164"/>
        <v>0</v>
      </c>
      <c r="K964" s="40">
        <f t="shared" si="165"/>
        <v>0</v>
      </c>
      <c r="L964" s="40" t="s">
        <v>58</v>
      </c>
      <c r="M964" s="50" t="s">
        <v>266</v>
      </c>
      <c r="N964" s="190"/>
      <c r="O964" s="40">
        <f t="shared" ca="1" si="163"/>
        <v>0.22235264425117485</v>
      </c>
      <c r="P964" s="51">
        <f t="shared" si="158"/>
        <v>0</v>
      </c>
      <c r="Q964" s="51">
        <f t="shared" si="159"/>
        <v>0</v>
      </c>
      <c r="R964" s="51">
        <f t="shared" si="166"/>
        <v>0</v>
      </c>
      <c r="S964"/>
      <c r="T964" s="83"/>
    </row>
    <row r="965" spans="1:20" ht="16" x14ac:dyDescent="0.2">
      <c r="A965"/>
      <c r="B965" s="103"/>
      <c r="C965" s="243"/>
      <c r="D965" s="119">
        <v>952</v>
      </c>
      <c r="E965" s="25" t="str">
        <f>Tp_CHG!X227</f>
        <v>Transition Probability from state 6 to state 7 on day 24 (CHG)</v>
      </c>
      <c r="F965" s="40">
        <f t="shared" si="157"/>
        <v>0</v>
      </c>
      <c r="G965" s="156">
        <v>1</v>
      </c>
      <c r="H965" s="120">
        <f>Tp_CHG!AA227</f>
        <v>0</v>
      </c>
      <c r="I965" s="40" t="s">
        <v>58</v>
      </c>
      <c r="J965" s="40">
        <f t="shared" si="164"/>
        <v>0</v>
      </c>
      <c r="K965" s="40">
        <f t="shared" si="165"/>
        <v>0</v>
      </c>
      <c r="L965" s="40" t="s">
        <v>58</v>
      </c>
      <c r="M965" s="50" t="s">
        <v>266</v>
      </c>
      <c r="N965" s="190"/>
      <c r="O965" s="40">
        <f t="shared" ca="1" si="163"/>
        <v>0.64592935889658187</v>
      </c>
      <c r="P965" s="51">
        <f t="shared" si="158"/>
        <v>0</v>
      </c>
      <c r="Q965" s="51">
        <f t="shared" si="159"/>
        <v>0</v>
      </c>
      <c r="R965" s="51">
        <f t="shared" si="166"/>
        <v>0</v>
      </c>
      <c r="S965"/>
      <c r="T965" s="83"/>
    </row>
    <row r="966" spans="1:20" ht="16" x14ac:dyDescent="0.2">
      <c r="A966"/>
      <c r="B966" s="103"/>
      <c r="C966" s="243"/>
      <c r="D966" s="119">
        <v>953</v>
      </c>
      <c r="E966" s="25" t="str">
        <f>Tp_CHG!X228</f>
        <v>Transition Probability from state 6 to state 7 on day 25 (CHG)</v>
      </c>
      <c r="F966" s="40">
        <f t="shared" si="157"/>
        <v>0</v>
      </c>
      <c r="G966" s="156">
        <v>1</v>
      </c>
      <c r="H966" s="120">
        <f>Tp_CHG!AA228</f>
        <v>0</v>
      </c>
      <c r="I966" s="40" t="s">
        <v>58</v>
      </c>
      <c r="J966" s="40">
        <f t="shared" si="164"/>
        <v>0</v>
      </c>
      <c r="K966" s="40">
        <f t="shared" si="165"/>
        <v>0</v>
      </c>
      <c r="L966" s="40" t="s">
        <v>58</v>
      </c>
      <c r="M966" s="50" t="s">
        <v>266</v>
      </c>
      <c r="N966" s="190"/>
      <c r="O966" s="40">
        <f t="shared" ca="1" si="163"/>
        <v>0.98712009949398472</v>
      </c>
      <c r="P966" s="51">
        <f t="shared" si="158"/>
        <v>0</v>
      </c>
      <c r="Q966" s="51">
        <f t="shared" si="159"/>
        <v>0</v>
      </c>
      <c r="R966" s="51">
        <f t="shared" si="166"/>
        <v>0</v>
      </c>
      <c r="S966"/>
      <c r="T966" s="83"/>
    </row>
    <row r="967" spans="1:20" ht="16" x14ac:dyDescent="0.2">
      <c r="A967"/>
      <c r="B967" s="103"/>
      <c r="C967" s="243"/>
      <c r="D967" s="119">
        <v>954</v>
      </c>
      <c r="E967" s="25" t="str">
        <f>Tp_CHG!X229</f>
        <v>Transition Probability from state 6 to state 7 on day 26 (CHG)</v>
      </c>
      <c r="F967" s="40">
        <f t="shared" si="157"/>
        <v>0</v>
      </c>
      <c r="G967" s="156">
        <v>1</v>
      </c>
      <c r="H967" s="120">
        <f>Tp_CHG!AA229</f>
        <v>0</v>
      </c>
      <c r="I967" s="40" t="s">
        <v>58</v>
      </c>
      <c r="J967" s="40">
        <f t="shared" si="164"/>
        <v>0</v>
      </c>
      <c r="K967" s="40">
        <f t="shared" si="165"/>
        <v>0</v>
      </c>
      <c r="L967" s="40" t="s">
        <v>58</v>
      </c>
      <c r="M967" s="50" t="s">
        <v>266</v>
      </c>
      <c r="N967" s="190"/>
      <c r="O967" s="40">
        <f t="shared" ca="1" si="163"/>
        <v>0.58798095647590309</v>
      </c>
      <c r="P967" s="51">
        <f t="shared" si="158"/>
        <v>0</v>
      </c>
      <c r="Q967" s="51">
        <f t="shared" si="159"/>
        <v>0</v>
      </c>
      <c r="R967" s="51">
        <f t="shared" si="166"/>
        <v>0</v>
      </c>
      <c r="S967"/>
      <c r="T967" s="83"/>
    </row>
    <row r="968" spans="1:20" ht="16" x14ac:dyDescent="0.2">
      <c r="A968"/>
      <c r="B968" s="103"/>
      <c r="C968" s="243"/>
      <c r="D968" s="119">
        <v>955</v>
      </c>
      <c r="E968" s="25" t="str">
        <f>Tp_CHG!X230</f>
        <v>Transition Probability from state 6 to state 7 on day 27 (CHG)</v>
      </c>
      <c r="F968" s="40">
        <f t="shared" si="157"/>
        <v>0</v>
      </c>
      <c r="G968" s="156">
        <v>1</v>
      </c>
      <c r="H968" s="120">
        <f>Tp_CHG!AA230</f>
        <v>0</v>
      </c>
      <c r="I968" s="40" t="s">
        <v>58</v>
      </c>
      <c r="J968" s="40">
        <f t="shared" si="164"/>
        <v>0</v>
      </c>
      <c r="K968" s="40">
        <f t="shared" si="165"/>
        <v>0</v>
      </c>
      <c r="L968" s="40" t="s">
        <v>58</v>
      </c>
      <c r="M968" s="50" t="s">
        <v>266</v>
      </c>
      <c r="N968" s="190"/>
      <c r="O968" s="40">
        <f t="shared" ca="1" si="163"/>
        <v>0.93093897142549564</v>
      </c>
      <c r="P968" s="51">
        <f t="shared" si="158"/>
        <v>0</v>
      </c>
      <c r="Q968" s="51">
        <f t="shared" si="159"/>
        <v>0</v>
      </c>
      <c r="R968" s="51">
        <f t="shared" si="166"/>
        <v>0</v>
      </c>
      <c r="S968"/>
      <c r="T968" s="83"/>
    </row>
    <row r="969" spans="1:20" ht="16" x14ac:dyDescent="0.2">
      <c r="A969"/>
      <c r="B969" s="103"/>
      <c r="C969" s="243"/>
      <c r="D969" s="119">
        <v>956</v>
      </c>
      <c r="E969" s="25" t="str">
        <f>Tp_CHG!X231</f>
        <v>Transition Probability from state 6 to state 7 on day 28 (CHG)</v>
      </c>
      <c r="F969" s="40">
        <f t="shared" si="157"/>
        <v>0</v>
      </c>
      <c r="G969" s="156">
        <v>1</v>
      </c>
      <c r="H969" s="120">
        <f>Tp_CHG!AA231</f>
        <v>0</v>
      </c>
      <c r="I969" s="40" t="s">
        <v>58</v>
      </c>
      <c r="J969" s="40">
        <f t="shared" si="164"/>
        <v>0</v>
      </c>
      <c r="K969" s="40">
        <f t="shared" si="165"/>
        <v>0</v>
      </c>
      <c r="L969" s="40" t="s">
        <v>58</v>
      </c>
      <c r="M969" s="50" t="s">
        <v>266</v>
      </c>
      <c r="N969" s="190"/>
      <c r="O969" s="40">
        <f t="shared" ca="1" si="163"/>
        <v>0.27598150796050702</v>
      </c>
      <c r="P969" s="51">
        <f t="shared" si="158"/>
        <v>0</v>
      </c>
      <c r="Q969" s="51">
        <f t="shared" si="159"/>
        <v>0</v>
      </c>
      <c r="R969" s="51">
        <f t="shared" si="166"/>
        <v>0</v>
      </c>
      <c r="S969"/>
      <c r="T969" s="83"/>
    </row>
    <row r="970" spans="1:20" ht="16" x14ac:dyDescent="0.2">
      <c r="A970"/>
      <c r="B970" s="103"/>
      <c r="C970" s="243"/>
      <c r="D970" s="119">
        <v>957</v>
      </c>
      <c r="E970" s="25" t="str">
        <f>Tp_CHG!X232</f>
        <v>Transition Probability from state 6 to state 7 on day 29 (CHG)</v>
      </c>
      <c r="F970" s="40">
        <f t="shared" si="157"/>
        <v>0</v>
      </c>
      <c r="G970" s="156">
        <v>1</v>
      </c>
      <c r="H970" s="120">
        <f>Tp_CHG!AA232</f>
        <v>0</v>
      </c>
      <c r="I970" s="40" t="s">
        <v>58</v>
      </c>
      <c r="J970" s="40">
        <f t="shared" si="164"/>
        <v>0</v>
      </c>
      <c r="K970" s="40">
        <f t="shared" si="165"/>
        <v>0</v>
      </c>
      <c r="L970" s="40" t="s">
        <v>58</v>
      </c>
      <c r="M970" s="50" t="s">
        <v>266</v>
      </c>
      <c r="N970" s="190"/>
      <c r="O970" s="40">
        <f t="shared" ca="1" si="163"/>
        <v>0.18131461547700489</v>
      </c>
      <c r="P970" s="51">
        <f t="shared" si="158"/>
        <v>0</v>
      </c>
      <c r="Q970" s="51">
        <f t="shared" si="159"/>
        <v>0</v>
      </c>
      <c r="R970" s="51">
        <f t="shared" si="166"/>
        <v>0</v>
      </c>
      <c r="S970"/>
      <c r="T970" s="83"/>
    </row>
    <row r="971" spans="1:20" ht="16" x14ac:dyDescent="0.2">
      <c r="A971"/>
      <c r="B971" s="103"/>
      <c r="C971" s="243"/>
      <c r="D971" s="119">
        <v>958</v>
      </c>
      <c r="E971" s="25" t="str">
        <f>Tp_CHG!X233</f>
        <v>Transition Probability from state 6 to state 7 on day 30 (CHG)</v>
      </c>
      <c r="F971" s="40">
        <f t="shared" si="157"/>
        <v>0</v>
      </c>
      <c r="G971" s="156">
        <v>1</v>
      </c>
      <c r="H971" s="120">
        <f>Tp_CHG!AA233</f>
        <v>0</v>
      </c>
      <c r="I971" s="40" t="s">
        <v>58</v>
      </c>
      <c r="J971" s="40">
        <f t="shared" si="164"/>
        <v>0</v>
      </c>
      <c r="K971" s="40">
        <f t="shared" si="165"/>
        <v>0</v>
      </c>
      <c r="L971" s="40" t="s">
        <v>58</v>
      </c>
      <c r="M971" s="50" t="s">
        <v>266</v>
      </c>
      <c r="N971" s="190"/>
      <c r="O971" s="40">
        <f t="shared" ca="1" si="163"/>
        <v>3.3851615391010337E-2</v>
      </c>
      <c r="P971" s="51">
        <f t="shared" si="158"/>
        <v>0</v>
      </c>
      <c r="Q971" s="51">
        <f t="shared" si="159"/>
        <v>0</v>
      </c>
      <c r="R971" s="51">
        <f t="shared" si="166"/>
        <v>0</v>
      </c>
      <c r="S971"/>
      <c r="T971" s="83"/>
    </row>
    <row r="972" spans="1:20" ht="16" x14ac:dyDescent="0.2">
      <c r="A972"/>
      <c r="B972" s="103"/>
      <c r="C972" s="243"/>
      <c r="D972" s="119">
        <v>959</v>
      </c>
      <c r="E972" s="25" t="str">
        <f>Tp_CHG!I236</f>
        <v>Transition Probability from state 2 to state 8 on day 1 (CHG)</v>
      </c>
      <c r="F972" s="40">
        <f t="shared" si="157"/>
        <v>0</v>
      </c>
      <c r="G972" s="156">
        <v>1</v>
      </c>
      <c r="H972" s="120">
        <f>Tp_CHG!L236</f>
        <v>0</v>
      </c>
      <c r="I972" s="40" t="s">
        <v>58</v>
      </c>
      <c r="J972" s="40">
        <f t="shared" ref="J972:J1004" si="167">IF(H972=0,0,_xlfn.NORM.INV(0.025,H972,R972))</f>
        <v>0</v>
      </c>
      <c r="K972" s="40">
        <f t="shared" ref="K972:K1004" si="168">IF(H972=0,0,_xlfn.NORM.INV(0.975,H972,R972))</f>
        <v>0</v>
      </c>
      <c r="L972" s="40" t="s">
        <v>58</v>
      </c>
      <c r="M972" s="50" t="s">
        <v>266</v>
      </c>
      <c r="N972" s="190"/>
      <c r="O972" s="40">
        <f t="shared" ca="1" si="163"/>
        <v>0.30350888758076611</v>
      </c>
      <c r="P972" s="51">
        <f t="shared" si="158"/>
        <v>0</v>
      </c>
      <c r="Q972" s="51">
        <f t="shared" si="159"/>
        <v>0</v>
      </c>
      <c r="R972" s="51">
        <f t="shared" ref="R972:R1004" si="169">assumedSE*H972</f>
        <v>0</v>
      </c>
      <c r="S972"/>
      <c r="T972" s="83"/>
    </row>
    <row r="973" spans="1:20" ht="16" x14ac:dyDescent="0.2">
      <c r="A973"/>
      <c r="B973" s="103"/>
      <c r="C973" s="243"/>
      <c r="D973" s="119">
        <v>960</v>
      </c>
      <c r="E973" s="25" t="str">
        <f>Tp_CHG!I237</f>
        <v>Transition Probability from state 2 to state 8 on day 2 (CHG)</v>
      </c>
      <c r="F973" s="40">
        <f t="shared" si="157"/>
        <v>0</v>
      </c>
      <c r="G973" s="156">
        <v>1</v>
      </c>
      <c r="H973" s="120">
        <f>Tp_CHG!L237</f>
        <v>0</v>
      </c>
      <c r="I973" s="40" t="s">
        <v>58</v>
      </c>
      <c r="J973" s="40">
        <f t="shared" si="167"/>
        <v>0</v>
      </c>
      <c r="K973" s="40">
        <f t="shared" si="168"/>
        <v>0</v>
      </c>
      <c r="L973" s="40" t="s">
        <v>58</v>
      </c>
      <c r="M973" s="50" t="s">
        <v>266</v>
      </c>
      <c r="N973" s="190"/>
      <c r="O973" s="40">
        <f t="shared" ca="1" si="163"/>
        <v>0.21597251179347976</v>
      </c>
      <c r="P973" s="51">
        <f t="shared" si="158"/>
        <v>0</v>
      </c>
      <c r="Q973" s="51">
        <f t="shared" si="159"/>
        <v>0</v>
      </c>
      <c r="R973" s="51">
        <f t="shared" si="169"/>
        <v>0</v>
      </c>
      <c r="S973"/>
      <c r="T973" s="83"/>
    </row>
    <row r="974" spans="1:20" ht="16" x14ac:dyDescent="0.2">
      <c r="A974"/>
      <c r="B974" s="103"/>
      <c r="C974" s="243"/>
      <c r="D974" s="119">
        <v>961</v>
      </c>
      <c r="E974" s="25" t="str">
        <f>Tp_CHG!I240</f>
        <v>Transition Probability from state 2 to state 8 on day 5 (CHG)</v>
      </c>
      <c r="F974" s="40">
        <f t="shared" si="157"/>
        <v>0</v>
      </c>
      <c r="G974" s="156">
        <v>1</v>
      </c>
      <c r="H974" s="120">
        <f>Tp_CHG!L240</f>
        <v>0</v>
      </c>
      <c r="I974" s="40" t="s">
        <v>58</v>
      </c>
      <c r="J974" s="40">
        <f t="shared" si="167"/>
        <v>0</v>
      </c>
      <c r="K974" s="40">
        <f t="shared" si="168"/>
        <v>0</v>
      </c>
      <c r="L974" s="40" t="s">
        <v>58</v>
      </c>
      <c r="M974" s="50" t="s">
        <v>266</v>
      </c>
      <c r="N974" s="190"/>
      <c r="O974" s="40">
        <f t="shared" ca="1" si="163"/>
        <v>0.59535193541266995</v>
      </c>
      <c r="P974" s="51">
        <f t="shared" si="158"/>
        <v>0</v>
      </c>
      <c r="Q974" s="51">
        <f t="shared" si="159"/>
        <v>0</v>
      </c>
      <c r="R974" s="51">
        <f t="shared" si="169"/>
        <v>0</v>
      </c>
      <c r="S974"/>
      <c r="T974" s="83"/>
    </row>
    <row r="975" spans="1:20" ht="16" x14ac:dyDescent="0.2">
      <c r="A975"/>
      <c r="B975" s="103"/>
      <c r="C975" s="243"/>
      <c r="D975" s="119">
        <v>962</v>
      </c>
      <c r="E975" s="25" t="str">
        <f>Tp_CHG!I241</f>
        <v>Transition Probability from state 2 to state 8 on day 6 (CHG)</v>
      </c>
      <c r="F975" s="40">
        <f t="shared" ref="F975:F1038" si="170">IFERROR(CHOOSE(G975,H975,J975,K975,N975),0)</f>
        <v>0</v>
      </c>
      <c r="G975" s="156">
        <v>1</v>
      </c>
      <c r="H975" s="120">
        <f>Tp_CHG!L241</f>
        <v>0</v>
      </c>
      <c r="I975" s="40" t="s">
        <v>58</v>
      </c>
      <c r="J975" s="40">
        <f t="shared" si="167"/>
        <v>0</v>
      </c>
      <c r="K975" s="40">
        <f t="shared" si="168"/>
        <v>0</v>
      </c>
      <c r="L975" s="40" t="s">
        <v>58</v>
      </c>
      <c r="M975" s="50" t="s">
        <v>266</v>
      </c>
      <c r="N975" s="190"/>
      <c r="O975" s="40">
        <f t="shared" ca="1" si="163"/>
        <v>0.999621772978459</v>
      </c>
      <c r="P975" s="51">
        <f t="shared" si="158"/>
        <v>0</v>
      </c>
      <c r="Q975" s="51">
        <f t="shared" si="159"/>
        <v>0</v>
      </c>
      <c r="R975" s="51">
        <f t="shared" si="169"/>
        <v>0</v>
      </c>
      <c r="S975"/>
      <c r="T975" s="83"/>
    </row>
    <row r="976" spans="1:20" ht="16" x14ac:dyDescent="0.2">
      <c r="A976"/>
      <c r="B976" s="103"/>
      <c r="C976" s="243"/>
      <c r="D976" s="119">
        <v>963</v>
      </c>
      <c r="E976" s="25" t="str">
        <f>Tp_CHG!I242</f>
        <v>Transition Probability from state 2 to state 8 on day 7 (CHG)</v>
      </c>
      <c r="F976" s="40">
        <f t="shared" si="170"/>
        <v>0</v>
      </c>
      <c r="G976" s="156">
        <v>1</v>
      </c>
      <c r="H976" s="120">
        <f>Tp_CHG!L242</f>
        <v>0</v>
      </c>
      <c r="I976" s="40" t="s">
        <v>58</v>
      </c>
      <c r="J976" s="40">
        <f t="shared" si="167"/>
        <v>0</v>
      </c>
      <c r="K976" s="40">
        <f t="shared" si="168"/>
        <v>0</v>
      </c>
      <c r="L976" s="40" t="s">
        <v>58</v>
      </c>
      <c r="M976" s="50" t="s">
        <v>266</v>
      </c>
      <c r="N976" s="190"/>
      <c r="O976" s="40">
        <f t="shared" ref="O976:O1038" ca="1" si="171">RAND()</f>
        <v>0.44937960327772797</v>
      </c>
      <c r="P976" s="51">
        <f t="shared" si="158"/>
        <v>0</v>
      </c>
      <c r="Q976" s="51">
        <f t="shared" si="159"/>
        <v>0</v>
      </c>
      <c r="R976" s="51">
        <f t="shared" si="169"/>
        <v>0</v>
      </c>
      <c r="S976"/>
      <c r="T976" s="83"/>
    </row>
    <row r="977" spans="1:20" ht="16" x14ac:dyDescent="0.2">
      <c r="A977"/>
      <c r="B977" s="103"/>
      <c r="C977" s="243"/>
      <c r="D977" s="119">
        <v>964</v>
      </c>
      <c r="E977" s="25" t="str">
        <f>Tp_CHG!I243</f>
        <v>Transition Probability from state 2 to state 8 on day 8 (CHG)</v>
      </c>
      <c r="F977" s="40">
        <f t="shared" si="170"/>
        <v>0</v>
      </c>
      <c r="G977" s="156">
        <v>1</v>
      </c>
      <c r="H977" s="120">
        <f>Tp_CHG!L243</f>
        <v>0</v>
      </c>
      <c r="I977" s="40" t="s">
        <v>58</v>
      </c>
      <c r="J977" s="40">
        <f t="shared" si="167"/>
        <v>0</v>
      </c>
      <c r="K977" s="40">
        <f t="shared" si="168"/>
        <v>0</v>
      </c>
      <c r="L977" s="40" t="s">
        <v>58</v>
      </c>
      <c r="M977" s="50" t="s">
        <v>266</v>
      </c>
      <c r="N977" s="190"/>
      <c r="O977" s="40">
        <f t="shared" ca="1" si="171"/>
        <v>0.53482172064704347</v>
      </c>
      <c r="P977" s="51">
        <f t="shared" ref="P977:P1040" si="172">IFERROR(H977*((H977*(1-H977)/(R977^2))-1),0)</f>
        <v>0</v>
      </c>
      <c r="Q977" s="51">
        <f t="shared" ref="Q977:Q1040" si="173">IFERROR((1-H977)*((H977*(1-H977))/(R977^2)-1),0)</f>
        <v>0</v>
      </c>
      <c r="R977" s="51">
        <f t="shared" si="169"/>
        <v>0</v>
      </c>
      <c r="S977"/>
      <c r="T977" s="83"/>
    </row>
    <row r="978" spans="1:20" ht="16" x14ac:dyDescent="0.2">
      <c r="A978"/>
      <c r="B978" s="103"/>
      <c r="C978" s="243"/>
      <c r="D978" s="119">
        <v>965</v>
      </c>
      <c r="E978" s="25" t="str">
        <f>Tp_CHG!I245</f>
        <v>Transition Probability from state 2 to state 8 on day 10 (CHG)</v>
      </c>
      <c r="F978" s="40">
        <f t="shared" si="170"/>
        <v>0</v>
      </c>
      <c r="G978" s="156">
        <v>1</v>
      </c>
      <c r="H978" s="120">
        <f>Tp_CHG!L245</f>
        <v>0</v>
      </c>
      <c r="I978" s="40" t="s">
        <v>58</v>
      </c>
      <c r="J978" s="40">
        <f t="shared" si="167"/>
        <v>0</v>
      </c>
      <c r="K978" s="40">
        <f t="shared" si="168"/>
        <v>0</v>
      </c>
      <c r="L978" s="40" t="s">
        <v>58</v>
      </c>
      <c r="M978" s="50" t="s">
        <v>266</v>
      </c>
      <c r="N978" s="190"/>
      <c r="O978" s="40">
        <f t="shared" ca="1" si="171"/>
        <v>0.32292955928265521</v>
      </c>
      <c r="P978" s="51">
        <f t="shared" si="172"/>
        <v>0</v>
      </c>
      <c r="Q978" s="51">
        <f t="shared" si="173"/>
        <v>0</v>
      </c>
      <c r="R978" s="51">
        <f t="shared" si="169"/>
        <v>0</v>
      </c>
      <c r="S978"/>
      <c r="T978" s="83"/>
    </row>
    <row r="979" spans="1:20" ht="16" x14ac:dyDescent="0.2">
      <c r="A979"/>
      <c r="B979" s="103"/>
      <c r="C979" s="243"/>
      <c r="D979" s="119">
        <v>966</v>
      </c>
      <c r="E979" s="25" t="str">
        <f>Tp_CHG!I246</f>
        <v>Transition Probability from state 2 to state 8 on day 11 (CHG)</v>
      </c>
      <c r="F979" s="40">
        <f t="shared" si="170"/>
        <v>0</v>
      </c>
      <c r="G979" s="156">
        <v>1</v>
      </c>
      <c r="H979" s="120">
        <f>Tp_CHG!L246</f>
        <v>0</v>
      </c>
      <c r="I979" s="40" t="s">
        <v>58</v>
      </c>
      <c r="J979" s="40">
        <f t="shared" si="167"/>
        <v>0</v>
      </c>
      <c r="K979" s="40">
        <f t="shared" si="168"/>
        <v>0</v>
      </c>
      <c r="L979" s="40" t="s">
        <v>58</v>
      </c>
      <c r="M979" s="50" t="s">
        <v>266</v>
      </c>
      <c r="N979" s="190"/>
      <c r="O979" s="40">
        <f t="shared" ca="1" si="171"/>
        <v>0.60300825168355443</v>
      </c>
      <c r="P979" s="51">
        <f t="shared" si="172"/>
        <v>0</v>
      </c>
      <c r="Q979" s="51">
        <f t="shared" si="173"/>
        <v>0</v>
      </c>
      <c r="R979" s="51">
        <f t="shared" si="169"/>
        <v>0</v>
      </c>
      <c r="S979"/>
      <c r="T979" s="83"/>
    </row>
    <row r="980" spans="1:20" ht="16" x14ac:dyDescent="0.2">
      <c r="A980"/>
      <c r="B980" s="103"/>
      <c r="C980" s="243"/>
      <c r="D980" s="119">
        <v>967</v>
      </c>
      <c r="E980" s="25" t="str">
        <f>Tp_CHG!I247</f>
        <v>Transition Probability from state 2 to state 8 on day 12 (CHG)</v>
      </c>
      <c r="F980" s="40">
        <f t="shared" si="170"/>
        <v>0</v>
      </c>
      <c r="G980" s="156">
        <v>1</v>
      </c>
      <c r="H980" s="120">
        <f>Tp_CHG!L247</f>
        <v>0</v>
      </c>
      <c r="I980" s="40" t="s">
        <v>58</v>
      </c>
      <c r="J980" s="40">
        <f t="shared" si="167"/>
        <v>0</v>
      </c>
      <c r="K980" s="40">
        <f t="shared" si="168"/>
        <v>0</v>
      </c>
      <c r="L980" s="40" t="s">
        <v>58</v>
      </c>
      <c r="M980" s="50" t="s">
        <v>266</v>
      </c>
      <c r="N980" s="190"/>
      <c r="O980" s="40">
        <f t="shared" ca="1" si="171"/>
        <v>0.41216764708162978</v>
      </c>
      <c r="P980" s="51">
        <f t="shared" si="172"/>
        <v>0</v>
      </c>
      <c r="Q980" s="51">
        <f t="shared" si="173"/>
        <v>0</v>
      </c>
      <c r="R980" s="51">
        <f t="shared" si="169"/>
        <v>0</v>
      </c>
      <c r="S980"/>
      <c r="T980" s="83"/>
    </row>
    <row r="981" spans="1:20" ht="16" x14ac:dyDescent="0.2">
      <c r="A981"/>
      <c r="B981" s="103"/>
      <c r="C981" s="243"/>
      <c r="D981" s="119">
        <v>968</v>
      </c>
      <c r="E981" s="25" t="str">
        <f>Tp_CHG!I248</f>
        <v>Transition Probability from state 2 to state 8 on day 13 (CHG)</v>
      </c>
      <c r="F981" s="40">
        <f t="shared" si="170"/>
        <v>0</v>
      </c>
      <c r="G981" s="156">
        <v>1</v>
      </c>
      <c r="H981" s="120">
        <f>Tp_CHG!L248</f>
        <v>0</v>
      </c>
      <c r="I981" s="40" t="s">
        <v>58</v>
      </c>
      <c r="J981" s="40">
        <f t="shared" si="167"/>
        <v>0</v>
      </c>
      <c r="K981" s="40">
        <f t="shared" si="168"/>
        <v>0</v>
      </c>
      <c r="L981" s="40" t="s">
        <v>58</v>
      </c>
      <c r="M981" s="50" t="s">
        <v>266</v>
      </c>
      <c r="N981" s="190"/>
      <c r="O981" s="40">
        <f t="shared" ca="1" si="171"/>
        <v>0.38667510269492467</v>
      </c>
      <c r="P981" s="51">
        <f t="shared" si="172"/>
        <v>0</v>
      </c>
      <c r="Q981" s="51">
        <f t="shared" si="173"/>
        <v>0</v>
      </c>
      <c r="R981" s="51">
        <f t="shared" si="169"/>
        <v>0</v>
      </c>
      <c r="S981"/>
      <c r="T981" s="83"/>
    </row>
    <row r="982" spans="1:20" ht="16" x14ac:dyDescent="0.2">
      <c r="A982"/>
      <c r="B982" s="103"/>
      <c r="C982" s="243"/>
      <c r="D982" s="119">
        <v>969</v>
      </c>
      <c r="E982" s="25" t="str">
        <f>Tp_CHG!I249</f>
        <v>Transition Probability from state 2 to state 8 on day 14 (CHG)</v>
      </c>
      <c r="F982" s="40">
        <f t="shared" si="170"/>
        <v>0</v>
      </c>
      <c r="G982" s="156">
        <v>1</v>
      </c>
      <c r="H982" s="120">
        <f>Tp_CHG!L249</f>
        <v>0</v>
      </c>
      <c r="I982" s="40" t="s">
        <v>58</v>
      </c>
      <c r="J982" s="40">
        <f t="shared" si="167"/>
        <v>0</v>
      </c>
      <c r="K982" s="40">
        <f t="shared" si="168"/>
        <v>0</v>
      </c>
      <c r="L982" s="40" t="s">
        <v>58</v>
      </c>
      <c r="M982" s="50" t="s">
        <v>266</v>
      </c>
      <c r="N982" s="190"/>
      <c r="O982" s="40">
        <f t="shared" ca="1" si="171"/>
        <v>0.20558633404931081</v>
      </c>
      <c r="P982" s="51">
        <f t="shared" si="172"/>
        <v>0</v>
      </c>
      <c r="Q982" s="51">
        <f t="shared" si="173"/>
        <v>0</v>
      </c>
      <c r="R982" s="51">
        <f t="shared" si="169"/>
        <v>0</v>
      </c>
      <c r="S982"/>
      <c r="T982" s="83"/>
    </row>
    <row r="983" spans="1:20" ht="16" x14ac:dyDescent="0.2">
      <c r="A983"/>
      <c r="B983" s="103"/>
      <c r="C983" s="243"/>
      <c r="D983" s="119">
        <v>970</v>
      </c>
      <c r="E983" s="25" t="str">
        <f>Tp_CHG!I250</f>
        <v>Transition Probability from state 2 to state 8 on day 15 (CHG)</v>
      </c>
      <c r="F983" s="40">
        <f t="shared" si="170"/>
        <v>0</v>
      </c>
      <c r="G983" s="156">
        <v>1</v>
      </c>
      <c r="H983" s="120">
        <f>Tp_CHG!L250</f>
        <v>0</v>
      </c>
      <c r="I983" s="40" t="s">
        <v>58</v>
      </c>
      <c r="J983" s="40">
        <f t="shared" si="167"/>
        <v>0</v>
      </c>
      <c r="K983" s="40">
        <f t="shared" si="168"/>
        <v>0</v>
      </c>
      <c r="L983" s="40" t="s">
        <v>58</v>
      </c>
      <c r="M983" s="50" t="s">
        <v>266</v>
      </c>
      <c r="N983" s="190"/>
      <c r="O983" s="40">
        <f t="shared" ca="1" si="171"/>
        <v>0.17726343078445106</v>
      </c>
      <c r="P983" s="51">
        <f t="shared" si="172"/>
        <v>0</v>
      </c>
      <c r="Q983" s="51">
        <f t="shared" si="173"/>
        <v>0</v>
      </c>
      <c r="R983" s="51">
        <f t="shared" si="169"/>
        <v>0</v>
      </c>
      <c r="S983"/>
      <c r="T983" s="83"/>
    </row>
    <row r="984" spans="1:20" ht="16" x14ac:dyDescent="0.2">
      <c r="A984"/>
      <c r="B984" s="103"/>
      <c r="C984" s="243"/>
      <c r="D984" s="119">
        <v>971</v>
      </c>
      <c r="E984" s="25" t="str">
        <f>Tp_CHG!I251</f>
        <v>Transition Probability from state 2 to state 8 on day 16 (CHG)</v>
      </c>
      <c r="F984" s="40">
        <f t="shared" si="170"/>
        <v>0</v>
      </c>
      <c r="G984" s="156">
        <v>1</v>
      </c>
      <c r="H984" s="120">
        <f>Tp_CHG!L251</f>
        <v>0</v>
      </c>
      <c r="I984" s="40" t="s">
        <v>58</v>
      </c>
      <c r="J984" s="40">
        <f t="shared" si="167"/>
        <v>0</v>
      </c>
      <c r="K984" s="40">
        <f t="shared" si="168"/>
        <v>0</v>
      </c>
      <c r="L984" s="40" t="s">
        <v>58</v>
      </c>
      <c r="M984" s="50" t="s">
        <v>266</v>
      </c>
      <c r="N984" s="190"/>
      <c r="O984" s="40">
        <f t="shared" ca="1" si="171"/>
        <v>0.6955538181903862</v>
      </c>
      <c r="P984" s="51">
        <f t="shared" si="172"/>
        <v>0</v>
      </c>
      <c r="Q984" s="51">
        <f t="shared" si="173"/>
        <v>0</v>
      </c>
      <c r="R984" s="51">
        <f t="shared" si="169"/>
        <v>0</v>
      </c>
      <c r="S984"/>
      <c r="T984" s="83"/>
    </row>
    <row r="985" spans="1:20" ht="16" x14ac:dyDescent="0.2">
      <c r="A985"/>
      <c r="B985" s="103"/>
      <c r="C985" s="243"/>
      <c r="D985" s="119">
        <v>972</v>
      </c>
      <c r="E985" s="25" t="str">
        <f>Tp_CHG!I252</f>
        <v>Transition Probability from state 2 to state 8 on day 17 (CHG)</v>
      </c>
      <c r="F985" s="40">
        <f t="shared" si="170"/>
        <v>0</v>
      </c>
      <c r="G985" s="156">
        <v>1</v>
      </c>
      <c r="H985" s="120">
        <f>Tp_CHG!L252</f>
        <v>0</v>
      </c>
      <c r="I985" s="40" t="s">
        <v>58</v>
      </c>
      <c r="J985" s="40">
        <f t="shared" si="167"/>
        <v>0</v>
      </c>
      <c r="K985" s="40">
        <f t="shared" si="168"/>
        <v>0</v>
      </c>
      <c r="L985" s="40" t="s">
        <v>58</v>
      </c>
      <c r="M985" s="50" t="s">
        <v>266</v>
      </c>
      <c r="N985" s="190"/>
      <c r="O985" s="40">
        <f t="shared" ca="1" si="171"/>
        <v>0.85790450021253573</v>
      </c>
      <c r="P985" s="51">
        <f t="shared" si="172"/>
        <v>0</v>
      </c>
      <c r="Q985" s="51">
        <f t="shared" si="173"/>
        <v>0</v>
      </c>
      <c r="R985" s="51">
        <f t="shared" si="169"/>
        <v>0</v>
      </c>
      <c r="S985"/>
      <c r="T985" s="83"/>
    </row>
    <row r="986" spans="1:20" ht="16" x14ac:dyDescent="0.2">
      <c r="A986"/>
      <c r="B986" s="103"/>
      <c r="C986" s="243"/>
      <c r="D986" s="119">
        <v>973</v>
      </c>
      <c r="E986" s="25" t="str">
        <f>Tp_CHG!I253</f>
        <v>Transition Probability from state 2 to state 8 on day 18 (CHG)</v>
      </c>
      <c r="F986" s="40">
        <f t="shared" si="170"/>
        <v>0</v>
      </c>
      <c r="G986" s="156">
        <v>1</v>
      </c>
      <c r="H986" s="120">
        <f>Tp_CHG!L253</f>
        <v>0</v>
      </c>
      <c r="I986" s="40" t="s">
        <v>58</v>
      </c>
      <c r="J986" s="40">
        <f t="shared" si="167"/>
        <v>0</v>
      </c>
      <c r="K986" s="40">
        <f t="shared" si="168"/>
        <v>0</v>
      </c>
      <c r="L986" s="40" t="s">
        <v>58</v>
      </c>
      <c r="M986" s="50" t="s">
        <v>266</v>
      </c>
      <c r="N986" s="190"/>
      <c r="O986" s="40">
        <f t="shared" ca="1" si="171"/>
        <v>0.3983444349522306</v>
      </c>
      <c r="P986" s="51">
        <f t="shared" si="172"/>
        <v>0</v>
      </c>
      <c r="Q986" s="51">
        <f t="shared" si="173"/>
        <v>0</v>
      </c>
      <c r="R986" s="51">
        <f t="shared" si="169"/>
        <v>0</v>
      </c>
      <c r="S986"/>
      <c r="T986" s="83"/>
    </row>
    <row r="987" spans="1:20" ht="16" x14ac:dyDescent="0.2">
      <c r="A987"/>
      <c r="B987" s="103"/>
      <c r="C987" s="243"/>
      <c r="D987" s="119">
        <v>974</v>
      </c>
      <c r="E987" s="25" t="str">
        <f>Tp_CHG!I254</f>
        <v>Transition Probability from state 2 to state 8 on day 19 (CHG)</v>
      </c>
      <c r="F987" s="40">
        <f t="shared" si="170"/>
        <v>0</v>
      </c>
      <c r="G987" s="156">
        <v>1</v>
      </c>
      <c r="H987" s="120">
        <f>Tp_CHG!L254</f>
        <v>0</v>
      </c>
      <c r="I987" s="40" t="s">
        <v>58</v>
      </c>
      <c r="J987" s="40">
        <f t="shared" si="167"/>
        <v>0</v>
      </c>
      <c r="K987" s="40">
        <f t="shared" si="168"/>
        <v>0</v>
      </c>
      <c r="L987" s="40" t="s">
        <v>58</v>
      </c>
      <c r="M987" s="50" t="s">
        <v>266</v>
      </c>
      <c r="N987" s="190"/>
      <c r="O987" s="40">
        <f t="shared" ca="1" si="171"/>
        <v>0.30823956045337852</v>
      </c>
      <c r="P987" s="51">
        <f t="shared" si="172"/>
        <v>0</v>
      </c>
      <c r="Q987" s="51">
        <f t="shared" si="173"/>
        <v>0</v>
      </c>
      <c r="R987" s="51">
        <f t="shared" si="169"/>
        <v>0</v>
      </c>
      <c r="S987"/>
      <c r="T987" s="83"/>
    </row>
    <row r="988" spans="1:20" ht="16" x14ac:dyDescent="0.2">
      <c r="A988"/>
      <c r="B988" s="103"/>
      <c r="C988" s="243"/>
      <c r="D988" s="119">
        <v>975</v>
      </c>
      <c r="E988" s="25" t="str">
        <f>Tp_CHG!I255</f>
        <v>Transition Probability from state 2 to state 8 on day 20 (CHG)</v>
      </c>
      <c r="F988" s="40">
        <f t="shared" si="170"/>
        <v>0</v>
      </c>
      <c r="G988" s="156">
        <v>1</v>
      </c>
      <c r="H988" s="120">
        <f>Tp_CHG!L255</f>
        <v>0</v>
      </c>
      <c r="I988" s="40" t="s">
        <v>58</v>
      </c>
      <c r="J988" s="40">
        <f t="shared" si="167"/>
        <v>0</v>
      </c>
      <c r="K988" s="40">
        <f t="shared" si="168"/>
        <v>0</v>
      </c>
      <c r="L988" s="40" t="s">
        <v>58</v>
      </c>
      <c r="M988" s="50" t="s">
        <v>266</v>
      </c>
      <c r="N988" s="190"/>
      <c r="O988" s="40">
        <f t="shared" ca="1" si="171"/>
        <v>0.54098814085431601</v>
      </c>
      <c r="P988" s="51">
        <f t="shared" si="172"/>
        <v>0</v>
      </c>
      <c r="Q988" s="51">
        <f t="shared" si="173"/>
        <v>0</v>
      </c>
      <c r="R988" s="51">
        <f t="shared" si="169"/>
        <v>0</v>
      </c>
      <c r="S988"/>
      <c r="T988" s="83"/>
    </row>
    <row r="989" spans="1:20" ht="16" x14ac:dyDescent="0.2">
      <c r="A989"/>
      <c r="B989" s="103"/>
      <c r="C989" s="243"/>
      <c r="D989" s="119">
        <v>976</v>
      </c>
      <c r="E989" s="25" t="str">
        <f>Tp_CHG!I256</f>
        <v>Transition Probability from state 2 to state 8 on day 21 (CHG)</v>
      </c>
      <c r="F989" s="40">
        <f t="shared" si="170"/>
        <v>0</v>
      </c>
      <c r="G989" s="156">
        <v>1</v>
      </c>
      <c r="H989" s="120">
        <f>Tp_CHG!L256</f>
        <v>0</v>
      </c>
      <c r="I989" s="40" t="s">
        <v>58</v>
      </c>
      <c r="J989" s="40">
        <f t="shared" si="167"/>
        <v>0</v>
      </c>
      <c r="K989" s="40">
        <f t="shared" si="168"/>
        <v>0</v>
      </c>
      <c r="L989" s="40" t="s">
        <v>58</v>
      </c>
      <c r="M989" s="50" t="s">
        <v>266</v>
      </c>
      <c r="N989" s="190"/>
      <c r="O989" s="40">
        <f t="shared" ca="1" si="171"/>
        <v>0.98004028709895408</v>
      </c>
      <c r="P989" s="51">
        <f t="shared" si="172"/>
        <v>0</v>
      </c>
      <c r="Q989" s="51">
        <f t="shared" si="173"/>
        <v>0</v>
      </c>
      <c r="R989" s="51">
        <f t="shared" si="169"/>
        <v>0</v>
      </c>
      <c r="S989"/>
      <c r="T989" s="83"/>
    </row>
    <row r="990" spans="1:20" ht="16" x14ac:dyDescent="0.2">
      <c r="A990"/>
      <c r="B990" s="103"/>
      <c r="C990" s="243"/>
      <c r="D990" s="119">
        <v>977</v>
      </c>
      <c r="E990" s="25" t="str">
        <f>Tp_CHG!I257</f>
        <v>Transition Probability from state 2 to state 8 on day 22 (CHG)</v>
      </c>
      <c r="F990" s="40">
        <f t="shared" si="170"/>
        <v>0</v>
      </c>
      <c r="G990" s="156">
        <v>1</v>
      </c>
      <c r="H990" s="120">
        <f>Tp_CHG!L257</f>
        <v>0</v>
      </c>
      <c r="I990" s="40" t="s">
        <v>58</v>
      </c>
      <c r="J990" s="40">
        <f t="shared" si="167"/>
        <v>0</v>
      </c>
      <c r="K990" s="40">
        <f t="shared" si="168"/>
        <v>0</v>
      </c>
      <c r="L990" s="40" t="s">
        <v>58</v>
      </c>
      <c r="M990" s="50" t="s">
        <v>266</v>
      </c>
      <c r="N990" s="190"/>
      <c r="O990" s="40">
        <f t="shared" ca="1" si="171"/>
        <v>3.167845837156702E-2</v>
      </c>
      <c r="P990" s="51">
        <f t="shared" si="172"/>
        <v>0</v>
      </c>
      <c r="Q990" s="51">
        <f t="shared" si="173"/>
        <v>0</v>
      </c>
      <c r="R990" s="51">
        <f t="shared" si="169"/>
        <v>0</v>
      </c>
      <c r="S990"/>
      <c r="T990" s="83"/>
    </row>
    <row r="991" spans="1:20" ht="16" x14ac:dyDescent="0.2">
      <c r="A991"/>
      <c r="B991" s="103"/>
      <c r="C991" s="243"/>
      <c r="D991" s="119">
        <v>978</v>
      </c>
      <c r="E991" s="25" t="str">
        <f>Tp_CHG!I258</f>
        <v>Transition Probability from state 2 to state 8 on day 23 (CHG)</v>
      </c>
      <c r="F991" s="40">
        <f t="shared" si="170"/>
        <v>0</v>
      </c>
      <c r="G991" s="156">
        <v>1</v>
      </c>
      <c r="H991" s="120">
        <f>Tp_CHG!L258</f>
        <v>0</v>
      </c>
      <c r="I991" s="40" t="s">
        <v>58</v>
      </c>
      <c r="J991" s="40">
        <f t="shared" si="167"/>
        <v>0</v>
      </c>
      <c r="K991" s="40">
        <f t="shared" si="168"/>
        <v>0</v>
      </c>
      <c r="L991" s="40" t="s">
        <v>58</v>
      </c>
      <c r="M991" s="50" t="s">
        <v>266</v>
      </c>
      <c r="N991" s="190"/>
      <c r="O991" s="40">
        <f t="shared" ca="1" si="171"/>
        <v>0.91340655915610081</v>
      </c>
      <c r="P991" s="51">
        <f t="shared" si="172"/>
        <v>0</v>
      </c>
      <c r="Q991" s="51">
        <f t="shared" si="173"/>
        <v>0</v>
      </c>
      <c r="R991" s="51">
        <f t="shared" si="169"/>
        <v>0</v>
      </c>
      <c r="S991"/>
      <c r="T991" s="83"/>
    </row>
    <row r="992" spans="1:20" ht="16" x14ac:dyDescent="0.2">
      <c r="A992"/>
      <c r="B992" s="103"/>
      <c r="C992" s="243"/>
      <c r="D992" s="119">
        <v>979</v>
      </c>
      <c r="E992" s="25" t="str">
        <f>Tp_CHG!I259</f>
        <v>Transition Probability from state 2 to state 8 on day 24 (CHG)</v>
      </c>
      <c r="F992" s="40">
        <f t="shared" si="170"/>
        <v>0</v>
      </c>
      <c r="G992" s="156">
        <v>1</v>
      </c>
      <c r="H992" s="120">
        <f>Tp_CHG!L259</f>
        <v>0</v>
      </c>
      <c r="I992" s="40" t="s">
        <v>58</v>
      </c>
      <c r="J992" s="40">
        <f t="shared" si="167"/>
        <v>0</v>
      </c>
      <c r="K992" s="40">
        <f t="shared" si="168"/>
        <v>0</v>
      </c>
      <c r="L992" s="40" t="s">
        <v>58</v>
      </c>
      <c r="M992" s="50" t="s">
        <v>266</v>
      </c>
      <c r="N992" s="190"/>
      <c r="O992" s="40">
        <f t="shared" ca="1" si="171"/>
        <v>0.1383285822103878</v>
      </c>
      <c r="P992" s="51">
        <f t="shared" si="172"/>
        <v>0</v>
      </c>
      <c r="Q992" s="51">
        <f t="shared" si="173"/>
        <v>0</v>
      </c>
      <c r="R992" s="51">
        <f t="shared" si="169"/>
        <v>0</v>
      </c>
      <c r="S992"/>
      <c r="T992" s="83"/>
    </row>
    <row r="993" spans="1:20" ht="16" x14ac:dyDescent="0.2">
      <c r="A993"/>
      <c r="B993" s="103"/>
      <c r="C993" s="243"/>
      <c r="D993" s="119">
        <v>980</v>
      </c>
      <c r="E993" s="25" t="str">
        <f>Tp_CHG!I260</f>
        <v>Transition Probability from state 2 to state 8 on day 25 (CHG)</v>
      </c>
      <c r="F993" s="40">
        <f t="shared" si="170"/>
        <v>0</v>
      </c>
      <c r="G993" s="156">
        <v>1</v>
      </c>
      <c r="H993" s="120">
        <f>Tp_CHG!L260</f>
        <v>0</v>
      </c>
      <c r="I993" s="40" t="s">
        <v>58</v>
      </c>
      <c r="J993" s="40">
        <f t="shared" si="167"/>
        <v>0</v>
      </c>
      <c r="K993" s="40">
        <f t="shared" si="168"/>
        <v>0</v>
      </c>
      <c r="L993" s="40" t="s">
        <v>58</v>
      </c>
      <c r="M993" s="50" t="s">
        <v>266</v>
      </c>
      <c r="N993" s="190"/>
      <c r="O993" s="40">
        <f t="shared" ca="1" si="171"/>
        <v>0.51752638462141465</v>
      </c>
      <c r="P993" s="51">
        <f t="shared" si="172"/>
        <v>0</v>
      </c>
      <c r="Q993" s="51">
        <f t="shared" si="173"/>
        <v>0</v>
      </c>
      <c r="R993" s="51">
        <f t="shared" si="169"/>
        <v>0</v>
      </c>
      <c r="S993"/>
      <c r="T993" s="83"/>
    </row>
    <row r="994" spans="1:20" ht="16" x14ac:dyDescent="0.2">
      <c r="A994"/>
      <c r="B994" s="103"/>
      <c r="C994" s="243"/>
      <c r="D994" s="119">
        <v>981</v>
      </c>
      <c r="E994" s="25" t="str">
        <f>Tp_CHG!I261</f>
        <v>Transition Probability from state 2 to state 8 on day 26 (CHG)</v>
      </c>
      <c r="F994" s="40">
        <f t="shared" si="170"/>
        <v>0</v>
      </c>
      <c r="G994" s="156">
        <v>1</v>
      </c>
      <c r="H994" s="120">
        <f>Tp_CHG!L261</f>
        <v>0</v>
      </c>
      <c r="I994" s="40" t="s">
        <v>58</v>
      </c>
      <c r="J994" s="40">
        <f t="shared" si="167"/>
        <v>0</v>
      </c>
      <c r="K994" s="40">
        <f t="shared" si="168"/>
        <v>0</v>
      </c>
      <c r="L994" s="40" t="s">
        <v>58</v>
      </c>
      <c r="M994" s="50" t="s">
        <v>266</v>
      </c>
      <c r="N994" s="190"/>
      <c r="O994" s="40">
        <f t="shared" ca="1" si="171"/>
        <v>0.73413587411530157</v>
      </c>
      <c r="P994" s="51">
        <f t="shared" si="172"/>
        <v>0</v>
      </c>
      <c r="Q994" s="51">
        <f t="shared" si="173"/>
        <v>0</v>
      </c>
      <c r="R994" s="51">
        <f t="shared" si="169"/>
        <v>0</v>
      </c>
      <c r="S994"/>
      <c r="T994" s="83"/>
    </row>
    <row r="995" spans="1:20" ht="16" x14ac:dyDescent="0.2">
      <c r="A995"/>
      <c r="B995" s="103"/>
      <c r="C995" s="243"/>
      <c r="D995" s="119">
        <v>982</v>
      </c>
      <c r="E995" s="25" t="str">
        <f>Tp_CHG!I262</f>
        <v>Transition Probability from state 2 to state 8 on day 27 (CHG)</v>
      </c>
      <c r="F995" s="40">
        <f t="shared" si="170"/>
        <v>0</v>
      </c>
      <c r="G995" s="156">
        <v>1</v>
      </c>
      <c r="H995" s="120">
        <f>Tp_CHG!L262</f>
        <v>0</v>
      </c>
      <c r="I995" s="40" t="s">
        <v>58</v>
      </c>
      <c r="J995" s="40">
        <f t="shared" si="167"/>
        <v>0</v>
      </c>
      <c r="K995" s="40">
        <f t="shared" si="168"/>
        <v>0</v>
      </c>
      <c r="L995" s="40" t="s">
        <v>58</v>
      </c>
      <c r="M995" s="50" t="s">
        <v>266</v>
      </c>
      <c r="N995" s="190"/>
      <c r="O995" s="40">
        <f t="shared" ca="1" si="171"/>
        <v>0.28766161687756486</v>
      </c>
      <c r="P995" s="51">
        <f t="shared" si="172"/>
        <v>0</v>
      </c>
      <c r="Q995" s="51">
        <f t="shared" si="173"/>
        <v>0</v>
      </c>
      <c r="R995" s="51">
        <f t="shared" si="169"/>
        <v>0</v>
      </c>
      <c r="S995"/>
      <c r="T995" s="83"/>
    </row>
    <row r="996" spans="1:20" ht="16" x14ac:dyDescent="0.2">
      <c r="A996"/>
      <c r="B996" s="103"/>
      <c r="C996" s="243"/>
      <c r="D996" s="119">
        <v>983</v>
      </c>
      <c r="E996" s="25" t="str">
        <f>Tp_CHG!I263</f>
        <v>Transition Probability from state 2 to state 8 on day 28 (CHG)</v>
      </c>
      <c r="F996" s="40">
        <f t="shared" si="170"/>
        <v>0</v>
      </c>
      <c r="G996" s="156">
        <v>1</v>
      </c>
      <c r="H996" s="120">
        <f>Tp_CHG!L263</f>
        <v>0</v>
      </c>
      <c r="I996" s="40" t="s">
        <v>58</v>
      </c>
      <c r="J996" s="40">
        <f t="shared" si="167"/>
        <v>0</v>
      </c>
      <c r="K996" s="40">
        <f t="shared" si="168"/>
        <v>0</v>
      </c>
      <c r="L996" s="40" t="s">
        <v>58</v>
      </c>
      <c r="M996" s="50" t="s">
        <v>266</v>
      </c>
      <c r="N996" s="190"/>
      <c r="O996" s="40">
        <f t="shared" ca="1" si="171"/>
        <v>0.31335627181785097</v>
      </c>
      <c r="P996" s="51">
        <f t="shared" si="172"/>
        <v>0</v>
      </c>
      <c r="Q996" s="51">
        <f t="shared" si="173"/>
        <v>0</v>
      </c>
      <c r="R996" s="51">
        <f t="shared" si="169"/>
        <v>0</v>
      </c>
      <c r="S996"/>
      <c r="T996" s="83"/>
    </row>
    <row r="997" spans="1:20" ht="16" x14ac:dyDescent="0.2">
      <c r="A997"/>
      <c r="B997" s="103"/>
      <c r="C997" s="243"/>
      <c r="D997" s="119">
        <v>984</v>
      </c>
      <c r="E997" s="25" t="str">
        <f>Tp_CHG!I264</f>
        <v>Transition Probability from state 2 to state 8 on day 29 (CHG)</v>
      </c>
      <c r="F997" s="40">
        <f t="shared" si="170"/>
        <v>0</v>
      </c>
      <c r="G997" s="156">
        <v>1</v>
      </c>
      <c r="H997" s="120">
        <f>Tp_CHG!L264</f>
        <v>0</v>
      </c>
      <c r="I997" s="40" t="s">
        <v>58</v>
      </c>
      <c r="J997" s="40">
        <f t="shared" si="167"/>
        <v>0</v>
      </c>
      <c r="K997" s="40">
        <f t="shared" si="168"/>
        <v>0</v>
      </c>
      <c r="L997" s="40" t="s">
        <v>58</v>
      </c>
      <c r="M997" s="50" t="s">
        <v>266</v>
      </c>
      <c r="N997" s="190"/>
      <c r="O997" s="40">
        <f t="shared" ca="1" si="171"/>
        <v>4.4741677397406199E-2</v>
      </c>
      <c r="P997" s="51">
        <f t="shared" si="172"/>
        <v>0</v>
      </c>
      <c r="Q997" s="51">
        <f t="shared" si="173"/>
        <v>0</v>
      </c>
      <c r="R997" s="51">
        <f t="shared" si="169"/>
        <v>0</v>
      </c>
      <c r="S997"/>
      <c r="T997" s="83"/>
    </row>
    <row r="998" spans="1:20" ht="16" x14ac:dyDescent="0.2">
      <c r="A998"/>
      <c r="B998" s="103"/>
      <c r="C998" s="243"/>
      <c r="D998" s="119">
        <v>985</v>
      </c>
      <c r="E998" s="25" t="str">
        <f>Tp_CHG!I265</f>
        <v>Transition Probability from state 2 to state 8 on day 30 (CHG)</v>
      </c>
      <c r="F998" s="40">
        <f t="shared" si="170"/>
        <v>0</v>
      </c>
      <c r="G998" s="156">
        <v>1</v>
      </c>
      <c r="H998" s="120">
        <f>Tp_CHG!L265</f>
        <v>0</v>
      </c>
      <c r="I998" s="40" t="s">
        <v>58</v>
      </c>
      <c r="J998" s="40">
        <f t="shared" si="167"/>
        <v>0</v>
      </c>
      <c r="K998" s="40">
        <f t="shared" si="168"/>
        <v>0</v>
      </c>
      <c r="L998" s="40" t="s">
        <v>58</v>
      </c>
      <c r="M998" s="50" t="s">
        <v>266</v>
      </c>
      <c r="N998" s="190"/>
      <c r="O998" s="40">
        <f t="shared" ca="1" si="171"/>
        <v>0.83072058359027501</v>
      </c>
      <c r="P998" s="51">
        <f t="shared" si="172"/>
        <v>0</v>
      </c>
      <c r="Q998" s="51">
        <f t="shared" si="173"/>
        <v>0</v>
      </c>
      <c r="R998" s="51">
        <f t="shared" si="169"/>
        <v>0</v>
      </c>
      <c r="S998"/>
      <c r="T998" s="83"/>
    </row>
    <row r="999" spans="1:20" ht="16" x14ac:dyDescent="0.2">
      <c r="A999"/>
      <c r="B999" s="103"/>
      <c r="C999" s="243"/>
      <c r="D999" s="119">
        <v>986</v>
      </c>
      <c r="E999" s="25" t="str">
        <f>Tp_CHG!N236</f>
        <v>Transition Probability from state 3 to state 8 on day 1 (CHG)</v>
      </c>
      <c r="F999" s="40">
        <f t="shared" si="170"/>
        <v>0</v>
      </c>
      <c r="G999" s="156">
        <v>1</v>
      </c>
      <c r="H999" s="120">
        <f>Tp_CHG!Q236</f>
        <v>0</v>
      </c>
      <c r="I999" s="40" t="s">
        <v>58</v>
      </c>
      <c r="J999" s="40">
        <f t="shared" si="167"/>
        <v>0</v>
      </c>
      <c r="K999" s="40">
        <f t="shared" si="168"/>
        <v>0</v>
      </c>
      <c r="L999" s="40" t="s">
        <v>58</v>
      </c>
      <c r="M999" s="50" t="s">
        <v>266</v>
      </c>
      <c r="N999" s="190"/>
      <c r="O999" s="40">
        <f t="shared" ca="1" si="171"/>
        <v>0.37945297013960566</v>
      </c>
      <c r="P999" s="51">
        <f t="shared" si="172"/>
        <v>0</v>
      </c>
      <c r="Q999" s="51">
        <f t="shared" si="173"/>
        <v>0</v>
      </c>
      <c r="R999" s="51">
        <f t="shared" si="169"/>
        <v>0</v>
      </c>
      <c r="S999"/>
      <c r="T999" s="83"/>
    </row>
    <row r="1000" spans="1:20" ht="16" x14ac:dyDescent="0.2">
      <c r="A1000"/>
      <c r="B1000" s="103"/>
      <c r="C1000" s="243"/>
      <c r="D1000" s="119">
        <v>987</v>
      </c>
      <c r="E1000" s="25" t="str">
        <f>Tp_CHG!N237</f>
        <v>Transition Probability from state 3 to state 8 on day 2 (CHG)</v>
      </c>
      <c r="F1000" s="40">
        <f t="shared" si="170"/>
        <v>0</v>
      </c>
      <c r="G1000" s="156">
        <v>1</v>
      </c>
      <c r="H1000" s="120">
        <f>Tp_CHG!Q237</f>
        <v>0</v>
      </c>
      <c r="I1000" s="40" t="s">
        <v>58</v>
      </c>
      <c r="J1000" s="40">
        <f t="shared" si="167"/>
        <v>0</v>
      </c>
      <c r="K1000" s="40">
        <f t="shared" si="168"/>
        <v>0</v>
      </c>
      <c r="L1000" s="40" t="s">
        <v>58</v>
      </c>
      <c r="M1000" s="50" t="s">
        <v>266</v>
      </c>
      <c r="N1000" s="190"/>
      <c r="O1000" s="40">
        <f t="shared" ca="1" si="171"/>
        <v>0.66218992661569687</v>
      </c>
      <c r="P1000" s="51">
        <f t="shared" si="172"/>
        <v>0</v>
      </c>
      <c r="Q1000" s="51">
        <f t="shared" si="173"/>
        <v>0</v>
      </c>
      <c r="R1000" s="51">
        <f t="shared" si="169"/>
        <v>0</v>
      </c>
      <c r="S1000"/>
      <c r="T1000" s="83"/>
    </row>
    <row r="1001" spans="1:20" ht="16" x14ac:dyDescent="0.2">
      <c r="A1001"/>
      <c r="B1001" s="103"/>
      <c r="C1001" s="243"/>
      <c r="D1001" s="119">
        <v>988</v>
      </c>
      <c r="E1001" s="25" t="str">
        <f>Tp_CHG!N238</f>
        <v>Transition Probability from state 3 to state 8 on day 3 (CHG)</v>
      </c>
      <c r="F1001" s="40">
        <f t="shared" si="170"/>
        <v>0</v>
      </c>
      <c r="G1001" s="156">
        <v>1</v>
      </c>
      <c r="H1001" s="120">
        <f>Tp_CHG!Q238</f>
        <v>0</v>
      </c>
      <c r="I1001" s="40" t="s">
        <v>58</v>
      </c>
      <c r="J1001" s="40">
        <f t="shared" si="167"/>
        <v>0</v>
      </c>
      <c r="K1001" s="40">
        <f t="shared" si="168"/>
        <v>0</v>
      </c>
      <c r="L1001" s="40" t="s">
        <v>58</v>
      </c>
      <c r="M1001" s="50" t="s">
        <v>266</v>
      </c>
      <c r="N1001" s="190"/>
      <c r="O1001" s="40">
        <f t="shared" ca="1" si="171"/>
        <v>0.40787981732084966</v>
      </c>
      <c r="P1001" s="51">
        <f t="shared" si="172"/>
        <v>0</v>
      </c>
      <c r="Q1001" s="51">
        <f t="shared" si="173"/>
        <v>0</v>
      </c>
      <c r="R1001" s="51">
        <f t="shared" si="169"/>
        <v>0</v>
      </c>
      <c r="S1001"/>
      <c r="T1001" s="83"/>
    </row>
    <row r="1002" spans="1:20" ht="16" x14ac:dyDescent="0.2">
      <c r="A1002"/>
      <c r="B1002" s="103"/>
      <c r="C1002" s="243"/>
      <c r="D1002" s="119">
        <v>989</v>
      </c>
      <c r="E1002" s="25" t="str">
        <f>Tp_CHG!N239</f>
        <v>Transition Probability from state 3 to state 8 on day 4 (CHG)</v>
      </c>
      <c r="F1002" s="40">
        <f t="shared" si="170"/>
        <v>0</v>
      </c>
      <c r="G1002" s="156">
        <v>1</v>
      </c>
      <c r="H1002" s="120">
        <f>Tp_CHG!Q239</f>
        <v>0</v>
      </c>
      <c r="I1002" s="40" t="s">
        <v>58</v>
      </c>
      <c r="J1002" s="40">
        <f t="shared" si="167"/>
        <v>0</v>
      </c>
      <c r="K1002" s="40">
        <f t="shared" si="168"/>
        <v>0</v>
      </c>
      <c r="L1002" s="40" t="s">
        <v>58</v>
      </c>
      <c r="M1002" s="50" t="s">
        <v>266</v>
      </c>
      <c r="N1002" s="190"/>
      <c r="O1002" s="40">
        <f t="shared" ca="1" si="171"/>
        <v>0.27078479495601759</v>
      </c>
      <c r="P1002" s="51">
        <f t="shared" si="172"/>
        <v>0</v>
      </c>
      <c r="Q1002" s="51">
        <f t="shared" si="173"/>
        <v>0</v>
      </c>
      <c r="R1002" s="51">
        <f t="shared" si="169"/>
        <v>0</v>
      </c>
      <c r="S1002"/>
      <c r="T1002" s="83"/>
    </row>
    <row r="1003" spans="1:20" ht="16" x14ac:dyDescent="0.2">
      <c r="A1003"/>
      <c r="B1003" s="103"/>
      <c r="C1003" s="243"/>
      <c r="D1003" s="119">
        <v>990</v>
      </c>
      <c r="E1003" s="25" t="str">
        <f>Tp_CHG!N240</f>
        <v>Transition Probability from state 3 to state 8 on day 5 (CHG)</v>
      </c>
      <c r="F1003" s="40">
        <f t="shared" si="170"/>
        <v>0</v>
      </c>
      <c r="G1003" s="156">
        <v>1</v>
      </c>
      <c r="H1003" s="120">
        <f>Tp_CHG!Q240</f>
        <v>0</v>
      </c>
      <c r="I1003" s="40" t="s">
        <v>58</v>
      </c>
      <c r="J1003" s="40">
        <f t="shared" si="167"/>
        <v>0</v>
      </c>
      <c r="K1003" s="40">
        <f t="shared" si="168"/>
        <v>0</v>
      </c>
      <c r="L1003" s="40" t="s">
        <v>58</v>
      </c>
      <c r="M1003" s="50" t="s">
        <v>266</v>
      </c>
      <c r="N1003" s="190"/>
      <c r="O1003" s="40">
        <f t="shared" ca="1" si="171"/>
        <v>0.67592160937637846</v>
      </c>
      <c r="P1003" s="51">
        <f t="shared" si="172"/>
        <v>0</v>
      </c>
      <c r="Q1003" s="51">
        <f t="shared" si="173"/>
        <v>0</v>
      </c>
      <c r="R1003" s="51">
        <f t="shared" si="169"/>
        <v>0</v>
      </c>
      <c r="S1003"/>
      <c r="T1003" s="83"/>
    </row>
    <row r="1004" spans="1:20" ht="16" x14ac:dyDescent="0.2">
      <c r="A1004"/>
      <c r="B1004" s="103"/>
      <c r="C1004" s="243"/>
      <c r="D1004" s="119">
        <v>991</v>
      </c>
      <c r="E1004" s="25" t="str">
        <f>Tp_CHG!N241</f>
        <v>Transition Probability from state 3 to state 8 on day 6 (CHG)</v>
      </c>
      <c r="F1004" s="40">
        <f t="shared" si="170"/>
        <v>0</v>
      </c>
      <c r="G1004" s="156">
        <v>1</v>
      </c>
      <c r="H1004" s="120">
        <f>Tp_CHG!Q241</f>
        <v>0</v>
      </c>
      <c r="I1004" s="40" t="s">
        <v>58</v>
      </c>
      <c r="J1004" s="40">
        <f t="shared" si="167"/>
        <v>0</v>
      </c>
      <c r="K1004" s="40">
        <f t="shared" si="168"/>
        <v>0</v>
      </c>
      <c r="L1004" s="40" t="s">
        <v>58</v>
      </c>
      <c r="M1004" s="50" t="s">
        <v>266</v>
      </c>
      <c r="N1004" s="190"/>
      <c r="O1004" s="40">
        <f t="shared" ca="1" si="171"/>
        <v>0.19293094325798588</v>
      </c>
      <c r="P1004" s="51">
        <f t="shared" si="172"/>
        <v>0</v>
      </c>
      <c r="Q1004" s="51">
        <f t="shared" si="173"/>
        <v>0</v>
      </c>
      <c r="R1004" s="51">
        <f t="shared" si="169"/>
        <v>0</v>
      </c>
      <c r="S1004"/>
      <c r="T1004" s="83"/>
    </row>
    <row r="1005" spans="1:20" ht="16" x14ac:dyDescent="0.2">
      <c r="A1005"/>
      <c r="B1005" s="103"/>
      <c r="C1005" s="243"/>
      <c r="D1005" s="119">
        <v>992</v>
      </c>
      <c r="E1005" s="25" t="str">
        <f>Tp_CHG!N242</f>
        <v>Transition Probability from state 3 to state 8 on day 7 (CHG)</v>
      </c>
      <c r="F1005" s="40">
        <f t="shared" si="170"/>
        <v>0</v>
      </c>
      <c r="G1005" s="156">
        <v>1</v>
      </c>
      <c r="H1005" s="120">
        <f>Tp_CHG!Q242</f>
        <v>0</v>
      </c>
      <c r="I1005" s="40" t="s">
        <v>58</v>
      </c>
      <c r="J1005" s="40">
        <f t="shared" ref="J1005:J1068" si="174">IF(H1005=0,0,_xlfn.NORM.INV(0.025,H1005,R1005))</f>
        <v>0</v>
      </c>
      <c r="K1005" s="40">
        <f t="shared" ref="K1005:K1068" si="175">IF(H1005=0,0,_xlfn.NORM.INV(0.975,H1005,R1005))</f>
        <v>0</v>
      </c>
      <c r="L1005" s="40" t="s">
        <v>58</v>
      </c>
      <c r="M1005" s="50" t="s">
        <v>266</v>
      </c>
      <c r="N1005" s="190"/>
      <c r="O1005" s="40">
        <f t="shared" ca="1" si="171"/>
        <v>0.76084084953873521</v>
      </c>
      <c r="P1005" s="51">
        <f t="shared" si="172"/>
        <v>0</v>
      </c>
      <c r="Q1005" s="51">
        <f t="shared" si="173"/>
        <v>0</v>
      </c>
      <c r="R1005" s="51">
        <f t="shared" ref="R1005:R1068" si="176">assumedSE*H1005</f>
        <v>0</v>
      </c>
      <c r="S1005"/>
      <c r="T1005" s="83"/>
    </row>
    <row r="1006" spans="1:20" ht="16" x14ac:dyDescent="0.2">
      <c r="A1006"/>
      <c r="B1006" s="103"/>
      <c r="C1006" s="243"/>
      <c r="D1006" s="119">
        <v>993</v>
      </c>
      <c r="E1006" s="25" t="str">
        <f>Tp_CHG!N243</f>
        <v>Transition Probability from state 3 to state 8 on day 8 (CHG)</v>
      </c>
      <c r="F1006" s="40">
        <f t="shared" si="170"/>
        <v>0</v>
      </c>
      <c r="G1006" s="156">
        <v>1</v>
      </c>
      <c r="H1006" s="120">
        <f>Tp_CHG!Q243</f>
        <v>0</v>
      </c>
      <c r="I1006" s="40" t="s">
        <v>58</v>
      </c>
      <c r="J1006" s="40">
        <f t="shared" si="174"/>
        <v>0</v>
      </c>
      <c r="K1006" s="40">
        <f t="shared" si="175"/>
        <v>0</v>
      </c>
      <c r="L1006" s="40" t="s">
        <v>58</v>
      </c>
      <c r="M1006" s="50" t="s">
        <v>266</v>
      </c>
      <c r="N1006" s="190"/>
      <c r="O1006" s="40">
        <f t="shared" ca="1" si="171"/>
        <v>0.86532767189800874</v>
      </c>
      <c r="P1006" s="51">
        <f t="shared" si="172"/>
        <v>0</v>
      </c>
      <c r="Q1006" s="51">
        <f t="shared" si="173"/>
        <v>0</v>
      </c>
      <c r="R1006" s="51">
        <f t="shared" si="176"/>
        <v>0</v>
      </c>
      <c r="S1006"/>
      <c r="T1006" s="83"/>
    </row>
    <row r="1007" spans="1:20" ht="16" x14ac:dyDescent="0.2">
      <c r="A1007"/>
      <c r="B1007" s="103"/>
      <c r="C1007" s="243"/>
      <c r="D1007" s="119">
        <v>994</v>
      </c>
      <c r="E1007" s="25" t="str">
        <f>Tp_CHG!N244</f>
        <v>Transition Probability from state 3 to state 8 on day 9 (CHG)</v>
      </c>
      <c r="F1007" s="40">
        <f t="shared" si="170"/>
        <v>0</v>
      </c>
      <c r="G1007" s="156">
        <v>1</v>
      </c>
      <c r="H1007" s="120">
        <f>Tp_CHG!Q244</f>
        <v>0</v>
      </c>
      <c r="I1007" s="40" t="s">
        <v>58</v>
      </c>
      <c r="J1007" s="40">
        <f t="shared" si="174"/>
        <v>0</v>
      </c>
      <c r="K1007" s="40">
        <f t="shared" si="175"/>
        <v>0</v>
      </c>
      <c r="L1007" s="40" t="s">
        <v>58</v>
      </c>
      <c r="M1007" s="50" t="s">
        <v>266</v>
      </c>
      <c r="N1007" s="190"/>
      <c r="O1007" s="40">
        <f t="shared" ca="1" si="171"/>
        <v>0.20801655077063697</v>
      </c>
      <c r="P1007" s="51">
        <f t="shared" si="172"/>
        <v>0</v>
      </c>
      <c r="Q1007" s="51">
        <f t="shared" si="173"/>
        <v>0</v>
      </c>
      <c r="R1007" s="51">
        <f t="shared" si="176"/>
        <v>0</v>
      </c>
      <c r="S1007"/>
      <c r="T1007" s="83"/>
    </row>
    <row r="1008" spans="1:20" ht="16" x14ac:dyDescent="0.2">
      <c r="A1008"/>
      <c r="B1008" s="103"/>
      <c r="C1008" s="243"/>
      <c r="D1008" s="119">
        <v>995</v>
      </c>
      <c r="E1008" s="25" t="str">
        <f>Tp_CHG!N245</f>
        <v>Transition Probability from state 3 to state 8 on day 10 (CHG)</v>
      </c>
      <c r="F1008" s="40">
        <f t="shared" si="170"/>
        <v>0</v>
      </c>
      <c r="G1008" s="156">
        <v>1</v>
      </c>
      <c r="H1008" s="120">
        <f>Tp_CHG!Q245</f>
        <v>0</v>
      </c>
      <c r="I1008" s="40" t="s">
        <v>58</v>
      </c>
      <c r="J1008" s="40">
        <f t="shared" si="174"/>
        <v>0</v>
      </c>
      <c r="K1008" s="40">
        <f t="shared" si="175"/>
        <v>0</v>
      </c>
      <c r="L1008" s="40" t="s">
        <v>58</v>
      </c>
      <c r="M1008" s="50" t="s">
        <v>266</v>
      </c>
      <c r="N1008" s="190"/>
      <c r="O1008" s="40">
        <f t="shared" ca="1" si="171"/>
        <v>0.88949039587878764</v>
      </c>
      <c r="P1008" s="51">
        <f t="shared" si="172"/>
        <v>0</v>
      </c>
      <c r="Q1008" s="51">
        <f t="shared" si="173"/>
        <v>0</v>
      </c>
      <c r="R1008" s="51">
        <f t="shared" si="176"/>
        <v>0</v>
      </c>
      <c r="S1008"/>
      <c r="T1008" s="83"/>
    </row>
    <row r="1009" spans="1:20" ht="16" x14ac:dyDescent="0.2">
      <c r="A1009"/>
      <c r="B1009" s="103"/>
      <c r="C1009" s="243"/>
      <c r="D1009" s="119">
        <v>996</v>
      </c>
      <c r="E1009" s="25" t="str">
        <f>Tp_CHG!N246</f>
        <v>Transition Probability from state 3 to state 8 on day 11 (CHG)</v>
      </c>
      <c r="F1009" s="40">
        <f t="shared" si="170"/>
        <v>0</v>
      </c>
      <c r="G1009" s="156">
        <v>1</v>
      </c>
      <c r="H1009" s="120">
        <f>Tp_CHG!Q246</f>
        <v>0</v>
      </c>
      <c r="I1009" s="40" t="s">
        <v>58</v>
      </c>
      <c r="J1009" s="40">
        <f t="shared" si="174"/>
        <v>0</v>
      </c>
      <c r="K1009" s="40">
        <f t="shared" si="175"/>
        <v>0</v>
      </c>
      <c r="L1009" s="40" t="s">
        <v>58</v>
      </c>
      <c r="M1009" s="50" t="s">
        <v>266</v>
      </c>
      <c r="N1009" s="190"/>
      <c r="O1009" s="40">
        <f t="shared" ca="1" si="171"/>
        <v>0.49676520827431836</v>
      </c>
      <c r="P1009" s="51">
        <f t="shared" si="172"/>
        <v>0</v>
      </c>
      <c r="Q1009" s="51">
        <f t="shared" si="173"/>
        <v>0</v>
      </c>
      <c r="R1009" s="51">
        <f t="shared" si="176"/>
        <v>0</v>
      </c>
      <c r="S1009"/>
      <c r="T1009" s="83"/>
    </row>
    <row r="1010" spans="1:20" ht="16" x14ac:dyDescent="0.2">
      <c r="A1010"/>
      <c r="B1010" s="103"/>
      <c r="C1010" s="243"/>
      <c r="D1010" s="119">
        <v>997</v>
      </c>
      <c r="E1010" s="25" t="str">
        <f>Tp_CHG!N247</f>
        <v>Transition Probability from state 3 to state 8 on day 12 (CHG)</v>
      </c>
      <c r="F1010" s="40">
        <f t="shared" si="170"/>
        <v>0</v>
      </c>
      <c r="G1010" s="156">
        <v>1</v>
      </c>
      <c r="H1010" s="120">
        <f>Tp_CHG!Q247</f>
        <v>0</v>
      </c>
      <c r="I1010" s="40" t="s">
        <v>58</v>
      </c>
      <c r="J1010" s="40">
        <f t="shared" si="174"/>
        <v>0</v>
      </c>
      <c r="K1010" s="40">
        <f t="shared" si="175"/>
        <v>0</v>
      </c>
      <c r="L1010" s="40" t="s">
        <v>58</v>
      </c>
      <c r="M1010" s="50" t="s">
        <v>266</v>
      </c>
      <c r="N1010" s="190"/>
      <c r="O1010" s="40">
        <f t="shared" ca="1" si="171"/>
        <v>0.54743251602412091</v>
      </c>
      <c r="P1010" s="51">
        <f t="shared" si="172"/>
        <v>0</v>
      </c>
      <c r="Q1010" s="51">
        <f t="shared" si="173"/>
        <v>0</v>
      </c>
      <c r="R1010" s="51">
        <f t="shared" si="176"/>
        <v>0</v>
      </c>
      <c r="S1010"/>
      <c r="T1010" s="83"/>
    </row>
    <row r="1011" spans="1:20" ht="16" x14ac:dyDescent="0.2">
      <c r="A1011"/>
      <c r="B1011" s="103"/>
      <c r="C1011" s="243"/>
      <c r="D1011" s="119">
        <v>998</v>
      </c>
      <c r="E1011" s="25" t="str">
        <f>Tp_CHG!N248</f>
        <v>Transition Probability from state 3 to state 8 on day 13 (CHG)</v>
      </c>
      <c r="F1011" s="40">
        <f t="shared" si="170"/>
        <v>0</v>
      </c>
      <c r="G1011" s="156">
        <v>1</v>
      </c>
      <c r="H1011" s="120">
        <f>Tp_CHG!Q248</f>
        <v>0</v>
      </c>
      <c r="I1011" s="40" t="s">
        <v>58</v>
      </c>
      <c r="J1011" s="40">
        <f t="shared" si="174"/>
        <v>0</v>
      </c>
      <c r="K1011" s="40">
        <f t="shared" si="175"/>
        <v>0</v>
      </c>
      <c r="L1011" s="40" t="s">
        <v>58</v>
      </c>
      <c r="M1011" s="50" t="s">
        <v>266</v>
      </c>
      <c r="N1011" s="190"/>
      <c r="O1011" s="40">
        <f t="shared" ca="1" si="171"/>
        <v>0.51536621359386747</v>
      </c>
      <c r="P1011" s="51">
        <f t="shared" si="172"/>
        <v>0</v>
      </c>
      <c r="Q1011" s="51">
        <f t="shared" si="173"/>
        <v>0</v>
      </c>
      <c r="R1011" s="51">
        <f t="shared" si="176"/>
        <v>0</v>
      </c>
      <c r="S1011"/>
      <c r="T1011" s="83"/>
    </row>
    <row r="1012" spans="1:20" ht="16" x14ac:dyDescent="0.2">
      <c r="A1012"/>
      <c r="B1012" s="103"/>
      <c r="C1012" s="243"/>
      <c r="D1012" s="119">
        <v>999</v>
      </c>
      <c r="E1012" s="25" t="str">
        <f>Tp_CHG!N249</f>
        <v>Transition Probability from state 3 to state 8 on day 14 (CHG)</v>
      </c>
      <c r="F1012" s="40">
        <f t="shared" si="170"/>
        <v>0</v>
      </c>
      <c r="G1012" s="156">
        <v>1</v>
      </c>
      <c r="H1012" s="120">
        <f>Tp_CHG!Q249</f>
        <v>0</v>
      </c>
      <c r="I1012" s="40" t="s">
        <v>58</v>
      </c>
      <c r="J1012" s="40">
        <f t="shared" si="174"/>
        <v>0</v>
      </c>
      <c r="K1012" s="40">
        <f t="shared" si="175"/>
        <v>0</v>
      </c>
      <c r="L1012" s="40" t="s">
        <v>58</v>
      </c>
      <c r="M1012" s="50" t="s">
        <v>266</v>
      </c>
      <c r="N1012" s="190"/>
      <c r="O1012" s="40">
        <f t="shared" ca="1" si="171"/>
        <v>0.55635655313676569</v>
      </c>
      <c r="P1012" s="51">
        <f t="shared" si="172"/>
        <v>0</v>
      </c>
      <c r="Q1012" s="51">
        <f t="shared" si="173"/>
        <v>0</v>
      </c>
      <c r="R1012" s="51">
        <f t="shared" si="176"/>
        <v>0</v>
      </c>
      <c r="S1012"/>
      <c r="T1012" s="83"/>
    </row>
    <row r="1013" spans="1:20" ht="16" x14ac:dyDescent="0.2">
      <c r="A1013"/>
      <c r="B1013" s="103"/>
      <c r="C1013" s="243"/>
      <c r="D1013" s="119">
        <v>1000</v>
      </c>
      <c r="E1013" s="25" t="str">
        <f>Tp_CHG!N250</f>
        <v>Transition Probability from state 3 to state 8 on day 15 (CHG)</v>
      </c>
      <c r="F1013" s="40">
        <f t="shared" si="170"/>
        <v>0</v>
      </c>
      <c r="G1013" s="156">
        <v>1</v>
      </c>
      <c r="H1013" s="120">
        <f>Tp_CHG!Q250</f>
        <v>0</v>
      </c>
      <c r="I1013" s="40" t="s">
        <v>58</v>
      </c>
      <c r="J1013" s="40">
        <f t="shared" si="174"/>
        <v>0</v>
      </c>
      <c r="K1013" s="40">
        <f t="shared" si="175"/>
        <v>0</v>
      </c>
      <c r="L1013" s="40" t="s">
        <v>58</v>
      </c>
      <c r="M1013" s="50" t="s">
        <v>266</v>
      </c>
      <c r="N1013" s="190"/>
      <c r="O1013" s="40">
        <f t="shared" ca="1" si="171"/>
        <v>0.46745001249177731</v>
      </c>
      <c r="P1013" s="51">
        <f t="shared" si="172"/>
        <v>0</v>
      </c>
      <c r="Q1013" s="51">
        <f t="shared" si="173"/>
        <v>0</v>
      </c>
      <c r="R1013" s="51">
        <f t="shared" si="176"/>
        <v>0</v>
      </c>
      <c r="S1013"/>
      <c r="T1013" s="83"/>
    </row>
    <row r="1014" spans="1:20" ht="16" x14ac:dyDescent="0.2">
      <c r="A1014"/>
      <c r="B1014" s="103"/>
      <c r="C1014" s="243"/>
      <c r="D1014" s="119">
        <v>1001</v>
      </c>
      <c r="E1014" s="25" t="str">
        <f>Tp_CHG!N251</f>
        <v>Transition Probability from state 3 to state 8 on day 16 (CHG)</v>
      </c>
      <c r="F1014" s="40">
        <f t="shared" si="170"/>
        <v>0</v>
      </c>
      <c r="G1014" s="156">
        <v>1</v>
      </c>
      <c r="H1014" s="120">
        <f>Tp_CHG!Q251</f>
        <v>0</v>
      </c>
      <c r="I1014" s="40" t="s">
        <v>58</v>
      </c>
      <c r="J1014" s="40">
        <f t="shared" si="174"/>
        <v>0</v>
      </c>
      <c r="K1014" s="40">
        <f t="shared" si="175"/>
        <v>0</v>
      </c>
      <c r="L1014" s="40" t="s">
        <v>58</v>
      </c>
      <c r="M1014" s="50" t="s">
        <v>266</v>
      </c>
      <c r="N1014" s="190"/>
      <c r="O1014" s="40">
        <f t="shared" ca="1" si="171"/>
        <v>0.36516822827183892</v>
      </c>
      <c r="P1014" s="51">
        <f t="shared" si="172"/>
        <v>0</v>
      </c>
      <c r="Q1014" s="51">
        <f t="shared" si="173"/>
        <v>0</v>
      </c>
      <c r="R1014" s="51">
        <f t="shared" si="176"/>
        <v>0</v>
      </c>
      <c r="S1014"/>
      <c r="T1014" s="83"/>
    </row>
    <row r="1015" spans="1:20" ht="16" x14ac:dyDescent="0.2">
      <c r="A1015"/>
      <c r="B1015" s="103"/>
      <c r="C1015" s="243"/>
      <c r="D1015" s="119">
        <v>1002</v>
      </c>
      <c r="E1015" s="25" t="str">
        <f>Tp_CHG!N252</f>
        <v>Transition Probability from state 3 to state 8 on day 17 (CHG)</v>
      </c>
      <c r="F1015" s="40">
        <f t="shared" si="170"/>
        <v>0</v>
      </c>
      <c r="G1015" s="156">
        <v>1</v>
      </c>
      <c r="H1015" s="120">
        <f>Tp_CHG!Q252</f>
        <v>0</v>
      </c>
      <c r="I1015" s="40" t="s">
        <v>58</v>
      </c>
      <c r="J1015" s="40">
        <f t="shared" si="174"/>
        <v>0</v>
      </c>
      <c r="K1015" s="40">
        <f t="shared" si="175"/>
        <v>0</v>
      </c>
      <c r="L1015" s="40" t="s">
        <v>58</v>
      </c>
      <c r="M1015" s="50" t="s">
        <v>266</v>
      </c>
      <c r="N1015" s="190"/>
      <c r="O1015" s="40">
        <f t="shared" ca="1" si="171"/>
        <v>0.15762373821667974</v>
      </c>
      <c r="P1015" s="51">
        <f t="shared" si="172"/>
        <v>0</v>
      </c>
      <c r="Q1015" s="51">
        <f t="shared" si="173"/>
        <v>0</v>
      </c>
      <c r="R1015" s="51">
        <f t="shared" si="176"/>
        <v>0</v>
      </c>
      <c r="S1015"/>
      <c r="T1015" s="83"/>
    </row>
    <row r="1016" spans="1:20" ht="16" x14ac:dyDescent="0.2">
      <c r="A1016"/>
      <c r="B1016" s="103"/>
      <c r="C1016" s="243"/>
      <c r="D1016" s="119">
        <v>1003</v>
      </c>
      <c r="E1016" s="25" t="str">
        <f>Tp_CHG!N253</f>
        <v>Transition Probability from state 3 to state 8 on day 18 (CHG)</v>
      </c>
      <c r="F1016" s="40">
        <f t="shared" si="170"/>
        <v>0</v>
      </c>
      <c r="G1016" s="156">
        <v>1</v>
      </c>
      <c r="H1016" s="120">
        <f>Tp_CHG!Q253</f>
        <v>0</v>
      </c>
      <c r="I1016" s="40" t="s">
        <v>58</v>
      </c>
      <c r="J1016" s="40">
        <f t="shared" si="174"/>
        <v>0</v>
      </c>
      <c r="K1016" s="40">
        <f t="shared" si="175"/>
        <v>0</v>
      </c>
      <c r="L1016" s="40" t="s">
        <v>58</v>
      </c>
      <c r="M1016" s="50" t="s">
        <v>266</v>
      </c>
      <c r="N1016" s="190"/>
      <c r="O1016" s="40">
        <f t="shared" ca="1" si="171"/>
        <v>0.78547881014841747</v>
      </c>
      <c r="P1016" s="51">
        <f t="shared" si="172"/>
        <v>0</v>
      </c>
      <c r="Q1016" s="51">
        <f t="shared" si="173"/>
        <v>0</v>
      </c>
      <c r="R1016" s="51">
        <f t="shared" si="176"/>
        <v>0</v>
      </c>
      <c r="S1016"/>
      <c r="T1016" s="83"/>
    </row>
    <row r="1017" spans="1:20" ht="16" x14ac:dyDescent="0.2">
      <c r="A1017"/>
      <c r="B1017" s="103"/>
      <c r="C1017" s="243"/>
      <c r="D1017" s="119">
        <v>1004</v>
      </c>
      <c r="E1017" s="25" t="str">
        <f>Tp_CHG!N254</f>
        <v>Transition Probability from state 3 to state 8 on day 19 (CHG)</v>
      </c>
      <c r="F1017" s="40">
        <f t="shared" si="170"/>
        <v>0</v>
      </c>
      <c r="G1017" s="156">
        <v>1</v>
      </c>
      <c r="H1017" s="120">
        <f>Tp_CHG!Q254</f>
        <v>0</v>
      </c>
      <c r="I1017" s="40" t="s">
        <v>58</v>
      </c>
      <c r="J1017" s="40">
        <f t="shared" si="174"/>
        <v>0</v>
      </c>
      <c r="K1017" s="40">
        <f t="shared" si="175"/>
        <v>0</v>
      </c>
      <c r="L1017" s="40" t="s">
        <v>58</v>
      </c>
      <c r="M1017" s="50" t="s">
        <v>266</v>
      </c>
      <c r="N1017" s="190"/>
      <c r="O1017" s="40">
        <f t="shared" ca="1" si="171"/>
        <v>0.58642172871044951</v>
      </c>
      <c r="P1017" s="51">
        <f t="shared" si="172"/>
        <v>0</v>
      </c>
      <c r="Q1017" s="51">
        <f t="shared" si="173"/>
        <v>0</v>
      </c>
      <c r="R1017" s="51">
        <f t="shared" si="176"/>
        <v>0</v>
      </c>
      <c r="S1017"/>
      <c r="T1017" s="83"/>
    </row>
    <row r="1018" spans="1:20" ht="16" x14ac:dyDescent="0.2">
      <c r="A1018"/>
      <c r="B1018" s="103"/>
      <c r="C1018" s="243"/>
      <c r="D1018" s="119">
        <v>1005</v>
      </c>
      <c r="E1018" s="25" t="str">
        <f>Tp_CHG!N255</f>
        <v>Transition Probability from state 3 to state 8 on day 20 (CHG)</v>
      </c>
      <c r="F1018" s="40">
        <f t="shared" si="170"/>
        <v>0</v>
      </c>
      <c r="G1018" s="156">
        <v>1</v>
      </c>
      <c r="H1018" s="120">
        <f>Tp_CHG!Q255</f>
        <v>0</v>
      </c>
      <c r="I1018" s="40" t="s">
        <v>58</v>
      </c>
      <c r="J1018" s="40">
        <f t="shared" si="174"/>
        <v>0</v>
      </c>
      <c r="K1018" s="40">
        <f t="shared" si="175"/>
        <v>0</v>
      </c>
      <c r="L1018" s="40" t="s">
        <v>58</v>
      </c>
      <c r="M1018" s="50" t="s">
        <v>266</v>
      </c>
      <c r="N1018" s="190"/>
      <c r="O1018" s="40">
        <f t="shared" ca="1" si="171"/>
        <v>0.22609200681843633</v>
      </c>
      <c r="P1018" s="51">
        <f t="shared" si="172"/>
        <v>0</v>
      </c>
      <c r="Q1018" s="51">
        <f t="shared" si="173"/>
        <v>0</v>
      </c>
      <c r="R1018" s="51">
        <f t="shared" si="176"/>
        <v>0</v>
      </c>
      <c r="S1018"/>
      <c r="T1018" s="83"/>
    </row>
    <row r="1019" spans="1:20" ht="16" x14ac:dyDescent="0.2">
      <c r="A1019"/>
      <c r="B1019" s="103"/>
      <c r="C1019" s="243"/>
      <c r="D1019" s="119">
        <v>1006</v>
      </c>
      <c r="E1019" s="25" t="str">
        <f>Tp_CHG!N256</f>
        <v>Transition Probability from state 3 to state 8 on day 21 (CHG)</v>
      </c>
      <c r="F1019" s="40">
        <f t="shared" si="170"/>
        <v>0</v>
      </c>
      <c r="G1019" s="156">
        <v>1</v>
      </c>
      <c r="H1019" s="120">
        <f>Tp_CHG!Q256</f>
        <v>0</v>
      </c>
      <c r="I1019" s="40" t="s">
        <v>58</v>
      </c>
      <c r="J1019" s="40">
        <f t="shared" si="174"/>
        <v>0</v>
      </c>
      <c r="K1019" s="40">
        <f t="shared" si="175"/>
        <v>0</v>
      </c>
      <c r="L1019" s="40" t="s">
        <v>58</v>
      </c>
      <c r="M1019" s="50" t="s">
        <v>266</v>
      </c>
      <c r="N1019" s="190"/>
      <c r="O1019" s="40">
        <f t="shared" ca="1" si="171"/>
        <v>0.43440394177846364</v>
      </c>
      <c r="P1019" s="51">
        <f t="shared" si="172"/>
        <v>0</v>
      </c>
      <c r="Q1019" s="51">
        <f t="shared" si="173"/>
        <v>0</v>
      </c>
      <c r="R1019" s="51">
        <f t="shared" si="176"/>
        <v>0</v>
      </c>
      <c r="S1019"/>
      <c r="T1019" s="83"/>
    </row>
    <row r="1020" spans="1:20" ht="16" x14ac:dyDescent="0.2">
      <c r="A1020"/>
      <c r="B1020" s="103"/>
      <c r="C1020" s="243"/>
      <c r="D1020" s="119">
        <v>1007</v>
      </c>
      <c r="E1020" s="25" t="str">
        <f>Tp_CHG!N257</f>
        <v>Transition Probability from state 3 to state 8 on day 22 (CHG)</v>
      </c>
      <c r="F1020" s="40">
        <f t="shared" si="170"/>
        <v>0</v>
      </c>
      <c r="G1020" s="156">
        <v>1</v>
      </c>
      <c r="H1020" s="120">
        <f>Tp_CHG!Q257</f>
        <v>0</v>
      </c>
      <c r="I1020" s="40" t="s">
        <v>58</v>
      </c>
      <c r="J1020" s="40">
        <f t="shared" si="174"/>
        <v>0</v>
      </c>
      <c r="K1020" s="40">
        <f t="shared" si="175"/>
        <v>0</v>
      </c>
      <c r="L1020" s="40" t="s">
        <v>58</v>
      </c>
      <c r="M1020" s="50" t="s">
        <v>266</v>
      </c>
      <c r="N1020" s="190"/>
      <c r="O1020" s="40">
        <f t="shared" ca="1" si="171"/>
        <v>0.35696586852058065</v>
      </c>
      <c r="P1020" s="51">
        <f t="shared" si="172"/>
        <v>0</v>
      </c>
      <c r="Q1020" s="51">
        <f t="shared" si="173"/>
        <v>0</v>
      </c>
      <c r="R1020" s="51">
        <f t="shared" si="176"/>
        <v>0</v>
      </c>
      <c r="S1020"/>
      <c r="T1020" s="83"/>
    </row>
    <row r="1021" spans="1:20" ht="16" x14ac:dyDescent="0.2">
      <c r="A1021"/>
      <c r="B1021" s="103"/>
      <c r="C1021" s="243"/>
      <c r="D1021" s="119">
        <v>1008</v>
      </c>
      <c r="E1021" s="25" t="str">
        <f>Tp_CHG!N258</f>
        <v>Transition Probability from state 3 to state 8 on day 23 (CHG)</v>
      </c>
      <c r="F1021" s="40">
        <f t="shared" si="170"/>
        <v>0</v>
      </c>
      <c r="G1021" s="156">
        <v>1</v>
      </c>
      <c r="H1021" s="120">
        <f>Tp_CHG!Q258</f>
        <v>0</v>
      </c>
      <c r="I1021" s="40" t="s">
        <v>58</v>
      </c>
      <c r="J1021" s="40">
        <f t="shared" si="174"/>
        <v>0</v>
      </c>
      <c r="K1021" s="40">
        <f t="shared" si="175"/>
        <v>0</v>
      </c>
      <c r="L1021" s="40" t="s">
        <v>58</v>
      </c>
      <c r="M1021" s="50" t="s">
        <v>266</v>
      </c>
      <c r="N1021" s="190"/>
      <c r="O1021" s="40">
        <f t="shared" ca="1" si="171"/>
        <v>0.34631555469608466</v>
      </c>
      <c r="P1021" s="51">
        <f t="shared" si="172"/>
        <v>0</v>
      </c>
      <c r="Q1021" s="51">
        <f t="shared" si="173"/>
        <v>0</v>
      </c>
      <c r="R1021" s="51">
        <f t="shared" si="176"/>
        <v>0</v>
      </c>
      <c r="S1021"/>
      <c r="T1021" s="83"/>
    </row>
    <row r="1022" spans="1:20" ht="16" x14ac:dyDescent="0.2">
      <c r="A1022"/>
      <c r="B1022" s="103"/>
      <c r="C1022" s="243"/>
      <c r="D1022" s="119">
        <v>1009</v>
      </c>
      <c r="E1022" s="25" t="str">
        <f>Tp_CHG!N259</f>
        <v>Transition Probability from state 3 to state 8 on day 24 (CHG)</v>
      </c>
      <c r="F1022" s="40">
        <f t="shared" si="170"/>
        <v>0</v>
      </c>
      <c r="G1022" s="156">
        <v>1</v>
      </c>
      <c r="H1022" s="120">
        <f>Tp_CHG!Q259</f>
        <v>0</v>
      </c>
      <c r="I1022" s="40" t="s">
        <v>58</v>
      </c>
      <c r="J1022" s="40">
        <f t="shared" si="174"/>
        <v>0</v>
      </c>
      <c r="K1022" s="40">
        <f t="shared" si="175"/>
        <v>0</v>
      </c>
      <c r="L1022" s="40" t="s">
        <v>58</v>
      </c>
      <c r="M1022" s="50" t="s">
        <v>266</v>
      </c>
      <c r="N1022" s="190"/>
      <c r="O1022" s="40">
        <f t="shared" ca="1" si="171"/>
        <v>5.6250677277115746E-2</v>
      </c>
      <c r="P1022" s="51">
        <f t="shared" si="172"/>
        <v>0</v>
      </c>
      <c r="Q1022" s="51">
        <f t="shared" si="173"/>
        <v>0</v>
      </c>
      <c r="R1022" s="51">
        <f t="shared" si="176"/>
        <v>0</v>
      </c>
      <c r="S1022"/>
      <c r="T1022" s="83"/>
    </row>
    <row r="1023" spans="1:20" ht="16" x14ac:dyDescent="0.2">
      <c r="A1023"/>
      <c r="B1023" s="103"/>
      <c r="C1023" s="243"/>
      <c r="D1023" s="119">
        <v>1010</v>
      </c>
      <c r="E1023" s="25" t="str">
        <f>Tp_CHG!N260</f>
        <v>Transition Probability from state 3 to state 8 on day 25 (CHG)</v>
      </c>
      <c r="F1023" s="40">
        <f t="shared" si="170"/>
        <v>0</v>
      </c>
      <c r="G1023" s="156">
        <v>1</v>
      </c>
      <c r="H1023" s="120">
        <f>Tp_CHG!Q260</f>
        <v>0</v>
      </c>
      <c r="I1023" s="40" t="s">
        <v>58</v>
      </c>
      <c r="J1023" s="40">
        <f t="shared" si="174"/>
        <v>0</v>
      </c>
      <c r="K1023" s="40">
        <f t="shared" si="175"/>
        <v>0</v>
      </c>
      <c r="L1023" s="40" t="s">
        <v>58</v>
      </c>
      <c r="M1023" s="50" t="s">
        <v>266</v>
      </c>
      <c r="N1023" s="190"/>
      <c r="O1023" s="40">
        <f t="shared" ca="1" si="171"/>
        <v>0.53820376350819144</v>
      </c>
      <c r="P1023" s="51">
        <f t="shared" si="172"/>
        <v>0</v>
      </c>
      <c r="Q1023" s="51">
        <f t="shared" si="173"/>
        <v>0</v>
      </c>
      <c r="R1023" s="51">
        <f t="shared" si="176"/>
        <v>0</v>
      </c>
      <c r="S1023"/>
      <c r="T1023" s="83"/>
    </row>
    <row r="1024" spans="1:20" ht="16" x14ac:dyDescent="0.2">
      <c r="A1024"/>
      <c r="B1024" s="103"/>
      <c r="C1024" s="243"/>
      <c r="D1024" s="119">
        <v>1011</v>
      </c>
      <c r="E1024" s="25" t="str">
        <f>Tp_CHG!N261</f>
        <v>Transition Probability from state 3 to state 8 on day 26 (CHG)</v>
      </c>
      <c r="F1024" s="40">
        <f t="shared" si="170"/>
        <v>0</v>
      </c>
      <c r="G1024" s="156">
        <v>1</v>
      </c>
      <c r="H1024" s="120">
        <f>Tp_CHG!Q261</f>
        <v>0</v>
      </c>
      <c r="I1024" s="40" t="s">
        <v>58</v>
      </c>
      <c r="J1024" s="40">
        <f t="shared" si="174"/>
        <v>0</v>
      </c>
      <c r="K1024" s="40">
        <f t="shared" si="175"/>
        <v>0</v>
      </c>
      <c r="L1024" s="40" t="s">
        <v>58</v>
      </c>
      <c r="M1024" s="50" t="s">
        <v>266</v>
      </c>
      <c r="N1024" s="190"/>
      <c r="O1024" s="40">
        <f t="shared" ca="1" si="171"/>
        <v>0.72308535155016618</v>
      </c>
      <c r="P1024" s="51">
        <f t="shared" si="172"/>
        <v>0</v>
      </c>
      <c r="Q1024" s="51">
        <f t="shared" si="173"/>
        <v>0</v>
      </c>
      <c r="R1024" s="51">
        <f t="shared" si="176"/>
        <v>0</v>
      </c>
      <c r="S1024"/>
      <c r="T1024" s="83"/>
    </row>
    <row r="1025" spans="1:20" ht="16" x14ac:dyDescent="0.2">
      <c r="A1025"/>
      <c r="B1025" s="103"/>
      <c r="C1025" s="243"/>
      <c r="D1025" s="119">
        <v>1012</v>
      </c>
      <c r="E1025" s="25" t="str">
        <f>Tp_CHG!N262</f>
        <v>Transition Probability from state 3 to state 8 on day 27 (CHG)</v>
      </c>
      <c r="F1025" s="40">
        <f t="shared" si="170"/>
        <v>0</v>
      </c>
      <c r="G1025" s="156">
        <v>1</v>
      </c>
      <c r="H1025" s="120">
        <f>Tp_CHG!Q262</f>
        <v>0</v>
      </c>
      <c r="I1025" s="40" t="s">
        <v>58</v>
      </c>
      <c r="J1025" s="40">
        <f t="shared" si="174"/>
        <v>0</v>
      </c>
      <c r="K1025" s="40">
        <f t="shared" si="175"/>
        <v>0</v>
      </c>
      <c r="L1025" s="40" t="s">
        <v>58</v>
      </c>
      <c r="M1025" s="50" t="s">
        <v>266</v>
      </c>
      <c r="N1025" s="190"/>
      <c r="O1025" s="40">
        <f t="shared" ca="1" si="171"/>
        <v>0.72231112101874695</v>
      </c>
      <c r="P1025" s="51">
        <f t="shared" si="172"/>
        <v>0</v>
      </c>
      <c r="Q1025" s="51">
        <f t="shared" si="173"/>
        <v>0</v>
      </c>
      <c r="R1025" s="51">
        <f t="shared" si="176"/>
        <v>0</v>
      </c>
      <c r="S1025"/>
      <c r="T1025" s="83"/>
    </row>
    <row r="1026" spans="1:20" ht="16" x14ac:dyDescent="0.2">
      <c r="A1026"/>
      <c r="B1026" s="103"/>
      <c r="C1026" s="243"/>
      <c r="D1026" s="119">
        <v>1013</v>
      </c>
      <c r="E1026" s="25" t="str">
        <f>Tp_CHG!N263</f>
        <v>Transition Probability from state 3 to state 8 on day 28 (CHG)</v>
      </c>
      <c r="F1026" s="40">
        <f t="shared" si="170"/>
        <v>0</v>
      </c>
      <c r="G1026" s="156">
        <v>1</v>
      </c>
      <c r="H1026" s="120">
        <f>Tp_CHG!Q263</f>
        <v>0</v>
      </c>
      <c r="I1026" s="40" t="s">
        <v>58</v>
      </c>
      <c r="J1026" s="40">
        <f t="shared" si="174"/>
        <v>0</v>
      </c>
      <c r="K1026" s="40">
        <f t="shared" si="175"/>
        <v>0</v>
      </c>
      <c r="L1026" s="40" t="s">
        <v>58</v>
      </c>
      <c r="M1026" s="50" t="s">
        <v>266</v>
      </c>
      <c r="N1026" s="190"/>
      <c r="O1026" s="40">
        <f t="shared" ca="1" si="171"/>
        <v>0.35059952365589264</v>
      </c>
      <c r="P1026" s="51">
        <f t="shared" si="172"/>
        <v>0</v>
      </c>
      <c r="Q1026" s="51">
        <f t="shared" si="173"/>
        <v>0</v>
      </c>
      <c r="R1026" s="51">
        <f t="shared" si="176"/>
        <v>0</v>
      </c>
      <c r="S1026"/>
      <c r="T1026" s="83"/>
    </row>
    <row r="1027" spans="1:20" ht="16" x14ac:dyDescent="0.2">
      <c r="A1027"/>
      <c r="B1027" s="103"/>
      <c r="C1027" s="243"/>
      <c r="D1027" s="119">
        <v>1014</v>
      </c>
      <c r="E1027" s="25" t="str">
        <f>Tp_CHG!N264</f>
        <v>Transition Probability from state 3 to state 8 on day 29 (CHG)</v>
      </c>
      <c r="F1027" s="40">
        <f t="shared" si="170"/>
        <v>0</v>
      </c>
      <c r="G1027" s="156">
        <v>1</v>
      </c>
      <c r="H1027" s="120">
        <f>Tp_CHG!Q264</f>
        <v>0</v>
      </c>
      <c r="I1027" s="40" t="s">
        <v>58</v>
      </c>
      <c r="J1027" s="40">
        <f t="shared" si="174"/>
        <v>0</v>
      </c>
      <c r="K1027" s="40">
        <f t="shared" si="175"/>
        <v>0</v>
      </c>
      <c r="L1027" s="40" t="s">
        <v>58</v>
      </c>
      <c r="M1027" s="50" t="s">
        <v>266</v>
      </c>
      <c r="N1027" s="190"/>
      <c r="O1027" s="40">
        <f t="shared" ca="1" si="171"/>
        <v>0.46297233646674041</v>
      </c>
      <c r="P1027" s="51">
        <f t="shared" si="172"/>
        <v>0</v>
      </c>
      <c r="Q1027" s="51">
        <f t="shared" si="173"/>
        <v>0</v>
      </c>
      <c r="R1027" s="51">
        <f t="shared" si="176"/>
        <v>0</v>
      </c>
      <c r="S1027"/>
      <c r="T1027" s="83"/>
    </row>
    <row r="1028" spans="1:20" ht="16" x14ac:dyDescent="0.2">
      <c r="A1028"/>
      <c r="B1028" s="103"/>
      <c r="C1028" s="243"/>
      <c r="D1028" s="119">
        <v>1015</v>
      </c>
      <c r="E1028" s="25" t="str">
        <f>Tp_CHG!N265</f>
        <v>Transition Probability from state 3 to state 8 on day 30 (CHG)</v>
      </c>
      <c r="F1028" s="40">
        <f t="shared" si="170"/>
        <v>0</v>
      </c>
      <c r="G1028" s="156">
        <v>1</v>
      </c>
      <c r="H1028" s="120">
        <f>Tp_CHG!Q265</f>
        <v>0</v>
      </c>
      <c r="I1028" s="40" t="s">
        <v>58</v>
      </c>
      <c r="J1028" s="40">
        <f t="shared" si="174"/>
        <v>0</v>
      </c>
      <c r="K1028" s="40">
        <f t="shared" si="175"/>
        <v>0</v>
      </c>
      <c r="L1028" s="40" t="s">
        <v>58</v>
      </c>
      <c r="M1028" s="50" t="s">
        <v>266</v>
      </c>
      <c r="N1028" s="190"/>
      <c r="O1028" s="40">
        <f t="shared" ca="1" si="171"/>
        <v>0.74408702583144182</v>
      </c>
      <c r="P1028" s="51">
        <f t="shared" si="172"/>
        <v>0</v>
      </c>
      <c r="Q1028" s="51">
        <f t="shared" si="173"/>
        <v>0</v>
      </c>
      <c r="R1028" s="51">
        <f t="shared" si="176"/>
        <v>0</v>
      </c>
      <c r="S1028"/>
      <c r="T1028" s="83"/>
    </row>
    <row r="1029" spans="1:20" ht="16" x14ac:dyDescent="0.2">
      <c r="A1029"/>
      <c r="B1029" s="103"/>
      <c r="C1029" s="243"/>
      <c r="D1029" s="119">
        <v>1016</v>
      </c>
      <c r="E1029" s="25" t="str">
        <f>Tp_CHG!S236</f>
        <v>Transition Probability from state 4 to state 8 on day 1 (CHG)</v>
      </c>
      <c r="F1029" s="40">
        <f t="shared" si="170"/>
        <v>0</v>
      </c>
      <c r="G1029" s="156">
        <v>1</v>
      </c>
      <c r="H1029" s="120">
        <f>Tp_CHG!V236</f>
        <v>0</v>
      </c>
      <c r="I1029" s="40" t="s">
        <v>58</v>
      </c>
      <c r="J1029" s="40">
        <f t="shared" si="174"/>
        <v>0</v>
      </c>
      <c r="K1029" s="40">
        <f t="shared" si="175"/>
        <v>0</v>
      </c>
      <c r="L1029" s="40" t="s">
        <v>58</v>
      </c>
      <c r="M1029" s="50" t="s">
        <v>266</v>
      </c>
      <c r="N1029" s="190"/>
      <c r="O1029" s="40">
        <f t="shared" ca="1" si="171"/>
        <v>0.447696282626875</v>
      </c>
      <c r="P1029" s="51">
        <f t="shared" si="172"/>
        <v>0</v>
      </c>
      <c r="Q1029" s="51">
        <f t="shared" si="173"/>
        <v>0</v>
      </c>
      <c r="R1029" s="51">
        <f t="shared" si="176"/>
        <v>0</v>
      </c>
      <c r="S1029"/>
      <c r="T1029" s="83"/>
    </row>
    <row r="1030" spans="1:20" ht="16" x14ac:dyDescent="0.2">
      <c r="A1030"/>
      <c r="B1030" s="103"/>
      <c r="C1030" s="243"/>
      <c r="D1030" s="119">
        <v>1017</v>
      </c>
      <c r="E1030" s="25" t="str">
        <f>Tp_CHG!S237</f>
        <v>Transition Probability from state 4 to state 8 on day 2 (CHG)</v>
      </c>
      <c r="F1030" s="40">
        <f t="shared" si="170"/>
        <v>0</v>
      </c>
      <c r="G1030" s="156">
        <v>1</v>
      </c>
      <c r="H1030" s="120">
        <f>Tp_CHG!V237</f>
        <v>0</v>
      </c>
      <c r="I1030" s="40" t="s">
        <v>58</v>
      </c>
      <c r="J1030" s="40">
        <f t="shared" si="174"/>
        <v>0</v>
      </c>
      <c r="K1030" s="40">
        <f t="shared" si="175"/>
        <v>0</v>
      </c>
      <c r="L1030" s="40" t="s">
        <v>58</v>
      </c>
      <c r="M1030" s="50" t="s">
        <v>266</v>
      </c>
      <c r="N1030" s="190"/>
      <c r="O1030" s="40">
        <f t="shared" ca="1" si="171"/>
        <v>0.57507933365064057</v>
      </c>
      <c r="P1030" s="51">
        <f t="shared" si="172"/>
        <v>0</v>
      </c>
      <c r="Q1030" s="51">
        <f t="shared" si="173"/>
        <v>0</v>
      </c>
      <c r="R1030" s="51">
        <f t="shared" si="176"/>
        <v>0</v>
      </c>
      <c r="S1030"/>
      <c r="T1030" s="83"/>
    </row>
    <row r="1031" spans="1:20" ht="16" x14ac:dyDescent="0.2">
      <c r="A1031"/>
      <c r="B1031" s="103"/>
      <c r="C1031" s="243"/>
      <c r="D1031" s="119">
        <v>1018</v>
      </c>
      <c r="E1031" s="25" t="str">
        <f>Tp_CHG!S238</f>
        <v>Transition Probability from state 4 to state 8 on day 3 (CHG)</v>
      </c>
      <c r="F1031" s="40">
        <f t="shared" si="170"/>
        <v>0</v>
      </c>
      <c r="G1031" s="156">
        <v>1</v>
      </c>
      <c r="H1031" s="120">
        <f>Tp_CHG!V238</f>
        <v>0</v>
      </c>
      <c r="I1031" s="40" t="s">
        <v>58</v>
      </c>
      <c r="J1031" s="40">
        <f t="shared" si="174"/>
        <v>0</v>
      </c>
      <c r="K1031" s="40">
        <f t="shared" si="175"/>
        <v>0</v>
      </c>
      <c r="L1031" s="40" t="s">
        <v>58</v>
      </c>
      <c r="M1031" s="50" t="s">
        <v>266</v>
      </c>
      <c r="N1031" s="190"/>
      <c r="O1031" s="40">
        <f t="shared" ca="1" si="171"/>
        <v>0.67770860630991536</v>
      </c>
      <c r="P1031" s="51">
        <f t="shared" si="172"/>
        <v>0</v>
      </c>
      <c r="Q1031" s="51">
        <f t="shared" si="173"/>
        <v>0</v>
      </c>
      <c r="R1031" s="51">
        <f t="shared" si="176"/>
        <v>0</v>
      </c>
      <c r="S1031"/>
      <c r="T1031" s="83"/>
    </row>
    <row r="1032" spans="1:20" ht="16" x14ac:dyDescent="0.2">
      <c r="A1032"/>
      <c r="B1032" s="103"/>
      <c r="C1032" s="243"/>
      <c r="D1032" s="119">
        <v>1019</v>
      </c>
      <c r="E1032" s="25" t="str">
        <f>Tp_CHG!S239</f>
        <v>Transition Probability from state 4 to state 8 on day 4 (CHG)</v>
      </c>
      <c r="F1032" s="40">
        <f t="shared" si="170"/>
        <v>0</v>
      </c>
      <c r="G1032" s="156">
        <v>1</v>
      </c>
      <c r="H1032" s="120">
        <f>Tp_CHG!V239</f>
        <v>0</v>
      </c>
      <c r="I1032" s="40" t="s">
        <v>58</v>
      </c>
      <c r="J1032" s="40">
        <f t="shared" si="174"/>
        <v>0</v>
      </c>
      <c r="K1032" s="40">
        <f t="shared" si="175"/>
        <v>0</v>
      </c>
      <c r="L1032" s="40" t="s">
        <v>58</v>
      </c>
      <c r="M1032" s="50" t="s">
        <v>266</v>
      </c>
      <c r="N1032" s="190"/>
      <c r="O1032" s="40">
        <f t="shared" ca="1" si="171"/>
        <v>0.88399482438976718</v>
      </c>
      <c r="P1032" s="51">
        <f t="shared" si="172"/>
        <v>0</v>
      </c>
      <c r="Q1032" s="51">
        <f t="shared" si="173"/>
        <v>0</v>
      </c>
      <c r="R1032" s="51">
        <f t="shared" si="176"/>
        <v>0</v>
      </c>
      <c r="S1032"/>
      <c r="T1032" s="83"/>
    </row>
    <row r="1033" spans="1:20" ht="16" x14ac:dyDescent="0.2">
      <c r="A1033"/>
      <c r="B1033" s="103"/>
      <c r="C1033" s="243"/>
      <c r="D1033" s="119">
        <v>1020</v>
      </c>
      <c r="E1033" s="25" t="str">
        <f>Tp_CHG!S240</f>
        <v>Transition Probability from state 4 to state 8 on day 5 (CHG)</v>
      </c>
      <c r="F1033" s="40">
        <f t="shared" si="170"/>
        <v>0</v>
      </c>
      <c r="G1033" s="156">
        <v>1</v>
      </c>
      <c r="H1033" s="120">
        <f>Tp_CHG!V240</f>
        <v>0</v>
      </c>
      <c r="I1033" s="40" t="s">
        <v>58</v>
      </c>
      <c r="J1033" s="40">
        <f t="shared" si="174"/>
        <v>0</v>
      </c>
      <c r="K1033" s="40">
        <f t="shared" si="175"/>
        <v>0</v>
      </c>
      <c r="L1033" s="40" t="s">
        <v>58</v>
      </c>
      <c r="M1033" s="50" t="s">
        <v>266</v>
      </c>
      <c r="N1033" s="190"/>
      <c r="O1033" s="40">
        <f t="shared" ca="1" si="171"/>
        <v>7.4639826165004974E-2</v>
      </c>
      <c r="P1033" s="51">
        <f t="shared" si="172"/>
        <v>0</v>
      </c>
      <c r="Q1033" s="51">
        <f t="shared" si="173"/>
        <v>0</v>
      </c>
      <c r="R1033" s="51">
        <f t="shared" si="176"/>
        <v>0</v>
      </c>
      <c r="S1033"/>
      <c r="T1033" s="83"/>
    </row>
    <row r="1034" spans="1:20" ht="16" x14ac:dyDescent="0.2">
      <c r="A1034"/>
      <c r="B1034" s="103"/>
      <c r="C1034" s="243"/>
      <c r="D1034" s="119">
        <v>1021</v>
      </c>
      <c r="E1034" s="25" t="str">
        <f>Tp_CHG!S241</f>
        <v>Transition Probability from state 4 to state 8 on day 6 (CHG)</v>
      </c>
      <c r="F1034" s="40">
        <f t="shared" si="170"/>
        <v>0</v>
      </c>
      <c r="G1034" s="156">
        <v>1</v>
      </c>
      <c r="H1034" s="120">
        <f>Tp_CHG!V241</f>
        <v>0</v>
      </c>
      <c r="I1034" s="40" t="s">
        <v>58</v>
      </c>
      <c r="J1034" s="40">
        <f t="shared" si="174"/>
        <v>0</v>
      </c>
      <c r="K1034" s="40">
        <f t="shared" si="175"/>
        <v>0</v>
      </c>
      <c r="L1034" s="40" t="s">
        <v>58</v>
      </c>
      <c r="M1034" s="50" t="s">
        <v>266</v>
      </c>
      <c r="N1034" s="190"/>
      <c r="O1034" s="40">
        <f t="shared" ca="1" si="171"/>
        <v>4.035076739463006E-2</v>
      </c>
      <c r="P1034" s="51">
        <f t="shared" si="172"/>
        <v>0</v>
      </c>
      <c r="Q1034" s="51">
        <f t="shared" si="173"/>
        <v>0</v>
      </c>
      <c r="R1034" s="51">
        <f t="shared" si="176"/>
        <v>0</v>
      </c>
      <c r="S1034"/>
      <c r="T1034" s="83"/>
    </row>
    <row r="1035" spans="1:20" ht="16" x14ac:dyDescent="0.2">
      <c r="A1035"/>
      <c r="B1035" s="103"/>
      <c r="C1035" s="243"/>
      <c r="D1035" s="119">
        <v>1022</v>
      </c>
      <c r="E1035" s="25" t="str">
        <f>Tp_CHG!S242</f>
        <v>Transition Probability from state 4 to state 8 on day 7 (CHG)</v>
      </c>
      <c r="F1035" s="40">
        <f t="shared" si="170"/>
        <v>0</v>
      </c>
      <c r="G1035" s="156">
        <v>1</v>
      </c>
      <c r="H1035" s="120">
        <f>Tp_CHG!V242</f>
        <v>0</v>
      </c>
      <c r="I1035" s="40" t="s">
        <v>58</v>
      </c>
      <c r="J1035" s="40">
        <f t="shared" si="174"/>
        <v>0</v>
      </c>
      <c r="K1035" s="40">
        <f t="shared" si="175"/>
        <v>0</v>
      </c>
      <c r="L1035" s="40" t="s">
        <v>58</v>
      </c>
      <c r="M1035" s="50" t="s">
        <v>266</v>
      </c>
      <c r="N1035" s="190"/>
      <c r="O1035" s="40">
        <f t="shared" ca="1" si="171"/>
        <v>0.93551281144568066</v>
      </c>
      <c r="P1035" s="51">
        <f t="shared" si="172"/>
        <v>0</v>
      </c>
      <c r="Q1035" s="51">
        <f t="shared" si="173"/>
        <v>0</v>
      </c>
      <c r="R1035" s="51">
        <f t="shared" si="176"/>
        <v>0</v>
      </c>
      <c r="S1035"/>
      <c r="T1035" s="83"/>
    </row>
    <row r="1036" spans="1:20" ht="16" x14ac:dyDescent="0.2">
      <c r="A1036"/>
      <c r="B1036" s="103"/>
      <c r="C1036" s="243"/>
      <c r="D1036" s="119">
        <v>1023</v>
      </c>
      <c r="E1036" s="25" t="str">
        <f>Tp_CHG!S243</f>
        <v>Transition Probability from state 4 to state 8 on day 8 (CHG)</v>
      </c>
      <c r="F1036" s="40">
        <f t="shared" si="170"/>
        <v>0</v>
      </c>
      <c r="G1036" s="156">
        <v>1</v>
      </c>
      <c r="H1036" s="120">
        <f>Tp_CHG!V243</f>
        <v>0</v>
      </c>
      <c r="I1036" s="40" t="s">
        <v>58</v>
      </c>
      <c r="J1036" s="40">
        <f t="shared" si="174"/>
        <v>0</v>
      </c>
      <c r="K1036" s="40">
        <f t="shared" si="175"/>
        <v>0</v>
      </c>
      <c r="L1036" s="40" t="s">
        <v>58</v>
      </c>
      <c r="M1036" s="50" t="s">
        <v>266</v>
      </c>
      <c r="N1036" s="190"/>
      <c r="O1036" s="40">
        <f t="shared" ca="1" si="171"/>
        <v>0.34298734925895824</v>
      </c>
      <c r="P1036" s="51">
        <f t="shared" si="172"/>
        <v>0</v>
      </c>
      <c r="Q1036" s="51">
        <f t="shared" si="173"/>
        <v>0</v>
      </c>
      <c r="R1036" s="51">
        <f t="shared" si="176"/>
        <v>0</v>
      </c>
      <c r="S1036"/>
      <c r="T1036" s="83"/>
    </row>
    <row r="1037" spans="1:20" ht="16" x14ac:dyDescent="0.2">
      <c r="A1037"/>
      <c r="B1037" s="103"/>
      <c r="C1037" s="243"/>
      <c r="D1037" s="119">
        <v>1024</v>
      </c>
      <c r="E1037" s="25" t="str">
        <f>Tp_CHG!S244</f>
        <v>Transition Probability from state 4 to state 8 on day 9 (CHG)</v>
      </c>
      <c r="F1037" s="40">
        <f t="shared" si="170"/>
        <v>0</v>
      </c>
      <c r="G1037" s="156">
        <v>1</v>
      </c>
      <c r="H1037" s="120">
        <f>Tp_CHG!V244</f>
        <v>0</v>
      </c>
      <c r="I1037" s="40" t="s">
        <v>58</v>
      </c>
      <c r="J1037" s="40">
        <f t="shared" si="174"/>
        <v>0</v>
      </c>
      <c r="K1037" s="40">
        <f t="shared" si="175"/>
        <v>0</v>
      </c>
      <c r="L1037" s="40" t="s">
        <v>58</v>
      </c>
      <c r="M1037" s="50" t="s">
        <v>266</v>
      </c>
      <c r="N1037" s="190"/>
      <c r="O1037" s="40">
        <f t="shared" ca="1" si="171"/>
        <v>3.033437999020816E-2</v>
      </c>
      <c r="P1037" s="51">
        <f t="shared" si="172"/>
        <v>0</v>
      </c>
      <c r="Q1037" s="51">
        <f t="shared" si="173"/>
        <v>0</v>
      </c>
      <c r="R1037" s="51">
        <f t="shared" si="176"/>
        <v>0</v>
      </c>
      <c r="S1037"/>
      <c r="T1037" s="83"/>
    </row>
    <row r="1038" spans="1:20" ht="16" x14ac:dyDescent="0.2">
      <c r="A1038"/>
      <c r="B1038" s="103"/>
      <c r="C1038" s="243"/>
      <c r="D1038" s="119">
        <v>1025</v>
      </c>
      <c r="E1038" s="25" t="str">
        <f>Tp_CHG!S245</f>
        <v>Transition Probability from state 4 to state 8 on day 10 (CHG)</v>
      </c>
      <c r="F1038" s="40">
        <f t="shared" si="170"/>
        <v>0</v>
      </c>
      <c r="G1038" s="156">
        <v>1</v>
      </c>
      <c r="H1038" s="120">
        <f>Tp_CHG!V245</f>
        <v>0</v>
      </c>
      <c r="I1038" s="40" t="s">
        <v>58</v>
      </c>
      <c r="J1038" s="40">
        <f t="shared" si="174"/>
        <v>0</v>
      </c>
      <c r="K1038" s="40">
        <f t="shared" si="175"/>
        <v>0</v>
      </c>
      <c r="L1038" s="40" t="s">
        <v>58</v>
      </c>
      <c r="M1038" s="50" t="s">
        <v>266</v>
      </c>
      <c r="N1038" s="190"/>
      <c r="O1038" s="40">
        <f t="shared" ca="1" si="171"/>
        <v>0.30663832882581699</v>
      </c>
      <c r="P1038" s="51">
        <f t="shared" si="172"/>
        <v>0</v>
      </c>
      <c r="Q1038" s="51">
        <f t="shared" si="173"/>
        <v>0</v>
      </c>
      <c r="R1038" s="51">
        <f t="shared" si="176"/>
        <v>0</v>
      </c>
      <c r="S1038"/>
      <c r="T1038" s="83"/>
    </row>
    <row r="1039" spans="1:20" ht="16" x14ac:dyDescent="0.2">
      <c r="A1039"/>
      <c r="B1039" s="103"/>
      <c r="C1039" s="243"/>
      <c r="D1039" s="119">
        <v>1026</v>
      </c>
      <c r="E1039" s="25" t="str">
        <f>Tp_CHG!S246</f>
        <v>Transition Probability from state 4 to state 8 on day 11 (CHG)</v>
      </c>
      <c r="F1039" s="40">
        <f t="shared" ref="F1039:F1102" si="177">IFERROR(CHOOSE(G1039,H1039,J1039,K1039,N1039),0)</f>
        <v>0</v>
      </c>
      <c r="G1039" s="156">
        <v>1</v>
      </c>
      <c r="H1039" s="120">
        <f>Tp_CHG!V246</f>
        <v>0</v>
      </c>
      <c r="I1039" s="40" t="s">
        <v>58</v>
      </c>
      <c r="J1039" s="40">
        <f t="shared" si="174"/>
        <v>0</v>
      </c>
      <c r="K1039" s="40">
        <f t="shared" si="175"/>
        <v>0</v>
      </c>
      <c r="L1039" s="40" t="s">
        <v>58</v>
      </c>
      <c r="M1039" s="50" t="s">
        <v>266</v>
      </c>
      <c r="N1039" s="190"/>
      <c r="O1039" s="40">
        <f t="shared" ref="O1039:O1154" ca="1" si="178">RAND()</f>
        <v>0.18476892132837308</v>
      </c>
      <c r="P1039" s="51">
        <f t="shared" si="172"/>
        <v>0</v>
      </c>
      <c r="Q1039" s="51">
        <f t="shared" si="173"/>
        <v>0</v>
      </c>
      <c r="R1039" s="51">
        <f t="shared" si="176"/>
        <v>0</v>
      </c>
      <c r="S1039"/>
      <c r="T1039" s="83"/>
    </row>
    <row r="1040" spans="1:20" ht="16" x14ac:dyDescent="0.2">
      <c r="A1040"/>
      <c r="B1040" s="103"/>
      <c r="C1040" s="243"/>
      <c r="D1040" s="119">
        <v>1027</v>
      </c>
      <c r="E1040" s="25" t="str">
        <f>Tp_CHG!S247</f>
        <v>Transition Probability from state 4 to state 8 on day 12 (CHG)</v>
      </c>
      <c r="F1040" s="40">
        <f t="shared" si="177"/>
        <v>0</v>
      </c>
      <c r="G1040" s="156">
        <v>1</v>
      </c>
      <c r="H1040" s="120">
        <f>Tp_CHG!V247</f>
        <v>0</v>
      </c>
      <c r="I1040" s="40" t="s">
        <v>58</v>
      </c>
      <c r="J1040" s="40">
        <f t="shared" si="174"/>
        <v>0</v>
      </c>
      <c r="K1040" s="40">
        <f t="shared" si="175"/>
        <v>0</v>
      </c>
      <c r="L1040" s="40" t="s">
        <v>58</v>
      </c>
      <c r="M1040" s="50" t="s">
        <v>266</v>
      </c>
      <c r="N1040" s="190"/>
      <c r="O1040" s="40">
        <f t="shared" ca="1" si="178"/>
        <v>0.18262355559981081</v>
      </c>
      <c r="P1040" s="51">
        <f t="shared" si="172"/>
        <v>0</v>
      </c>
      <c r="Q1040" s="51">
        <f t="shared" si="173"/>
        <v>0</v>
      </c>
      <c r="R1040" s="51">
        <f t="shared" si="176"/>
        <v>0</v>
      </c>
      <c r="S1040"/>
      <c r="T1040" s="83"/>
    </row>
    <row r="1041" spans="1:20" ht="16" x14ac:dyDescent="0.2">
      <c r="A1041"/>
      <c r="B1041" s="103"/>
      <c r="C1041" s="243"/>
      <c r="D1041" s="119">
        <v>1028</v>
      </c>
      <c r="E1041" s="25" t="str">
        <f>Tp_CHG!S248</f>
        <v>Transition Probability from state 4 to state 8 on day 13 (CHG)</v>
      </c>
      <c r="F1041" s="40">
        <f t="shared" si="177"/>
        <v>0</v>
      </c>
      <c r="G1041" s="156">
        <v>1</v>
      </c>
      <c r="H1041" s="120">
        <f>Tp_CHG!V248</f>
        <v>0</v>
      </c>
      <c r="I1041" s="40" t="s">
        <v>58</v>
      </c>
      <c r="J1041" s="40">
        <f t="shared" si="174"/>
        <v>0</v>
      </c>
      <c r="K1041" s="40">
        <f t="shared" si="175"/>
        <v>0</v>
      </c>
      <c r="L1041" s="40" t="s">
        <v>58</v>
      </c>
      <c r="M1041" s="50" t="s">
        <v>266</v>
      </c>
      <c r="N1041" s="190"/>
      <c r="O1041" s="40">
        <f t="shared" ca="1" si="178"/>
        <v>0.86136951401070072</v>
      </c>
      <c r="P1041" s="51">
        <f t="shared" ref="P1041:P1104" si="179">IFERROR(H1041*((H1041*(1-H1041)/(R1041^2))-1),0)</f>
        <v>0</v>
      </c>
      <c r="Q1041" s="51">
        <f t="shared" ref="Q1041:Q1104" si="180">IFERROR((1-H1041)*((H1041*(1-H1041))/(R1041^2)-1),0)</f>
        <v>0</v>
      </c>
      <c r="R1041" s="51">
        <f t="shared" si="176"/>
        <v>0</v>
      </c>
      <c r="S1041"/>
      <c r="T1041" s="83"/>
    </row>
    <row r="1042" spans="1:20" ht="16" x14ac:dyDescent="0.2">
      <c r="A1042"/>
      <c r="B1042" s="103"/>
      <c r="C1042" s="243"/>
      <c r="D1042" s="119">
        <v>1029</v>
      </c>
      <c r="E1042" s="25" t="str">
        <f>Tp_CHG!S249</f>
        <v>Transition Probability from state 4 to state 8 on day 14 (CHG)</v>
      </c>
      <c r="F1042" s="40">
        <f t="shared" si="177"/>
        <v>0</v>
      </c>
      <c r="G1042" s="156">
        <v>1</v>
      </c>
      <c r="H1042" s="120">
        <f>Tp_CHG!V249</f>
        <v>0</v>
      </c>
      <c r="I1042" s="40" t="s">
        <v>58</v>
      </c>
      <c r="J1042" s="40">
        <f t="shared" si="174"/>
        <v>0</v>
      </c>
      <c r="K1042" s="40">
        <f t="shared" si="175"/>
        <v>0</v>
      </c>
      <c r="L1042" s="40" t="s">
        <v>58</v>
      </c>
      <c r="M1042" s="50" t="s">
        <v>266</v>
      </c>
      <c r="N1042" s="190"/>
      <c r="O1042" s="40">
        <f t="shared" ca="1" si="178"/>
        <v>0.50105489468482012</v>
      </c>
      <c r="P1042" s="51">
        <f t="shared" si="179"/>
        <v>0</v>
      </c>
      <c r="Q1042" s="51">
        <f t="shared" si="180"/>
        <v>0</v>
      </c>
      <c r="R1042" s="51">
        <f t="shared" si="176"/>
        <v>0</v>
      </c>
      <c r="S1042"/>
      <c r="T1042" s="83"/>
    </row>
    <row r="1043" spans="1:20" ht="16" x14ac:dyDescent="0.2">
      <c r="A1043"/>
      <c r="B1043" s="103"/>
      <c r="C1043" s="243"/>
      <c r="D1043" s="119">
        <v>1030</v>
      </c>
      <c r="E1043" s="25" t="str">
        <f>Tp_CHG!S250</f>
        <v>Transition Probability from state 4 to state 8 on day 15 (CHG)</v>
      </c>
      <c r="F1043" s="40">
        <f t="shared" si="177"/>
        <v>0</v>
      </c>
      <c r="G1043" s="156">
        <v>1</v>
      </c>
      <c r="H1043" s="120">
        <f>Tp_CHG!V250</f>
        <v>0</v>
      </c>
      <c r="I1043" s="40" t="s">
        <v>58</v>
      </c>
      <c r="J1043" s="40">
        <f t="shared" si="174"/>
        <v>0</v>
      </c>
      <c r="K1043" s="40">
        <f t="shared" si="175"/>
        <v>0</v>
      </c>
      <c r="L1043" s="40" t="s">
        <v>58</v>
      </c>
      <c r="M1043" s="50" t="s">
        <v>266</v>
      </c>
      <c r="N1043" s="190"/>
      <c r="O1043" s="40">
        <f t="shared" ca="1" si="178"/>
        <v>0.312908109899662</v>
      </c>
      <c r="P1043" s="51">
        <f t="shared" si="179"/>
        <v>0</v>
      </c>
      <c r="Q1043" s="51">
        <f t="shared" si="180"/>
        <v>0</v>
      </c>
      <c r="R1043" s="51">
        <f t="shared" si="176"/>
        <v>0</v>
      </c>
      <c r="S1043"/>
      <c r="T1043" s="83"/>
    </row>
    <row r="1044" spans="1:20" ht="16" x14ac:dyDescent="0.2">
      <c r="A1044"/>
      <c r="B1044" s="103"/>
      <c r="C1044" s="243"/>
      <c r="D1044" s="119">
        <v>1031</v>
      </c>
      <c r="E1044" s="25" t="str">
        <f>Tp_CHG!S251</f>
        <v>Transition Probability from state 4 to state 8 on day 16 (CHG)</v>
      </c>
      <c r="F1044" s="40">
        <f t="shared" si="177"/>
        <v>0</v>
      </c>
      <c r="G1044" s="156">
        <v>1</v>
      </c>
      <c r="H1044" s="120">
        <f>Tp_CHG!V251</f>
        <v>0</v>
      </c>
      <c r="I1044" s="40" t="s">
        <v>58</v>
      </c>
      <c r="J1044" s="40">
        <f t="shared" si="174"/>
        <v>0</v>
      </c>
      <c r="K1044" s="40">
        <f t="shared" si="175"/>
        <v>0</v>
      </c>
      <c r="L1044" s="40" t="s">
        <v>58</v>
      </c>
      <c r="M1044" s="50" t="s">
        <v>266</v>
      </c>
      <c r="N1044" s="190"/>
      <c r="O1044" s="40">
        <f t="shared" ca="1" si="178"/>
        <v>0.6546938497811029</v>
      </c>
      <c r="P1044" s="51">
        <f t="shared" si="179"/>
        <v>0</v>
      </c>
      <c r="Q1044" s="51">
        <f t="shared" si="180"/>
        <v>0</v>
      </c>
      <c r="R1044" s="51">
        <f t="shared" si="176"/>
        <v>0</v>
      </c>
      <c r="S1044"/>
      <c r="T1044" s="83"/>
    </row>
    <row r="1045" spans="1:20" ht="16" x14ac:dyDescent="0.2">
      <c r="A1045"/>
      <c r="B1045" s="103"/>
      <c r="C1045" s="243"/>
      <c r="D1045" s="119">
        <v>1032</v>
      </c>
      <c r="E1045" s="25" t="str">
        <f>Tp_CHG!S252</f>
        <v>Transition Probability from state 4 to state 8 on day 17 (CHG)</v>
      </c>
      <c r="F1045" s="40">
        <f t="shared" si="177"/>
        <v>0</v>
      </c>
      <c r="G1045" s="156">
        <v>1</v>
      </c>
      <c r="H1045" s="120">
        <f>Tp_CHG!V252</f>
        <v>0</v>
      </c>
      <c r="I1045" s="40" t="s">
        <v>58</v>
      </c>
      <c r="J1045" s="40">
        <f t="shared" si="174"/>
        <v>0</v>
      </c>
      <c r="K1045" s="40">
        <f t="shared" si="175"/>
        <v>0</v>
      </c>
      <c r="L1045" s="40" t="s">
        <v>58</v>
      </c>
      <c r="M1045" s="50" t="s">
        <v>266</v>
      </c>
      <c r="N1045" s="190"/>
      <c r="O1045" s="40">
        <f t="shared" ca="1" si="178"/>
        <v>0.49733782392373072</v>
      </c>
      <c r="P1045" s="51">
        <f t="shared" si="179"/>
        <v>0</v>
      </c>
      <c r="Q1045" s="51">
        <f t="shared" si="180"/>
        <v>0</v>
      </c>
      <c r="R1045" s="51">
        <f t="shared" si="176"/>
        <v>0</v>
      </c>
      <c r="S1045"/>
      <c r="T1045" s="83"/>
    </row>
    <row r="1046" spans="1:20" ht="16" x14ac:dyDescent="0.2">
      <c r="A1046"/>
      <c r="B1046" s="103"/>
      <c r="C1046" s="243"/>
      <c r="D1046" s="119">
        <v>1033</v>
      </c>
      <c r="E1046" s="25" t="str">
        <f>Tp_CHG!S253</f>
        <v>Transition Probability from state 4 to state 8 on day 18 (CHG)</v>
      </c>
      <c r="F1046" s="40">
        <f t="shared" si="177"/>
        <v>0</v>
      </c>
      <c r="G1046" s="156">
        <v>1</v>
      </c>
      <c r="H1046" s="120">
        <f>Tp_CHG!V253</f>
        <v>0</v>
      </c>
      <c r="I1046" s="40" t="s">
        <v>58</v>
      </c>
      <c r="J1046" s="40">
        <f t="shared" si="174"/>
        <v>0</v>
      </c>
      <c r="K1046" s="40">
        <f t="shared" si="175"/>
        <v>0</v>
      </c>
      <c r="L1046" s="40" t="s">
        <v>58</v>
      </c>
      <c r="M1046" s="50" t="s">
        <v>266</v>
      </c>
      <c r="N1046" s="190"/>
      <c r="O1046" s="40">
        <f t="shared" ca="1" si="178"/>
        <v>0.71004785262847148</v>
      </c>
      <c r="P1046" s="51">
        <f t="shared" si="179"/>
        <v>0</v>
      </c>
      <c r="Q1046" s="51">
        <f t="shared" si="180"/>
        <v>0</v>
      </c>
      <c r="R1046" s="51">
        <f t="shared" si="176"/>
        <v>0</v>
      </c>
      <c r="S1046"/>
      <c r="T1046" s="83"/>
    </row>
    <row r="1047" spans="1:20" ht="16" x14ac:dyDescent="0.2">
      <c r="A1047"/>
      <c r="B1047" s="103"/>
      <c r="C1047" s="243"/>
      <c r="D1047" s="119">
        <v>1034</v>
      </c>
      <c r="E1047" s="25" t="str">
        <f>Tp_CHG!S254</f>
        <v>Transition Probability from state 4 to state 8 on day 19 (CHG)</v>
      </c>
      <c r="F1047" s="40">
        <f t="shared" si="177"/>
        <v>0</v>
      </c>
      <c r="G1047" s="156">
        <v>1</v>
      </c>
      <c r="H1047" s="120">
        <f>Tp_CHG!V254</f>
        <v>0</v>
      </c>
      <c r="I1047" s="40" t="s">
        <v>58</v>
      </c>
      <c r="J1047" s="40">
        <f t="shared" si="174"/>
        <v>0</v>
      </c>
      <c r="K1047" s="40">
        <f t="shared" si="175"/>
        <v>0</v>
      </c>
      <c r="L1047" s="40" t="s">
        <v>58</v>
      </c>
      <c r="M1047" s="50" t="s">
        <v>266</v>
      </c>
      <c r="N1047" s="190"/>
      <c r="O1047" s="40">
        <f t="shared" ca="1" si="178"/>
        <v>3.9685975175259736E-2</v>
      </c>
      <c r="P1047" s="51">
        <f t="shared" si="179"/>
        <v>0</v>
      </c>
      <c r="Q1047" s="51">
        <f t="shared" si="180"/>
        <v>0</v>
      </c>
      <c r="R1047" s="51">
        <f t="shared" si="176"/>
        <v>0</v>
      </c>
      <c r="S1047"/>
      <c r="T1047" s="83"/>
    </row>
    <row r="1048" spans="1:20" ht="16" x14ac:dyDescent="0.2">
      <c r="A1048"/>
      <c r="B1048" s="103"/>
      <c r="C1048" s="243"/>
      <c r="D1048" s="119">
        <v>1035</v>
      </c>
      <c r="E1048" s="25" t="str">
        <f>Tp_CHG!S255</f>
        <v>Transition Probability from state 4 to state 8 on day 20 (CHG)</v>
      </c>
      <c r="F1048" s="40">
        <f t="shared" si="177"/>
        <v>0</v>
      </c>
      <c r="G1048" s="156">
        <v>1</v>
      </c>
      <c r="H1048" s="120">
        <f>Tp_CHG!V255</f>
        <v>0</v>
      </c>
      <c r="I1048" s="40" t="s">
        <v>58</v>
      </c>
      <c r="J1048" s="40">
        <f t="shared" si="174"/>
        <v>0</v>
      </c>
      <c r="K1048" s="40">
        <f t="shared" si="175"/>
        <v>0</v>
      </c>
      <c r="L1048" s="40" t="s">
        <v>58</v>
      </c>
      <c r="M1048" s="50" t="s">
        <v>266</v>
      </c>
      <c r="N1048" s="190"/>
      <c r="O1048" s="40">
        <f t="shared" ca="1" si="178"/>
        <v>0.90172112056893738</v>
      </c>
      <c r="P1048" s="51">
        <f t="shared" si="179"/>
        <v>0</v>
      </c>
      <c r="Q1048" s="51">
        <f t="shared" si="180"/>
        <v>0</v>
      </c>
      <c r="R1048" s="51">
        <f t="shared" si="176"/>
        <v>0</v>
      </c>
      <c r="S1048"/>
      <c r="T1048" s="83"/>
    </row>
    <row r="1049" spans="1:20" ht="16" x14ac:dyDescent="0.2">
      <c r="A1049"/>
      <c r="B1049" s="103"/>
      <c r="C1049" s="243"/>
      <c r="D1049" s="119">
        <v>1036</v>
      </c>
      <c r="E1049" s="25" t="str">
        <f>Tp_CHG!S256</f>
        <v>Transition Probability from state 4 to state 8 on day 21 (CHG)</v>
      </c>
      <c r="F1049" s="40">
        <f t="shared" si="177"/>
        <v>0</v>
      </c>
      <c r="G1049" s="156">
        <v>1</v>
      </c>
      <c r="H1049" s="120">
        <f>Tp_CHG!V256</f>
        <v>0</v>
      </c>
      <c r="I1049" s="40" t="s">
        <v>58</v>
      </c>
      <c r="J1049" s="40">
        <f t="shared" si="174"/>
        <v>0</v>
      </c>
      <c r="K1049" s="40">
        <f t="shared" si="175"/>
        <v>0</v>
      </c>
      <c r="L1049" s="40" t="s">
        <v>58</v>
      </c>
      <c r="M1049" s="50" t="s">
        <v>266</v>
      </c>
      <c r="N1049" s="190"/>
      <c r="O1049" s="40">
        <f t="shared" ca="1" si="178"/>
        <v>0.49192322552320211</v>
      </c>
      <c r="P1049" s="51">
        <f t="shared" si="179"/>
        <v>0</v>
      </c>
      <c r="Q1049" s="51">
        <f t="shared" si="180"/>
        <v>0</v>
      </c>
      <c r="R1049" s="51">
        <f t="shared" si="176"/>
        <v>0</v>
      </c>
      <c r="S1049"/>
      <c r="T1049" s="83"/>
    </row>
    <row r="1050" spans="1:20" ht="16" x14ac:dyDescent="0.2">
      <c r="A1050"/>
      <c r="B1050" s="103"/>
      <c r="C1050" s="243"/>
      <c r="D1050" s="119">
        <v>1037</v>
      </c>
      <c r="E1050" s="25" t="str">
        <f>Tp_CHG!S257</f>
        <v>Transition Probability from state 4 to state 8 on day 22 (CHG)</v>
      </c>
      <c r="F1050" s="40">
        <f t="shared" si="177"/>
        <v>0</v>
      </c>
      <c r="G1050" s="156">
        <v>1</v>
      </c>
      <c r="H1050" s="120">
        <f>Tp_CHG!V257</f>
        <v>0</v>
      </c>
      <c r="I1050" s="40" t="s">
        <v>58</v>
      </c>
      <c r="J1050" s="40">
        <f t="shared" si="174"/>
        <v>0</v>
      </c>
      <c r="K1050" s="40">
        <f t="shared" si="175"/>
        <v>0</v>
      </c>
      <c r="L1050" s="40" t="s">
        <v>58</v>
      </c>
      <c r="M1050" s="50" t="s">
        <v>266</v>
      </c>
      <c r="N1050" s="190"/>
      <c r="O1050" s="40">
        <f t="shared" ca="1" si="178"/>
        <v>0.95868582286851456</v>
      </c>
      <c r="P1050" s="51">
        <f t="shared" si="179"/>
        <v>0</v>
      </c>
      <c r="Q1050" s="51">
        <f t="shared" si="180"/>
        <v>0</v>
      </c>
      <c r="R1050" s="51">
        <f t="shared" si="176"/>
        <v>0</v>
      </c>
      <c r="S1050"/>
      <c r="T1050" s="83"/>
    </row>
    <row r="1051" spans="1:20" ht="16" x14ac:dyDescent="0.2">
      <c r="A1051"/>
      <c r="B1051" s="103"/>
      <c r="C1051" s="243"/>
      <c r="D1051" s="119">
        <v>1038</v>
      </c>
      <c r="E1051" s="25" t="str">
        <f>Tp_CHG!S258</f>
        <v>Transition Probability from state 4 to state 8 on day 23 (CHG)</v>
      </c>
      <c r="F1051" s="40">
        <f t="shared" si="177"/>
        <v>0</v>
      </c>
      <c r="G1051" s="156">
        <v>1</v>
      </c>
      <c r="H1051" s="120">
        <f>Tp_CHG!V258</f>
        <v>0</v>
      </c>
      <c r="I1051" s="40" t="s">
        <v>58</v>
      </c>
      <c r="J1051" s="40">
        <f t="shared" si="174"/>
        <v>0</v>
      </c>
      <c r="K1051" s="40">
        <f t="shared" si="175"/>
        <v>0</v>
      </c>
      <c r="L1051" s="40" t="s">
        <v>58</v>
      </c>
      <c r="M1051" s="50" t="s">
        <v>266</v>
      </c>
      <c r="N1051" s="190"/>
      <c r="O1051" s="40">
        <f t="shared" ca="1" si="178"/>
        <v>0.67767086491354378</v>
      </c>
      <c r="P1051" s="51">
        <f t="shared" si="179"/>
        <v>0</v>
      </c>
      <c r="Q1051" s="51">
        <f t="shared" si="180"/>
        <v>0</v>
      </c>
      <c r="R1051" s="51">
        <f t="shared" si="176"/>
        <v>0</v>
      </c>
      <c r="S1051"/>
      <c r="T1051" s="83"/>
    </row>
    <row r="1052" spans="1:20" ht="16" x14ac:dyDescent="0.2">
      <c r="A1052"/>
      <c r="B1052" s="103"/>
      <c r="C1052" s="243"/>
      <c r="D1052" s="119">
        <v>1039</v>
      </c>
      <c r="E1052" s="25" t="str">
        <f>Tp_CHG!S259</f>
        <v>Transition Probability from state 4 to state 8 on day 24 (CHG)</v>
      </c>
      <c r="F1052" s="40">
        <f t="shared" si="177"/>
        <v>0</v>
      </c>
      <c r="G1052" s="156">
        <v>1</v>
      </c>
      <c r="H1052" s="120">
        <f>Tp_CHG!V259</f>
        <v>0</v>
      </c>
      <c r="I1052" s="40" t="s">
        <v>58</v>
      </c>
      <c r="J1052" s="40">
        <f t="shared" si="174"/>
        <v>0</v>
      </c>
      <c r="K1052" s="40">
        <f t="shared" si="175"/>
        <v>0</v>
      </c>
      <c r="L1052" s="40" t="s">
        <v>58</v>
      </c>
      <c r="M1052" s="50" t="s">
        <v>266</v>
      </c>
      <c r="N1052" s="190"/>
      <c r="O1052" s="40">
        <f t="shared" ca="1" si="178"/>
        <v>0.7714797346943113</v>
      </c>
      <c r="P1052" s="51">
        <f t="shared" si="179"/>
        <v>0</v>
      </c>
      <c r="Q1052" s="51">
        <f t="shared" si="180"/>
        <v>0</v>
      </c>
      <c r="R1052" s="51">
        <f t="shared" si="176"/>
        <v>0</v>
      </c>
      <c r="S1052"/>
      <c r="T1052" s="83"/>
    </row>
    <row r="1053" spans="1:20" ht="16" x14ac:dyDescent="0.2">
      <c r="A1053"/>
      <c r="B1053" s="103"/>
      <c r="C1053" s="243"/>
      <c r="D1053" s="119">
        <v>1040</v>
      </c>
      <c r="E1053" s="25" t="str">
        <f>Tp_CHG!S260</f>
        <v>Transition Probability from state 4 to state 8 on day 25 (CHG)</v>
      </c>
      <c r="F1053" s="40">
        <f t="shared" si="177"/>
        <v>0</v>
      </c>
      <c r="G1053" s="156">
        <v>1</v>
      </c>
      <c r="H1053" s="120">
        <f>Tp_CHG!V260</f>
        <v>0</v>
      </c>
      <c r="I1053" s="40" t="s">
        <v>58</v>
      </c>
      <c r="J1053" s="40">
        <f t="shared" si="174"/>
        <v>0</v>
      </c>
      <c r="K1053" s="40">
        <f t="shared" si="175"/>
        <v>0</v>
      </c>
      <c r="L1053" s="40" t="s">
        <v>58</v>
      </c>
      <c r="M1053" s="50" t="s">
        <v>266</v>
      </c>
      <c r="N1053" s="190"/>
      <c r="O1053" s="40">
        <f t="shared" ca="1" si="178"/>
        <v>0.90853333892873478</v>
      </c>
      <c r="P1053" s="51">
        <f t="shared" si="179"/>
        <v>0</v>
      </c>
      <c r="Q1053" s="51">
        <f t="shared" si="180"/>
        <v>0</v>
      </c>
      <c r="R1053" s="51">
        <f t="shared" si="176"/>
        <v>0</v>
      </c>
      <c r="S1053"/>
      <c r="T1053" s="83"/>
    </row>
    <row r="1054" spans="1:20" ht="16" x14ac:dyDescent="0.2">
      <c r="A1054"/>
      <c r="B1054" s="103">
        <v>4</v>
      </c>
      <c r="C1054" s="243"/>
      <c r="D1054" s="119">
        <v>1041</v>
      </c>
      <c r="E1054" s="25" t="str">
        <f>Tp_CHG!S261</f>
        <v>Transition Probability from state 4 to state 8 on day 26 (CHG)</v>
      </c>
      <c r="F1054" s="40">
        <f t="shared" si="177"/>
        <v>0</v>
      </c>
      <c r="G1054" s="156">
        <v>1</v>
      </c>
      <c r="H1054" s="120">
        <f>Tp_CHG!V261</f>
        <v>0</v>
      </c>
      <c r="I1054" s="40" t="s">
        <v>58</v>
      </c>
      <c r="J1054" s="40">
        <f t="shared" si="174"/>
        <v>0</v>
      </c>
      <c r="K1054" s="40">
        <f t="shared" si="175"/>
        <v>0</v>
      </c>
      <c r="L1054" s="40" t="s">
        <v>58</v>
      </c>
      <c r="M1054" s="50" t="s">
        <v>266</v>
      </c>
      <c r="N1054" s="190"/>
      <c r="O1054" s="40">
        <f t="shared" ca="1" si="178"/>
        <v>0.69315947557292024</v>
      </c>
      <c r="P1054" s="51">
        <f t="shared" si="179"/>
        <v>0</v>
      </c>
      <c r="Q1054" s="51">
        <f t="shared" si="180"/>
        <v>0</v>
      </c>
      <c r="R1054" s="51">
        <f t="shared" si="176"/>
        <v>0</v>
      </c>
      <c r="S1054"/>
      <c r="T1054" s="83"/>
    </row>
    <row r="1055" spans="1:20" ht="16" x14ac:dyDescent="0.2">
      <c r="A1055"/>
      <c r="B1055" s="103"/>
      <c r="C1055" s="243"/>
      <c r="D1055" s="119">
        <v>1042</v>
      </c>
      <c r="E1055" s="25" t="str">
        <f>Tp_CHG!S262</f>
        <v>Transition Probability from state 4 to state 8 on day 27 (CHG)</v>
      </c>
      <c r="F1055" s="40">
        <f t="shared" si="177"/>
        <v>0</v>
      </c>
      <c r="G1055" s="156">
        <v>1</v>
      </c>
      <c r="H1055" s="120">
        <f>Tp_CHG!V262</f>
        <v>0</v>
      </c>
      <c r="I1055" s="40" t="s">
        <v>58</v>
      </c>
      <c r="J1055" s="40">
        <f t="shared" si="174"/>
        <v>0</v>
      </c>
      <c r="K1055" s="40">
        <f t="shared" si="175"/>
        <v>0</v>
      </c>
      <c r="L1055" s="40" t="s">
        <v>58</v>
      </c>
      <c r="M1055" s="50" t="s">
        <v>266</v>
      </c>
      <c r="N1055" s="190"/>
      <c r="O1055" s="40">
        <f t="shared" ca="1" si="178"/>
        <v>0.95508559310461749</v>
      </c>
      <c r="P1055" s="51">
        <f t="shared" si="179"/>
        <v>0</v>
      </c>
      <c r="Q1055" s="51">
        <f t="shared" si="180"/>
        <v>0</v>
      </c>
      <c r="R1055" s="51">
        <f t="shared" si="176"/>
        <v>0</v>
      </c>
      <c r="S1055"/>
      <c r="T1055" s="83"/>
    </row>
    <row r="1056" spans="1:20" ht="16" x14ac:dyDescent="0.2">
      <c r="A1056"/>
      <c r="B1056" s="103"/>
      <c r="C1056" s="243"/>
      <c r="D1056" s="119">
        <v>1043</v>
      </c>
      <c r="E1056" s="25" t="str">
        <f>Tp_CHG!S263</f>
        <v>Transition Probability from state 4 to state 8 on day 28 (CHG)</v>
      </c>
      <c r="F1056" s="40">
        <f t="shared" si="177"/>
        <v>0</v>
      </c>
      <c r="G1056" s="156">
        <v>1</v>
      </c>
      <c r="H1056" s="120">
        <f>Tp_CHG!V263</f>
        <v>0</v>
      </c>
      <c r="I1056" s="40" t="s">
        <v>58</v>
      </c>
      <c r="J1056" s="40">
        <f t="shared" si="174"/>
        <v>0</v>
      </c>
      <c r="K1056" s="40">
        <f t="shared" si="175"/>
        <v>0</v>
      </c>
      <c r="L1056" s="40" t="s">
        <v>58</v>
      </c>
      <c r="M1056" s="50" t="s">
        <v>266</v>
      </c>
      <c r="N1056" s="190"/>
      <c r="O1056" s="40">
        <f t="shared" ca="1" si="178"/>
        <v>0.36888268974392457</v>
      </c>
      <c r="P1056" s="51">
        <f t="shared" si="179"/>
        <v>0</v>
      </c>
      <c r="Q1056" s="51">
        <f t="shared" si="180"/>
        <v>0</v>
      </c>
      <c r="R1056" s="51">
        <f t="shared" si="176"/>
        <v>0</v>
      </c>
      <c r="S1056"/>
      <c r="T1056" s="83"/>
    </row>
    <row r="1057" spans="1:20" ht="16" x14ac:dyDescent="0.2">
      <c r="A1057"/>
      <c r="B1057" s="103"/>
      <c r="C1057" s="243"/>
      <c r="D1057" s="119">
        <v>1044</v>
      </c>
      <c r="E1057" s="25" t="str">
        <f>Tp_CHG!S264</f>
        <v>Transition Probability from state 4 to state 8 on day 29 (CHG)</v>
      </c>
      <c r="F1057" s="40">
        <f t="shared" si="177"/>
        <v>0</v>
      </c>
      <c r="G1057" s="156">
        <v>1</v>
      </c>
      <c r="H1057" s="120">
        <f>Tp_CHG!V264</f>
        <v>0</v>
      </c>
      <c r="I1057" s="40" t="s">
        <v>58</v>
      </c>
      <c r="J1057" s="40">
        <f t="shared" si="174"/>
        <v>0</v>
      </c>
      <c r="K1057" s="40">
        <f t="shared" si="175"/>
        <v>0</v>
      </c>
      <c r="L1057" s="40" t="s">
        <v>58</v>
      </c>
      <c r="M1057" s="50" t="s">
        <v>266</v>
      </c>
      <c r="N1057" s="190"/>
      <c r="O1057" s="40">
        <f t="shared" ca="1" si="178"/>
        <v>0.52556949682148579</v>
      </c>
      <c r="P1057" s="51">
        <f t="shared" si="179"/>
        <v>0</v>
      </c>
      <c r="Q1057" s="51">
        <f t="shared" si="180"/>
        <v>0</v>
      </c>
      <c r="R1057" s="51">
        <f t="shared" si="176"/>
        <v>0</v>
      </c>
      <c r="S1057"/>
      <c r="T1057" s="83"/>
    </row>
    <row r="1058" spans="1:20" ht="16" x14ac:dyDescent="0.2">
      <c r="A1058"/>
      <c r="B1058" s="103"/>
      <c r="C1058" s="243"/>
      <c r="D1058" s="119">
        <v>1045</v>
      </c>
      <c r="E1058" s="25" t="str">
        <f>Tp_CHG!S265</f>
        <v>Transition Probability from state 4 to state 8 on day 30 (CHG)</v>
      </c>
      <c r="F1058" s="40">
        <f t="shared" si="177"/>
        <v>0</v>
      </c>
      <c r="G1058" s="156">
        <v>1</v>
      </c>
      <c r="H1058" s="120">
        <f>Tp_CHG!V265</f>
        <v>0</v>
      </c>
      <c r="I1058" s="40" t="s">
        <v>58</v>
      </c>
      <c r="J1058" s="40">
        <f t="shared" si="174"/>
        <v>0</v>
      </c>
      <c r="K1058" s="40">
        <f t="shared" si="175"/>
        <v>0</v>
      </c>
      <c r="L1058" s="40" t="s">
        <v>58</v>
      </c>
      <c r="M1058" s="50" t="s">
        <v>266</v>
      </c>
      <c r="N1058" s="190"/>
      <c r="O1058" s="40">
        <f t="shared" ca="1" si="178"/>
        <v>0.74678117731444438</v>
      </c>
      <c r="P1058" s="51">
        <f t="shared" si="179"/>
        <v>0</v>
      </c>
      <c r="Q1058" s="51">
        <f t="shared" si="180"/>
        <v>0</v>
      </c>
      <c r="R1058" s="51">
        <f t="shared" si="176"/>
        <v>0</v>
      </c>
      <c r="S1058"/>
      <c r="T1058" s="83"/>
    </row>
    <row r="1059" spans="1:20" ht="16" x14ac:dyDescent="0.2">
      <c r="A1059"/>
      <c r="B1059" s="103"/>
      <c r="C1059" s="243"/>
      <c r="D1059" s="119">
        <v>1046</v>
      </c>
      <c r="E1059" s="25" t="str">
        <f>Tp_CHG!X236</f>
        <v>Transition Probability from state 6 to state 8 on day 1 (CHG)</v>
      </c>
      <c r="F1059" s="40">
        <f t="shared" si="177"/>
        <v>0</v>
      </c>
      <c r="G1059" s="156">
        <v>1</v>
      </c>
      <c r="H1059" s="120">
        <f>Tp_CHG!AA236</f>
        <v>0</v>
      </c>
      <c r="I1059" s="40" t="s">
        <v>58</v>
      </c>
      <c r="J1059" s="40">
        <f t="shared" si="174"/>
        <v>0</v>
      </c>
      <c r="K1059" s="40">
        <f t="shared" si="175"/>
        <v>0</v>
      </c>
      <c r="L1059" s="40" t="s">
        <v>58</v>
      </c>
      <c r="M1059" s="50" t="s">
        <v>266</v>
      </c>
      <c r="N1059" s="190"/>
      <c r="O1059" s="40">
        <f t="shared" ca="1" si="178"/>
        <v>0.72989465516486884</v>
      </c>
      <c r="P1059" s="51">
        <f t="shared" si="179"/>
        <v>0</v>
      </c>
      <c r="Q1059" s="51">
        <f t="shared" si="180"/>
        <v>0</v>
      </c>
      <c r="R1059" s="51">
        <f t="shared" si="176"/>
        <v>0</v>
      </c>
      <c r="S1059"/>
      <c r="T1059" s="83"/>
    </row>
    <row r="1060" spans="1:20" ht="16" x14ac:dyDescent="0.2">
      <c r="A1060"/>
      <c r="B1060" s="103"/>
      <c r="C1060" s="243"/>
      <c r="D1060" s="119">
        <v>1047</v>
      </c>
      <c r="E1060" s="25" t="str">
        <f>Tp_CHG!X237</f>
        <v>Transition Probability from state 6 to state 8 on day 2 (CHG)</v>
      </c>
      <c r="F1060" s="40">
        <f t="shared" si="177"/>
        <v>0</v>
      </c>
      <c r="G1060" s="156">
        <v>1</v>
      </c>
      <c r="H1060" s="120">
        <f>Tp_CHG!AA237</f>
        <v>0</v>
      </c>
      <c r="I1060" s="40" t="s">
        <v>58</v>
      </c>
      <c r="J1060" s="40">
        <f t="shared" si="174"/>
        <v>0</v>
      </c>
      <c r="K1060" s="40">
        <f t="shared" si="175"/>
        <v>0</v>
      </c>
      <c r="L1060" s="40" t="s">
        <v>58</v>
      </c>
      <c r="M1060" s="50" t="s">
        <v>266</v>
      </c>
      <c r="N1060" s="190"/>
      <c r="O1060" s="40">
        <f t="shared" ca="1" si="178"/>
        <v>0.98083943356508563</v>
      </c>
      <c r="P1060" s="51">
        <f t="shared" si="179"/>
        <v>0</v>
      </c>
      <c r="Q1060" s="51">
        <f t="shared" si="180"/>
        <v>0</v>
      </c>
      <c r="R1060" s="51">
        <f t="shared" si="176"/>
        <v>0</v>
      </c>
      <c r="S1060"/>
      <c r="T1060" s="83"/>
    </row>
    <row r="1061" spans="1:20" ht="16" x14ac:dyDescent="0.2">
      <c r="A1061"/>
      <c r="B1061" s="103"/>
      <c r="C1061" s="243"/>
      <c r="D1061" s="119">
        <v>1048</v>
      </c>
      <c r="E1061" s="25" t="str">
        <f>Tp_CHG!X238</f>
        <v>Transition Probability from state 6 to state 8 on day 3 (CHG)</v>
      </c>
      <c r="F1061" s="40">
        <f t="shared" si="177"/>
        <v>0</v>
      </c>
      <c r="G1061" s="156">
        <v>1</v>
      </c>
      <c r="H1061" s="120">
        <f>Tp_CHG!AA238</f>
        <v>0</v>
      </c>
      <c r="I1061" s="40" t="s">
        <v>58</v>
      </c>
      <c r="J1061" s="40">
        <f t="shared" si="174"/>
        <v>0</v>
      </c>
      <c r="K1061" s="40">
        <f t="shared" si="175"/>
        <v>0</v>
      </c>
      <c r="L1061" s="40" t="s">
        <v>58</v>
      </c>
      <c r="M1061" s="50" t="s">
        <v>266</v>
      </c>
      <c r="N1061" s="190"/>
      <c r="O1061" s="40">
        <f t="shared" ca="1" si="178"/>
        <v>0.76646434425444399</v>
      </c>
      <c r="P1061" s="51">
        <f t="shared" si="179"/>
        <v>0</v>
      </c>
      <c r="Q1061" s="51">
        <f t="shared" si="180"/>
        <v>0</v>
      </c>
      <c r="R1061" s="51">
        <f t="shared" si="176"/>
        <v>0</v>
      </c>
      <c r="S1061"/>
      <c r="T1061" s="83"/>
    </row>
    <row r="1062" spans="1:20" ht="16" x14ac:dyDescent="0.2">
      <c r="A1062"/>
      <c r="B1062" s="103"/>
      <c r="C1062" s="243"/>
      <c r="D1062" s="119">
        <v>1049</v>
      </c>
      <c r="E1062" s="25" t="str">
        <f>Tp_CHG!X239</f>
        <v>Transition Probability from state 6 to state 8 on day 4 (CHG)</v>
      </c>
      <c r="F1062" s="40">
        <f t="shared" si="177"/>
        <v>0</v>
      </c>
      <c r="G1062" s="156">
        <v>1</v>
      </c>
      <c r="H1062" s="120">
        <f>Tp_CHG!AA239</f>
        <v>0</v>
      </c>
      <c r="I1062" s="40" t="s">
        <v>58</v>
      </c>
      <c r="J1062" s="40">
        <f t="shared" si="174"/>
        <v>0</v>
      </c>
      <c r="K1062" s="40">
        <f t="shared" si="175"/>
        <v>0</v>
      </c>
      <c r="L1062" s="40" t="s">
        <v>58</v>
      </c>
      <c r="M1062" s="50" t="s">
        <v>266</v>
      </c>
      <c r="N1062" s="190"/>
      <c r="O1062" s="40">
        <f t="shared" ca="1" si="178"/>
        <v>0.50006326827497727</v>
      </c>
      <c r="P1062" s="51">
        <f t="shared" si="179"/>
        <v>0</v>
      </c>
      <c r="Q1062" s="51">
        <f t="shared" si="180"/>
        <v>0</v>
      </c>
      <c r="R1062" s="51">
        <f t="shared" si="176"/>
        <v>0</v>
      </c>
      <c r="S1062"/>
      <c r="T1062" s="83"/>
    </row>
    <row r="1063" spans="1:20" ht="16" x14ac:dyDescent="0.2">
      <c r="A1063"/>
      <c r="B1063" s="103"/>
      <c r="C1063" s="243"/>
      <c r="D1063" s="119">
        <v>1050</v>
      </c>
      <c r="E1063" s="25" t="str">
        <f>Tp_CHG!X240</f>
        <v>Transition Probability from state 6 to state 8 on day 5 (CHG)</v>
      </c>
      <c r="F1063" s="40">
        <f t="shared" si="177"/>
        <v>0</v>
      </c>
      <c r="G1063" s="156">
        <v>1</v>
      </c>
      <c r="H1063" s="120">
        <f>Tp_CHG!AA240</f>
        <v>0</v>
      </c>
      <c r="I1063" s="40" t="s">
        <v>58</v>
      </c>
      <c r="J1063" s="40">
        <f t="shared" si="174"/>
        <v>0</v>
      </c>
      <c r="K1063" s="40">
        <f t="shared" si="175"/>
        <v>0</v>
      </c>
      <c r="L1063" s="40" t="s">
        <v>58</v>
      </c>
      <c r="M1063" s="50" t="s">
        <v>266</v>
      </c>
      <c r="N1063" s="190"/>
      <c r="O1063" s="40">
        <f t="shared" ca="1" si="178"/>
        <v>0.13346124216054722</v>
      </c>
      <c r="P1063" s="51">
        <f t="shared" si="179"/>
        <v>0</v>
      </c>
      <c r="Q1063" s="51">
        <f t="shared" si="180"/>
        <v>0</v>
      </c>
      <c r="R1063" s="51">
        <f t="shared" si="176"/>
        <v>0</v>
      </c>
      <c r="S1063"/>
      <c r="T1063" s="83"/>
    </row>
    <row r="1064" spans="1:20" ht="16" x14ac:dyDescent="0.2">
      <c r="A1064"/>
      <c r="B1064" s="103"/>
      <c r="C1064" s="243"/>
      <c r="D1064" s="119">
        <v>1051</v>
      </c>
      <c r="E1064" s="25" t="str">
        <f>Tp_CHG!X241</f>
        <v>Transition Probability from state 6 to state 8 on day 6 (CHG)</v>
      </c>
      <c r="F1064" s="40">
        <f t="shared" si="177"/>
        <v>0</v>
      </c>
      <c r="G1064" s="156">
        <v>1</v>
      </c>
      <c r="H1064" s="120">
        <f>Tp_CHG!AA241</f>
        <v>0</v>
      </c>
      <c r="I1064" s="40" t="s">
        <v>58</v>
      </c>
      <c r="J1064" s="40">
        <f t="shared" si="174"/>
        <v>0</v>
      </c>
      <c r="K1064" s="40">
        <f t="shared" si="175"/>
        <v>0</v>
      </c>
      <c r="L1064" s="40" t="s">
        <v>58</v>
      </c>
      <c r="M1064" s="50" t="s">
        <v>266</v>
      </c>
      <c r="N1064" s="190"/>
      <c r="O1064" s="40">
        <f t="shared" ca="1" si="178"/>
        <v>0.79157764124104868</v>
      </c>
      <c r="P1064" s="51">
        <f t="shared" si="179"/>
        <v>0</v>
      </c>
      <c r="Q1064" s="51">
        <f t="shared" si="180"/>
        <v>0</v>
      </c>
      <c r="R1064" s="51">
        <f t="shared" si="176"/>
        <v>0</v>
      </c>
      <c r="S1064"/>
      <c r="T1064" s="83"/>
    </row>
    <row r="1065" spans="1:20" ht="16" x14ac:dyDescent="0.2">
      <c r="A1065"/>
      <c r="B1065" s="103"/>
      <c r="C1065" s="243"/>
      <c r="D1065" s="119">
        <v>1052</v>
      </c>
      <c r="E1065" s="25" t="str">
        <f>Tp_CHG!X242</f>
        <v>Transition Probability from state 6 to state 8 on day 7 (CHG)</v>
      </c>
      <c r="F1065" s="40">
        <f t="shared" si="177"/>
        <v>0</v>
      </c>
      <c r="G1065" s="156">
        <v>1</v>
      </c>
      <c r="H1065" s="120">
        <f>Tp_CHG!AA242</f>
        <v>0</v>
      </c>
      <c r="I1065" s="40" t="s">
        <v>58</v>
      </c>
      <c r="J1065" s="40">
        <f t="shared" si="174"/>
        <v>0</v>
      </c>
      <c r="K1065" s="40">
        <f t="shared" si="175"/>
        <v>0</v>
      </c>
      <c r="L1065" s="40" t="s">
        <v>58</v>
      </c>
      <c r="M1065" s="50" t="s">
        <v>266</v>
      </c>
      <c r="N1065" s="190"/>
      <c r="O1065" s="40">
        <f t="shared" ca="1" si="178"/>
        <v>0.63816889517629594</v>
      </c>
      <c r="P1065" s="51">
        <f t="shared" si="179"/>
        <v>0</v>
      </c>
      <c r="Q1065" s="51">
        <f t="shared" si="180"/>
        <v>0</v>
      </c>
      <c r="R1065" s="51">
        <f t="shared" si="176"/>
        <v>0</v>
      </c>
      <c r="S1065"/>
      <c r="T1065" s="83"/>
    </row>
    <row r="1066" spans="1:20" ht="16" x14ac:dyDescent="0.2">
      <c r="A1066"/>
      <c r="B1066" s="103"/>
      <c r="C1066" s="243"/>
      <c r="D1066" s="119">
        <v>1053</v>
      </c>
      <c r="E1066" s="25" t="str">
        <f>Tp_CHG!X243</f>
        <v>Transition Probability from state 6 to state 8 on day 8 (CHG)</v>
      </c>
      <c r="F1066" s="40">
        <f t="shared" si="177"/>
        <v>0</v>
      </c>
      <c r="G1066" s="156">
        <v>1</v>
      </c>
      <c r="H1066" s="120">
        <f>Tp_CHG!AA243</f>
        <v>0</v>
      </c>
      <c r="I1066" s="40" t="s">
        <v>58</v>
      </c>
      <c r="J1066" s="40">
        <f t="shared" si="174"/>
        <v>0</v>
      </c>
      <c r="K1066" s="40">
        <f t="shared" si="175"/>
        <v>0</v>
      </c>
      <c r="L1066" s="40" t="s">
        <v>58</v>
      </c>
      <c r="M1066" s="50" t="s">
        <v>266</v>
      </c>
      <c r="N1066" s="190"/>
      <c r="O1066" s="40">
        <f t="shared" ca="1" si="178"/>
        <v>0.67785564252563002</v>
      </c>
      <c r="P1066" s="51">
        <f t="shared" si="179"/>
        <v>0</v>
      </c>
      <c r="Q1066" s="51">
        <f t="shared" si="180"/>
        <v>0</v>
      </c>
      <c r="R1066" s="51">
        <f t="shared" si="176"/>
        <v>0</v>
      </c>
      <c r="S1066"/>
      <c r="T1066" s="83"/>
    </row>
    <row r="1067" spans="1:20" ht="16" x14ac:dyDescent="0.2">
      <c r="A1067"/>
      <c r="B1067" s="103"/>
      <c r="C1067" s="243"/>
      <c r="D1067" s="119">
        <v>1054</v>
      </c>
      <c r="E1067" s="25" t="str">
        <f>Tp_CHG!X244</f>
        <v>Transition Probability from state 6 to state 8 on day 9 (CHG)</v>
      </c>
      <c r="F1067" s="40">
        <f t="shared" si="177"/>
        <v>0</v>
      </c>
      <c r="G1067" s="156">
        <v>1</v>
      </c>
      <c r="H1067" s="120">
        <f>Tp_CHG!AA244</f>
        <v>0</v>
      </c>
      <c r="I1067" s="40" t="s">
        <v>58</v>
      </c>
      <c r="J1067" s="40">
        <f t="shared" si="174"/>
        <v>0</v>
      </c>
      <c r="K1067" s="40">
        <f t="shared" si="175"/>
        <v>0</v>
      </c>
      <c r="L1067" s="40" t="s">
        <v>58</v>
      </c>
      <c r="M1067" s="50" t="s">
        <v>266</v>
      </c>
      <c r="N1067" s="190"/>
      <c r="O1067" s="40">
        <f t="shared" ca="1" si="178"/>
        <v>0.54976746080800687</v>
      </c>
      <c r="P1067" s="51">
        <f t="shared" si="179"/>
        <v>0</v>
      </c>
      <c r="Q1067" s="51">
        <f t="shared" si="180"/>
        <v>0</v>
      </c>
      <c r="R1067" s="51">
        <f t="shared" si="176"/>
        <v>0</v>
      </c>
      <c r="S1067"/>
      <c r="T1067" s="83"/>
    </row>
    <row r="1068" spans="1:20" ht="16" x14ac:dyDescent="0.2">
      <c r="A1068"/>
      <c r="B1068" s="103"/>
      <c r="C1068" s="243"/>
      <c r="D1068" s="119">
        <v>1055</v>
      </c>
      <c r="E1068" s="25" t="str">
        <f>Tp_CHG!X245</f>
        <v>Transition Probability from state 6 to state 8 on day 10 (CHG)</v>
      </c>
      <c r="F1068" s="40">
        <f t="shared" si="177"/>
        <v>0</v>
      </c>
      <c r="G1068" s="156">
        <v>1</v>
      </c>
      <c r="H1068" s="120">
        <f>Tp_CHG!AA245</f>
        <v>0</v>
      </c>
      <c r="I1068" s="40" t="s">
        <v>58</v>
      </c>
      <c r="J1068" s="40">
        <f t="shared" si="174"/>
        <v>0</v>
      </c>
      <c r="K1068" s="40">
        <f t="shared" si="175"/>
        <v>0</v>
      </c>
      <c r="L1068" s="40" t="s">
        <v>58</v>
      </c>
      <c r="M1068" s="50" t="s">
        <v>266</v>
      </c>
      <c r="N1068" s="190"/>
      <c r="O1068" s="40">
        <f t="shared" ca="1" si="178"/>
        <v>0.55590707811740203</v>
      </c>
      <c r="P1068" s="51">
        <f t="shared" si="179"/>
        <v>0</v>
      </c>
      <c r="Q1068" s="51">
        <f t="shared" si="180"/>
        <v>0</v>
      </c>
      <c r="R1068" s="51">
        <f t="shared" si="176"/>
        <v>0</v>
      </c>
      <c r="S1068"/>
      <c r="T1068" s="83"/>
    </row>
    <row r="1069" spans="1:20" ht="16" x14ac:dyDescent="0.2">
      <c r="A1069"/>
      <c r="B1069" s="103"/>
      <c r="C1069" s="243"/>
      <c r="D1069" s="119">
        <v>1056</v>
      </c>
      <c r="E1069" s="25" t="str">
        <f>Tp_CHG!X246</f>
        <v>Transition Probability from state 6 to state 8 on day 11 (CHG)</v>
      </c>
      <c r="F1069" s="40">
        <f t="shared" si="177"/>
        <v>0</v>
      </c>
      <c r="G1069" s="156">
        <v>1</v>
      </c>
      <c r="H1069" s="120">
        <f>Tp_CHG!AA246</f>
        <v>0</v>
      </c>
      <c r="I1069" s="40" t="s">
        <v>58</v>
      </c>
      <c r="J1069" s="40">
        <f t="shared" ref="J1069:J1252" si="181">IF(H1069=0,0,_xlfn.NORM.INV(0.025,H1069,R1069))</f>
        <v>0</v>
      </c>
      <c r="K1069" s="40">
        <f t="shared" ref="K1069:K1252" si="182">IF(H1069=0,0,_xlfn.NORM.INV(0.975,H1069,R1069))</f>
        <v>0</v>
      </c>
      <c r="L1069" s="40" t="s">
        <v>58</v>
      </c>
      <c r="M1069" s="50" t="s">
        <v>266</v>
      </c>
      <c r="N1069" s="190"/>
      <c r="O1069" s="40">
        <f t="shared" ca="1" si="178"/>
        <v>0.45395923182103415</v>
      </c>
      <c r="P1069" s="51">
        <f t="shared" si="179"/>
        <v>0</v>
      </c>
      <c r="Q1069" s="51">
        <f t="shared" si="180"/>
        <v>0</v>
      </c>
      <c r="R1069" s="51">
        <f t="shared" ref="R1069:R1252" si="183">assumedSE*H1069</f>
        <v>0</v>
      </c>
      <c r="S1069"/>
      <c r="T1069" s="83"/>
    </row>
    <row r="1070" spans="1:20" ht="16" x14ac:dyDescent="0.2">
      <c r="A1070"/>
      <c r="B1070" s="103"/>
      <c r="C1070" s="243"/>
      <c r="D1070" s="119">
        <v>1057</v>
      </c>
      <c r="E1070" s="25" t="str">
        <f>Tp_CHG!X247</f>
        <v>Transition Probability from state 6 to state 8 on day 12 (CHG)</v>
      </c>
      <c r="F1070" s="40">
        <f t="shared" si="177"/>
        <v>0</v>
      </c>
      <c r="G1070" s="156">
        <v>1</v>
      </c>
      <c r="H1070" s="120">
        <f>Tp_CHG!AA247</f>
        <v>0</v>
      </c>
      <c r="I1070" s="40" t="s">
        <v>58</v>
      </c>
      <c r="J1070" s="40">
        <f t="shared" si="181"/>
        <v>0</v>
      </c>
      <c r="K1070" s="40">
        <f t="shared" si="182"/>
        <v>0</v>
      </c>
      <c r="L1070" s="40" t="s">
        <v>58</v>
      </c>
      <c r="M1070" s="50" t="s">
        <v>266</v>
      </c>
      <c r="N1070" s="190"/>
      <c r="O1070" s="40">
        <f t="shared" ca="1" si="178"/>
        <v>0.99298009355570493</v>
      </c>
      <c r="P1070" s="51">
        <f t="shared" si="179"/>
        <v>0</v>
      </c>
      <c r="Q1070" s="51">
        <f t="shared" si="180"/>
        <v>0</v>
      </c>
      <c r="R1070" s="51">
        <f t="shared" si="183"/>
        <v>0</v>
      </c>
      <c r="S1070"/>
      <c r="T1070" s="83"/>
    </row>
    <row r="1071" spans="1:20" ht="16" x14ac:dyDescent="0.2">
      <c r="A1071"/>
      <c r="B1071" s="103"/>
      <c r="C1071" s="243"/>
      <c r="D1071" s="119">
        <v>1058</v>
      </c>
      <c r="E1071" s="25" t="str">
        <f>Tp_CHG!X248</f>
        <v>Transition Probability from state 6 to state 8 on day 13 (CHG)</v>
      </c>
      <c r="F1071" s="40">
        <f t="shared" si="177"/>
        <v>0</v>
      </c>
      <c r="G1071" s="156">
        <v>1</v>
      </c>
      <c r="H1071" s="120">
        <f>Tp_CHG!AA248</f>
        <v>0</v>
      </c>
      <c r="I1071" s="40" t="s">
        <v>58</v>
      </c>
      <c r="J1071" s="40">
        <f t="shared" si="181"/>
        <v>0</v>
      </c>
      <c r="K1071" s="40">
        <f t="shared" si="182"/>
        <v>0</v>
      </c>
      <c r="L1071" s="40" t="s">
        <v>58</v>
      </c>
      <c r="M1071" s="50" t="s">
        <v>266</v>
      </c>
      <c r="N1071" s="190"/>
      <c r="O1071" s="40">
        <f t="shared" ca="1" si="178"/>
        <v>0.88377071722412903</v>
      </c>
      <c r="P1071" s="51">
        <f t="shared" si="179"/>
        <v>0</v>
      </c>
      <c r="Q1071" s="51">
        <f t="shared" si="180"/>
        <v>0</v>
      </c>
      <c r="R1071" s="51">
        <f t="shared" si="183"/>
        <v>0</v>
      </c>
      <c r="S1071"/>
      <c r="T1071" s="83"/>
    </row>
    <row r="1072" spans="1:20" ht="16" x14ac:dyDescent="0.2">
      <c r="A1072"/>
      <c r="B1072" s="103"/>
      <c r="C1072" s="243"/>
      <c r="D1072" s="119">
        <v>1059</v>
      </c>
      <c r="E1072" s="25" t="str">
        <f>Tp_CHG!X249</f>
        <v>Transition Probability from state 6 to state 8 on day 14 (CHG)</v>
      </c>
      <c r="F1072" s="40">
        <f t="shared" si="177"/>
        <v>0</v>
      </c>
      <c r="G1072" s="156">
        <v>1</v>
      </c>
      <c r="H1072" s="120">
        <f>Tp_CHG!AA249</f>
        <v>0</v>
      </c>
      <c r="I1072" s="40" t="s">
        <v>58</v>
      </c>
      <c r="J1072" s="40">
        <f t="shared" si="181"/>
        <v>0</v>
      </c>
      <c r="K1072" s="40">
        <f t="shared" si="182"/>
        <v>0</v>
      </c>
      <c r="L1072" s="40" t="s">
        <v>58</v>
      </c>
      <c r="M1072" s="50" t="s">
        <v>266</v>
      </c>
      <c r="N1072" s="190"/>
      <c r="O1072" s="40">
        <f t="shared" ca="1" si="178"/>
        <v>9.0161214372668219E-2</v>
      </c>
      <c r="P1072" s="51">
        <f t="shared" si="179"/>
        <v>0</v>
      </c>
      <c r="Q1072" s="51">
        <f t="shared" si="180"/>
        <v>0</v>
      </c>
      <c r="R1072" s="51">
        <f t="shared" si="183"/>
        <v>0</v>
      </c>
      <c r="S1072"/>
      <c r="T1072" s="83"/>
    </row>
    <row r="1073" spans="1:20" ht="16" x14ac:dyDescent="0.2">
      <c r="A1073"/>
      <c r="B1073" s="103"/>
      <c r="C1073" s="243"/>
      <c r="D1073" s="119">
        <v>1060</v>
      </c>
      <c r="E1073" s="25" t="str">
        <f>Tp_CHG!X250</f>
        <v>Transition Probability from state 6 to state 8 on day 15 (CHG)</v>
      </c>
      <c r="F1073" s="40">
        <f t="shared" si="177"/>
        <v>0</v>
      </c>
      <c r="G1073" s="156">
        <v>1</v>
      </c>
      <c r="H1073" s="120">
        <f>Tp_CHG!AA250</f>
        <v>0</v>
      </c>
      <c r="I1073" s="40" t="s">
        <v>58</v>
      </c>
      <c r="J1073" s="40">
        <f t="shared" si="181"/>
        <v>0</v>
      </c>
      <c r="K1073" s="40">
        <f t="shared" si="182"/>
        <v>0</v>
      </c>
      <c r="L1073" s="40" t="s">
        <v>58</v>
      </c>
      <c r="M1073" s="50" t="s">
        <v>266</v>
      </c>
      <c r="N1073" s="190"/>
      <c r="O1073" s="40">
        <f t="shared" ca="1" si="178"/>
        <v>0.92620816167184916</v>
      </c>
      <c r="P1073" s="51">
        <f t="shared" si="179"/>
        <v>0</v>
      </c>
      <c r="Q1073" s="51">
        <f t="shared" si="180"/>
        <v>0</v>
      </c>
      <c r="R1073" s="51">
        <f t="shared" si="183"/>
        <v>0</v>
      </c>
      <c r="S1073"/>
      <c r="T1073" s="83"/>
    </row>
    <row r="1074" spans="1:20" ht="16" x14ac:dyDescent="0.2">
      <c r="A1074"/>
      <c r="B1074" s="103"/>
      <c r="C1074" s="243"/>
      <c r="D1074" s="119">
        <v>1061</v>
      </c>
      <c r="E1074" s="25" t="str">
        <f>Tp_CHG!X251</f>
        <v>Transition Probability from state 6 to state 8 on day 16 (CHG)</v>
      </c>
      <c r="F1074" s="40">
        <f t="shared" si="177"/>
        <v>0</v>
      </c>
      <c r="G1074" s="156">
        <v>1</v>
      </c>
      <c r="H1074" s="120">
        <f>Tp_CHG!AA251</f>
        <v>0</v>
      </c>
      <c r="I1074" s="40" t="s">
        <v>58</v>
      </c>
      <c r="J1074" s="40">
        <f t="shared" si="181"/>
        <v>0</v>
      </c>
      <c r="K1074" s="40">
        <f t="shared" si="182"/>
        <v>0</v>
      </c>
      <c r="L1074" s="40" t="s">
        <v>58</v>
      </c>
      <c r="M1074" s="50" t="s">
        <v>266</v>
      </c>
      <c r="N1074" s="190"/>
      <c r="O1074" s="40">
        <f t="shared" ca="1" si="178"/>
        <v>0.65095754637182057</v>
      </c>
      <c r="P1074" s="51">
        <f t="shared" si="179"/>
        <v>0</v>
      </c>
      <c r="Q1074" s="51">
        <f t="shared" si="180"/>
        <v>0</v>
      </c>
      <c r="R1074" s="51">
        <f t="shared" si="183"/>
        <v>0</v>
      </c>
      <c r="S1074"/>
      <c r="T1074" s="83"/>
    </row>
    <row r="1075" spans="1:20" ht="16" x14ac:dyDescent="0.2">
      <c r="A1075"/>
      <c r="B1075" s="103"/>
      <c r="C1075" s="243"/>
      <c r="D1075" s="119">
        <v>1062</v>
      </c>
      <c r="E1075" s="25" t="str">
        <f>Tp_CHG!X252</f>
        <v>Transition Probability from state 6 to state 8 on day 17 (CHG)</v>
      </c>
      <c r="F1075" s="40">
        <f t="shared" si="177"/>
        <v>0</v>
      </c>
      <c r="G1075" s="156">
        <v>1</v>
      </c>
      <c r="H1075" s="120">
        <f>Tp_CHG!AA252</f>
        <v>0</v>
      </c>
      <c r="I1075" s="40" t="s">
        <v>58</v>
      </c>
      <c r="J1075" s="40">
        <f t="shared" si="181"/>
        <v>0</v>
      </c>
      <c r="K1075" s="40">
        <f t="shared" si="182"/>
        <v>0</v>
      </c>
      <c r="L1075" s="40" t="s">
        <v>58</v>
      </c>
      <c r="M1075" s="50" t="s">
        <v>266</v>
      </c>
      <c r="N1075" s="190"/>
      <c r="O1075" s="40">
        <f t="shared" ca="1" si="178"/>
        <v>0.34201920604176239</v>
      </c>
      <c r="P1075" s="51">
        <f t="shared" si="179"/>
        <v>0</v>
      </c>
      <c r="Q1075" s="51">
        <f t="shared" si="180"/>
        <v>0</v>
      </c>
      <c r="R1075" s="51">
        <f t="shared" si="183"/>
        <v>0</v>
      </c>
      <c r="S1075"/>
      <c r="T1075" s="83"/>
    </row>
    <row r="1076" spans="1:20" ht="16" x14ac:dyDescent="0.2">
      <c r="A1076"/>
      <c r="B1076" s="103"/>
      <c r="C1076" s="243"/>
      <c r="D1076" s="119">
        <v>1063</v>
      </c>
      <c r="E1076" s="25" t="str">
        <f>Tp_CHG!X253</f>
        <v>Transition Probability from state 6 to state 8 on day 18 (CHG)</v>
      </c>
      <c r="F1076" s="40">
        <f t="shared" si="177"/>
        <v>0</v>
      </c>
      <c r="G1076" s="156">
        <v>1</v>
      </c>
      <c r="H1076" s="120">
        <f>Tp_CHG!AA253</f>
        <v>0</v>
      </c>
      <c r="I1076" s="40" t="s">
        <v>58</v>
      </c>
      <c r="J1076" s="40">
        <f t="shared" si="181"/>
        <v>0</v>
      </c>
      <c r="K1076" s="40">
        <f t="shared" si="182"/>
        <v>0</v>
      </c>
      <c r="L1076" s="40" t="s">
        <v>58</v>
      </c>
      <c r="M1076" s="50" t="s">
        <v>266</v>
      </c>
      <c r="N1076" s="190"/>
      <c r="O1076" s="40">
        <f t="shared" ca="1" si="178"/>
        <v>0.39639520284604801</v>
      </c>
      <c r="P1076" s="51">
        <f t="shared" si="179"/>
        <v>0</v>
      </c>
      <c r="Q1076" s="51">
        <f t="shared" si="180"/>
        <v>0</v>
      </c>
      <c r="R1076" s="51">
        <f t="shared" si="183"/>
        <v>0</v>
      </c>
      <c r="S1076"/>
      <c r="T1076" s="83"/>
    </row>
    <row r="1077" spans="1:20" ht="16" x14ac:dyDescent="0.2">
      <c r="A1077"/>
      <c r="B1077" s="103"/>
      <c r="C1077" s="243"/>
      <c r="D1077" s="119">
        <v>1064</v>
      </c>
      <c r="E1077" s="25" t="str">
        <f>Tp_CHG!X254</f>
        <v>Transition Probability from state 6 to state 8 on day 19 (CHG)</v>
      </c>
      <c r="F1077" s="40">
        <f t="shared" si="177"/>
        <v>0</v>
      </c>
      <c r="G1077" s="156">
        <v>1</v>
      </c>
      <c r="H1077" s="120">
        <f>Tp_CHG!AA254</f>
        <v>0</v>
      </c>
      <c r="I1077" s="40" t="s">
        <v>58</v>
      </c>
      <c r="J1077" s="40">
        <f t="shared" si="181"/>
        <v>0</v>
      </c>
      <c r="K1077" s="40">
        <f t="shared" si="182"/>
        <v>0</v>
      </c>
      <c r="L1077" s="40" t="s">
        <v>58</v>
      </c>
      <c r="M1077" s="50" t="s">
        <v>266</v>
      </c>
      <c r="N1077" s="190"/>
      <c r="O1077" s="40">
        <f t="shared" ca="1" si="178"/>
        <v>0.92194540427059224</v>
      </c>
      <c r="P1077" s="51">
        <f t="shared" si="179"/>
        <v>0</v>
      </c>
      <c r="Q1077" s="51">
        <f t="shared" si="180"/>
        <v>0</v>
      </c>
      <c r="R1077" s="51">
        <f t="shared" si="183"/>
        <v>0</v>
      </c>
      <c r="S1077"/>
      <c r="T1077" s="83"/>
    </row>
    <row r="1078" spans="1:20" ht="16" x14ac:dyDescent="0.2">
      <c r="A1078"/>
      <c r="B1078" s="103"/>
      <c r="C1078" s="243"/>
      <c r="D1078" s="119">
        <v>1065</v>
      </c>
      <c r="E1078" s="25" t="str">
        <f>Tp_CHG!X255</f>
        <v>Transition Probability from state 6 to state 8 on day 20 (CHG)</v>
      </c>
      <c r="F1078" s="40">
        <f t="shared" si="177"/>
        <v>0</v>
      </c>
      <c r="G1078" s="156">
        <v>1</v>
      </c>
      <c r="H1078" s="120">
        <f>Tp_CHG!AA255</f>
        <v>0</v>
      </c>
      <c r="I1078" s="40" t="s">
        <v>58</v>
      </c>
      <c r="J1078" s="40">
        <f t="shared" si="181"/>
        <v>0</v>
      </c>
      <c r="K1078" s="40">
        <f t="shared" si="182"/>
        <v>0</v>
      </c>
      <c r="L1078" s="40" t="s">
        <v>58</v>
      </c>
      <c r="M1078" s="50" t="s">
        <v>266</v>
      </c>
      <c r="N1078" s="190"/>
      <c r="O1078" s="40">
        <f t="shared" ca="1" si="178"/>
        <v>0.45298699310771218</v>
      </c>
      <c r="P1078" s="51">
        <f t="shared" si="179"/>
        <v>0</v>
      </c>
      <c r="Q1078" s="51">
        <f t="shared" si="180"/>
        <v>0</v>
      </c>
      <c r="R1078" s="51">
        <f t="shared" si="183"/>
        <v>0</v>
      </c>
      <c r="S1078"/>
      <c r="T1078" s="83"/>
    </row>
    <row r="1079" spans="1:20" ht="16" x14ac:dyDescent="0.2">
      <c r="A1079"/>
      <c r="B1079" s="103"/>
      <c r="C1079" s="243"/>
      <c r="D1079" s="119">
        <v>1066</v>
      </c>
      <c r="E1079" s="25" t="str">
        <f>Tp_CHG!X256</f>
        <v>Transition Probability from state 6 to state 8 on day 21 (CHG)</v>
      </c>
      <c r="F1079" s="40">
        <f t="shared" si="177"/>
        <v>0</v>
      </c>
      <c r="G1079" s="156">
        <v>1</v>
      </c>
      <c r="H1079" s="120">
        <f>Tp_CHG!AA256</f>
        <v>0</v>
      </c>
      <c r="I1079" s="40" t="s">
        <v>58</v>
      </c>
      <c r="J1079" s="40">
        <f t="shared" si="181"/>
        <v>0</v>
      </c>
      <c r="K1079" s="40">
        <f t="shared" si="182"/>
        <v>0</v>
      </c>
      <c r="L1079" s="40" t="s">
        <v>58</v>
      </c>
      <c r="M1079" s="50" t="s">
        <v>266</v>
      </c>
      <c r="N1079" s="190"/>
      <c r="O1079" s="40">
        <f t="shared" ca="1" si="178"/>
        <v>0.87859375113244986</v>
      </c>
      <c r="P1079" s="51">
        <f t="shared" si="179"/>
        <v>0</v>
      </c>
      <c r="Q1079" s="51">
        <f t="shared" si="180"/>
        <v>0</v>
      </c>
      <c r="R1079" s="51">
        <f t="shared" si="183"/>
        <v>0</v>
      </c>
      <c r="S1079"/>
      <c r="T1079" s="83"/>
    </row>
    <row r="1080" spans="1:20" ht="16" x14ac:dyDescent="0.2">
      <c r="A1080"/>
      <c r="B1080" s="103"/>
      <c r="C1080" s="243"/>
      <c r="D1080" s="119">
        <v>1067</v>
      </c>
      <c r="E1080" s="25" t="str">
        <f>Tp_CHG!X257</f>
        <v>Transition Probability from state 6 to state 8 on day 22 (CHG)</v>
      </c>
      <c r="F1080" s="40">
        <f t="shared" si="177"/>
        <v>0</v>
      </c>
      <c r="G1080" s="156">
        <v>1</v>
      </c>
      <c r="H1080" s="120">
        <f>Tp_CHG!AA257</f>
        <v>0</v>
      </c>
      <c r="I1080" s="40" t="s">
        <v>58</v>
      </c>
      <c r="J1080" s="40">
        <f t="shared" si="181"/>
        <v>0</v>
      </c>
      <c r="K1080" s="40">
        <f t="shared" si="182"/>
        <v>0</v>
      </c>
      <c r="L1080" s="40" t="s">
        <v>58</v>
      </c>
      <c r="M1080" s="50" t="s">
        <v>266</v>
      </c>
      <c r="N1080" s="190"/>
      <c r="O1080" s="40">
        <f t="shared" ca="1" si="178"/>
        <v>0.61799160834714983</v>
      </c>
      <c r="P1080" s="51">
        <f t="shared" si="179"/>
        <v>0</v>
      </c>
      <c r="Q1080" s="51">
        <f t="shared" si="180"/>
        <v>0</v>
      </c>
      <c r="R1080" s="51">
        <f t="shared" si="183"/>
        <v>0</v>
      </c>
      <c r="S1080"/>
      <c r="T1080" s="83"/>
    </row>
    <row r="1081" spans="1:20" ht="16" x14ac:dyDescent="0.2">
      <c r="A1081"/>
      <c r="B1081" s="103"/>
      <c r="C1081" s="243"/>
      <c r="D1081" s="119">
        <v>1068</v>
      </c>
      <c r="E1081" s="25" t="str">
        <f>Tp_CHG!X258</f>
        <v>Transition Probability from state 6 to state 8 on day 23 (CHG)</v>
      </c>
      <c r="F1081" s="40">
        <f t="shared" si="177"/>
        <v>0</v>
      </c>
      <c r="G1081" s="156">
        <v>1</v>
      </c>
      <c r="H1081" s="120">
        <f>Tp_CHG!AA258</f>
        <v>0</v>
      </c>
      <c r="I1081" s="40" t="s">
        <v>58</v>
      </c>
      <c r="J1081" s="40">
        <f t="shared" si="181"/>
        <v>0</v>
      </c>
      <c r="K1081" s="40">
        <f t="shared" si="182"/>
        <v>0</v>
      </c>
      <c r="L1081" s="40" t="s">
        <v>58</v>
      </c>
      <c r="M1081" s="50" t="s">
        <v>266</v>
      </c>
      <c r="N1081" s="190"/>
      <c r="O1081" s="40">
        <f t="shared" ca="1" si="178"/>
        <v>0.96302584598766705</v>
      </c>
      <c r="P1081" s="51">
        <f t="shared" si="179"/>
        <v>0</v>
      </c>
      <c r="Q1081" s="51">
        <f t="shared" si="180"/>
        <v>0</v>
      </c>
      <c r="R1081" s="51">
        <f t="shared" si="183"/>
        <v>0</v>
      </c>
      <c r="S1081"/>
      <c r="T1081" s="83"/>
    </row>
    <row r="1082" spans="1:20" ht="16" x14ac:dyDescent="0.2">
      <c r="A1082"/>
      <c r="B1082" s="103"/>
      <c r="C1082" s="243"/>
      <c r="D1082" s="119">
        <v>1069</v>
      </c>
      <c r="E1082" s="25" t="str">
        <f>Tp_CHG!X259</f>
        <v>Transition Probability from state 6 to state 8 on day 24 (CHG)</v>
      </c>
      <c r="F1082" s="40">
        <f t="shared" si="177"/>
        <v>0</v>
      </c>
      <c r="G1082" s="156">
        <v>1</v>
      </c>
      <c r="H1082" s="120">
        <f>Tp_CHG!AA259</f>
        <v>0</v>
      </c>
      <c r="I1082" s="40" t="s">
        <v>58</v>
      </c>
      <c r="J1082" s="40">
        <f t="shared" si="181"/>
        <v>0</v>
      </c>
      <c r="K1082" s="40">
        <f t="shared" si="182"/>
        <v>0</v>
      </c>
      <c r="L1082" s="40" t="s">
        <v>58</v>
      </c>
      <c r="M1082" s="50" t="s">
        <v>266</v>
      </c>
      <c r="N1082" s="190"/>
      <c r="O1082" s="40">
        <f t="shared" ca="1" si="178"/>
        <v>0.36936759050636125</v>
      </c>
      <c r="P1082" s="51">
        <f t="shared" si="179"/>
        <v>0</v>
      </c>
      <c r="Q1082" s="51">
        <f t="shared" si="180"/>
        <v>0</v>
      </c>
      <c r="R1082" s="51">
        <f t="shared" si="183"/>
        <v>0</v>
      </c>
      <c r="S1082"/>
      <c r="T1082" s="83"/>
    </row>
    <row r="1083" spans="1:20" ht="16" x14ac:dyDescent="0.2">
      <c r="A1083"/>
      <c r="B1083" s="103"/>
      <c r="C1083" s="243"/>
      <c r="D1083" s="119">
        <v>1070</v>
      </c>
      <c r="E1083" s="25" t="str">
        <f>Tp_CHG!X260</f>
        <v>Transition Probability from state 6 to state 8 on day 25 (CHG)</v>
      </c>
      <c r="F1083" s="40">
        <f t="shared" si="177"/>
        <v>0</v>
      </c>
      <c r="G1083" s="156">
        <v>1</v>
      </c>
      <c r="H1083" s="120">
        <f>Tp_CHG!AA260</f>
        <v>0</v>
      </c>
      <c r="I1083" s="40" t="s">
        <v>58</v>
      </c>
      <c r="J1083" s="40">
        <f t="shared" si="181"/>
        <v>0</v>
      </c>
      <c r="K1083" s="40">
        <f t="shared" si="182"/>
        <v>0</v>
      </c>
      <c r="L1083" s="40" t="s">
        <v>58</v>
      </c>
      <c r="M1083" s="50" t="s">
        <v>266</v>
      </c>
      <c r="N1083" s="190"/>
      <c r="O1083" s="40">
        <f t="shared" ca="1" si="178"/>
        <v>0.79742978801838105</v>
      </c>
      <c r="P1083" s="51">
        <f t="shared" si="179"/>
        <v>0</v>
      </c>
      <c r="Q1083" s="51">
        <f t="shared" si="180"/>
        <v>0</v>
      </c>
      <c r="R1083" s="51">
        <f t="shared" si="183"/>
        <v>0</v>
      </c>
      <c r="S1083"/>
      <c r="T1083" s="83"/>
    </row>
    <row r="1084" spans="1:20" ht="16" x14ac:dyDescent="0.2">
      <c r="A1084"/>
      <c r="B1084" s="103"/>
      <c r="C1084" s="243"/>
      <c r="D1084" s="119">
        <v>1071</v>
      </c>
      <c r="E1084" s="25" t="str">
        <f>Tp_CHG!X261</f>
        <v>Transition Probability from state 6 to state 8 on day 26 (CHG)</v>
      </c>
      <c r="F1084" s="40">
        <f t="shared" si="177"/>
        <v>0</v>
      </c>
      <c r="G1084" s="156">
        <v>1</v>
      </c>
      <c r="H1084" s="120">
        <f>Tp_CHG!AA261</f>
        <v>0</v>
      </c>
      <c r="I1084" s="40" t="s">
        <v>58</v>
      </c>
      <c r="J1084" s="40">
        <f t="shared" si="181"/>
        <v>0</v>
      </c>
      <c r="K1084" s="40">
        <f t="shared" si="182"/>
        <v>0</v>
      </c>
      <c r="L1084" s="40" t="s">
        <v>58</v>
      </c>
      <c r="M1084" s="50" t="s">
        <v>266</v>
      </c>
      <c r="N1084" s="190"/>
      <c r="O1084" s="40">
        <f t="shared" ca="1" si="178"/>
        <v>0.4553933699453957</v>
      </c>
      <c r="P1084" s="51">
        <f t="shared" si="179"/>
        <v>0</v>
      </c>
      <c r="Q1084" s="51">
        <f t="shared" si="180"/>
        <v>0</v>
      </c>
      <c r="R1084" s="51">
        <f t="shared" si="183"/>
        <v>0</v>
      </c>
      <c r="S1084"/>
      <c r="T1084" s="83"/>
    </row>
    <row r="1085" spans="1:20" ht="16" x14ac:dyDescent="0.2">
      <c r="A1085"/>
      <c r="B1085" s="103"/>
      <c r="C1085" s="243"/>
      <c r="D1085" s="119">
        <v>1072</v>
      </c>
      <c r="E1085" s="25" t="str">
        <f>Tp_CHG!X262</f>
        <v>Transition Probability from state 6 to state 8 on day 27 (CHG)</v>
      </c>
      <c r="F1085" s="40">
        <f t="shared" si="177"/>
        <v>0</v>
      </c>
      <c r="G1085" s="156">
        <v>1</v>
      </c>
      <c r="H1085" s="120">
        <f>Tp_CHG!AA262</f>
        <v>0</v>
      </c>
      <c r="I1085" s="40" t="s">
        <v>58</v>
      </c>
      <c r="J1085" s="40">
        <f t="shared" si="181"/>
        <v>0</v>
      </c>
      <c r="K1085" s="40">
        <f t="shared" si="182"/>
        <v>0</v>
      </c>
      <c r="L1085" s="40" t="s">
        <v>58</v>
      </c>
      <c r="M1085" s="50" t="s">
        <v>266</v>
      </c>
      <c r="N1085" s="190"/>
      <c r="O1085" s="40">
        <f t="shared" ca="1" si="178"/>
        <v>0.56618199399327163</v>
      </c>
      <c r="P1085" s="51">
        <f t="shared" si="179"/>
        <v>0</v>
      </c>
      <c r="Q1085" s="51">
        <f t="shared" si="180"/>
        <v>0</v>
      </c>
      <c r="R1085" s="51">
        <f t="shared" si="183"/>
        <v>0</v>
      </c>
      <c r="S1085"/>
      <c r="T1085" s="83"/>
    </row>
    <row r="1086" spans="1:20" ht="16" x14ac:dyDescent="0.2">
      <c r="A1086"/>
      <c r="B1086" s="103">
        <v>5</v>
      </c>
      <c r="C1086" s="243"/>
      <c r="D1086" s="119">
        <v>1073</v>
      </c>
      <c r="E1086" s="25" t="str">
        <f>Tp_CHG!X263</f>
        <v>Transition Probability from state 6 to state 8 on day 28 (CHG)</v>
      </c>
      <c r="F1086" s="40">
        <f t="shared" si="177"/>
        <v>0</v>
      </c>
      <c r="G1086" s="156">
        <v>1</v>
      </c>
      <c r="H1086" s="120">
        <f>Tp_CHG!AA263</f>
        <v>0</v>
      </c>
      <c r="I1086" s="40" t="s">
        <v>58</v>
      </c>
      <c r="J1086" s="40">
        <f t="shared" si="181"/>
        <v>0</v>
      </c>
      <c r="K1086" s="40">
        <f t="shared" si="182"/>
        <v>0</v>
      </c>
      <c r="L1086" s="40" t="s">
        <v>58</v>
      </c>
      <c r="M1086" s="50" t="s">
        <v>266</v>
      </c>
      <c r="N1086" s="190"/>
      <c r="O1086" s="40">
        <f t="shared" ca="1" si="178"/>
        <v>0.89738262247738587</v>
      </c>
      <c r="P1086" s="51">
        <f t="shared" si="179"/>
        <v>0</v>
      </c>
      <c r="Q1086" s="51">
        <f t="shared" si="180"/>
        <v>0</v>
      </c>
      <c r="R1086" s="51">
        <f t="shared" si="183"/>
        <v>0</v>
      </c>
      <c r="S1086"/>
      <c r="T1086" s="83"/>
    </row>
    <row r="1087" spans="1:20" ht="16" x14ac:dyDescent="0.2">
      <c r="A1087"/>
      <c r="B1087" s="103">
        <v>6</v>
      </c>
      <c r="C1087" s="243"/>
      <c r="D1087" s="119">
        <v>1074</v>
      </c>
      <c r="E1087" s="25" t="str">
        <f>Tp_CHG!X264</f>
        <v>Transition Probability from state 6 to state 8 on day 29 (CHG)</v>
      </c>
      <c r="F1087" s="40">
        <f t="shared" si="177"/>
        <v>0</v>
      </c>
      <c r="G1087" s="156">
        <v>1</v>
      </c>
      <c r="H1087" s="120">
        <f>Tp_CHG!AA264</f>
        <v>0</v>
      </c>
      <c r="I1087" s="40" t="s">
        <v>58</v>
      </c>
      <c r="J1087" s="40">
        <f t="shared" si="181"/>
        <v>0</v>
      </c>
      <c r="K1087" s="40">
        <f t="shared" si="182"/>
        <v>0</v>
      </c>
      <c r="L1087" s="40" t="s">
        <v>58</v>
      </c>
      <c r="M1087" s="50" t="s">
        <v>266</v>
      </c>
      <c r="N1087" s="190"/>
      <c r="O1087" s="40">
        <f t="shared" ca="1" si="178"/>
        <v>0.14715291009972498</v>
      </c>
      <c r="P1087" s="51">
        <f t="shared" si="179"/>
        <v>0</v>
      </c>
      <c r="Q1087" s="51">
        <f t="shared" si="180"/>
        <v>0</v>
      </c>
      <c r="R1087" s="51">
        <f t="shared" si="183"/>
        <v>0</v>
      </c>
      <c r="S1087"/>
      <c r="T1087" s="83"/>
    </row>
    <row r="1088" spans="1:20" ht="16" x14ac:dyDescent="0.2">
      <c r="A1088"/>
      <c r="B1088" s="103">
        <v>7</v>
      </c>
      <c r="C1088" s="243"/>
      <c r="D1088" s="119">
        <v>1075</v>
      </c>
      <c r="E1088" s="25" t="str">
        <f>Tp_CHG!X265</f>
        <v>Transition Probability from state 6 to state 8 on day 30 (CHG)</v>
      </c>
      <c r="F1088" s="40">
        <f t="shared" si="177"/>
        <v>0</v>
      </c>
      <c r="G1088" s="156">
        <v>1</v>
      </c>
      <c r="H1088" s="120">
        <f>Tp_CHG!AA265</f>
        <v>0</v>
      </c>
      <c r="I1088" s="40" t="s">
        <v>58</v>
      </c>
      <c r="J1088" s="40">
        <f t="shared" si="181"/>
        <v>0</v>
      </c>
      <c r="K1088" s="40">
        <f t="shared" si="182"/>
        <v>0</v>
      </c>
      <c r="L1088" s="40" t="s">
        <v>58</v>
      </c>
      <c r="M1088" s="50" t="s">
        <v>266</v>
      </c>
      <c r="N1088" s="190"/>
      <c r="O1088" s="40">
        <f t="shared" ca="1" si="178"/>
        <v>3.5506607006725588E-2</v>
      </c>
      <c r="P1088" s="51">
        <f t="shared" si="179"/>
        <v>0</v>
      </c>
      <c r="Q1088" s="51">
        <f t="shared" si="180"/>
        <v>0</v>
      </c>
      <c r="R1088" s="51">
        <f t="shared" si="183"/>
        <v>0</v>
      </c>
      <c r="S1088"/>
      <c r="T1088" s="83"/>
    </row>
    <row r="1089" spans="1:20" ht="16" x14ac:dyDescent="0.2">
      <c r="A1089"/>
      <c r="B1089" s="103"/>
      <c r="C1089" s="243" t="s">
        <v>265</v>
      </c>
      <c r="D1089" s="119">
        <v>1076</v>
      </c>
      <c r="E1089" s="25" t="str">
        <f>Tp_Non_CHG!D11</f>
        <v>Transition Probability from state 1 to state 1 on day 1 (Non-CHG)</v>
      </c>
      <c r="F1089" s="40">
        <f t="shared" si="177"/>
        <v>0.97967914438502679</v>
      </c>
      <c r="G1089" s="156">
        <v>1</v>
      </c>
      <c r="H1089" s="120">
        <f>Tp_Non_CHG!G11</f>
        <v>0.97967914438502679</v>
      </c>
      <c r="I1089" s="40" t="s">
        <v>58</v>
      </c>
      <c r="J1089" s="40">
        <f t="shared" si="181"/>
        <v>0.78766556044505998</v>
      </c>
      <c r="K1089" s="40">
        <f t="shared" si="182"/>
        <v>1.1716927283249936</v>
      </c>
      <c r="L1089" s="40" t="s">
        <v>26</v>
      </c>
      <c r="M1089" s="50" t="s">
        <v>266</v>
      </c>
      <c r="N1089" s="190">
        <f t="shared" ref="N1089:N1110" ca="1" si="184">_xlfn.BETA.INV(O1089,P1089,Q1089)</f>
        <v>0.99999999959714814</v>
      </c>
      <c r="O1089" s="40">
        <f t="shared" ca="1" si="178"/>
        <v>0.37527128459290016</v>
      </c>
      <c r="P1089" s="51">
        <f t="shared" si="179"/>
        <v>1.052406417112294</v>
      </c>
      <c r="Q1089" s="51">
        <f t="shared" si="180"/>
        <v>2.1829390747962373E-2</v>
      </c>
      <c r="R1089" s="51">
        <f t="shared" si="183"/>
        <v>9.7967914438502682E-2</v>
      </c>
      <c r="S1089"/>
      <c r="T1089" s="83"/>
    </row>
    <row r="1090" spans="1:20" ht="16" x14ac:dyDescent="0.2">
      <c r="A1090"/>
      <c r="B1090" s="103"/>
      <c r="C1090" s="243"/>
      <c r="D1090" s="119">
        <v>1077</v>
      </c>
      <c r="E1090" s="25" t="str">
        <f>Tp_Non_CHG!D43</f>
        <v>Transition Probability from state 1 to state 2 on day 1 (Non-CHG)</v>
      </c>
      <c r="F1090" s="40">
        <f t="shared" si="177"/>
        <v>6.4171122994652408E-3</v>
      </c>
      <c r="G1090" s="156">
        <v>1</v>
      </c>
      <c r="H1090" s="120">
        <f>Tp_Non_CHG!G43</f>
        <v>6.4171122994652408E-3</v>
      </c>
      <c r="I1090" s="40" t="s">
        <v>58</v>
      </c>
      <c r="J1090" s="40">
        <f>IF(H1090=0,0,_xlfn.NORM.INV(0.025,H1090,R1090))</f>
        <v>5.1593814002951523E-3</v>
      </c>
      <c r="K1090" s="40">
        <f>IF(H1090=0,0,_xlfn.NORM.INV(0.975,H1090,R1090))</f>
        <v>7.6748431986353293E-3</v>
      </c>
      <c r="L1090" s="40" t="s">
        <v>26</v>
      </c>
      <c r="M1090" s="50" t="s">
        <v>266</v>
      </c>
      <c r="N1090" s="190">
        <f t="shared" ca="1" si="184"/>
        <v>6.3237173046756063E-3</v>
      </c>
      <c r="O1090" s="40">
        <f ca="1">RAND()</f>
        <v>0.45498607313624762</v>
      </c>
      <c r="P1090" s="51">
        <f t="shared" si="179"/>
        <v>99.351871657753975</v>
      </c>
      <c r="Q1090" s="51">
        <f t="shared" si="180"/>
        <v>15382.981461675572</v>
      </c>
      <c r="R1090" s="51">
        <f>assumedSE*H1090</f>
        <v>6.4171122994652417E-4</v>
      </c>
      <c r="S1090"/>
      <c r="T1090" s="83"/>
    </row>
    <row r="1091" spans="1:20" ht="16" x14ac:dyDescent="0.2">
      <c r="A1091"/>
      <c r="B1091" s="103"/>
      <c r="C1091" s="243"/>
      <c r="D1091" s="119">
        <v>1078</v>
      </c>
      <c r="E1091" s="25" t="str">
        <f>Tp_Non_CHG!D204</f>
        <v>Transition Probability from state 1 to state 7 on day 1 (Non-CHG)</v>
      </c>
      <c r="F1091" s="40">
        <f t="shared" si="177"/>
        <v>3.2085561497326204E-3</v>
      </c>
      <c r="G1091" s="156">
        <v>1</v>
      </c>
      <c r="H1091" s="120">
        <f>Tp_Non_CHG!G204</f>
        <v>3.2085561497326204E-3</v>
      </c>
      <c r="I1091" s="40" t="s">
        <v>58</v>
      </c>
      <c r="J1091" s="40">
        <f>IF(H1091=0,0,_xlfn.NORM.INV(0.025,H1091,R1091))</f>
        <v>2.5796907001475761E-3</v>
      </c>
      <c r="K1091" s="40">
        <f>IF(H1091=0,0,_xlfn.NORM.INV(0.975,H1091,R1091))</f>
        <v>3.8374215993176647E-3</v>
      </c>
      <c r="L1091" s="40" t="s">
        <v>26</v>
      </c>
      <c r="M1091" s="50" t="s">
        <v>266</v>
      </c>
      <c r="N1091" s="190">
        <f t="shared" ca="1" si="184"/>
        <v>3.3518316974271434E-3</v>
      </c>
      <c r="O1091" s="40">
        <f ca="1">RAND()</f>
        <v>0.6819601056850082</v>
      </c>
      <c r="P1091" s="51">
        <f t="shared" si="179"/>
        <v>99.675935828876973</v>
      </c>
      <c r="Q1091" s="51">
        <f t="shared" si="180"/>
        <v>30965.990730837781</v>
      </c>
      <c r="R1091" s="51">
        <f>assumedSE*H1091</f>
        <v>3.2085561497326208E-4</v>
      </c>
      <c r="S1091"/>
      <c r="T1091" s="83"/>
    </row>
    <row r="1092" spans="1:20" ht="16" x14ac:dyDescent="0.2">
      <c r="A1092"/>
      <c r="B1092" s="103"/>
      <c r="C1092" s="243"/>
      <c r="D1092" s="119">
        <v>1079</v>
      </c>
      <c r="E1092" s="25" t="str">
        <f>Tp_Non_CHG!D236</f>
        <v>Transition Probability from state 1 to state 8 on day 1 (Non-CHG)</v>
      </c>
      <c r="F1092" s="40">
        <f t="shared" si="177"/>
        <v>1.06951871657754E-2</v>
      </c>
      <c r="G1092" s="156">
        <v>1</v>
      </c>
      <c r="H1092" s="120">
        <f>Tp_Non_CHG!G236</f>
        <v>1.06951871657754E-2</v>
      </c>
      <c r="I1092" s="40" t="s">
        <v>58</v>
      </c>
      <c r="J1092" s="40">
        <f>IF(H1092=0,0,_xlfn.NORM.INV(0.025,H1092,R1092))</f>
        <v>8.5989690004919205E-3</v>
      </c>
      <c r="K1092" s="40">
        <f>IF(H1092=0,0,_xlfn.NORM.INV(0.975,H1092,R1092))</f>
        <v>1.279140533105888E-2</v>
      </c>
      <c r="L1092" s="40" t="s">
        <v>26</v>
      </c>
      <c r="M1092" s="50" t="s">
        <v>266</v>
      </c>
      <c r="N1092" s="190">
        <f t="shared" ca="1" si="184"/>
        <v>8.0618872884286596E-3</v>
      </c>
      <c r="O1092" s="40">
        <f ca="1">RAND()</f>
        <v>3.8725729764451655E-3</v>
      </c>
      <c r="P1092" s="51">
        <f t="shared" si="179"/>
        <v>98.919786096256672</v>
      </c>
      <c r="Q1092" s="51">
        <f t="shared" si="180"/>
        <v>9150.0802139037423</v>
      </c>
      <c r="R1092" s="51">
        <f>assumedSE*H1092</f>
        <v>1.0695187165775401E-3</v>
      </c>
      <c r="S1092"/>
      <c r="T1092" s="83"/>
    </row>
    <row r="1093" spans="1:20" ht="16" x14ac:dyDescent="0.2">
      <c r="A1093"/>
      <c r="B1093" s="103"/>
      <c r="C1093" s="243"/>
      <c r="D1093" s="119">
        <v>1080</v>
      </c>
      <c r="E1093" s="25" t="str">
        <f>Tp_Non_CHG!D12</f>
        <v>Transition Probability from state 1 to state 1 on day 2 (Non-CHG)</v>
      </c>
      <c r="F1093" s="40">
        <f t="shared" si="177"/>
        <v>0.91048034934497812</v>
      </c>
      <c r="G1093" s="156">
        <v>1</v>
      </c>
      <c r="H1093" s="120">
        <f>Tp_Non_CHG!G12</f>
        <v>0.91048034934497812</v>
      </c>
      <c r="I1093" s="40" t="s">
        <v>58</v>
      </c>
      <c r="J1093" s="40">
        <f t="shared" si="181"/>
        <v>0.73202948001021784</v>
      </c>
      <c r="K1093" s="40">
        <f t="shared" si="182"/>
        <v>1.0889312186797384</v>
      </c>
      <c r="L1093" s="40" t="s">
        <v>26</v>
      </c>
      <c r="M1093" s="50" t="s">
        <v>266</v>
      </c>
      <c r="N1093" s="190">
        <f t="shared" ca="1" si="184"/>
        <v>0.87275636044199023</v>
      </c>
      <c r="O1093" s="40">
        <f t="shared" ca="1" si="178"/>
        <v>0.25335643149916343</v>
      </c>
      <c r="P1093" s="51">
        <f t="shared" si="179"/>
        <v>8.0414847161572087</v>
      </c>
      <c r="Q1093" s="51">
        <f t="shared" si="180"/>
        <v>0.79064957640874278</v>
      </c>
      <c r="R1093" s="51">
        <f t="shared" si="183"/>
        <v>9.1048034934497812E-2</v>
      </c>
      <c r="S1093"/>
      <c r="T1093" s="83"/>
    </row>
    <row r="1094" spans="1:20" ht="16" x14ac:dyDescent="0.2">
      <c r="A1094"/>
      <c r="B1094" s="103"/>
      <c r="C1094" s="243"/>
      <c r="D1094" s="119">
        <v>1081</v>
      </c>
      <c r="E1094" s="25" t="str">
        <f>Tp_Non_CHG!D44</f>
        <v>Transition Probability from state 1 to state 2 on day 2 (Non-CHG)</v>
      </c>
      <c r="F1094" s="40">
        <f t="shared" si="177"/>
        <v>2.6200873362445413E-2</v>
      </c>
      <c r="G1094" s="156">
        <v>1</v>
      </c>
      <c r="H1094" s="120">
        <f>Tp_Non_CHG!G44</f>
        <v>2.6200873362445413E-2</v>
      </c>
      <c r="I1094" s="40" t="s">
        <v>58</v>
      </c>
      <c r="J1094" s="40">
        <f>IF(H1094=0,0,_xlfn.NORM.INV(0.025,H1094,R1094))</f>
        <v>2.1065596547056628E-2</v>
      </c>
      <c r="K1094" s="40">
        <f>IF(H1094=0,0,_xlfn.NORM.INV(0.975,H1094,R1094))</f>
        <v>3.1336150177834199E-2</v>
      </c>
      <c r="L1094" s="40" t="s">
        <v>26</v>
      </c>
      <c r="M1094" s="50" t="s">
        <v>266</v>
      </c>
      <c r="N1094" s="190">
        <f t="shared" ca="1" si="184"/>
        <v>2.2147778861236228E-2</v>
      </c>
      <c r="O1094" s="40">
        <f ca="1">RAND()</f>
        <v>5.4879796376658518E-2</v>
      </c>
      <c r="P1094" s="51">
        <f t="shared" si="179"/>
        <v>97.353711790393007</v>
      </c>
      <c r="Q1094" s="51">
        <f t="shared" si="180"/>
        <v>3618.3129548762736</v>
      </c>
      <c r="R1094" s="51">
        <f>assumedSE*H1094</f>
        <v>2.6200873362445414E-3</v>
      </c>
      <c r="S1094"/>
      <c r="T1094" s="83"/>
    </row>
    <row r="1095" spans="1:20" ht="16" x14ac:dyDescent="0.2">
      <c r="A1095"/>
      <c r="B1095" s="103"/>
      <c r="C1095" s="243"/>
      <c r="D1095" s="119">
        <v>1082</v>
      </c>
      <c r="E1095" s="25" t="str">
        <f>Tp_Non_CHG!D205</f>
        <v>Transition Probability from state 1 to state 7 on day 2 (Non-CHG)</v>
      </c>
      <c r="F1095" s="40">
        <f t="shared" si="177"/>
        <v>2.7292576419213975E-2</v>
      </c>
      <c r="G1095" s="156">
        <v>1</v>
      </c>
      <c r="H1095" s="120">
        <f>Tp_Non_CHG!G205</f>
        <v>2.7292576419213975E-2</v>
      </c>
      <c r="I1095" s="40" t="s">
        <v>58</v>
      </c>
      <c r="J1095" s="40">
        <f>IF(H1095=0,0,_xlfn.NORM.INV(0.025,H1095,R1095))</f>
        <v>2.194332973651732E-2</v>
      </c>
      <c r="K1095" s="40">
        <f>IF(H1095=0,0,_xlfn.NORM.INV(0.975,H1095,R1095))</f>
        <v>3.2641823101910626E-2</v>
      </c>
      <c r="L1095" s="40" t="s">
        <v>26</v>
      </c>
      <c r="M1095" s="50" t="s">
        <v>266</v>
      </c>
      <c r="N1095" s="190">
        <f t="shared" ca="1" si="184"/>
        <v>2.6113696745690605E-2</v>
      </c>
      <c r="O1095" s="40">
        <f ca="1">RAND()</f>
        <v>0.34254528806618934</v>
      </c>
      <c r="P1095" s="51">
        <f t="shared" si="179"/>
        <v>97.243449781659379</v>
      </c>
      <c r="Q1095" s="51">
        <f t="shared" si="180"/>
        <v>3465.7565502183402</v>
      </c>
      <c r="R1095" s="51">
        <f>assumedSE*H1095</f>
        <v>2.7292576419213977E-3</v>
      </c>
      <c r="S1095"/>
      <c r="T1095" s="83"/>
    </row>
    <row r="1096" spans="1:20" ht="16" x14ac:dyDescent="0.2">
      <c r="A1096"/>
      <c r="B1096" s="103"/>
      <c r="C1096" s="243"/>
      <c r="D1096" s="119">
        <v>1083</v>
      </c>
      <c r="E1096" s="25" t="str">
        <f>Tp_Non_CHG!D237</f>
        <v>Transition Probability from state 1 to state 8 on day 2 (Non-CHG)</v>
      </c>
      <c r="F1096" s="40">
        <f t="shared" si="177"/>
        <v>3.6026200873362446E-2</v>
      </c>
      <c r="G1096" s="156">
        <v>1</v>
      </c>
      <c r="H1096" s="120">
        <f>Tp_Non_CHG!G237</f>
        <v>3.6026200873362446E-2</v>
      </c>
      <c r="I1096" s="40" t="s">
        <v>58</v>
      </c>
      <c r="J1096" s="40">
        <f>IF(H1096=0,0,_xlfn.NORM.INV(0.025,H1096,R1096))</f>
        <v>2.8965195252202862E-2</v>
      </c>
      <c r="K1096" s="40">
        <f>IF(H1096=0,0,_xlfn.NORM.INV(0.975,H1096,R1096))</f>
        <v>4.308720649452203E-2</v>
      </c>
      <c r="L1096" s="40" t="s">
        <v>26</v>
      </c>
      <c r="M1096" s="50" t="s">
        <v>266</v>
      </c>
      <c r="N1096" s="190">
        <f t="shared" ca="1" si="184"/>
        <v>3.8423251838681449E-2</v>
      </c>
      <c r="O1096" s="40">
        <f ca="1">RAND()</f>
        <v>0.75283659882643672</v>
      </c>
      <c r="P1096" s="51">
        <f t="shared" si="179"/>
        <v>96.361353711790372</v>
      </c>
      <c r="Q1096" s="51">
        <f t="shared" si="180"/>
        <v>2578.3962220457847</v>
      </c>
      <c r="R1096" s="51">
        <f>assumedSE*H1096</f>
        <v>3.602620087336245E-3</v>
      </c>
      <c r="S1096"/>
      <c r="T1096" s="83"/>
    </row>
    <row r="1097" spans="1:20" ht="16" x14ac:dyDescent="0.2">
      <c r="A1097"/>
      <c r="B1097" s="103"/>
      <c r="C1097" s="243"/>
      <c r="D1097" s="119">
        <v>1084</v>
      </c>
      <c r="E1097" s="25" t="str">
        <f>Tp_Non_CHG!D13</f>
        <v>Transition Probability from state 1 to state 1 on day 3 (Non-CHG)</v>
      </c>
      <c r="F1097" s="40">
        <f t="shared" si="177"/>
        <v>0.89272943980929675</v>
      </c>
      <c r="G1097" s="156">
        <v>1</v>
      </c>
      <c r="H1097" s="120">
        <f>Tp_Non_CHG!G13</f>
        <v>0.89272943980929675</v>
      </c>
      <c r="I1097" s="40" t="s">
        <v>58</v>
      </c>
      <c r="J1097" s="40">
        <f t="shared" si="181"/>
        <v>0.71775768481281277</v>
      </c>
      <c r="K1097" s="40">
        <f t="shared" si="182"/>
        <v>1.0677011948057806</v>
      </c>
      <c r="L1097" s="40" t="s">
        <v>26</v>
      </c>
      <c r="M1097" s="50" t="s">
        <v>266</v>
      </c>
      <c r="N1097" s="190">
        <f t="shared" ca="1" si="184"/>
        <v>0.93778435490790091</v>
      </c>
      <c r="O1097" s="40">
        <f t="shared" ca="1" si="178"/>
        <v>0.61270169361693827</v>
      </c>
      <c r="P1097" s="51">
        <f t="shared" si="179"/>
        <v>9.8343265792610275</v>
      </c>
      <c r="Q1097" s="51">
        <f t="shared" si="180"/>
        <v>1.1816947825547299</v>
      </c>
      <c r="R1097" s="51">
        <f t="shared" si="183"/>
        <v>8.9272943980929678E-2</v>
      </c>
      <c r="S1097"/>
      <c r="T1097" s="83"/>
    </row>
    <row r="1098" spans="1:20" ht="16" x14ac:dyDescent="0.2">
      <c r="A1098"/>
      <c r="B1098" s="103"/>
      <c r="C1098" s="243"/>
      <c r="D1098" s="119">
        <v>1085</v>
      </c>
      <c r="E1098" s="25" t="str">
        <f>Tp_Non_CHG!D45</f>
        <v>Transition Probability from state 1 to state 2 on day 3 (Non-CHG)</v>
      </c>
      <c r="F1098" s="40">
        <f t="shared" si="177"/>
        <v>1.7878426698450536E-2</v>
      </c>
      <c r="G1098" s="156">
        <v>1</v>
      </c>
      <c r="H1098" s="120">
        <f>Tp_Non_CHG!G45</f>
        <v>1.7878426698450536E-2</v>
      </c>
      <c r="I1098" s="40" t="s">
        <v>58</v>
      </c>
      <c r="J1098" s="40">
        <f>IF(H1098=0,0,_xlfn.NORM.INV(0.025,H1098,R1098))</f>
        <v>1.4374319455530297E-2</v>
      </c>
      <c r="K1098" s="40">
        <f>IF(H1098=0,0,_xlfn.NORM.INV(0.975,H1098,R1098))</f>
        <v>2.1382533941370775E-2</v>
      </c>
      <c r="L1098" s="40" t="s">
        <v>26</v>
      </c>
      <c r="M1098" s="50" t="s">
        <v>266</v>
      </c>
      <c r="N1098" s="190">
        <f t="shared" ca="1" si="184"/>
        <v>1.9458274450357194E-2</v>
      </c>
      <c r="O1098" s="40">
        <f ca="1">RAND()</f>
        <v>0.81373526404838226</v>
      </c>
      <c r="P1098" s="51">
        <f t="shared" si="179"/>
        <v>98.194278903456478</v>
      </c>
      <c r="Q1098" s="51">
        <f t="shared" si="180"/>
        <v>5394.1390544298756</v>
      </c>
      <c r="R1098" s="51">
        <f>assumedSE*H1098</f>
        <v>1.7878426698450538E-3</v>
      </c>
      <c r="S1098"/>
      <c r="T1098" s="83"/>
    </row>
    <row r="1099" spans="1:20" ht="16" x14ac:dyDescent="0.2">
      <c r="A1099"/>
      <c r="B1099" s="103"/>
      <c r="C1099" s="243"/>
      <c r="D1099" s="119">
        <v>1086</v>
      </c>
      <c r="E1099" s="25" t="str">
        <f>Tp_Non_CHG!D206</f>
        <v>Transition Probability from state 1 to state 7 on day 3 (Non-CHG)</v>
      </c>
      <c r="F1099" s="40">
        <f t="shared" si="177"/>
        <v>5.3635280095351609E-2</v>
      </c>
      <c r="G1099" s="156">
        <v>1</v>
      </c>
      <c r="H1099" s="120">
        <f>Tp_Non_CHG!G206</f>
        <v>5.3635280095351609E-2</v>
      </c>
      <c r="I1099" s="40" t="s">
        <v>58</v>
      </c>
      <c r="J1099" s="40">
        <f>IF(H1099=0,0,_xlfn.NORM.INV(0.025,H1099,R1099))</f>
        <v>4.3122958366590892E-2</v>
      </c>
      <c r="K1099" s="40">
        <f>IF(H1099=0,0,_xlfn.NORM.INV(0.975,H1099,R1099))</f>
        <v>6.4147601824112332E-2</v>
      </c>
      <c r="L1099" s="40" t="s">
        <v>26</v>
      </c>
      <c r="M1099" s="50" t="s">
        <v>266</v>
      </c>
      <c r="N1099" s="190">
        <f t="shared" ca="1" si="184"/>
        <v>4.8038098249224864E-2</v>
      </c>
      <c r="O1099" s="40">
        <f ca="1">RAND()</f>
        <v>0.14733866293659925</v>
      </c>
      <c r="P1099" s="51">
        <f t="shared" si="179"/>
        <v>94.582836710369477</v>
      </c>
      <c r="Q1099" s="51">
        <f t="shared" si="180"/>
        <v>1668.8616077340748</v>
      </c>
      <c r="R1099" s="51">
        <f>assumedSE*H1099</f>
        <v>5.3635280095351611E-3</v>
      </c>
      <c r="S1099"/>
      <c r="T1099" s="83"/>
    </row>
    <row r="1100" spans="1:20" ht="16" x14ac:dyDescent="0.2">
      <c r="A1100"/>
      <c r="B1100" s="103"/>
      <c r="C1100" s="243"/>
      <c r="D1100" s="119">
        <v>1087</v>
      </c>
      <c r="E1100" s="25" t="str">
        <f>Tp_Non_CHG!D238</f>
        <v>Transition Probability from state 1 to state 8 on day 3 (Non-CHG)</v>
      </c>
      <c r="F1100" s="40">
        <f t="shared" si="177"/>
        <v>3.5756853396901073E-2</v>
      </c>
      <c r="G1100" s="156">
        <v>1</v>
      </c>
      <c r="H1100" s="120">
        <f>Tp_Non_CHG!G238</f>
        <v>3.5756853396901073E-2</v>
      </c>
      <c r="I1100" s="40" t="s">
        <v>58</v>
      </c>
      <c r="J1100" s="40">
        <f>IF(H1100=0,0,_xlfn.NORM.INV(0.025,H1100,R1100))</f>
        <v>2.8748638911060595E-2</v>
      </c>
      <c r="K1100" s="40">
        <f>IF(H1100=0,0,_xlfn.NORM.INV(0.975,H1100,R1100))</f>
        <v>4.276506788274155E-2</v>
      </c>
      <c r="L1100" s="40" t="s">
        <v>26</v>
      </c>
      <c r="M1100" s="50" t="s">
        <v>266</v>
      </c>
      <c r="N1100" s="190">
        <f t="shared" ca="1" si="184"/>
        <v>3.5523690414248514E-2</v>
      </c>
      <c r="O1100" s="40">
        <f ca="1">RAND()</f>
        <v>0.48675841212426629</v>
      </c>
      <c r="P1100" s="51">
        <f t="shared" si="179"/>
        <v>96.388557806912971</v>
      </c>
      <c r="Q1100" s="51">
        <f t="shared" si="180"/>
        <v>2599.278108859753</v>
      </c>
      <c r="R1100" s="51">
        <f>assumedSE*H1100</f>
        <v>3.5756853396901075E-3</v>
      </c>
      <c r="S1100"/>
      <c r="T1100" s="83"/>
    </row>
    <row r="1101" spans="1:20" ht="16" x14ac:dyDescent="0.2">
      <c r="A1101"/>
      <c r="B1101" s="103"/>
      <c r="C1101" s="243"/>
      <c r="D1101" s="119">
        <v>1088</v>
      </c>
      <c r="E1101" s="25" t="str">
        <f>Tp_Non_CHG!D14</f>
        <v>Transition Probability from state 1 to state 1 on day 4 (Non-CHG)</v>
      </c>
      <c r="F1101" s="40">
        <f t="shared" si="177"/>
        <v>0.91180285343709466</v>
      </c>
      <c r="G1101" s="156">
        <v>1</v>
      </c>
      <c r="H1101" s="120">
        <f>Tp_Non_CHG!G14</f>
        <v>0.91180285343709466</v>
      </c>
      <c r="I1101" s="40" t="s">
        <v>58</v>
      </c>
      <c r="J1101" s="40">
        <f t="shared" si="181"/>
        <v>0.73309277806333872</v>
      </c>
      <c r="K1101" s="40">
        <f t="shared" si="182"/>
        <v>1.0905129288108506</v>
      </c>
      <c r="L1101" s="40" t="s">
        <v>26</v>
      </c>
      <c r="M1101" s="50" t="s">
        <v>266</v>
      </c>
      <c r="N1101" s="190">
        <f t="shared" ca="1" si="184"/>
        <v>0.88231697821207666</v>
      </c>
      <c r="O1101" s="40">
        <f t="shared" ca="1" si="178"/>
        <v>0.27387816204900695</v>
      </c>
      <c r="P1101" s="51">
        <f t="shared" si="179"/>
        <v>7.9079118028534374</v>
      </c>
      <c r="Q1101" s="51">
        <f t="shared" si="180"/>
        <v>0.76491892260886751</v>
      </c>
      <c r="R1101" s="51">
        <f t="shared" si="183"/>
        <v>9.1180285343709477E-2</v>
      </c>
      <c r="S1101"/>
      <c r="T1101" s="83"/>
    </row>
    <row r="1102" spans="1:20" ht="16" x14ac:dyDescent="0.2">
      <c r="A1102"/>
      <c r="B1102" s="103"/>
      <c r="C1102" s="243"/>
      <c r="D1102" s="119">
        <v>1089</v>
      </c>
      <c r="E1102" s="25" t="str">
        <f>Tp_Non_CHG!D46</f>
        <v>Transition Probability from state 1 to state 2 on day 4 (Non-CHG)</v>
      </c>
      <c r="F1102" s="40">
        <f t="shared" si="177"/>
        <v>1.1673151750972763E-2</v>
      </c>
      <c r="G1102" s="156">
        <v>1</v>
      </c>
      <c r="H1102" s="120">
        <f>Tp_Non_CHG!G46</f>
        <v>1.1673151750972763E-2</v>
      </c>
      <c r="I1102" s="40" t="s">
        <v>58</v>
      </c>
      <c r="J1102" s="40">
        <f>IF(H1102=0,0,_xlfn.NORM.INV(0.025,H1102,R1102))</f>
        <v>9.3852560491750336E-3</v>
      </c>
      <c r="K1102" s="40">
        <f>IF(H1102=0,0,_xlfn.NORM.INV(0.975,H1102,R1102))</f>
        <v>1.396104745277049E-2</v>
      </c>
      <c r="L1102" s="40" t="s">
        <v>26</v>
      </c>
      <c r="M1102" s="50" t="s">
        <v>266</v>
      </c>
      <c r="N1102" s="190">
        <f t="shared" ca="1" si="184"/>
        <v>1.2237017134738903E-2</v>
      </c>
      <c r="O1102" s="40">
        <f ca="1">RAND()</f>
        <v>0.69439527689003933</v>
      </c>
      <c r="P1102" s="51">
        <f t="shared" si="179"/>
        <v>98.821011673151773</v>
      </c>
      <c r="Q1102" s="51">
        <f t="shared" si="180"/>
        <v>8366.8456549935163</v>
      </c>
      <c r="R1102" s="51">
        <f>assumedSE*H1102</f>
        <v>1.1673151750972762E-3</v>
      </c>
      <c r="S1102"/>
      <c r="T1102" s="83"/>
    </row>
    <row r="1103" spans="1:20" ht="16" x14ac:dyDescent="0.2">
      <c r="A1103"/>
      <c r="B1103" s="103"/>
      <c r="C1103" s="243"/>
      <c r="D1103" s="119">
        <v>1090</v>
      </c>
      <c r="E1103" s="25" t="str">
        <f>Tp_Non_CHG!D207</f>
        <v>Transition Probability from state 1 to state 7 on day 4 (Non-CHG)</v>
      </c>
      <c r="F1103" s="40">
        <f t="shared" ref="F1103:F1166" si="185">IFERROR(CHOOSE(G1103,H1103,J1103,K1103,N1103),0)</f>
        <v>5.4474708171206226E-2</v>
      </c>
      <c r="G1103" s="156">
        <v>1</v>
      </c>
      <c r="H1103" s="120">
        <f>Tp_Non_CHG!G207</f>
        <v>5.4474708171206226E-2</v>
      </c>
      <c r="I1103" s="40" t="s">
        <v>58</v>
      </c>
      <c r="J1103" s="40">
        <f>IF(H1103=0,0,_xlfn.NORM.INV(0.025,H1103,R1103))</f>
        <v>4.3797861562816828E-2</v>
      </c>
      <c r="K1103" s="40">
        <f>IF(H1103=0,0,_xlfn.NORM.INV(0.975,H1103,R1103))</f>
        <v>6.5151554779595625E-2</v>
      </c>
      <c r="L1103" s="40" t="s">
        <v>26</v>
      </c>
      <c r="M1103" s="50" t="s">
        <v>266</v>
      </c>
      <c r="N1103" s="190">
        <f t="shared" ca="1" si="184"/>
        <v>5.2878923885551529E-2</v>
      </c>
      <c r="O1103" s="40">
        <f ca="1">RAND()</f>
        <v>0.39586983730329461</v>
      </c>
      <c r="P1103" s="51">
        <f t="shared" si="179"/>
        <v>94.498054474708155</v>
      </c>
      <c r="Q1103" s="51">
        <f t="shared" si="180"/>
        <v>1640.2162312395772</v>
      </c>
      <c r="R1103" s="51">
        <f>assumedSE*H1103</f>
        <v>5.4474708171206232E-3</v>
      </c>
      <c r="S1103"/>
      <c r="T1103" s="83"/>
    </row>
    <row r="1104" spans="1:20" ht="16" x14ac:dyDescent="0.2">
      <c r="A1104"/>
      <c r="B1104" s="103"/>
      <c r="C1104" s="243"/>
      <c r="D1104" s="119">
        <v>1091</v>
      </c>
      <c r="E1104" s="25" t="str">
        <f>Tp_Non_CHG!D239</f>
        <v>Transition Probability from state 1 to state 8 on day 4 (Non-CHG)</v>
      </c>
      <c r="F1104" s="40">
        <f t="shared" si="185"/>
        <v>2.2049286640726331E-2</v>
      </c>
      <c r="G1104" s="156">
        <v>1</v>
      </c>
      <c r="H1104" s="120">
        <f>Tp_Non_CHG!G239</f>
        <v>2.2049286640726331E-2</v>
      </c>
      <c r="I1104" s="40" t="s">
        <v>58</v>
      </c>
      <c r="J1104" s="40">
        <f>IF(H1104=0,0,_xlfn.NORM.INV(0.025,H1104,R1104))</f>
        <v>1.7727705870663954E-2</v>
      </c>
      <c r="K1104" s="40">
        <f>IF(H1104=0,0,_xlfn.NORM.INV(0.975,H1104,R1104))</f>
        <v>2.6370867410788708E-2</v>
      </c>
      <c r="L1104" s="40" t="s">
        <v>26</v>
      </c>
      <c r="M1104" s="50" t="s">
        <v>266</v>
      </c>
      <c r="N1104" s="190">
        <f t="shared" ca="1" si="184"/>
        <v>2.2772175838059905E-2</v>
      </c>
      <c r="O1104" s="40">
        <f ca="1">RAND()</f>
        <v>0.63940484286054033</v>
      </c>
      <c r="P1104" s="51">
        <f t="shared" si="179"/>
        <v>97.773022049286624</v>
      </c>
      <c r="Q1104" s="51">
        <f t="shared" si="180"/>
        <v>4336.5210955977709</v>
      </c>
      <c r="R1104" s="51">
        <f>assumedSE*H1104</f>
        <v>2.2049286640726334E-3</v>
      </c>
      <c r="S1104"/>
      <c r="T1104" s="83"/>
    </row>
    <row r="1105" spans="1:20" ht="16" x14ac:dyDescent="0.2">
      <c r="A1105"/>
      <c r="B1105" s="103"/>
      <c r="C1105" s="243"/>
      <c r="D1105" s="119">
        <v>1092</v>
      </c>
      <c r="E1105" s="25" t="str">
        <f>Tp_Non_CHG!D15</f>
        <v>Transition Probability from state 1 to state 1 on day 5 (Non-CHG)</v>
      </c>
      <c r="F1105" s="40">
        <f t="shared" si="185"/>
        <v>0.88981868898186889</v>
      </c>
      <c r="G1105" s="156">
        <v>1</v>
      </c>
      <c r="H1105" s="120">
        <f>Tp_Non_CHG!G15</f>
        <v>0.88981868898186889</v>
      </c>
      <c r="I1105" s="40" t="s">
        <v>58</v>
      </c>
      <c r="J1105" s="40">
        <f t="shared" si="181"/>
        <v>0.71541743066435781</v>
      </c>
      <c r="K1105" s="40">
        <f t="shared" si="182"/>
        <v>1.0642199472993799</v>
      </c>
      <c r="L1105" s="40" t="s">
        <v>26</v>
      </c>
      <c r="M1105" s="50" t="s">
        <v>266</v>
      </c>
      <c r="N1105" s="190">
        <f t="shared" ca="1" si="184"/>
        <v>0.99170151021310693</v>
      </c>
      <c r="O1105" s="40">
        <f t="shared" ca="1" si="178"/>
        <v>0.96159649206299325</v>
      </c>
      <c r="P1105" s="51">
        <f t="shared" ref="P1105:P1168" si="186">IFERROR(H1105*((H1105*(1-H1105)/(R1105^2))-1),0)</f>
        <v>10.128312412831242</v>
      </c>
      <c r="Q1105" s="51">
        <f t="shared" ref="Q1105:Q1168" si="187">IFERROR((1-H1105)*((H1105*(1-H1105))/(R1105^2)-1),0)</f>
        <v>1.2541327282345895</v>
      </c>
      <c r="R1105" s="51">
        <f t="shared" si="183"/>
        <v>8.8981868898186892E-2</v>
      </c>
      <c r="S1105"/>
      <c r="T1105" s="83"/>
    </row>
    <row r="1106" spans="1:20" ht="16" x14ac:dyDescent="0.2">
      <c r="A1106"/>
      <c r="B1106" s="103"/>
      <c r="C1106" s="243"/>
      <c r="D1106" s="119">
        <v>1093</v>
      </c>
      <c r="E1106" s="25" t="str">
        <f>Tp_Non_CHG!D47</f>
        <v>Transition Probability from state 1 to state 2 on day 5 (Non-CHG)</v>
      </c>
      <c r="F1106" s="40">
        <f t="shared" si="185"/>
        <v>1.5341701534170154E-2</v>
      </c>
      <c r="G1106" s="156">
        <v>1</v>
      </c>
      <c r="H1106" s="120">
        <f>Tp_Non_CHG!G47</f>
        <v>1.5341701534170154E-2</v>
      </c>
      <c r="I1106" s="40" t="s">
        <v>58</v>
      </c>
      <c r="J1106" s="40">
        <f>IF(H1106=0,0,_xlfn.NORM.INV(0.025,H1106,R1106))</f>
        <v>1.2334783287316515E-2</v>
      </c>
      <c r="K1106" s="40">
        <f>IF(H1106=0,0,_xlfn.NORM.INV(0.975,H1106,R1106))</f>
        <v>1.8348619781023791E-2</v>
      </c>
      <c r="L1106" s="40" t="s">
        <v>26</v>
      </c>
      <c r="M1106" s="50" t="s">
        <v>266</v>
      </c>
      <c r="N1106" s="190">
        <f t="shared" ca="1" si="184"/>
        <v>1.3007930340924335E-2</v>
      </c>
      <c r="O1106" s="40">
        <f ca="1">RAND()</f>
        <v>5.8060321408412663E-2</v>
      </c>
      <c r="P1106" s="51">
        <f t="shared" si="186"/>
        <v>98.450488145048809</v>
      </c>
      <c r="Q1106" s="51">
        <f t="shared" si="187"/>
        <v>6318.7313300367696</v>
      </c>
      <c r="R1106" s="51">
        <f>assumedSE*H1106</f>
        <v>1.5341701534170155E-3</v>
      </c>
      <c r="S1106"/>
      <c r="T1106" s="83"/>
    </row>
    <row r="1107" spans="1:20" ht="16" x14ac:dyDescent="0.2">
      <c r="A1107"/>
      <c r="B1107" s="103"/>
      <c r="C1107" s="243"/>
      <c r="D1107" s="119">
        <v>1094</v>
      </c>
      <c r="E1107" s="25" t="str">
        <f>Tp_Non_CHG!D208</f>
        <v>Transition Probability from state 1 to state 7 on day 5 (Non-CHG)</v>
      </c>
      <c r="F1107" s="40">
        <f t="shared" si="185"/>
        <v>7.1129707112970716E-2</v>
      </c>
      <c r="G1107" s="156">
        <v>1</v>
      </c>
      <c r="H1107" s="120">
        <f>Tp_Non_CHG!G208</f>
        <v>7.1129707112970716E-2</v>
      </c>
      <c r="I1107" s="40" t="s">
        <v>58</v>
      </c>
      <c r="J1107" s="40">
        <f>IF(H1107=0,0,_xlfn.NORM.INV(0.025,H1107,R1107))</f>
        <v>5.7188540695740205E-2</v>
      </c>
      <c r="K1107" s="40">
        <f>IF(H1107=0,0,_xlfn.NORM.INV(0.975,H1107,R1107))</f>
        <v>8.5070873530201221E-2</v>
      </c>
      <c r="L1107" s="40" t="s">
        <v>26</v>
      </c>
      <c r="M1107" s="50" t="s">
        <v>266</v>
      </c>
      <c r="N1107" s="190">
        <f t="shared" ca="1" si="184"/>
        <v>7.3558246779500291E-2</v>
      </c>
      <c r="O1107" s="40">
        <f ca="1">RAND()</f>
        <v>0.64372593304431591</v>
      </c>
      <c r="P1107" s="51">
        <f t="shared" si="186"/>
        <v>92.81589958158996</v>
      </c>
      <c r="Q1107" s="51">
        <f t="shared" si="187"/>
        <v>1212.0664533595864</v>
      </c>
      <c r="R1107" s="51">
        <f>assumedSE*H1107</f>
        <v>7.1129707112970722E-3</v>
      </c>
      <c r="S1107"/>
      <c r="T1107" s="83"/>
    </row>
    <row r="1108" spans="1:20" ht="16" x14ac:dyDescent="0.2">
      <c r="A1108"/>
      <c r="B1108" s="103"/>
      <c r="C1108" s="243"/>
      <c r="D1108" s="119">
        <v>1095</v>
      </c>
      <c r="E1108" s="25" t="str">
        <f>Tp_Non_CHG!D240</f>
        <v>Transition Probability from state 1 to state 8 on day 5 (Non-CHG)</v>
      </c>
      <c r="F1108" s="40">
        <f t="shared" si="185"/>
        <v>2.3709902370990237E-2</v>
      </c>
      <c r="G1108" s="156">
        <v>1</v>
      </c>
      <c r="H1108" s="120">
        <f>Tp_Non_CHG!G240</f>
        <v>2.3709902370990237E-2</v>
      </c>
      <c r="I1108" s="40" t="s">
        <v>58</v>
      </c>
      <c r="J1108" s="40">
        <f>IF(H1108=0,0,_xlfn.NORM.INV(0.025,H1108,R1108))</f>
        <v>1.9062846898580066E-2</v>
      </c>
      <c r="K1108" s="40">
        <f>IF(H1108=0,0,_xlfn.NORM.INV(0.975,H1108,R1108))</f>
        <v>2.8356957843400407E-2</v>
      </c>
      <c r="L1108" s="40" t="s">
        <v>26</v>
      </c>
      <c r="M1108" s="50" t="s">
        <v>266</v>
      </c>
      <c r="N1108" s="190">
        <f t="shared" ca="1" si="184"/>
        <v>2.2443171015894287E-2</v>
      </c>
      <c r="O1108" s="40">
        <f ca="1">RAND()</f>
        <v>0.3046509700968667</v>
      </c>
      <c r="P1108" s="51">
        <f t="shared" si="186"/>
        <v>97.605299860529954</v>
      </c>
      <c r="Q1108" s="51">
        <f t="shared" si="187"/>
        <v>4019.0417589629978</v>
      </c>
      <c r="R1108" s="51">
        <f>assumedSE*H1108</f>
        <v>2.3709902370990239E-3</v>
      </c>
      <c r="S1108"/>
      <c r="T1108" s="83"/>
    </row>
    <row r="1109" spans="1:20" ht="16" x14ac:dyDescent="0.2">
      <c r="A1109"/>
      <c r="B1109" s="103"/>
      <c r="C1109" s="243"/>
      <c r="D1109" s="119">
        <v>1096</v>
      </c>
      <c r="E1109" s="25" t="str">
        <f>Tp_Non_CHG!D16</f>
        <v>Transition Probability from state 1 to state 1 on day 6 (Non-CHG)</v>
      </c>
      <c r="F1109" s="40">
        <f t="shared" si="185"/>
        <v>0.87037037037037035</v>
      </c>
      <c r="G1109" s="156">
        <v>1</v>
      </c>
      <c r="H1109" s="120">
        <f>Tp_Non_CHG!G16</f>
        <v>0.87037037037037035</v>
      </c>
      <c r="I1109" s="40" t="s">
        <v>58</v>
      </c>
      <c r="J1109" s="40">
        <f t="shared" si="181"/>
        <v>0.69978091245669893</v>
      </c>
      <c r="K1109" s="40">
        <f t="shared" si="182"/>
        <v>1.0409598282840418</v>
      </c>
      <c r="L1109" s="40" t="s">
        <v>26</v>
      </c>
      <c r="M1109" s="50" t="s">
        <v>266</v>
      </c>
      <c r="N1109" s="190">
        <f t="shared" ca="1" si="184"/>
        <v>0.7928929311508458</v>
      </c>
      <c r="O1109" s="40">
        <f t="shared" ca="1" si="178"/>
        <v>0.17548328488007181</v>
      </c>
      <c r="P1109" s="51">
        <f t="shared" si="186"/>
        <v>12.092592592592593</v>
      </c>
      <c r="Q1109" s="51">
        <f t="shared" si="187"/>
        <v>1.8010244286840036</v>
      </c>
      <c r="R1109" s="51">
        <f t="shared" si="183"/>
        <v>8.7037037037037038E-2</v>
      </c>
      <c r="S1109"/>
      <c r="T1109" s="83"/>
    </row>
    <row r="1110" spans="1:20" ht="16" x14ac:dyDescent="0.2">
      <c r="A1110"/>
      <c r="B1110" s="103"/>
      <c r="C1110" s="243"/>
      <c r="D1110" s="119">
        <v>1097</v>
      </c>
      <c r="E1110" s="25" t="str">
        <f>Tp_Non_CHG!D48</f>
        <v>Transition Probability from state 1 to state 2 on day 6 (Non-CHG)</v>
      </c>
      <c r="F1110" s="40">
        <f t="shared" si="185"/>
        <v>2.9320987654320986E-2</v>
      </c>
      <c r="G1110" s="156">
        <v>1</v>
      </c>
      <c r="H1110" s="120">
        <f>Tp_Non_CHG!G48</f>
        <v>2.9320987654320986E-2</v>
      </c>
      <c r="I1110" s="40" t="s">
        <v>58</v>
      </c>
      <c r="J1110" s="40">
        <f>IF(H1110=0,0,_xlfn.NORM.INV(0.025,H1110,R1110))</f>
        <v>2.3574179674959717E-2</v>
      </c>
      <c r="K1110" s="40">
        <f>IF(H1110=0,0,_xlfn.NORM.INV(0.975,H1110,R1110))</f>
        <v>3.5067795633682258E-2</v>
      </c>
      <c r="L1110" s="40" t="s">
        <v>26</v>
      </c>
      <c r="M1110" s="50" t="s">
        <v>266</v>
      </c>
      <c r="N1110" s="190">
        <f t="shared" ca="1" si="184"/>
        <v>3.6027876539076242E-2</v>
      </c>
      <c r="O1110" s="40">
        <f ca="1">RAND()</f>
        <v>0.984968234467135</v>
      </c>
      <c r="P1110" s="51">
        <f t="shared" si="186"/>
        <v>97.038580246913568</v>
      </c>
      <c r="Q1110" s="51">
        <f t="shared" si="187"/>
        <v>3212.4877355425597</v>
      </c>
      <c r="R1110" s="51">
        <f>assumedSE*H1110</f>
        <v>2.9320987654320989E-3</v>
      </c>
      <c r="S1110"/>
      <c r="T1110" s="83"/>
    </row>
    <row r="1111" spans="1:20" ht="16" x14ac:dyDescent="0.2">
      <c r="A1111"/>
      <c r="B1111" s="103"/>
      <c r="C1111" s="243"/>
      <c r="D1111" s="119">
        <v>1098</v>
      </c>
      <c r="E1111" s="25" t="str">
        <f>Tp_Non_CHG!D112</f>
        <v>Transition Probability from state 1 to state 4 on day 6 (Non-CHG)</v>
      </c>
      <c r="F1111" s="40">
        <f t="shared" si="185"/>
        <v>1.5432098765432098E-3</v>
      </c>
      <c r="G1111" s="156">
        <v>1</v>
      </c>
      <c r="H1111" s="120">
        <f>Tp_Non_CHG!G112</f>
        <v>1.5432098765432098E-3</v>
      </c>
      <c r="I1111" s="40" t="s">
        <v>58</v>
      </c>
      <c r="J1111" s="40">
        <f>IF(H1111=0,0,_xlfn.NORM.INV(0.025,H1111,R1111))</f>
        <v>1.2407462986820904E-3</v>
      </c>
      <c r="K1111" s="40">
        <f>IF(H1111=0,0,_xlfn.NORM.INV(0.975,H1111,R1111))</f>
        <v>1.8456734544043292E-3</v>
      </c>
      <c r="L1111" s="40" t="s">
        <v>26</v>
      </c>
      <c r="M1111" s="50" t="s">
        <v>266</v>
      </c>
      <c r="N1111" s="190">
        <f t="shared" ref="N1111:N1174" ca="1" si="188">_xlfn.BETA.INV(O1111,P1111,Q1111)</f>
        <v>1.6735878914547753E-3</v>
      </c>
      <c r="O1111" s="40">
        <f ca="1">RAND()</f>
        <v>0.80379453322799499</v>
      </c>
      <c r="P1111" s="51">
        <f t="shared" si="186"/>
        <v>99.844135802469125</v>
      </c>
      <c r="Q1111" s="51">
        <f t="shared" si="187"/>
        <v>64599.155864197528</v>
      </c>
      <c r="R1111" s="51">
        <f>assumedSE*H1111</f>
        <v>1.5432098765432098E-4</v>
      </c>
      <c r="S1111"/>
      <c r="T1111" s="83"/>
    </row>
    <row r="1112" spans="1:20" ht="16" x14ac:dyDescent="0.2">
      <c r="A1112"/>
      <c r="B1112" s="103"/>
      <c r="C1112" s="243"/>
      <c r="D1112" s="119">
        <v>1099</v>
      </c>
      <c r="E1112" s="25" t="str">
        <f>Tp_Non_CHG!D144</f>
        <v>Transition Probability from state 1 to state 5 on day 6 (Non-CHG)</v>
      </c>
      <c r="F1112" s="40">
        <f t="shared" si="185"/>
        <v>1.5432098765432098E-3</v>
      </c>
      <c r="G1112" s="156">
        <v>1</v>
      </c>
      <c r="H1112" s="120">
        <f>Tp_Non_CHG!G144</f>
        <v>1.5432098765432098E-3</v>
      </c>
      <c r="I1112" s="40" t="s">
        <v>58</v>
      </c>
      <c r="J1112" s="40">
        <f>IF(H1112=0,0,_xlfn.NORM.INV(0.025,H1112,R1112))</f>
        <v>1.2407462986820904E-3</v>
      </c>
      <c r="K1112" s="40">
        <f>IF(H1112=0,0,_xlfn.NORM.INV(0.975,H1112,R1112))</f>
        <v>1.8456734544043292E-3</v>
      </c>
      <c r="L1112" s="40" t="s">
        <v>26</v>
      </c>
      <c r="M1112" s="50" t="s">
        <v>266</v>
      </c>
      <c r="N1112" s="190">
        <f t="shared" ca="1" si="188"/>
        <v>1.5850304416850092E-3</v>
      </c>
      <c r="O1112" s="40">
        <f ca="1">RAND()</f>
        <v>0.61859912464684663</v>
      </c>
      <c r="P1112" s="51">
        <f t="shared" si="186"/>
        <v>99.844135802469125</v>
      </c>
      <c r="Q1112" s="51">
        <f t="shared" si="187"/>
        <v>64599.155864197528</v>
      </c>
      <c r="R1112" s="51">
        <f>assumedSE*H1112</f>
        <v>1.5432098765432098E-4</v>
      </c>
      <c r="S1112"/>
      <c r="T1112" s="83"/>
    </row>
    <row r="1113" spans="1:20" ht="16" x14ac:dyDescent="0.2">
      <c r="A1113"/>
      <c r="B1113" s="103"/>
      <c r="C1113" s="243"/>
      <c r="D1113" s="119">
        <v>1100</v>
      </c>
      <c r="E1113" s="25" t="str">
        <f>Tp_Non_CHG!D209</f>
        <v>Transition Probability from state 1 to state 7 on day 6 (Non-CHG)</v>
      </c>
      <c r="F1113" s="40">
        <f t="shared" si="185"/>
        <v>7.8703703703703706E-2</v>
      </c>
      <c r="G1113" s="156">
        <v>1</v>
      </c>
      <c r="H1113" s="120">
        <f>Tp_Non_CHG!G209</f>
        <v>7.8703703703703706E-2</v>
      </c>
      <c r="I1113" s="40" t="s">
        <v>58</v>
      </c>
      <c r="J1113" s="40">
        <f>IF(H1113=0,0,_xlfn.NORM.INV(0.025,H1113,R1113))</f>
        <v>6.327806123278662E-2</v>
      </c>
      <c r="K1113" s="40">
        <f>IF(H1113=0,0,_xlfn.NORM.INV(0.975,H1113,R1113))</f>
        <v>9.4129346174620793E-2</v>
      </c>
      <c r="L1113" s="40" t="s">
        <v>26</v>
      </c>
      <c r="M1113" s="50" t="s">
        <v>266</v>
      </c>
      <c r="N1113" s="190">
        <f t="shared" ca="1" si="188"/>
        <v>7.5707964947173551E-2</v>
      </c>
      <c r="O1113" s="40">
        <f ca="1">RAND()</f>
        <v>0.36155275725320746</v>
      </c>
      <c r="P1113" s="51">
        <f t="shared" si="186"/>
        <v>92.05092592592591</v>
      </c>
      <c r="Q1113" s="51">
        <f t="shared" si="187"/>
        <v>1077.5373093681915</v>
      </c>
      <c r="R1113" s="51">
        <f>assumedSE*H1113</f>
        <v>7.8703703703703713E-3</v>
      </c>
      <c r="S1113"/>
      <c r="T1113" s="83"/>
    </row>
    <row r="1114" spans="1:20" ht="16" x14ac:dyDescent="0.2">
      <c r="A1114"/>
      <c r="B1114" s="103"/>
      <c r="C1114" s="243"/>
      <c r="D1114" s="119">
        <v>1101</v>
      </c>
      <c r="E1114" s="25" t="str">
        <f>Tp_Non_CHG!D241</f>
        <v>Transition Probability from state 1 to state 8 on day 6 (Non-CHG)</v>
      </c>
      <c r="F1114" s="40">
        <f t="shared" si="185"/>
        <v>1.8518518518518517E-2</v>
      </c>
      <c r="G1114" s="156">
        <v>1</v>
      </c>
      <c r="H1114" s="120">
        <f>Tp_Non_CHG!G241</f>
        <v>1.8518518518518517E-2</v>
      </c>
      <c r="I1114" s="40" t="s">
        <v>58</v>
      </c>
      <c r="J1114" s="40">
        <f>IF(H1114=0,0,_xlfn.NORM.INV(0.025,H1114,R1114))</f>
        <v>1.4888955584185085E-2</v>
      </c>
      <c r="K1114" s="40">
        <f>IF(H1114=0,0,_xlfn.NORM.INV(0.975,H1114,R1114))</f>
        <v>2.214808145285195E-2</v>
      </c>
      <c r="L1114" s="40" t="s">
        <v>26</v>
      </c>
      <c r="M1114" s="50" t="s">
        <v>266</v>
      </c>
      <c r="N1114" s="190">
        <f t="shared" ca="1" si="188"/>
        <v>1.8975862436507729E-2</v>
      </c>
      <c r="O1114" s="40">
        <f ca="1">RAND()</f>
        <v>0.60934612526486032</v>
      </c>
      <c r="P1114" s="51">
        <f t="shared" si="186"/>
        <v>98.129629629629605</v>
      </c>
      <c r="Q1114" s="51">
        <f t="shared" si="187"/>
        <v>5200.8703703703695</v>
      </c>
      <c r="R1114" s="51">
        <f>assumedSE*H1114</f>
        <v>1.8518518518518519E-3</v>
      </c>
      <c r="S1114"/>
      <c r="T1114" s="83"/>
    </row>
    <row r="1115" spans="1:20" ht="16" x14ac:dyDescent="0.2">
      <c r="A1115"/>
      <c r="B1115" s="103"/>
      <c r="C1115" s="243"/>
      <c r="D1115" s="119">
        <v>1102</v>
      </c>
      <c r="E1115" s="25" t="str">
        <f>Tp_Non_CHG!D17</f>
        <v>Transition Probability from state 1 to state 1 on day 7 (Non-CHG)</v>
      </c>
      <c r="F1115" s="40">
        <f t="shared" si="185"/>
        <v>0.85913043478260864</v>
      </c>
      <c r="G1115" s="156">
        <v>1</v>
      </c>
      <c r="H1115" s="120">
        <f>Tp_Non_CHG!G17</f>
        <v>0.85913043478260864</v>
      </c>
      <c r="I1115" s="40" t="s">
        <v>58</v>
      </c>
      <c r="J1115" s="40">
        <f t="shared" si="181"/>
        <v>0.69074396376299352</v>
      </c>
      <c r="K1115" s="40">
        <f t="shared" si="182"/>
        <v>1.0275169058022238</v>
      </c>
      <c r="L1115" s="40" t="s">
        <v>26</v>
      </c>
      <c r="M1115" s="50" t="s">
        <v>266</v>
      </c>
      <c r="N1115" s="190">
        <f t="shared" ca="1" si="188"/>
        <v>0.90442089206478304</v>
      </c>
      <c r="O1115" s="40">
        <f t="shared" ca="1" si="178"/>
        <v>0.64740691773407155</v>
      </c>
      <c r="P1115" s="51">
        <f t="shared" si="186"/>
        <v>13.227826086956524</v>
      </c>
      <c r="Q1115" s="51">
        <f t="shared" si="187"/>
        <v>2.1689350466467183</v>
      </c>
      <c r="R1115" s="51">
        <f t="shared" si="183"/>
        <v>8.591304347826087E-2</v>
      </c>
      <c r="S1115"/>
      <c r="T1115" s="83"/>
    </row>
    <row r="1116" spans="1:20" ht="16" x14ac:dyDescent="0.2">
      <c r="A1116"/>
      <c r="B1116" s="103"/>
      <c r="C1116" s="243"/>
      <c r="D1116" s="119">
        <v>1103</v>
      </c>
      <c r="E1116" s="25" t="str">
        <f>Tp_Non_CHG!D49</f>
        <v>Transition Probability from state 1 to state 2 on day 7 (Non-CHG)</v>
      </c>
      <c r="F1116" s="40">
        <f t="shared" si="185"/>
        <v>3.1304347826086959E-2</v>
      </c>
      <c r="G1116" s="156">
        <v>1</v>
      </c>
      <c r="H1116" s="120">
        <f>Tp_Non_CHG!G49</f>
        <v>3.1304347826086959E-2</v>
      </c>
      <c r="I1116" s="40" t="s">
        <v>58</v>
      </c>
      <c r="J1116" s="40">
        <f>IF(H1116=0,0,_xlfn.NORM.INV(0.025,H1116,R1116))</f>
        <v>2.5168808396222441E-2</v>
      </c>
      <c r="K1116" s="40">
        <f>IF(H1116=0,0,_xlfn.NORM.INV(0.975,H1116,R1116))</f>
        <v>3.7439887255951473E-2</v>
      </c>
      <c r="L1116" s="40" t="s">
        <v>26</v>
      </c>
      <c r="M1116" s="50" t="s">
        <v>266</v>
      </c>
      <c r="N1116" s="190">
        <f t="shared" ca="1" si="188"/>
        <v>3.042682585017455E-2</v>
      </c>
      <c r="O1116" s="40">
        <f ca="1">RAND()</f>
        <v>0.4011062403181388</v>
      </c>
      <c r="P1116" s="51">
        <f t="shared" si="186"/>
        <v>96.838260869565204</v>
      </c>
      <c r="Q1116" s="51">
        <f t="shared" si="187"/>
        <v>2996.6061835748787</v>
      </c>
      <c r="R1116" s="51">
        <f>assumedSE*H1116</f>
        <v>3.1304347826086962E-3</v>
      </c>
      <c r="S1116"/>
      <c r="T1116" s="83"/>
    </row>
    <row r="1117" spans="1:20" ht="16" x14ac:dyDescent="0.2">
      <c r="A1117"/>
      <c r="B1117" s="103"/>
      <c r="C1117" s="243"/>
      <c r="D1117" s="119">
        <v>1104</v>
      </c>
      <c r="E1117" s="25" t="str">
        <f>Tp_Non_CHG!D113</f>
        <v>Transition Probability from state 1 to state 4 on day 7 (Non-CHG)</v>
      </c>
      <c r="F1117" s="40">
        <f t="shared" si="185"/>
        <v>1.7391304347826088E-3</v>
      </c>
      <c r="G1117" s="156">
        <v>1</v>
      </c>
      <c r="H1117" s="120">
        <f>Tp_Non_CHG!G113</f>
        <v>1.7391304347826088E-3</v>
      </c>
      <c r="I1117" s="40" t="s">
        <v>58</v>
      </c>
      <c r="J1117" s="40">
        <f>IF(H1117=0,0,_xlfn.NORM.INV(0.025,H1117,R1117))</f>
        <v>1.398267133123469E-3</v>
      </c>
      <c r="K1117" s="40">
        <f>IF(H1117=0,0,_xlfn.NORM.INV(0.975,H1117,R1117))</f>
        <v>2.0799937364417483E-3</v>
      </c>
      <c r="L1117" s="40" t="s">
        <v>26</v>
      </c>
      <c r="M1117" s="50" t="s">
        <v>266</v>
      </c>
      <c r="N1117" s="190">
        <f t="shared" ca="1" si="188"/>
        <v>1.8218091462945951E-3</v>
      </c>
      <c r="O1117" s="40">
        <f ca="1">RAND()</f>
        <v>0.69189608568802852</v>
      </c>
      <c r="P1117" s="51">
        <f t="shared" si="186"/>
        <v>99.824347826086964</v>
      </c>
      <c r="Q1117" s="51">
        <f t="shared" si="187"/>
        <v>57299.175652173915</v>
      </c>
      <c r="R1117" s="51">
        <f>assumedSE*H1117</f>
        <v>1.7391304347826088E-4</v>
      </c>
      <c r="S1117"/>
      <c r="T1117" s="83"/>
    </row>
    <row r="1118" spans="1:20" ht="16" x14ac:dyDescent="0.2">
      <c r="A1118"/>
      <c r="B1118" s="103"/>
      <c r="C1118" s="243"/>
      <c r="D1118" s="119">
        <v>1105</v>
      </c>
      <c r="E1118" s="25" t="str">
        <f>Tp_Non_CHG!D145</f>
        <v>Transition Probability from state 1 to state 5 on day 7 (Non-CHG)</v>
      </c>
      <c r="F1118" s="40">
        <f t="shared" si="185"/>
        <v>1.7391304347826088E-3</v>
      </c>
      <c r="G1118" s="156">
        <v>1</v>
      </c>
      <c r="H1118" s="120">
        <f>Tp_Non_CHG!G145</f>
        <v>1.7391304347826088E-3</v>
      </c>
      <c r="I1118" s="40" t="s">
        <v>58</v>
      </c>
      <c r="J1118" s="40">
        <f>IF(H1118=0,0,_xlfn.NORM.INV(0.025,H1118,R1118))</f>
        <v>1.398267133123469E-3</v>
      </c>
      <c r="K1118" s="40">
        <f>IF(H1118=0,0,_xlfn.NORM.INV(0.975,H1118,R1118))</f>
        <v>2.0799937364417483E-3</v>
      </c>
      <c r="L1118" s="40" t="s">
        <v>26</v>
      </c>
      <c r="M1118" s="50" t="s">
        <v>266</v>
      </c>
      <c r="N1118" s="190">
        <f t="shared" ca="1" si="188"/>
        <v>1.6246119069721506E-3</v>
      </c>
      <c r="O1118" s="40">
        <f ca="1">RAND()</f>
        <v>0.26108221855038216</v>
      </c>
      <c r="P1118" s="51">
        <f t="shared" si="186"/>
        <v>99.824347826086964</v>
      </c>
      <c r="Q1118" s="51">
        <f t="shared" si="187"/>
        <v>57299.175652173915</v>
      </c>
      <c r="R1118" s="51">
        <f>assumedSE*H1118</f>
        <v>1.7391304347826088E-4</v>
      </c>
      <c r="S1118"/>
      <c r="T1118" s="83"/>
    </row>
    <row r="1119" spans="1:20" ht="16" x14ac:dyDescent="0.2">
      <c r="A1119"/>
      <c r="B1119" s="103"/>
      <c r="C1119" s="243"/>
      <c r="D1119" s="119">
        <v>1106</v>
      </c>
      <c r="E1119" s="25" t="str">
        <f>Tp_Non_CHG!D210</f>
        <v>Transition Probability from state 1 to state 7 on day 7 (Non-CHG)</v>
      </c>
      <c r="F1119" s="40">
        <f t="shared" si="185"/>
        <v>8.6956521739130432E-2</v>
      </c>
      <c r="G1119" s="156">
        <v>1</v>
      </c>
      <c r="H1119" s="120">
        <f>Tp_Non_CHG!G210</f>
        <v>8.6956521739130432E-2</v>
      </c>
      <c r="I1119" s="40" t="s">
        <v>58</v>
      </c>
      <c r="J1119" s="40">
        <f>IF(H1119=0,0,_xlfn.NORM.INV(0.025,H1119,R1119))</f>
        <v>6.9913356656173445E-2</v>
      </c>
      <c r="K1119" s="40">
        <f>IF(H1119=0,0,_xlfn.NORM.INV(0.975,H1119,R1119))</f>
        <v>0.10399968682208742</v>
      </c>
      <c r="L1119" s="40" t="s">
        <v>26</v>
      </c>
      <c r="M1119" s="50" t="s">
        <v>266</v>
      </c>
      <c r="N1119" s="190">
        <f t="shared" ca="1" si="188"/>
        <v>7.811873035329725E-2</v>
      </c>
      <c r="O1119" s="40">
        <f ca="1">RAND()</f>
        <v>0.15424445525442321</v>
      </c>
      <c r="P1119" s="51">
        <f t="shared" si="186"/>
        <v>91.217391304347828</v>
      </c>
      <c r="Q1119" s="51">
        <f t="shared" si="187"/>
        <v>957.78260869565224</v>
      </c>
      <c r="R1119" s="51">
        <f>assumedSE*H1119</f>
        <v>8.6956521739130436E-3</v>
      </c>
      <c r="S1119"/>
      <c r="T1119" s="83"/>
    </row>
    <row r="1120" spans="1:20" ht="16" x14ac:dyDescent="0.2">
      <c r="A1120"/>
      <c r="B1120" s="103"/>
      <c r="C1120" s="243"/>
      <c r="D1120" s="119">
        <v>1107</v>
      </c>
      <c r="E1120" s="25" t="str">
        <f>Tp_Non_CHG!D242</f>
        <v>Transition Probability from state 1 to state 8 on day 7 (Non-CHG)</v>
      </c>
      <c r="F1120" s="40">
        <f t="shared" si="185"/>
        <v>1.9130434782608695E-2</v>
      </c>
      <c r="G1120" s="156">
        <v>1</v>
      </c>
      <c r="H1120" s="120">
        <f>Tp_Non_CHG!G242</f>
        <v>1.9130434782608695E-2</v>
      </c>
      <c r="I1120" s="40" t="s">
        <v>58</v>
      </c>
      <c r="J1120" s="40">
        <f>IF(H1120=0,0,_xlfn.NORM.INV(0.025,H1120,R1120))</f>
        <v>1.5380938464358156E-2</v>
      </c>
      <c r="K1120" s="40">
        <f>IF(H1120=0,0,_xlfn.NORM.INV(0.975,H1120,R1120))</f>
        <v>2.2879931100859233E-2</v>
      </c>
      <c r="L1120" s="40" t="s">
        <v>26</v>
      </c>
      <c r="M1120" s="50" t="s">
        <v>266</v>
      </c>
      <c r="N1120" s="190">
        <f t="shared" ca="1" si="188"/>
        <v>1.7906439139028663E-2</v>
      </c>
      <c r="O1120" s="40">
        <f ca="1">RAND()</f>
        <v>0.26737986460421748</v>
      </c>
      <c r="P1120" s="51">
        <f t="shared" si="186"/>
        <v>98.067826086956501</v>
      </c>
      <c r="Q1120" s="51">
        <f t="shared" si="187"/>
        <v>5028.2049011857698</v>
      </c>
      <c r="R1120" s="51">
        <f>assumedSE*H1120</f>
        <v>1.9130434782608696E-3</v>
      </c>
      <c r="S1120"/>
      <c r="T1120" s="83"/>
    </row>
    <row r="1121" spans="1:20" ht="16" x14ac:dyDescent="0.2">
      <c r="A1121"/>
      <c r="B1121" s="103"/>
      <c r="C1121" s="243"/>
      <c r="D1121" s="119">
        <v>1108</v>
      </c>
      <c r="E1121" s="25" t="str">
        <f>Tp_Non_CHG!D18</f>
        <v>Transition Probability from state 1 to state 1 on day 8 (Non-CHG)</v>
      </c>
      <c r="F1121" s="40">
        <f t="shared" si="185"/>
        <v>0.90058479532163738</v>
      </c>
      <c r="G1121" s="156">
        <v>1</v>
      </c>
      <c r="H1121" s="120">
        <f>Tp_Non_CHG!G18</f>
        <v>0.90058479532163738</v>
      </c>
      <c r="I1121" s="40" t="s">
        <v>58</v>
      </c>
      <c r="J1121" s="40">
        <f t="shared" si="181"/>
        <v>0.72407341893615884</v>
      </c>
      <c r="K1121" s="40">
        <f t="shared" si="182"/>
        <v>1.0770961717071159</v>
      </c>
      <c r="L1121" s="40" t="s">
        <v>26</v>
      </c>
      <c r="M1121" s="50" t="s">
        <v>266</v>
      </c>
      <c r="N1121" s="190">
        <f t="shared" ca="1" si="188"/>
        <v>0.90595969653408337</v>
      </c>
      <c r="O1121" s="40">
        <f t="shared" ca="1" si="178"/>
        <v>0.40861530402870805</v>
      </c>
      <c r="P1121" s="51">
        <f t="shared" si="186"/>
        <v>9.0409356725146246</v>
      </c>
      <c r="Q1121" s="51">
        <f t="shared" si="187"/>
        <v>0.99802536644642015</v>
      </c>
      <c r="R1121" s="51">
        <f t="shared" si="183"/>
        <v>9.005847953216374E-2</v>
      </c>
      <c r="S1121"/>
      <c r="T1121" s="83"/>
    </row>
    <row r="1122" spans="1:20" ht="16" x14ac:dyDescent="0.2">
      <c r="A1122"/>
      <c r="B1122" s="103"/>
      <c r="C1122" s="243"/>
      <c r="D1122" s="119">
        <v>1109</v>
      </c>
      <c r="E1122" s="25" t="str">
        <f>Tp_Non_CHG!D50</f>
        <v>Transition Probability from state 1 to state 2 on day 8 (Non-CHG)</v>
      </c>
      <c r="F1122" s="40">
        <f t="shared" si="185"/>
        <v>2.3391812865497075E-2</v>
      </c>
      <c r="G1122" s="156">
        <v>1</v>
      </c>
      <c r="H1122" s="120">
        <f>Tp_Non_CHG!G50</f>
        <v>2.3391812865497075E-2</v>
      </c>
      <c r="I1122" s="40" t="s">
        <v>58</v>
      </c>
      <c r="J1122" s="40">
        <f>IF(H1122=0,0,_xlfn.NORM.INV(0.025,H1122,R1122))</f>
        <v>1.880710179054958E-2</v>
      </c>
      <c r="K1122" s="40">
        <f>IF(H1122=0,0,_xlfn.NORM.INV(0.975,H1122,R1122))</f>
        <v>2.7976523940444569E-2</v>
      </c>
      <c r="L1122" s="40" t="s">
        <v>26</v>
      </c>
      <c r="M1122" s="50" t="s">
        <v>266</v>
      </c>
      <c r="N1122" s="190">
        <f t="shared" ca="1" si="188"/>
        <v>2.6667411769644156E-2</v>
      </c>
      <c r="O1122" s="40">
        <f ca="1">RAND()</f>
        <v>0.91516416725163285</v>
      </c>
      <c r="P1122" s="51">
        <f t="shared" si="186"/>
        <v>97.637426900584771</v>
      </c>
      <c r="Q1122" s="51">
        <f t="shared" si="187"/>
        <v>4076.3625730994145</v>
      </c>
      <c r="R1122" s="51">
        <f>assumedSE*H1122</f>
        <v>2.3391812865497076E-3</v>
      </c>
      <c r="S1122"/>
      <c r="T1122" s="83"/>
    </row>
    <row r="1123" spans="1:20" ht="16" x14ac:dyDescent="0.2">
      <c r="A1123"/>
      <c r="B1123" s="103"/>
      <c r="C1123" s="243"/>
      <c r="D1123" s="119">
        <v>1110</v>
      </c>
      <c r="E1123" s="25" t="str">
        <f>Tp_Non_CHG!D211</f>
        <v>Transition Probability from state 1 to state 7 on day 8 (Non-CHG)</v>
      </c>
      <c r="F1123" s="40">
        <f t="shared" si="185"/>
        <v>6.4327485380116955E-2</v>
      </c>
      <c r="G1123" s="156">
        <v>1</v>
      </c>
      <c r="H1123" s="120">
        <f>Tp_Non_CHG!G211</f>
        <v>6.4327485380116955E-2</v>
      </c>
      <c r="I1123" s="40" t="s">
        <v>58</v>
      </c>
      <c r="J1123" s="40">
        <f>IF(H1123=0,0,_xlfn.NORM.INV(0.025,H1123,R1123))</f>
        <v>5.1719529924011347E-2</v>
      </c>
      <c r="K1123" s="40">
        <f>IF(H1123=0,0,_xlfn.NORM.INV(0.975,H1123,R1123))</f>
        <v>7.6935440836222557E-2</v>
      </c>
      <c r="L1123" s="40" t="s">
        <v>26</v>
      </c>
      <c r="M1123" s="50" t="s">
        <v>266</v>
      </c>
      <c r="N1123" s="190">
        <f t="shared" ca="1" si="188"/>
        <v>6.4302461719189963E-2</v>
      </c>
      <c r="O1123" s="40">
        <f ca="1">RAND()</f>
        <v>0.51083969075412317</v>
      </c>
      <c r="P1123" s="51">
        <f t="shared" si="186"/>
        <v>93.502923976608159</v>
      </c>
      <c r="Q1123" s="51">
        <f t="shared" si="187"/>
        <v>1360.0425305688461</v>
      </c>
      <c r="R1123" s="51">
        <f>assumedSE*H1123</f>
        <v>6.4327485380116962E-3</v>
      </c>
      <c r="S1123"/>
      <c r="T1123" s="83"/>
    </row>
    <row r="1124" spans="1:20" ht="16" x14ac:dyDescent="0.2">
      <c r="A1124"/>
      <c r="B1124" s="103"/>
      <c r="C1124" s="243"/>
      <c r="D1124" s="119">
        <v>1111</v>
      </c>
      <c r="E1124" s="25" t="str">
        <f>Tp_Non_CHG!D243</f>
        <v>Transition Probability from state 1 to state 8 on day 8 (Non-CHG)</v>
      </c>
      <c r="F1124" s="40">
        <f t="shared" si="185"/>
        <v>1.1695906432748537E-2</v>
      </c>
      <c r="G1124" s="156">
        <v>1</v>
      </c>
      <c r="H1124" s="120">
        <f>Tp_Non_CHG!G243</f>
        <v>1.1695906432748537E-2</v>
      </c>
      <c r="I1124" s="40" t="s">
        <v>58</v>
      </c>
      <c r="J1124" s="40">
        <f>IF(H1124=0,0,_xlfn.NORM.INV(0.025,H1124,R1124))</f>
        <v>9.4035508952747902E-3</v>
      </c>
      <c r="K1124" s="40">
        <f>IF(H1124=0,0,_xlfn.NORM.INV(0.975,H1124,R1124))</f>
        <v>1.3988261970222285E-2</v>
      </c>
      <c r="L1124" s="40" t="s">
        <v>26</v>
      </c>
      <c r="M1124" s="50" t="s">
        <v>266</v>
      </c>
      <c r="N1124" s="190">
        <f t="shared" ca="1" si="188"/>
        <v>1.0830596302148245E-2</v>
      </c>
      <c r="O1124" s="40">
        <f ca="1">RAND()</f>
        <v>0.23408135649479134</v>
      </c>
      <c r="P1124" s="51">
        <f t="shared" si="186"/>
        <v>98.818713450292364</v>
      </c>
      <c r="Q1124" s="51">
        <f t="shared" si="187"/>
        <v>8350.181286549705</v>
      </c>
      <c r="R1124" s="51">
        <f>assumedSE*H1124</f>
        <v>1.1695906432748538E-3</v>
      </c>
      <c r="S1124"/>
      <c r="T1124" s="83"/>
    </row>
    <row r="1125" spans="1:20" ht="16" x14ac:dyDescent="0.2">
      <c r="A1125"/>
      <c r="B1125" s="103"/>
      <c r="C1125" s="243"/>
      <c r="D1125" s="119">
        <v>1112</v>
      </c>
      <c r="E1125" s="25" t="str">
        <f>Tp_Non_CHG!D19</f>
        <v>Transition Probability from state 1 to state 1 on day 9 (Non-CHG)</v>
      </c>
      <c r="F1125" s="40">
        <f t="shared" si="185"/>
        <v>0.89561586638830892</v>
      </c>
      <c r="G1125" s="156">
        <v>1</v>
      </c>
      <c r="H1125" s="120">
        <f>Tp_Non_CHG!G19</f>
        <v>0.89561586638830892</v>
      </c>
      <c r="I1125" s="40" t="s">
        <v>58</v>
      </c>
      <c r="J1125" s="40">
        <f t="shared" si="181"/>
        <v>0.72007838217793663</v>
      </c>
      <c r="K1125" s="40">
        <f t="shared" si="182"/>
        <v>1.0711533505986812</v>
      </c>
      <c r="L1125" s="40" t="s">
        <v>26</v>
      </c>
      <c r="M1125" s="50" t="s">
        <v>266</v>
      </c>
      <c r="N1125" s="190">
        <f t="shared" ca="1" si="188"/>
        <v>0.64201038974712099</v>
      </c>
      <c r="O1125" s="40">
        <f t="shared" ca="1" si="178"/>
        <v>1.808160911856227E-2</v>
      </c>
      <c r="P1125" s="51">
        <f t="shared" si="186"/>
        <v>9.5427974947807961</v>
      </c>
      <c r="Q1125" s="51">
        <f t="shared" si="187"/>
        <v>1.1122141602308626</v>
      </c>
      <c r="R1125" s="51">
        <f t="shared" si="183"/>
        <v>8.9561586638830903E-2</v>
      </c>
      <c r="S1125"/>
      <c r="T1125" s="83"/>
    </row>
    <row r="1126" spans="1:20" ht="16" x14ac:dyDescent="0.2">
      <c r="A1126"/>
      <c r="B1126" s="103"/>
      <c r="C1126" s="243"/>
      <c r="D1126" s="119">
        <v>1113</v>
      </c>
      <c r="E1126" s="25" t="str">
        <f>Tp_Non_CHG!D51</f>
        <v>Transition Probability from state 1 to state 2 on day 9 (Non-CHG)</v>
      </c>
      <c r="F1126" s="40">
        <f t="shared" si="185"/>
        <v>2.5052192066805846E-2</v>
      </c>
      <c r="G1126" s="156">
        <v>1</v>
      </c>
      <c r="H1126" s="120">
        <f>Tp_Non_CHG!G51</f>
        <v>2.5052192066805846E-2</v>
      </c>
      <c r="I1126" s="40" t="s">
        <v>58</v>
      </c>
      <c r="J1126" s="40">
        <f>IF(H1126=0,0,_xlfn.NORM.INV(0.025,H1126,R1126))</f>
        <v>2.0142052648333894E-2</v>
      </c>
      <c r="K1126" s="40">
        <f>IF(H1126=0,0,_xlfn.NORM.INV(0.975,H1126,R1126))</f>
        <v>2.9962331485277799E-2</v>
      </c>
      <c r="L1126" s="40" t="s">
        <v>26</v>
      </c>
      <c r="M1126" s="50" t="s">
        <v>266</v>
      </c>
      <c r="N1126" s="190">
        <f t="shared" ca="1" si="188"/>
        <v>2.0445745420383379E-2</v>
      </c>
      <c r="O1126" s="40">
        <f ca="1">RAND()</f>
        <v>2.6877442585889311E-2</v>
      </c>
      <c r="P1126" s="51">
        <f t="shared" si="186"/>
        <v>97.469728601252569</v>
      </c>
      <c r="Q1126" s="51">
        <f t="shared" si="187"/>
        <v>3793.1969380654123</v>
      </c>
      <c r="R1126" s="51">
        <f>assumedSE*H1126</f>
        <v>2.5052192066805849E-3</v>
      </c>
      <c r="S1126"/>
      <c r="T1126" s="83"/>
    </row>
    <row r="1127" spans="1:20" ht="16" x14ac:dyDescent="0.2">
      <c r="A1127"/>
      <c r="B1127" s="103"/>
      <c r="C1127" s="243"/>
      <c r="D1127" s="119">
        <v>1114</v>
      </c>
      <c r="E1127" s="25" t="str">
        <f>Tp_Non_CHG!D83</f>
        <v>Transition Probability from state 1 to state 3 on day 9 (Non-CHG)</v>
      </c>
      <c r="F1127" s="40">
        <f t="shared" si="185"/>
        <v>2.0876826722338203E-3</v>
      </c>
      <c r="G1127" s="156">
        <v>1</v>
      </c>
      <c r="H1127" s="120">
        <f>Tp_Non_CHG!G83</f>
        <v>2.0876826722338203E-3</v>
      </c>
      <c r="I1127" s="40" t="s">
        <v>58</v>
      </c>
      <c r="J1127" s="40">
        <f>IF(H1127=0,0,_xlfn.NORM.INV(0.025,H1127,R1127))</f>
        <v>1.6785043873611576E-3</v>
      </c>
      <c r="K1127" s="40">
        <f>IF(H1127=0,0,_xlfn.NORM.INV(0.975,H1127,R1127))</f>
        <v>2.4968609571064827E-3</v>
      </c>
      <c r="L1127" s="40" t="s">
        <v>26</v>
      </c>
      <c r="M1127" s="50" t="s">
        <v>266</v>
      </c>
      <c r="N1127" s="190">
        <f t="shared" ca="1" si="188"/>
        <v>2.2103688506264207E-3</v>
      </c>
      <c r="O1127" s="40">
        <f ca="1">RAND()</f>
        <v>0.72895686722390218</v>
      </c>
      <c r="P1127" s="51">
        <f t="shared" si="186"/>
        <v>99.789144050104412</v>
      </c>
      <c r="Q1127" s="51">
        <f t="shared" si="187"/>
        <v>47699.21085594991</v>
      </c>
      <c r="R1127" s="51">
        <f>assumedSE*H1127</f>
        <v>2.0876826722338203E-4</v>
      </c>
      <c r="S1127"/>
      <c r="T1127" s="83"/>
    </row>
    <row r="1128" spans="1:20" ht="16" x14ac:dyDescent="0.2">
      <c r="A1128"/>
      <c r="B1128" s="103"/>
      <c r="C1128" s="243"/>
      <c r="D1128" s="119">
        <v>1115</v>
      </c>
      <c r="E1128" s="25" t="str">
        <f>Tp_Non_CHG!D115</f>
        <v>Transition Probability from state 1 to state 4 on day 9 (Non-CHG)</v>
      </c>
      <c r="F1128" s="40">
        <f t="shared" si="185"/>
        <v>2.0876826722338203E-3</v>
      </c>
      <c r="G1128" s="156">
        <v>1</v>
      </c>
      <c r="H1128" s="120">
        <f>Tp_Non_CHG!G115</f>
        <v>2.0876826722338203E-3</v>
      </c>
      <c r="I1128" s="40" t="s">
        <v>58</v>
      </c>
      <c r="J1128" s="40">
        <f>IF(H1128=0,0,_xlfn.NORM.INV(0.025,H1128,R1128))</f>
        <v>1.6785043873611576E-3</v>
      </c>
      <c r="K1128" s="40">
        <f>IF(H1128=0,0,_xlfn.NORM.INV(0.975,H1128,R1128))</f>
        <v>2.4968609571064827E-3</v>
      </c>
      <c r="L1128" s="40" t="s">
        <v>26</v>
      </c>
      <c r="M1128" s="50" t="s">
        <v>266</v>
      </c>
      <c r="N1128" s="190">
        <f t="shared" ca="1" si="188"/>
        <v>1.6596415216914762E-3</v>
      </c>
      <c r="O1128" s="40">
        <f ca="1">RAND()</f>
        <v>1.4784982998408469E-2</v>
      </c>
      <c r="P1128" s="51">
        <f t="shared" si="186"/>
        <v>99.789144050104412</v>
      </c>
      <c r="Q1128" s="51">
        <f t="shared" si="187"/>
        <v>47699.21085594991</v>
      </c>
      <c r="R1128" s="51">
        <f>assumedSE*H1128</f>
        <v>2.0876826722338203E-4</v>
      </c>
      <c r="S1128"/>
      <c r="T1128" s="83"/>
    </row>
    <row r="1129" spans="1:20" ht="16" x14ac:dyDescent="0.2">
      <c r="A1129"/>
      <c r="B1129" s="103"/>
      <c r="C1129" s="243"/>
      <c r="D1129" s="119">
        <v>1116</v>
      </c>
      <c r="E1129" s="25" t="str">
        <f>Tp_Non_CHG!D212</f>
        <v>Transition Probability from state 1 to state 7 on day 9 (Non-CHG)</v>
      </c>
      <c r="F1129" s="40">
        <f t="shared" si="185"/>
        <v>6.6805845511482248E-2</v>
      </c>
      <c r="G1129" s="156">
        <v>1</v>
      </c>
      <c r="H1129" s="120">
        <f>Tp_Non_CHG!G212</f>
        <v>6.6805845511482248E-2</v>
      </c>
      <c r="I1129" s="40" t="s">
        <v>58</v>
      </c>
      <c r="J1129" s="40">
        <f>IF(H1129=0,0,_xlfn.NORM.INV(0.025,H1129,R1129))</f>
        <v>5.3712140395557044E-2</v>
      </c>
      <c r="K1129" s="40">
        <f>IF(H1129=0,0,_xlfn.NORM.INV(0.975,H1129,R1129))</f>
        <v>7.9899550627407445E-2</v>
      </c>
      <c r="L1129" s="40" t="s">
        <v>26</v>
      </c>
      <c r="M1129" s="50" t="s">
        <v>266</v>
      </c>
      <c r="N1129" s="190">
        <f t="shared" ca="1" si="188"/>
        <v>5.8059237855718267E-2</v>
      </c>
      <c r="O1129" s="40">
        <f ca="1">RAND()</f>
        <v>9.0960164574398483E-2</v>
      </c>
      <c r="P1129" s="51">
        <f t="shared" si="186"/>
        <v>93.252609603340304</v>
      </c>
      <c r="Q1129" s="51">
        <f t="shared" si="187"/>
        <v>1302.62239039666</v>
      </c>
      <c r="R1129" s="51">
        <f>assumedSE*H1129</f>
        <v>6.680584551148225E-3</v>
      </c>
      <c r="S1129"/>
      <c r="T1129" s="83"/>
    </row>
    <row r="1130" spans="1:20" ht="16" x14ac:dyDescent="0.2">
      <c r="A1130"/>
      <c r="B1130" s="103"/>
      <c r="C1130" s="243"/>
      <c r="D1130" s="119">
        <v>1117</v>
      </c>
      <c r="E1130" s="25" t="str">
        <f>Tp_Non_CHG!D244</f>
        <v>Transition Probability from state 1 to state 8 on day 9 (Non-CHG)</v>
      </c>
      <c r="F1130" s="40">
        <f t="shared" si="185"/>
        <v>8.350730688935281E-3</v>
      </c>
      <c r="G1130" s="156">
        <v>1</v>
      </c>
      <c r="H1130" s="120">
        <f>Tp_Non_CHG!G244</f>
        <v>8.350730688935281E-3</v>
      </c>
      <c r="I1130" s="40" t="s">
        <v>58</v>
      </c>
      <c r="J1130" s="40">
        <f>IF(H1130=0,0,_xlfn.NORM.INV(0.025,H1130,R1130))</f>
        <v>6.7140175494446305E-3</v>
      </c>
      <c r="K1130" s="40">
        <f>IF(H1130=0,0,_xlfn.NORM.INV(0.975,H1130,R1130))</f>
        <v>9.9874438284259306E-3</v>
      </c>
      <c r="L1130" s="40" t="s">
        <v>26</v>
      </c>
      <c r="M1130" s="50" t="s">
        <v>266</v>
      </c>
      <c r="N1130" s="190">
        <f t="shared" ca="1" si="188"/>
        <v>6.9125875782472561E-3</v>
      </c>
      <c r="O1130" s="40">
        <f ca="1">RAND()</f>
        <v>3.6106911667180386E-2</v>
      </c>
      <c r="P1130" s="51">
        <f t="shared" si="186"/>
        <v>99.156576200417547</v>
      </c>
      <c r="Q1130" s="51">
        <f t="shared" si="187"/>
        <v>11774.843423799584</v>
      </c>
      <c r="R1130" s="51">
        <f>assumedSE*H1130</f>
        <v>8.3507306889352812E-4</v>
      </c>
      <c r="S1130"/>
      <c r="T1130" s="83"/>
    </row>
    <row r="1131" spans="1:20" ht="16" x14ac:dyDescent="0.2">
      <c r="A1131"/>
      <c r="B1131" s="103"/>
      <c r="C1131" s="243"/>
      <c r="D1131" s="119">
        <v>1118</v>
      </c>
      <c r="E1131" s="25" t="str">
        <f>Tp_Non_CHG!D20</f>
        <v>Transition Probability from state 1 to state 1 on day 10 (Non-CHG)</v>
      </c>
      <c r="F1131" s="40">
        <f t="shared" si="185"/>
        <v>0.91855203619909498</v>
      </c>
      <c r="G1131" s="156">
        <v>1</v>
      </c>
      <c r="H1131" s="120">
        <f>Tp_Non_CHG!G20</f>
        <v>0.91855203619909498</v>
      </c>
      <c r="I1131" s="40" t="s">
        <v>58</v>
      </c>
      <c r="J1131" s="40">
        <f t="shared" si="181"/>
        <v>0.73851914531147922</v>
      </c>
      <c r="K1131" s="40">
        <f t="shared" si="182"/>
        <v>1.0985849270867107</v>
      </c>
      <c r="L1131" s="40" t="s">
        <v>26</v>
      </c>
      <c r="M1131" s="50" t="s">
        <v>266</v>
      </c>
      <c r="N1131" s="190">
        <f t="shared" ca="1" si="188"/>
        <v>0.99293493941195476</v>
      </c>
      <c r="O1131" s="40">
        <f t="shared" ca="1" si="178"/>
        <v>0.83996200291926371</v>
      </c>
      <c r="P1131" s="51">
        <f t="shared" si="186"/>
        <v>7.2262443438914064</v>
      </c>
      <c r="Q1131" s="51">
        <f t="shared" si="187"/>
        <v>0.64075073000022364</v>
      </c>
      <c r="R1131" s="51">
        <f t="shared" si="183"/>
        <v>9.1855203619909509E-2</v>
      </c>
      <c r="S1131"/>
      <c r="T1131" s="83"/>
    </row>
    <row r="1132" spans="1:20" ht="16" x14ac:dyDescent="0.2">
      <c r="A1132"/>
      <c r="B1132" s="103"/>
      <c r="C1132" s="243"/>
      <c r="D1132" s="119">
        <v>1119</v>
      </c>
      <c r="E1132" s="25" t="str">
        <f>Tp_Non_CHG!D52</f>
        <v>Transition Probability from state 1 to state 2 on day 10 (Non-CHG)</v>
      </c>
      <c r="F1132" s="40">
        <f t="shared" si="185"/>
        <v>1.1312217194570135E-2</v>
      </c>
      <c r="G1132" s="156">
        <v>1</v>
      </c>
      <c r="H1132" s="120">
        <f>Tp_Non_CHG!G52</f>
        <v>1.1312217194570135E-2</v>
      </c>
      <c r="I1132" s="40" t="s">
        <v>58</v>
      </c>
      <c r="J1132" s="40">
        <f>IF(H1132=0,0,_xlfn.NORM.INV(0.025,H1132,R1132))</f>
        <v>9.0950633659049162E-3</v>
      </c>
      <c r="K1132" s="40">
        <f>IF(H1132=0,0,_xlfn.NORM.INV(0.975,H1132,R1132))</f>
        <v>1.3529371023235355E-2</v>
      </c>
      <c r="L1132" s="40" t="s">
        <v>26</v>
      </c>
      <c r="M1132" s="50" t="s">
        <v>266</v>
      </c>
      <c r="N1132" s="190">
        <f t="shared" ca="1" si="188"/>
        <v>1.0725778710680716E-2</v>
      </c>
      <c r="O1132" s="40">
        <f ca="1">RAND()</f>
        <v>0.31051323219637161</v>
      </c>
      <c r="P1132" s="51">
        <f t="shared" si="186"/>
        <v>98.857466063348397</v>
      </c>
      <c r="Q1132" s="51">
        <f t="shared" si="187"/>
        <v>8640.1425339366506</v>
      </c>
      <c r="R1132" s="51">
        <f>assumedSE*H1132</f>
        <v>1.1312217194570137E-3</v>
      </c>
      <c r="S1132"/>
      <c r="T1132" s="83"/>
    </row>
    <row r="1133" spans="1:20" ht="16" x14ac:dyDescent="0.2">
      <c r="A1133"/>
      <c r="B1133" s="103"/>
      <c r="C1133" s="243"/>
      <c r="D1133" s="119">
        <v>1120</v>
      </c>
      <c r="E1133" s="25" t="str">
        <f>Tp_Non_CHG!D84</f>
        <v>Transition Probability from state 1 to state 3 on day 10 (Non-CHG)</v>
      </c>
      <c r="F1133" s="40">
        <f t="shared" si="185"/>
        <v>2.2624434389140274E-3</v>
      </c>
      <c r="G1133" s="156">
        <v>1</v>
      </c>
      <c r="H1133" s="120">
        <f>Tp_Non_CHG!G84</f>
        <v>2.2624434389140274E-3</v>
      </c>
      <c r="I1133" s="40" t="s">
        <v>58</v>
      </c>
      <c r="J1133" s="40">
        <f>IF(H1133=0,0,_xlfn.NORM.INV(0.025,H1133,R1133))</f>
        <v>1.8190126731809835E-3</v>
      </c>
      <c r="K1133" s="40">
        <f>IF(H1133=0,0,_xlfn.NORM.INV(0.975,H1133,R1133))</f>
        <v>2.7058742046470715E-3</v>
      </c>
      <c r="L1133" s="40" t="s">
        <v>26</v>
      </c>
      <c r="M1133" s="50" t="s">
        <v>266</v>
      </c>
      <c r="N1133" s="190">
        <f t="shared" ca="1" si="188"/>
        <v>2.2587003829167562E-3</v>
      </c>
      <c r="O1133" s="40">
        <f ca="1">RAND()</f>
        <v>0.50666904848863648</v>
      </c>
      <c r="P1133" s="51">
        <f t="shared" si="186"/>
        <v>99.771493212669654</v>
      </c>
      <c r="Q1133" s="51">
        <f t="shared" si="187"/>
        <v>43999.228506787316</v>
      </c>
      <c r="R1133" s="51">
        <f>assumedSE*H1133</f>
        <v>2.2624434389140275E-4</v>
      </c>
      <c r="S1133"/>
      <c r="T1133" s="83"/>
    </row>
    <row r="1134" spans="1:20" ht="16" x14ac:dyDescent="0.2">
      <c r="A1134"/>
      <c r="B1134" s="103"/>
      <c r="C1134" s="243"/>
      <c r="D1134" s="119">
        <v>1121</v>
      </c>
      <c r="E1134" s="25" t="str">
        <f>Tp_Non_CHG!D116</f>
        <v>Transition Probability from state 1 to state 4 on day 10 (Non-CHG)</v>
      </c>
      <c r="F1134" s="40">
        <f t="shared" si="185"/>
        <v>2.2624434389140274E-3</v>
      </c>
      <c r="G1134" s="156">
        <v>1</v>
      </c>
      <c r="H1134" s="120">
        <f>Tp_Non_CHG!G116</f>
        <v>2.2624434389140274E-3</v>
      </c>
      <c r="I1134" s="40" t="s">
        <v>58</v>
      </c>
      <c r="J1134" s="40">
        <f>IF(H1134=0,0,_xlfn.NORM.INV(0.025,H1134,R1134))</f>
        <v>1.8190126731809835E-3</v>
      </c>
      <c r="K1134" s="40">
        <f>IF(H1134=0,0,_xlfn.NORM.INV(0.975,H1134,R1134))</f>
        <v>2.7058742046470715E-3</v>
      </c>
      <c r="L1134" s="40" t="s">
        <v>26</v>
      </c>
      <c r="M1134" s="50" t="s">
        <v>266</v>
      </c>
      <c r="N1134" s="190">
        <f t="shared" ca="1" si="188"/>
        <v>2.3015019482209853E-3</v>
      </c>
      <c r="O1134" s="40">
        <f ca="1">RAND()</f>
        <v>0.58116435680742884</v>
      </c>
      <c r="P1134" s="51">
        <f t="shared" si="186"/>
        <v>99.771493212669654</v>
      </c>
      <c r="Q1134" s="51">
        <f t="shared" si="187"/>
        <v>43999.228506787316</v>
      </c>
      <c r="R1134" s="51">
        <f>assumedSE*H1134</f>
        <v>2.2624434389140275E-4</v>
      </c>
      <c r="S1134"/>
      <c r="T1134" s="83"/>
    </row>
    <row r="1135" spans="1:20" ht="16" x14ac:dyDescent="0.2">
      <c r="A1135"/>
      <c r="B1135" s="103"/>
      <c r="C1135" s="243"/>
      <c r="D1135" s="119">
        <v>1122</v>
      </c>
      <c r="E1135" s="25" t="str">
        <f>Tp_Non_CHG!D213</f>
        <v>Transition Probability from state 1 to state 7 on day 10 (Non-CHG)</v>
      </c>
      <c r="F1135" s="40">
        <f t="shared" si="185"/>
        <v>5.4298642533936653E-2</v>
      </c>
      <c r="G1135" s="156">
        <v>1</v>
      </c>
      <c r="H1135" s="120">
        <f>Tp_Non_CHG!G213</f>
        <v>5.4298642533936653E-2</v>
      </c>
      <c r="I1135" s="40" t="s">
        <v>58</v>
      </c>
      <c r="J1135" s="40">
        <f>IF(H1135=0,0,_xlfn.NORM.INV(0.025,H1135,R1135))</f>
        <v>4.3656304156343598E-2</v>
      </c>
      <c r="K1135" s="40">
        <f>IF(H1135=0,0,_xlfn.NORM.INV(0.975,H1135,R1135))</f>
        <v>6.4940980911529708E-2</v>
      </c>
      <c r="L1135" s="40" t="s">
        <v>26</v>
      </c>
      <c r="M1135" s="50" t="s">
        <v>266</v>
      </c>
      <c r="N1135" s="190">
        <f t="shared" ca="1" si="188"/>
        <v>6.1790378640032229E-2</v>
      </c>
      <c r="O1135" s="40">
        <f ca="1">RAND()</f>
        <v>0.91228198035197117</v>
      </c>
      <c r="P1135" s="51">
        <f t="shared" si="186"/>
        <v>94.515837104072375</v>
      </c>
      <c r="Q1135" s="51">
        <f t="shared" si="187"/>
        <v>1646.1508295625938</v>
      </c>
      <c r="R1135" s="51">
        <f>assumedSE*H1135</f>
        <v>5.4298642533936658E-3</v>
      </c>
      <c r="S1135"/>
      <c r="T1135" s="83"/>
    </row>
    <row r="1136" spans="1:20" ht="16" x14ac:dyDescent="0.2">
      <c r="A1136"/>
      <c r="B1136" s="103"/>
      <c r="C1136" s="243"/>
      <c r="D1136" s="119">
        <v>1123</v>
      </c>
      <c r="E1136" s="25" t="str">
        <f>Tp_Non_CHG!D245</f>
        <v>Transition Probability from state 1 to state 8 on day 10 (Non-CHG)</v>
      </c>
      <c r="F1136" s="40">
        <f t="shared" si="185"/>
        <v>1.1312217194570135E-2</v>
      </c>
      <c r="G1136" s="156">
        <v>1</v>
      </c>
      <c r="H1136" s="120">
        <f>Tp_Non_CHG!G245</f>
        <v>1.1312217194570135E-2</v>
      </c>
      <c r="I1136" s="40" t="s">
        <v>58</v>
      </c>
      <c r="J1136" s="40">
        <f>IF(H1136=0,0,_xlfn.NORM.INV(0.025,H1136,R1136))</f>
        <v>9.0950633659049162E-3</v>
      </c>
      <c r="K1136" s="40">
        <f>IF(H1136=0,0,_xlfn.NORM.INV(0.975,H1136,R1136))</f>
        <v>1.3529371023235355E-2</v>
      </c>
      <c r="L1136" s="40" t="s">
        <v>26</v>
      </c>
      <c r="M1136" s="50" t="s">
        <v>266</v>
      </c>
      <c r="N1136" s="190">
        <f t="shared" ca="1" si="188"/>
        <v>1.1559832481688681E-2</v>
      </c>
      <c r="O1136" s="40">
        <f ca="1">RAND()</f>
        <v>0.59879041760145457</v>
      </c>
      <c r="P1136" s="51">
        <f t="shared" si="186"/>
        <v>98.857466063348397</v>
      </c>
      <c r="Q1136" s="51">
        <f t="shared" si="187"/>
        <v>8640.1425339366506</v>
      </c>
      <c r="R1136" s="51">
        <f>assumedSE*H1136</f>
        <v>1.1312217194570137E-3</v>
      </c>
      <c r="S1136"/>
      <c r="T1136" s="83"/>
    </row>
    <row r="1137" spans="1:20" ht="16" x14ac:dyDescent="0.2">
      <c r="A1137"/>
      <c r="B1137" s="103"/>
      <c r="C1137" s="243"/>
      <c r="D1137" s="119">
        <v>1124</v>
      </c>
      <c r="E1137" s="25" t="str">
        <f>Tp_Non_CHG!D21</f>
        <v>Transition Probability from state 1 to state 1 on day 11 (Non-CHG)</v>
      </c>
      <c r="F1137" s="40">
        <f t="shared" si="185"/>
        <v>0.92380952380952386</v>
      </c>
      <c r="G1137" s="156">
        <v>1</v>
      </c>
      <c r="H1137" s="120">
        <f>Tp_Non_CHG!G21</f>
        <v>0.92380952380952386</v>
      </c>
      <c r="I1137" s="40" t="s">
        <v>58</v>
      </c>
      <c r="J1137" s="40">
        <f t="shared" si="181"/>
        <v>0.74274618428534744</v>
      </c>
      <c r="K1137" s="40">
        <f t="shared" si="182"/>
        <v>1.1048728633337004</v>
      </c>
      <c r="L1137" s="40" t="s">
        <v>26</v>
      </c>
      <c r="M1137" s="50" t="s">
        <v>266</v>
      </c>
      <c r="N1137" s="190">
        <f t="shared" ca="1" si="188"/>
        <v>0.92690955935341712</v>
      </c>
      <c r="O1137" s="40">
        <f t="shared" ca="1" si="178"/>
        <v>0.35519294484219088</v>
      </c>
      <c r="P1137" s="51">
        <f t="shared" si="186"/>
        <v>6.6952380952380883</v>
      </c>
      <c r="Q1137" s="51">
        <f t="shared" si="187"/>
        <v>0.55218458517427493</v>
      </c>
      <c r="R1137" s="51">
        <f t="shared" si="183"/>
        <v>9.2380952380952397E-2</v>
      </c>
      <c r="S1137"/>
      <c r="T1137" s="83"/>
    </row>
    <row r="1138" spans="1:20" ht="16" x14ac:dyDescent="0.2">
      <c r="A1138"/>
      <c r="B1138" s="103"/>
      <c r="C1138" s="243"/>
      <c r="D1138" s="119">
        <v>1125</v>
      </c>
      <c r="E1138" s="25" t="str">
        <f>Tp_Non_CHG!D53</f>
        <v>Transition Probability from state 1 to state 2 on day 11 (Non-CHG)</v>
      </c>
      <c r="F1138" s="40">
        <f t="shared" si="185"/>
        <v>2.3809523809523808E-2</v>
      </c>
      <c r="G1138" s="156">
        <v>1</v>
      </c>
      <c r="H1138" s="120">
        <f>Tp_Non_CHG!G53</f>
        <v>2.3809523809523808E-2</v>
      </c>
      <c r="I1138" s="40" t="s">
        <v>58</v>
      </c>
      <c r="J1138" s="40">
        <f>IF(H1138=0,0,_xlfn.NORM.INV(0.025,H1138,R1138))</f>
        <v>1.9142942893952252E-2</v>
      </c>
      <c r="K1138" s="40">
        <f>IF(H1138=0,0,_xlfn.NORM.INV(0.975,H1138,R1138))</f>
        <v>2.8476104725095364E-2</v>
      </c>
      <c r="L1138" s="40" t="s">
        <v>26</v>
      </c>
      <c r="M1138" s="50" t="s">
        <v>266</v>
      </c>
      <c r="N1138" s="190">
        <f t="shared" ca="1" si="188"/>
        <v>2.6084724489175093E-2</v>
      </c>
      <c r="O1138" s="40">
        <f ca="1">RAND()</f>
        <v>0.83136437566686683</v>
      </c>
      <c r="P1138" s="51">
        <f t="shared" si="186"/>
        <v>97.595238095238074</v>
      </c>
      <c r="Q1138" s="51">
        <f t="shared" si="187"/>
        <v>4001.404761904761</v>
      </c>
      <c r="R1138" s="51">
        <f>assumedSE*H1138</f>
        <v>2.3809523809523812E-3</v>
      </c>
      <c r="S1138"/>
      <c r="T1138" s="83"/>
    </row>
    <row r="1139" spans="1:20" ht="16" x14ac:dyDescent="0.2">
      <c r="A1139"/>
      <c r="B1139" s="103"/>
      <c r="C1139" s="243"/>
      <c r="D1139" s="119">
        <v>1126</v>
      </c>
      <c r="E1139" s="25" t="str">
        <f>Tp_Non_CHG!D117</f>
        <v>Transition Probability from state 1 to state 4 on day 11 (Non-CHG)</v>
      </c>
      <c r="F1139" s="40">
        <f t="shared" si="185"/>
        <v>2.3809523809523812E-3</v>
      </c>
      <c r="G1139" s="156">
        <v>1</v>
      </c>
      <c r="H1139" s="120">
        <f>Tp_Non_CHG!G117</f>
        <v>2.3809523809523812E-3</v>
      </c>
      <c r="I1139" s="40" t="s">
        <v>58</v>
      </c>
      <c r="J1139" s="40">
        <f>IF(H1139=0,0,_xlfn.NORM.INV(0.025,H1139,R1139))</f>
        <v>1.9142942893952254E-3</v>
      </c>
      <c r="K1139" s="40">
        <f>IF(H1139=0,0,_xlfn.NORM.INV(0.975,H1139,R1139))</f>
        <v>2.8476104725095367E-3</v>
      </c>
      <c r="L1139" s="40" t="s">
        <v>26</v>
      </c>
      <c r="M1139" s="50" t="s">
        <v>266</v>
      </c>
      <c r="N1139" s="190">
        <f t="shared" ca="1" si="188"/>
        <v>2.5831208615322288E-3</v>
      </c>
      <c r="O1139" s="40">
        <f ca="1">RAND()</f>
        <v>0.80490517541648265</v>
      </c>
      <c r="P1139" s="51">
        <f t="shared" si="186"/>
        <v>99.759523809523799</v>
      </c>
      <c r="Q1139" s="51">
        <f t="shared" si="187"/>
        <v>41799.240476190469</v>
      </c>
      <c r="R1139" s="51">
        <f>assumedSE*H1139</f>
        <v>2.3809523809523812E-4</v>
      </c>
      <c r="S1139"/>
      <c r="T1139" s="83"/>
    </row>
    <row r="1140" spans="1:20" ht="16" x14ac:dyDescent="0.2">
      <c r="A1140"/>
      <c r="B1140" s="103"/>
      <c r="C1140" s="243"/>
      <c r="D1140" s="119">
        <v>1127</v>
      </c>
      <c r="E1140" s="25" t="str">
        <f>Tp_Non_CHG!D214</f>
        <v>Transition Probability from state 1 to state 7 on day 11 (Non-CHG)</v>
      </c>
      <c r="F1140" s="40">
        <f t="shared" si="185"/>
        <v>3.3333333333333333E-2</v>
      </c>
      <c r="G1140" s="156">
        <v>1</v>
      </c>
      <c r="H1140" s="120">
        <f>Tp_Non_CHG!G214</f>
        <v>3.3333333333333333E-2</v>
      </c>
      <c r="I1140" s="40" t="s">
        <v>58</v>
      </c>
      <c r="J1140" s="40">
        <f>IF(H1140=0,0,_xlfn.NORM.INV(0.025,H1140,R1140))</f>
        <v>2.6800120051533153E-2</v>
      </c>
      <c r="K1140" s="40">
        <f>IF(H1140=0,0,_xlfn.NORM.INV(0.975,H1140,R1140))</f>
        <v>3.9866546615133509E-2</v>
      </c>
      <c r="L1140" s="40" t="s">
        <v>26</v>
      </c>
      <c r="M1140" s="50" t="s">
        <v>266</v>
      </c>
      <c r="N1140" s="190">
        <f t="shared" ca="1" si="188"/>
        <v>3.3590708125163071E-2</v>
      </c>
      <c r="O1140" s="40">
        <f ca="1">RAND()</f>
        <v>0.54347009603705498</v>
      </c>
      <c r="P1140" s="51">
        <f t="shared" si="186"/>
        <v>96.633333333333312</v>
      </c>
      <c r="Q1140" s="51">
        <f t="shared" si="187"/>
        <v>2802.3666666666663</v>
      </c>
      <c r="R1140" s="51">
        <f>assumedSE*H1140</f>
        <v>3.3333333333333335E-3</v>
      </c>
      <c r="S1140"/>
      <c r="T1140" s="83"/>
    </row>
    <row r="1141" spans="1:20" ht="16" x14ac:dyDescent="0.2">
      <c r="A1141"/>
      <c r="B1141" s="103"/>
      <c r="C1141" s="243"/>
      <c r="D1141" s="119">
        <v>1128</v>
      </c>
      <c r="E1141" s="25" t="str">
        <f>Tp_Non_CHG!D246</f>
        <v>Transition Probability from state 1 to state 8 on day 11 (Non-CHG)</v>
      </c>
      <c r="F1141" s="40">
        <f t="shared" si="185"/>
        <v>1.6666666666666666E-2</v>
      </c>
      <c r="G1141" s="156">
        <v>1</v>
      </c>
      <c r="H1141" s="120">
        <f>Tp_Non_CHG!G246</f>
        <v>1.6666666666666666E-2</v>
      </c>
      <c r="I1141" s="40" t="s">
        <v>58</v>
      </c>
      <c r="J1141" s="40">
        <f>IF(H1141=0,0,_xlfn.NORM.INV(0.025,H1141,R1141))</f>
        <v>1.3400060025766576E-2</v>
      </c>
      <c r="K1141" s="40">
        <f>IF(H1141=0,0,_xlfn.NORM.INV(0.975,H1141,R1141))</f>
        <v>1.9933273307566755E-2</v>
      </c>
      <c r="L1141" s="40" t="s">
        <v>26</v>
      </c>
      <c r="M1141" s="50" t="s">
        <v>266</v>
      </c>
      <c r="N1141" s="190">
        <f t="shared" ca="1" si="188"/>
        <v>1.6471568036921815E-2</v>
      </c>
      <c r="O1141" s="40">
        <f ca="1">RAND()</f>
        <v>0.46625578668667089</v>
      </c>
      <c r="P1141" s="51">
        <f t="shared" si="186"/>
        <v>98.316666666666634</v>
      </c>
      <c r="Q1141" s="51">
        <f t="shared" si="187"/>
        <v>5800.6833333333316</v>
      </c>
      <c r="R1141" s="51">
        <f>assumedSE*H1141</f>
        <v>1.6666666666666668E-3</v>
      </c>
      <c r="S1141"/>
      <c r="T1141" s="83"/>
    </row>
    <row r="1142" spans="1:20" ht="16" x14ac:dyDescent="0.2">
      <c r="A1142"/>
      <c r="B1142" s="103"/>
      <c r="C1142" s="243"/>
      <c r="D1142" s="119">
        <v>1129</v>
      </c>
      <c r="E1142" s="25" t="str">
        <f>Tp_Non_CHG!D22</f>
        <v>Transition Probability from state 1 to state 1 on day 12 (Non-CHG)</v>
      </c>
      <c r="F1142" s="40">
        <f t="shared" si="185"/>
        <v>0.90101522842639592</v>
      </c>
      <c r="G1142" s="156">
        <v>1</v>
      </c>
      <c r="H1142" s="120">
        <f>Tp_Non_CHG!G22</f>
        <v>0.90101522842639592</v>
      </c>
      <c r="I1142" s="40" t="s">
        <v>58</v>
      </c>
      <c r="J1142" s="40">
        <f t="shared" si="181"/>
        <v>0.7244194887026093</v>
      </c>
      <c r="K1142" s="40">
        <f t="shared" si="182"/>
        <v>1.0776109681501824</v>
      </c>
      <c r="L1142" s="40" t="s">
        <v>26</v>
      </c>
      <c r="M1142" s="50" t="s">
        <v>266</v>
      </c>
      <c r="N1142" s="190">
        <f t="shared" ca="1" si="188"/>
        <v>0.83608926412804319</v>
      </c>
      <c r="O1142" s="40">
        <f t="shared" ca="1" si="178"/>
        <v>0.19653703078346407</v>
      </c>
      <c r="P1142" s="51">
        <f t="shared" si="186"/>
        <v>8.9974619289340119</v>
      </c>
      <c r="Q1142" s="51">
        <f t="shared" si="187"/>
        <v>0.98845356402373663</v>
      </c>
      <c r="R1142" s="51">
        <f t="shared" si="183"/>
        <v>9.01015228426396E-2</v>
      </c>
      <c r="S1142"/>
      <c r="T1142" s="83"/>
    </row>
    <row r="1143" spans="1:20" ht="16" x14ac:dyDescent="0.2">
      <c r="A1143"/>
      <c r="B1143" s="103"/>
      <c r="C1143" s="243"/>
      <c r="D1143" s="119">
        <v>1130</v>
      </c>
      <c r="E1143" s="25" t="str">
        <f>Tp_Non_CHG!D54</f>
        <v>Transition Probability from state 1 to state 2 on day 12 (Non-CHG)</v>
      </c>
      <c r="F1143" s="40">
        <f t="shared" si="185"/>
        <v>1.7766497461928935E-2</v>
      </c>
      <c r="G1143" s="156">
        <v>1</v>
      </c>
      <c r="H1143" s="120">
        <f>Tp_Non_CHG!G54</f>
        <v>1.7766497461928935E-2</v>
      </c>
      <c r="I1143" s="40" t="s">
        <v>58</v>
      </c>
      <c r="J1143" s="40">
        <f t="shared" ref="J1143:J1148" si="189">IF(H1143=0,0,_xlfn.NORM.INV(0.025,H1143,R1143))</f>
        <v>1.4284327946248636E-2</v>
      </c>
      <c r="K1143" s="40">
        <f t="shared" ref="K1143:K1148" si="190">IF(H1143=0,0,_xlfn.NORM.INV(0.975,H1143,R1143))</f>
        <v>2.1248666977609233E-2</v>
      </c>
      <c r="L1143" s="40" t="s">
        <v>26</v>
      </c>
      <c r="M1143" s="50" t="s">
        <v>266</v>
      </c>
      <c r="N1143" s="190">
        <f t="shared" ca="1" si="188"/>
        <v>1.7543233244992761E-2</v>
      </c>
      <c r="O1143" s="40">
        <f t="shared" ref="O1143:O1148" ca="1" si="191">RAND()</f>
        <v>0.46279531657437634</v>
      </c>
      <c r="P1143" s="51">
        <f t="shared" si="186"/>
        <v>98.205583756345163</v>
      </c>
      <c r="Q1143" s="51">
        <f t="shared" si="187"/>
        <v>5429.3658448150827</v>
      </c>
      <c r="R1143" s="51">
        <f t="shared" ref="R1143:R1148" si="192">assumedSE*H1143</f>
        <v>1.7766497461928937E-3</v>
      </c>
      <c r="S1143"/>
      <c r="T1143" s="83"/>
    </row>
    <row r="1144" spans="1:20" ht="16" x14ac:dyDescent="0.2">
      <c r="A1144"/>
      <c r="B1144" s="103"/>
      <c r="C1144" s="243"/>
      <c r="D1144" s="119">
        <v>1131</v>
      </c>
      <c r="E1144" s="25" t="str">
        <f>Tp_Non_CHG!D86</f>
        <v>Transition Probability from state 1 to state 3 on day 12 (Non-CHG)</v>
      </c>
      <c r="F1144" s="40">
        <f t="shared" si="185"/>
        <v>2.5380710659898475E-3</v>
      </c>
      <c r="G1144" s="156">
        <v>1</v>
      </c>
      <c r="H1144" s="120">
        <f>Tp_Non_CHG!G86</f>
        <v>2.5380710659898475E-3</v>
      </c>
      <c r="I1144" s="40" t="s">
        <v>58</v>
      </c>
      <c r="J1144" s="40">
        <f t="shared" si="189"/>
        <v>2.0406182780355192E-3</v>
      </c>
      <c r="K1144" s="40">
        <f t="shared" si="190"/>
        <v>3.0355238539441758E-3</v>
      </c>
      <c r="L1144" s="40" t="s">
        <v>26</v>
      </c>
      <c r="M1144" s="50" t="s">
        <v>266</v>
      </c>
      <c r="N1144" s="190">
        <f t="shared" ca="1" si="188"/>
        <v>2.4603566170131315E-3</v>
      </c>
      <c r="O1144" s="40">
        <f t="shared" ca="1" si="191"/>
        <v>0.39126602370156127</v>
      </c>
      <c r="P1144" s="51">
        <f t="shared" si="186"/>
        <v>99.743654822335003</v>
      </c>
      <c r="Q1144" s="51">
        <f t="shared" si="187"/>
        <v>39199.256345177659</v>
      </c>
      <c r="R1144" s="51">
        <f t="shared" si="192"/>
        <v>2.5380710659898478E-4</v>
      </c>
      <c r="S1144"/>
      <c r="T1144" s="83"/>
    </row>
    <row r="1145" spans="1:20" ht="16" x14ac:dyDescent="0.2">
      <c r="A1145"/>
      <c r="B1145" s="103"/>
      <c r="C1145" s="243"/>
      <c r="D1145" s="119">
        <v>1132</v>
      </c>
      <c r="E1145" s="25" t="str">
        <f>Tp_Non_CHG!D118</f>
        <v>Transition Probability from state 1 to state 4 on day 12 (Non-CHG)</v>
      </c>
      <c r="F1145" s="40">
        <f t="shared" si="185"/>
        <v>2.5380710659898475E-3</v>
      </c>
      <c r="G1145" s="156">
        <v>1</v>
      </c>
      <c r="H1145" s="120">
        <f>Tp_Non_CHG!G118</f>
        <v>2.5380710659898475E-3</v>
      </c>
      <c r="I1145" s="40" t="s">
        <v>58</v>
      </c>
      <c r="J1145" s="40">
        <f t="shared" si="189"/>
        <v>2.0406182780355192E-3</v>
      </c>
      <c r="K1145" s="40">
        <f t="shared" si="190"/>
        <v>3.0355238539441758E-3</v>
      </c>
      <c r="L1145" s="40" t="s">
        <v>26</v>
      </c>
      <c r="M1145" s="50" t="s">
        <v>266</v>
      </c>
      <c r="N1145" s="190">
        <f t="shared" ca="1" si="188"/>
        <v>2.2897123680797296E-3</v>
      </c>
      <c r="O1145" s="40">
        <f t="shared" ca="1" si="191"/>
        <v>0.16384756422648727</v>
      </c>
      <c r="P1145" s="51">
        <f t="shared" si="186"/>
        <v>99.743654822335003</v>
      </c>
      <c r="Q1145" s="51">
        <f t="shared" si="187"/>
        <v>39199.256345177659</v>
      </c>
      <c r="R1145" s="51">
        <f t="shared" si="192"/>
        <v>2.5380710659898478E-4</v>
      </c>
      <c r="S1145"/>
      <c r="T1145" s="83"/>
    </row>
    <row r="1146" spans="1:20" ht="16" x14ac:dyDescent="0.2">
      <c r="A1146"/>
      <c r="B1146" s="103"/>
      <c r="C1146" s="243"/>
      <c r="D1146" s="119">
        <v>1133</v>
      </c>
      <c r="E1146" s="25" t="str">
        <f>Tp_Non_CHG!D150</f>
        <v>Transition Probability from state 1 to state 5 on day 12 (Non-CHG)</v>
      </c>
      <c r="F1146" s="40">
        <f t="shared" si="185"/>
        <v>2.5380710659898475E-3</v>
      </c>
      <c r="G1146" s="156">
        <v>1</v>
      </c>
      <c r="H1146" s="120">
        <f>Tp_Non_CHG!G150</f>
        <v>2.5380710659898475E-3</v>
      </c>
      <c r="I1146" s="40" t="s">
        <v>58</v>
      </c>
      <c r="J1146" s="40">
        <f t="shared" si="189"/>
        <v>2.0406182780355192E-3</v>
      </c>
      <c r="K1146" s="40">
        <f t="shared" si="190"/>
        <v>3.0355238539441758E-3</v>
      </c>
      <c r="L1146" s="40" t="s">
        <v>26</v>
      </c>
      <c r="M1146" s="50" t="s">
        <v>266</v>
      </c>
      <c r="N1146" s="190">
        <f t="shared" ca="1" si="188"/>
        <v>2.6781640433920506E-3</v>
      </c>
      <c r="O1146" s="40">
        <f t="shared" ca="1" si="191"/>
        <v>0.71743813468328421</v>
      </c>
      <c r="P1146" s="51">
        <f t="shared" si="186"/>
        <v>99.743654822335003</v>
      </c>
      <c r="Q1146" s="51">
        <f t="shared" si="187"/>
        <v>39199.256345177659</v>
      </c>
      <c r="R1146" s="51">
        <f t="shared" si="192"/>
        <v>2.5380710659898478E-4</v>
      </c>
      <c r="S1146"/>
      <c r="T1146" s="83"/>
    </row>
    <row r="1147" spans="1:20" ht="16" x14ac:dyDescent="0.2">
      <c r="A1147"/>
      <c r="B1147" s="103"/>
      <c r="C1147" s="243"/>
      <c r="D1147" s="119">
        <v>1134</v>
      </c>
      <c r="E1147" s="25" t="str">
        <f>Tp_Non_CHG!D215</f>
        <v>Transition Probability from state 1 to state 7 on day 12 (Non-CHG)</v>
      </c>
      <c r="F1147" s="40">
        <f t="shared" si="185"/>
        <v>4.8223350253807105E-2</v>
      </c>
      <c r="G1147" s="156">
        <v>1</v>
      </c>
      <c r="H1147" s="120">
        <f>Tp_Non_CHG!G215</f>
        <v>4.8223350253807105E-2</v>
      </c>
      <c r="I1147" s="40" t="s">
        <v>58</v>
      </c>
      <c r="J1147" s="40">
        <f t="shared" si="189"/>
        <v>3.8771747282674865E-2</v>
      </c>
      <c r="K1147" s="40">
        <f t="shared" si="190"/>
        <v>5.7674953224939346E-2</v>
      </c>
      <c r="L1147" s="40" t="s">
        <v>26</v>
      </c>
      <c r="M1147" s="50" t="s">
        <v>266</v>
      </c>
      <c r="N1147" s="190">
        <f t="shared" ca="1" si="188"/>
        <v>5.8103304246034604E-2</v>
      </c>
      <c r="O1147" s="40">
        <f t="shared" ca="1" si="191"/>
        <v>0.97503512656955604</v>
      </c>
      <c r="P1147" s="51">
        <f t="shared" si="186"/>
        <v>95.129441624365455</v>
      </c>
      <c r="Q1147" s="51">
        <f t="shared" si="187"/>
        <v>1877.55476890195</v>
      </c>
      <c r="R1147" s="51">
        <f t="shared" si="192"/>
        <v>4.8223350253807111E-3</v>
      </c>
      <c r="S1147"/>
      <c r="T1147" s="83"/>
    </row>
    <row r="1148" spans="1:20" ht="16" x14ac:dyDescent="0.2">
      <c r="A1148"/>
      <c r="B1148" s="103"/>
      <c r="C1148" s="243"/>
      <c r="D1148" s="119">
        <v>1135</v>
      </c>
      <c r="E1148" s="25" t="str">
        <f>Tp_Non_CHG!D247</f>
        <v>Transition Probability from state 1 to state 8 on day 12 (Non-CHG)</v>
      </c>
      <c r="F1148" s="40">
        <f t="shared" si="185"/>
        <v>2.5380710659898477E-2</v>
      </c>
      <c r="G1148" s="156">
        <v>1</v>
      </c>
      <c r="H1148" s="120">
        <f>Tp_Non_CHG!G247</f>
        <v>2.5380710659898477E-2</v>
      </c>
      <c r="I1148" s="40" t="s">
        <v>58</v>
      </c>
      <c r="J1148" s="40">
        <f t="shared" si="189"/>
        <v>2.0406182780355192E-2</v>
      </c>
      <c r="K1148" s="40">
        <f t="shared" si="190"/>
        <v>3.0355238539441762E-2</v>
      </c>
      <c r="L1148" s="40" t="s">
        <v>26</v>
      </c>
      <c r="M1148" s="50" t="s">
        <v>266</v>
      </c>
      <c r="N1148" s="190">
        <f t="shared" ca="1" si="188"/>
        <v>3.0285708798689415E-2</v>
      </c>
      <c r="O1148" s="40">
        <f t="shared" ca="1" si="191"/>
        <v>0.96821055548990964</v>
      </c>
      <c r="P1148" s="51">
        <f t="shared" si="186"/>
        <v>97.436548223350243</v>
      </c>
      <c r="Q1148" s="51">
        <f t="shared" si="187"/>
        <v>3741.5634517766493</v>
      </c>
      <c r="R1148" s="51">
        <f t="shared" si="192"/>
        <v>2.538071065989848E-3</v>
      </c>
      <c r="S1148"/>
      <c r="T1148" s="83"/>
    </row>
    <row r="1149" spans="1:20" ht="16" x14ac:dyDescent="0.2">
      <c r="A1149"/>
      <c r="B1149" s="103"/>
      <c r="C1149" s="243"/>
      <c r="D1149" s="119">
        <v>1136</v>
      </c>
      <c r="E1149" s="25" t="str">
        <f>Tp_Non_CHG!D23</f>
        <v>Transition Probability from state 1 to state 1 on day 13 (Non-CHG)</v>
      </c>
      <c r="F1149" s="40">
        <f t="shared" si="185"/>
        <v>0.89589041095890409</v>
      </c>
      <c r="G1149" s="156">
        <v>1</v>
      </c>
      <c r="H1149" s="120">
        <f>Tp_Non_CHG!G23</f>
        <v>0.89589041095890409</v>
      </c>
      <c r="I1149" s="40" t="s">
        <v>58</v>
      </c>
      <c r="J1149" s="40">
        <f t="shared" si="181"/>
        <v>0.72029911700148008</v>
      </c>
      <c r="K1149" s="40">
        <f t="shared" si="182"/>
        <v>1.0714817049163281</v>
      </c>
      <c r="L1149" s="40" t="s">
        <v>26</v>
      </c>
      <c r="M1149" s="50" t="s">
        <v>266</v>
      </c>
      <c r="N1149" s="190">
        <f t="shared" ca="1" si="188"/>
        <v>0.91956131295701182</v>
      </c>
      <c r="O1149" s="40">
        <f t="shared" ca="1" si="178"/>
        <v>0.49704475841305196</v>
      </c>
      <c r="P1149" s="51">
        <f t="shared" si="186"/>
        <v>9.5150684931506859</v>
      </c>
      <c r="Q1149" s="51">
        <f t="shared" si="187"/>
        <v>1.1057266138829545</v>
      </c>
      <c r="R1149" s="51">
        <f t="shared" si="183"/>
        <v>8.9589041095890415E-2</v>
      </c>
      <c r="S1149"/>
      <c r="T1149" s="83"/>
    </row>
    <row r="1150" spans="1:20" ht="16" x14ac:dyDescent="0.2">
      <c r="A1150"/>
      <c r="B1150" s="103"/>
      <c r="C1150" s="243"/>
      <c r="D1150" s="119">
        <v>1137</v>
      </c>
      <c r="E1150" s="25" t="str">
        <f>Tp_Non_CHG!D55</f>
        <v>Transition Probability from state 1 to state 2 on day 13 (Non-CHG)</v>
      </c>
      <c r="F1150" s="40">
        <f t="shared" si="185"/>
        <v>3.5616438356164383E-2</v>
      </c>
      <c r="G1150" s="156">
        <v>1</v>
      </c>
      <c r="H1150" s="120">
        <f>Tp_Non_CHG!G55</f>
        <v>3.5616438356164383E-2</v>
      </c>
      <c r="I1150" s="40" t="s">
        <v>58</v>
      </c>
      <c r="J1150" s="40">
        <f>IF(H1150=0,0,_xlfn.NORM.INV(0.025,H1150,R1150))</f>
        <v>2.8635744712597069E-2</v>
      </c>
      <c r="K1150" s="40">
        <f>IF(H1150=0,0,_xlfn.NORM.INV(0.975,H1150,R1150))</f>
        <v>4.2597131999731697E-2</v>
      </c>
      <c r="L1150" s="40" t="s">
        <v>26</v>
      </c>
      <c r="M1150" s="50" t="s">
        <v>266</v>
      </c>
      <c r="N1150" s="190">
        <f t="shared" ca="1" si="188"/>
        <v>3.9318094275731963E-2</v>
      </c>
      <c r="O1150" s="40">
        <f ca="1">RAND()</f>
        <v>0.85041126892831409</v>
      </c>
      <c r="P1150" s="51">
        <f t="shared" si="186"/>
        <v>96.402739726027377</v>
      </c>
      <c r="Q1150" s="51">
        <f t="shared" si="187"/>
        <v>2610.2895679662797</v>
      </c>
      <c r="R1150" s="51">
        <f>assumedSE*H1150</f>
        <v>3.5616438356164386E-3</v>
      </c>
      <c r="S1150"/>
      <c r="T1150" s="83"/>
    </row>
    <row r="1151" spans="1:20" ht="16" x14ac:dyDescent="0.2">
      <c r="A1151"/>
      <c r="B1151" s="103"/>
      <c r="C1151" s="243"/>
      <c r="D1151" s="119">
        <v>1138</v>
      </c>
      <c r="E1151" s="25" t="str">
        <f>Tp_Non_CHG!D87</f>
        <v>Transition Probability from state 1 to state 3 on day 13 (Non-CHG)</v>
      </c>
      <c r="F1151" s="40">
        <f t="shared" si="185"/>
        <v>2.7397260273972603E-3</v>
      </c>
      <c r="G1151" s="156">
        <v>1</v>
      </c>
      <c r="H1151" s="120">
        <f>Tp_Non_CHG!G87</f>
        <v>2.7397260273972603E-3</v>
      </c>
      <c r="I1151" s="40" t="s">
        <v>58</v>
      </c>
      <c r="J1151" s="40">
        <f>IF(H1151=0,0,_xlfn.NORM.INV(0.025,H1151,R1151))</f>
        <v>2.2027495932766977E-3</v>
      </c>
      <c r="K1151" s="40">
        <f>IF(H1151=0,0,_xlfn.NORM.INV(0.975,H1151,R1151))</f>
        <v>3.2767024615178229E-3</v>
      </c>
      <c r="L1151" s="40" t="s">
        <v>26</v>
      </c>
      <c r="M1151" s="50" t="s">
        <v>266</v>
      </c>
      <c r="N1151" s="190">
        <f t="shared" ca="1" si="188"/>
        <v>2.6992653328509002E-3</v>
      </c>
      <c r="O1151" s="40">
        <f ca="1">RAND()</f>
        <v>0.45417556715738816</v>
      </c>
      <c r="P1151" s="51">
        <f t="shared" si="186"/>
        <v>99.723287671232839</v>
      </c>
      <c r="Q1151" s="51">
        <f t="shared" si="187"/>
        <v>36299.276712328756</v>
      </c>
      <c r="R1151" s="51">
        <f>assumedSE*H1151</f>
        <v>2.7397260273972606E-4</v>
      </c>
      <c r="S1151"/>
      <c r="T1151" s="83"/>
    </row>
    <row r="1152" spans="1:20" ht="16" x14ac:dyDescent="0.2">
      <c r="A1152"/>
      <c r="B1152" s="103"/>
      <c r="C1152" s="243"/>
      <c r="D1152" s="119">
        <v>1139</v>
      </c>
      <c r="E1152" s="25" t="str">
        <f>Tp_Non_CHG!D216</f>
        <v>Transition Probability from state 1 to state 7 on day 13 (Non-CHG)</v>
      </c>
      <c r="F1152" s="40">
        <f t="shared" si="185"/>
        <v>4.6575342465753428E-2</v>
      </c>
      <c r="G1152" s="156">
        <v>1</v>
      </c>
      <c r="H1152" s="120">
        <f>Tp_Non_CHG!G216</f>
        <v>4.6575342465753428E-2</v>
      </c>
      <c r="I1152" s="40" t="s">
        <v>58</v>
      </c>
      <c r="J1152" s="40">
        <f>IF(H1152=0,0,_xlfn.NORM.INV(0.025,H1152,R1152))</f>
        <v>3.7446743085703858E-2</v>
      </c>
      <c r="K1152" s="40">
        <f>IF(H1152=0,0,_xlfn.NORM.INV(0.975,H1152,R1152))</f>
        <v>5.570394184580299E-2</v>
      </c>
      <c r="L1152" s="40" t="s">
        <v>26</v>
      </c>
      <c r="M1152" s="50" t="s">
        <v>266</v>
      </c>
      <c r="N1152" s="190">
        <f t="shared" ca="1" si="188"/>
        <v>5.5999230763754571E-2</v>
      </c>
      <c r="O1152" s="40">
        <f ca="1">RAND()</f>
        <v>0.9736751200686109</v>
      </c>
      <c r="P1152" s="51">
        <f t="shared" si="186"/>
        <v>95.29589041095889</v>
      </c>
      <c r="Q1152" s="51">
        <f t="shared" si="187"/>
        <v>1950.7629331184526</v>
      </c>
      <c r="R1152" s="51">
        <f>assumedSE*H1152</f>
        <v>4.6575342465753431E-3</v>
      </c>
      <c r="S1152"/>
      <c r="T1152" s="83"/>
    </row>
    <row r="1153" spans="1:20" ht="16" x14ac:dyDescent="0.2">
      <c r="A1153"/>
      <c r="B1153" s="103"/>
      <c r="C1153" s="243"/>
      <c r="D1153" s="119">
        <v>1140</v>
      </c>
      <c r="E1153" s="25" t="str">
        <f>Tp_Non_CHG!D248</f>
        <v>Transition Probability from state 1 to state 8 on day 13 (Non-CHG)</v>
      </c>
      <c r="F1153" s="40">
        <f t="shared" si="185"/>
        <v>1.9178082191780823E-2</v>
      </c>
      <c r="G1153" s="156">
        <v>1</v>
      </c>
      <c r="H1153" s="120">
        <f>Tp_Non_CHG!G248</f>
        <v>1.9178082191780823E-2</v>
      </c>
      <c r="I1153" s="40" t="s">
        <v>58</v>
      </c>
      <c r="J1153" s="40">
        <f>IF(H1153=0,0,_xlfn.NORM.INV(0.025,H1153,R1153))</f>
        <v>1.5419247152936884E-2</v>
      </c>
      <c r="K1153" s="40">
        <f>IF(H1153=0,0,_xlfn.NORM.INV(0.975,H1153,R1153))</f>
        <v>2.2936917230624763E-2</v>
      </c>
      <c r="L1153" s="40" t="s">
        <v>26</v>
      </c>
      <c r="M1153" s="50" t="s">
        <v>266</v>
      </c>
      <c r="N1153" s="190">
        <f t="shared" ca="1" si="188"/>
        <v>1.9649931738852766E-2</v>
      </c>
      <c r="O1153" s="40">
        <f ca="1">RAND()</f>
        <v>0.60898627064031363</v>
      </c>
      <c r="P1153" s="51">
        <f t="shared" si="186"/>
        <v>98.063013698630115</v>
      </c>
      <c r="Q1153" s="51">
        <f t="shared" si="187"/>
        <v>5015.2227005870827</v>
      </c>
      <c r="R1153" s="51">
        <f>assumedSE*H1153</f>
        <v>1.9178082191780824E-3</v>
      </c>
      <c r="S1153"/>
      <c r="T1153" s="83"/>
    </row>
    <row r="1154" spans="1:20" ht="16" x14ac:dyDescent="0.2">
      <c r="A1154"/>
      <c r="B1154" s="103"/>
      <c r="C1154" s="243"/>
      <c r="D1154" s="119">
        <v>1141</v>
      </c>
      <c r="E1154" s="25" t="str">
        <f>Tp_Non_CHG!D24</f>
        <v>Transition Probability from state 1 to state 1 on day 14 (Non-CHG)</v>
      </c>
      <c r="F1154" s="40">
        <f t="shared" si="185"/>
        <v>0.9196428571428571</v>
      </c>
      <c r="G1154" s="156">
        <v>1</v>
      </c>
      <c r="H1154" s="120">
        <f>Tp_Non_CHG!G24</f>
        <v>0.9196428571428571</v>
      </c>
      <c r="I1154" s="40" t="s">
        <v>58</v>
      </c>
      <c r="J1154" s="40">
        <f t="shared" si="181"/>
        <v>0.73939616927890572</v>
      </c>
      <c r="K1154" s="40">
        <f t="shared" si="182"/>
        <v>1.0998895450068085</v>
      </c>
      <c r="L1154" s="40" t="s">
        <v>26</v>
      </c>
      <c r="M1154" s="50" t="s">
        <v>266</v>
      </c>
      <c r="N1154" s="190">
        <f t="shared" ca="1" si="188"/>
        <v>0.99717064509530506</v>
      </c>
      <c r="O1154" s="40">
        <f t="shared" ca="1" si="178"/>
        <v>0.90383789649211044</v>
      </c>
      <c r="P1154" s="51">
        <f t="shared" si="186"/>
        <v>7.1160714285714315</v>
      </c>
      <c r="Q1154" s="51">
        <f t="shared" si="187"/>
        <v>0.62179264909847498</v>
      </c>
      <c r="R1154" s="51">
        <f t="shared" si="183"/>
        <v>9.1964285714285721E-2</v>
      </c>
      <c r="S1154"/>
      <c r="T1154" s="83"/>
    </row>
    <row r="1155" spans="1:20" ht="16" x14ac:dyDescent="0.2">
      <c r="A1155"/>
      <c r="B1155" s="103"/>
      <c r="C1155" s="243"/>
      <c r="D1155" s="119">
        <v>1142</v>
      </c>
      <c r="E1155" s="25" t="str">
        <f>Tp_Non_CHG!D56</f>
        <v>Transition Probability from state 1 to state 2 on day 14 (Non-CHG)</v>
      </c>
      <c r="F1155" s="40">
        <f t="shared" si="185"/>
        <v>1.488095238095238E-2</v>
      </c>
      <c r="G1155" s="156">
        <v>1</v>
      </c>
      <c r="H1155" s="120">
        <f>Tp_Non_CHG!G56</f>
        <v>1.488095238095238E-2</v>
      </c>
      <c r="I1155" s="40" t="s">
        <v>58</v>
      </c>
      <c r="J1155" s="40">
        <f>IF(H1155=0,0,_xlfn.NORM.INV(0.025,H1155,R1155))</f>
        <v>1.1964339308720158E-2</v>
      </c>
      <c r="K1155" s="40">
        <f>IF(H1155=0,0,_xlfn.NORM.INV(0.975,H1155,R1155))</f>
        <v>1.7797565453184602E-2</v>
      </c>
      <c r="L1155" s="40" t="s">
        <v>26</v>
      </c>
      <c r="M1155" s="50" t="s">
        <v>266</v>
      </c>
      <c r="N1155" s="190">
        <f t="shared" ca="1" si="188"/>
        <v>1.6349470012981038E-2</v>
      </c>
      <c r="O1155" s="40">
        <f ca="1">RAND()</f>
        <v>0.83868730322023399</v>
      </c>
      <c r="P1155" s="51">
        <f t="shared" si="186"/>
        <v>98.497023809523824</v>
      </c>
      <c r="Q1155" s="51">
        <f t="shared" si="187"/>
        <v>6520.5029761904771</v>
      </c>
      <c r="R1155" s="51">
        <f>assumedSE*H1155</f>
        <v>1.488095238095238E-3</v>
      </c>
      <c r="S1155"/>
      <c r="T1155" s="83"/>
    </row>
    <row r="1156" spans="1:20" ht="16" x14ac:dyDescent="0.2">
      <c r="A1156"/>
      <c r="B1156" s="103"/>
      <c r="C1156" s="243"/>
      <c r="D1156" s="119">
        <v>1143</v>
      </c>
      <c r="E1156" s="25" t="str">
        <f>Tp_Non_CHG!D217</f>
        <v>Transition Probability from state 1 to state 7 on day 14 (Non-CHG)</v>
      </c>
      <c r="F1156" s="40">
        <f t="shared" si="185"/>
        <v>4.7619047619047616E-2</v>
      </c>
      <c r="G1156" s="156">
        <v>1</v>
      </c>
      <c r="H1156" s="120">
        <f>Tp_Non_CHG!G217</f>
        <v>4.7619047619047616E-2</v>
      </c>
      <c r="I1156" s="40" t="s">
        <v>58</v>
      </c>
      <c r="J1156" s="40">
        <f>IF(H1156=0,0,_xlfn.NORM.INV(0.025,H1156,R1156))</f>
        <v>3.8285885787904504E-2</v>
      </c>
      <c r="K1156" s="40">
        <f>IF(H1156=0,0,_xlfn.NORM.INV(0.975,H1156,R1156))</f>
        <v>5.6952209450190729E-2</v>
      </c>
      <c r="L1156" s="40" t="s">
        <v>26</v>
      </c>
      <c r="M1156" s="50" t="s">
        <v>266</v>
      </c>
      <c r="N1156" s="190">
        <f t="shared" ca="1" si="188"/>
        <v>4.6035047139933678E-2</v>
      </c>
      <c r="O1156" s="40">
        <f ca="1">RAND()</f>
        <v>0.38044171190446097</v>
      </c>
      <c r="P1156" s="51">
        <f t="shared" si="186"/>
        <v>95.190476190476147</v>
      </c>
      <c r="Q1156" s="51">
        <f t="shared" si="187"/>
        <v>1903.8095238095229</v>
      </c>
      <c r="R1156" s="51">
        <f>assumedSE*H1156</f>
        <v>4.7619047619047623E-3</v>
      </c>
      <c r="S1156"/>
      <c r="T1156" s="83"/>
    </row>
    <row r="1157" spans="1:20" ht="16" x14ac:dyDescent="0.2">
      <c r="A1157"/>
      <c r="B1157" s="103"/>
      <c r="C1157" s="243"/>
      <c r="D1157" s="119">
        <v>1144</v>
      </c>
      <c r="E1157" s="25" t="str">
        <f>Tp_Non_CHG!D249</f>
        <v>Transition Probability from state 1 to state 8 on day 14 (Non-CHG)</v>
      </c>
      <c r="F1157" s="40">
        <f t="shared" si="185"/>
        <v>1.7857142857142856E-2</v>
      </c>
      <c r="G1157" s="156">
        <v>1</v>
      </c>
      <c r="H1157" s="120">
        <f>Tp_Non_CHG!G249</f>
        <v>1.7857142857142856E-2</v>
      </c>
      <c r="I1157" s="40" t="s">
        <v>58</v>
      </c>
      <c r="J1157" s="40">
        <f>IF(H1157=0,0,_xlfn.NORM.INV(0.025,H1157,R1157))</f>
        <v>1.4357207170464188E-2</v>
      </c>
      <c r="K1157" s="40">
        <f>IF(H1157=0,0,_xlfn.NORM.INV(0.975,H1157,R1157))</f>
        <v>2.1357078543821524E-2</v>
      </c>
      <c r="L1157" s="40" t="s">
        <v>26</v>
      </c>
      <c r="M1157" s="50" t="s">
        <v>266</v>
      </c>
      <c r="N1157" s="190">
        <f t="shared" ca="1" si="188"/>
        <v>1.5656747015733902E-2</v>
      </c>
      <c r="O1157" s="40">
        <f ca="1">RAND()</f>
        <v>0.10517756307425297</v>
      </c>
      <c r="P1157" s="51">
        <f t="shared" si="186"/>
        <v>98.196428571428569</v>
      </c>
      <c r="Q1157" s="51">
        <f t="shared" si="187"/>
        <v>5400.8035714285716</v>
      </c>
      <c r="R1157" s="51">
        <f>assumedSE*H1157</f>
        <v>1.7857142857142857E-3</v>
      </c>
      <c r="S1157"/>
      <c r="T1157" s="83"/>
    </row>
    <row r="1158" spans="1:20" ht="16" x14ac:dyDescent="0.2">
      <c r="A1158"/>
      <c r="B1158" s="103"/>
      <c r="C1158" s="243"/>
      <c r="D1158" s="119">
        <v>1145</v>
      </c>
      <c r="E1158" s="25" t="str">
        <f>Tp_Non_CHG!D25</f>
        <v>Transition Probability from state 1 to state 1 on day 15 (Non-CHG)</v>
      </c>
      <c r="F1158" s="40">
        <f t="shared" si="185"/>
        <v>0.90372670807453415</v>
      </c>
      <c r="G1158" s="156">
        <v>1</v>
      </c>
      <c r="H1158" s="120">
        <f>Tp_Non_CHG!G25</f>
        <v>0.90372670807453415</v>
      </c>
      <c r="I1158" s="40" t="s">
        <v>58</v>
      </c>
      <c r="J1158" s="40">
        <f t="shared" si="181"/>
        <v>0.7265995281052311</v>
      </c>
      <c r="K1158" s="40">
        <f t="shared" si="182"/>
        <v>1.0808538880438372</v>
      </c>
      <c r="L1158" s="40" t="s">
        <v>26</v>
      </c>
      <c r="M1158" s="50" t="s">
        <v>266</v>
      </c>
      <c r="N1158" s="190">
        <f t="shared" ca="1" si="188"/>
        <v>0.99817513414140702</v>
      </c>
      <c r="O1158" s="40">
        <f t="shared" ref="O1158:O1292" ca="1" si="193">RAND()</f>
        <v>0.97828646103625427</v>
      </c>
      <c r="P1158" s="51">
        <f t="shared" si="186"/>
        <v>8.7236024844720479</v>
      </c>
      <c r="Q1158" s="51">
        <f t="shared" si="187"/>
        <v>0.92931847772726295</v>
      </c>
      <c r="R1158" s="51">
        <f t="shared" si="183"/>
        <v>9.0372670807453426E-2</v>
      </c>
      <c r="S1158"/>
      <c r="T1158" s="83"/>
    </row>
    <row r="1159" spans="1:20" ht="16" x14ac:dyDescent="0.2">
      <c r="A1159"/>
      <c r="B1159" s="103"/>
      <c r="C1159" s="243"/>
      <c r="D1159" s="119">
        <v>1146</v>
      </c>
      <c r="E1159" s="25" t="str">
        <f>Tp_Non_CHG!D57</f>
        <v>Transition Probability from state 1 to state 2 on day 15 (Non-CHG)</v>
      </c>
      <c r="F1159" s="40">
        <f t="shared" si="185"/>
        <v>2.7950310559006212E-2</v>
      </c>
      <c r="G1159" s="156">
        <v>1</v>
      </c>
      <c r="H1159" s="120">
        <f>Tp_Non_CHG!G57</f>
        <v>2.7950310559006212E-2</v>
      </c>
      <c r="I1159" s="40" t="s">
        <v>58</v>
      </c>
      <c r="J1159" s="40">
        <f>IF(H1159=0,0,_xlfn.NORM.INV(0.025,H1159,R1159))</f>
        <v>2.2472150353770037E-2</v>
      </c>
      <c r="K1159" s="40">
        <f>IF(H1159=0,0,_xlfn.NORM.INV(0.975,H1159,R1159))</f>
        <v>3.3428470764242386E-2</v>
      </c>
      <c r="L1159" s="40" t="s">
        <v>26</v>
      </c>
      <c r="M1159" s="50" t="s">
        <v>266</v>
      </c>
      <c r="N1159" s="190">
        <f t="shared" ca="1" si="188"/>
        <v>2.564925518927302E-2</v>
      </c>
      <c r="O1159" s="40">
        <f ca="1">RAND()</f>
        <v>0.20795246012400337</v>
      </c>
      <c r="P1159" s="51">
        <f t="shared" si="186"/>
        <v>97.177018633540357</v>
      </c>
      <c r="Q1159" s="51">
        <f t="shared" si="187"/>
        <v>3379.6007591442367</v>
      </c>
      <c r="R1159" s="51">
        <f>assumedSE*H1159</f>
        <v>2.7950310559006213E-3</v>
      </c>
      <c r="S1159"/>
      <c r="T1159" s="83"/>
    </row>
    <row r="1160" spans="1:20" ht="16" x14ac:dyDescent="0.2">
      <c r="A1160"/>
      <c r="B1160" s="103"/>
      <c r="C1160" s="243"/>
      <c r="D1160" s="119">
        <v>1147</v>
      </c>
      <c r="E1160" s="25" t="str">
        <f>Tp_Non_CHG!D218</f>
        <v>Transition Probability from state 1 to state 7 on day 15 (Non-CHG)</v>
      </c>
      <c r="F1160" s="40">
        <f t="shared" si="185"/>
        <v>4.6583850931677016E-2</v>
      </c>
      <c r="G1160" s="156">
        <v>1</v>
      </c>
      <c r="H1160" s="120">
        <f>Tp_Non_CHG!G218</f>
        <v>4.6583850931677016E-2</v>
      </c>
      <c r="I1160" s="40" t="s">
        <v>58</v>
      </c>
      <c r="J1160" s="40">
        <f>IF(H1160=0,0,_xlfn.NORM.INV(0.025,H1160,R1160))</f>
        <v>3.7453583922950055E-2</v>
      </c>
      <c r="K1160" s="40">
        <f>IF(H1160=0,0,_xlfn.NORM.INV(0.975,H1160,R1160))</f>
        <v>5.571411794040397E-2</v>
      </c>
      <c r="L1160" s="40" t="s">
        <v>26</v>
      </c>
      <c r="M1160" s="50" t="s">
        <v>266</v>
      </c>
      <c r="N1160" s="190">
        <f t="shared" ca="1" si="188"/>
        <v>5.5054206925486571E-2</v>
      </c>
      <c r="O1160" s="40">
        <f ca="1">RAND()</f>
        <v>0.96030053359767942</v>
      </c>
      <c r="P1160" s="51">
        <f t="shared" si="186"/>
        <v>95.295031055900594</v>
      </c>
      <c r="Q1160" s="51">
        <f t="shared" si="187"/>
        <v>1950.3716356107657</v>
      </c>
      <c r="R1160" s="51">
        <f>assumedSE*H1160</f>
        <v>4.658385093167702E-3</v>
      </c>
      <c r="S1160"/>
      <c r="T1160" s="83"/>
    </row>
    <row r="1161" spans="1:20" ht="16" x14ac:dyDescent="0.2">
      <c r="A1161"/>
      <c r="B1161" s="103"/>
      <c r="C1161" s="243"/>
      <c r="D1161" s="119">
        <v>1148</v>
      </c>
      <c r="E1161" s="25" t="str">
        <f>Tp_Non_CHG!D250</f>
        <v>Transition Probability from state 1 to state 8 on day 15 (Non-CHG)</v>
      </c>
      <c r="F1161" s="40">
        <f t="shared" si="185"/>
        <v>2.1739130434782608E-2</v>
      </c>
      <c r="G1161" s="156">
        <v>1</v>
      </c>
      <c r="H1161" s="120">
        <f>Tp_Non_CHG!G250</f>
        <v>2.1739130434782608E-2</v>
      </c>
      <c r="I1161" s="40" t="s">
        <v>58</v>
      </c>
      <c r="J1161" s="40">
        <f>IF(H1161=0,0,_xlfn.NORM.INV(0.025,H1161,R1161))</f>
        <v>1.7478339164043361E-2</v>
      </c>
      <c r="K1161" s="40">
        <f>IF(H1161=0,0,_xlfn.NORM.INV(0.975,H1161,R1161))</f>
        <v>2.5999921705521855E-2</v>
      </c>
      <c r="L1161" s="40" t="s">
        <v>26</v>
      </c>
      <c r="M1161" s="50" t="s">
        <v>266</v>
      </c>
      <c r="N1161" s="190">
        <f t="shared" ca="1" si="188"/>
        <v>1.8638986691461516E-2</v>
      </c>
      <c r="O1161" s="40">
        <f ca="1">RAND()</f>
        <v>7.1423624676223763E-2</v>
      </c>
      <c r="P1161" s="51">
        <f t="shared" si="186"/>
        <v>97.804347826086939</v>
      </c>
      <c r="Q1161" s="51">
        <f t="shared" si="187"/>
        <v>4401.1956521739121</v>
      </c>
      <c r="R1161" s="51">
        <f>assumedSE*H1161</f>
        <v>2.1739130434782609E-3</v>
      </c>
      <c r="S1161"/>
      <c r="T1161" s="83"/>
    </row>
    <row r="1162" spans="1:20" ht="16" x14ac:dyDescent="0.2">
      <c r="A1162"/>
      <c r="B1162" s="103"/>
      <c r="C1162" s="243"/>
      <c r="D1162" s="119">
        <v>1149</v>
      </c>
      <c r="E1162" s="25" t="str">
        <f>Tp_Non_CHG!D26</f>
        <v>Transition Probability from state 1 to state 1 on day 16 (Non-CHG)</v>
      </c>
      <c r="F1162" s="40">
        <f t="shared" si="185"/>
        <v>0.90847457627118644</v>
      </c>
      <c r="G1162" s="156">
        <v>1</v>
      </c>
      <c r="H1162" s="120">
        <f>Tp_Non_CHG!G26</f>
        <v>0.90847457627118644</v>
      </c>
      <c r="I1162" s="40" t="s">
        <v>58</v>
      </c>
      <c r="J1162" s="40">
        <f t="shared" si="181"/>
        <v>0.73041683123500523</v>
      </c>
      <c r="K1162" s="40">
        <f t="shared" si="182"/>
        <v>1.0865323213073677</v>
      </c>
      <c r="L1162" s="40" t="s">
        <v>26</v>
      </c>
      <c r="M1162" s="50" t="s">
        <v>266</v>
      </c>
      <c r="N1162" s="190">
        <f t="shared" ca="1" si="188"/>
        <v>0.87284180704570835</v>
      </c>
      <c r="O1162" s="40">
        <f t="shared" ca="1" si="193"/>
        <v>0.26101308437062276</v>
      </c>
      <c r="P1162" s="51">
        <f t="shared" si="186"/>
        <v>8.2440677966101674</v>
      </c>
      <c r="Q1162" s="51">
        <f t="shared" si="187"/>
        <v>0.83055906906147214</v>
      </c>
      <c r="R1162" s="51">
        <f t="shared" si="183"/>
        <v>9.0847457627118655E-2</v>
      </c>
      <c r="S1162"/>
      <c r="T1162" s="83"/>
    </row>
    <row r="1163" spans="1:20" ht="16" x14ac:dyDescent="0.2">
      <c r="A1163"/>
      <c r="B1163" s="103"/>
      <c r="C1163" s="243"/>
      <c r="D1163" s="119">
        <v>1150</v>
      </c>
      <c r="E1163" s="25" t="str">
        <f>Tp_Non_CHG!D58</f>
        <v>Transition Probability from state 1 to state 2 on day 16 (Non-CHG)</v>
      </c>
      <c r="F1163" s="40">
        <f t="shared" si="185"/>
        <v>2.3728813559322035E-2</v>
      </c>
      <c r="G1163" s="156">
        <v>1</v>
      </c>
      <c r="H1163" s="120">
        <f>Tp_Non_CHG!G58</f>
        <v>2.3728813559322035E-2</v>
      </c>
      <c r="I1163" s="40" t="s">
        <v>58</v>
      </c>
      <c r="J1163" s="40">
        <f>IF(H1163=0,0,_xlfn.NORM.INV(0.025,H1163,R1163))</f>
        <v>1.9078051562108348E-2</v>
      </c>
      <c r="K1163" s="40">
        <f>IF(H1163=0,0,_xlfn.NORM.INV(0.975,H1163,R1163))</f>
        <v>2.8379575556535721E-2</v>
      </c>
      <c r="L1163" s="40" t="s">
        <v>26</v>
      </c>
      <c r="M1163" s="50" t="s">
        <v>266</v>
      </c>
      <c r="N1163" s="190">
        <f t="shared" ca="1" si="188"/>
        <v>2.319101530280827E-2</v>
      </c>
      <c r="O1163" s="40">
        <f ca="1">RAND()</f>
        <v>0.4224228042134478</v>
      </c>
      <c r="P1163" s="51">
        <f t="shared" si="186"/>
        <v>97.603389830508462</v>
      </c>
      <c r="Q1163" s="51">
        <f t="shared" si="187"/>
        <v>4015.6823244552056</v>
      </c>
      <c r="R1163" s="51">
        <f>assumedSE*H1163</f>
        <v>2.3728813559322037E-3</v>
      </c>
      <c r="S1163"/>
      <c r="T1163" s="83"/>
    </row>
    <row r="1164" spans="1:20" ht="16" x14ac:dyDescent="0.2">
      <c r="A1164"/>
      <c r="B1164" s="103"/>
      <c r="C1164" s="243"/>
      <c r="D1164" s="119">
        <v>1151</v>
      </c>
      <c r="E1164" s="25" t="str">
        <f>Tp_Non_CHG!D219</f>
        <v>Transition Probability from state 1 to state 7 on day 16 (Non-CHG)</v>
      </c>
      <c r="F1164" s="40">
        <f t="shared" si="185"/>
        <v>5.4237288135593219E-2</v>
      </c>
      <c r="G1164" s="156">
        <v>1</v>
      </c>
      <c r="H1164" s="120">
        <f>Tp_Non_CHG!G219</f>
        <v>5.4237288135593219E-2</v>
      </c>
      <c r="I1164" s="40" t="s">
        <v>58</v>
      </c>
      <c r="J1164" s="40">
        <f>IF(H1164=0,0,_xlfn.NORM.INV(0.025,H1164,R1164))</f>
        <v>4.3606974999104792E-2</v>
      </c>
      <c r="K1164" s="40">
        <f>IF(H1164=0,0,_xlfn.NORM.INV(0.975,H1164,R1164))</f>
        <v>6.4867601272081646E-2</v>
      </c>
      <c r="L1164" s="40" t="s">
        <v>26</v>
      </c>
      <c r="M1164" s="50" t="s">
        <v>266</v>
      </c>
      <c r="N1164" s="190">
        <f t="shared" ca="1" si="188"/>
        <v>5.4729476837685143E-2</v>
      </c>
      <c r="O1164" s="40">
        <f ca="1">RAND()</f>
        <v>0.54849854506498508</v>
      </c>
      <c r="P1164" s="51">
        <f t="shared" si="186"/>
        <v>94.522033898305054</v>
      </c>
      <c r="Q1164" s="51">
        <f t="shared" si="187"/>
        <v>1648.2279661016944</v>
      </c>
      <c r="R1164" s="51">
        <f>assumedSE*H1164</f>
        <v>5.4237288135593224E-3</v>
      </c>
      <c r="S1164"/>
      <c r="T1164" s="83"/>
    </row>
    <row r="1165" spans="1:20" ht="16" x14ac:dyDescent="0.2">
      <c r="A1165"/>
      <c r="B1165" s="103"/>
      <c r="C1165" s="243"/>
      <c r="D1165" s="119">
        <v>1152</v>
      </c>
      <c r="E1165" s="25" t="str">
        <f>Tp_Non_CHG!D251</f>
        <v>Transition Probability from state 1 to state 8 on day 16 (Non-CHG)</v>
      </c>
      <c r="F1165" s="40">
        <f t="shared" si="185"/>
        <v>1.3559322033898305E-2</v>
      </c>
      <c r="G1165" s="156">
        <v>1</v>
      </c>
      <c r="H1165" s="120">
        <f>Tp_Non_CHG!G251</f>
        <v>1.3559322033898305E-2</v>
      </c>
      <c r="I1165" s="40" t="s">
        <v>58</v>
      </c>
      <c r="J1165" s="40">
        <f>IF(H1165=0,0,_xlfn.NORM.INV(0.025,H1165,R1165))</f>
        <v>1.0901743749776198E-2</v>
      </c>
      <c r="K1165" s="40">
        <f>IF(H1165=0,0,_xlfn.NORM.INV(0.975,H1165,R1165))</f>
        <v>1.6216900318020411E-2</v>
      </c>
      <c r="L1165" s="40" t="s">
        <v>26</v>
      </c>
      <c r="M1165" s="50" t="s">
        <v>266</v>
      </c>
      <c r="N1165" s="190">
        <f t="shared" ca="1" si="188"/>
        <v>1.3812293451172186E-2</v>
      </c>
      <c r="O1165" s="40">
        <f ca="1">RAND()</f>
        <v>0.58638323572689166</v>
      </c>
      <c r="P1165" s="51">
        <f t="shared" si="186"/>
        <v>98.630508474576246</v>
      </c>
      <c r="Q1165" s="51">
        <f t="shared" si="187"/>
        <v>7175.3694915254218</v>
      </c>
      <c r="R1165" s="51">
        <f>assumedSE*H1165</f>
        <v>1.3559322033898306E-3</v>
      </c>
      <c r="S1165"/>
      <c r="T1165" s="83"/>
    </row>
    <row r="1166" spans="1:20" ht="16" x14ac:dyDescent="0.2">
      <c r="A1166"/>
      <c r="B1166" s="103"/>
      <c r="C1166" s="243"/>
      <c r="D1166" s="119">
        <v>1153</v>
      </c>
      <c r="E1166" s="25" t="str">
        <f>Tp_Non_CHG!D27</f>
        <v>Transition Probability from state 1 to state 1 on day 17 (Non-CHG)</v>
      </c>
      <c r="F1166" s="40">
        <f t="shared" si="185"/>
        <v>0.91335740072202165</v>
      </c>
      <c r="G1166" s="156">
        <v>1</v>
      </c>
      <c r="H1166" s="120">
        <f>Tp_Non_CHG!G27</f>
        <v>0.91335740072202165</v>
      </c>
      <c r="I1166" s="40" t="s">
        <v>58</v>
      </c>
      <c r="J1166" s="40">
        <f t="shared" si="181"/>
        <v>0.73434263967919367</v>
      </c>
      <c r="K1166" s="40">
        <f t="shared" si="182"/>
        <v>1.0923721617648496</v>
      </c>
      <c r="L1166" s="40" t="s">
        <v>26</v>
      </c>
      <c r="M1166" s="50" t="s">
        <v>266</v>
      </c>
      <c r="N1166" s="190">
        <f t="shared" ca="1" si="188"/>
        <v>0.98230959108434612</v>
      </c>
      <c r="O1166" s="40">
        <f t="shared" ca="1" si="193"/>
        <v>0.76203108547538678</v>
      </c>
      <c r="P1166" s="51">
        <f t="shared" si="186"/>
        <v>7.7509025270758123</v>
      </c>
      <c r="Q1166" s="51">
        <f t="shared" si="187"/>
        <v>0.73526348082932613</v>
      </c>
      <c r="R1166" s="51">
        <f t="shared" si="183"/>
        <v>9.1335740072202173E-2</v>
      </c>
      <c r="S1166"/>
      <c r="T1166" s="83"/>
    </row>
    <row r="1167" spans="1:20" ht="16" x14ac:dyDescent="0.2">
      <c r="A1167"/>
      <c r="B1167" s="103"/>
      <c r="C1167" s="243"/>
      <c r="D1167" s="119">
        <v>1154</v>
      </c>
      <c r="E1167" s="25" t="str">
        <f>Tp_Non_CHG!D59</f>
        <v>Transition Probability from state 1 to state 2 on day 17 (Non-CHG)</v>
      </c>
      <c r="F1167" s="40">
        <f t="shared" ref="F1167:F1231" si="194">IFERROR(CHOOSE(G1167,H1167,J1167,K1167,N1167),0)</f>
        <v>2.1660649819494584E-2</v>
      </c>
      <c r="G1167" s="156">
        <v>1</v>
      </c>
      <c r="H1167" s="120">
        <f>Tp_Non_CHG!G59</f>
        <v>2.1660649819494584E-2</v>
      </c>
      <c r="I1167" s="40" t="s">
        <v>58</v>
      </c>
      <c r="J1167" s="40">
        <f>IF(H1167=0,0,_xlfn.NORM.INV(0.025,H1167,R1167))</f>
        <v>1.7415240466700243E-2</v>
      </c>
      <c r="K1167" s="40">
        <f>IF(H1167=0,0,_xlfn.NORM.INV(0.975,H1167,R1167))</f>
        <v>2.5906059172288925E-2</v>
      </c>
      <c r="L1167" s="40" t="s">
        <v>26</v>
      </c>
      <c r="M1167" s="50" t="s">
        <v>266</v>
      </c>
      <c r="N1167" s="190">
        <f t="shared" ca="1" si="188"/>
        <v>2.151647830321372E-2</v>
      </c>
      <c r="O1167" s="40">
        <f ca="1">RAND()</f>
        <v>0.48641150341118022</v>
      </c>
      <c r="P1167" s="51">
        <f t="shared" si="186"/>
        <v>97.812274368231044</v>
      </c>
      <c r="Q1167" s="51">
        <f t="shared" si="187"/>
        <v>4417.8543922984363</v>
      </c>
      <c r="R1167" s="51">
        <f>assumedSE*H1167</f>
        <v>2.1660649819494585E-3</v>
      </c>
      <c r="S1167"/>
      <c r="T1167" s="83"/>
    </row>
    <row r="1168" spans="1:20" ht="16" x14ac:dyDescent="0.2">
      <c r="A1168"/>
      <c r="B1168" s="103"/>
      <c r="C1168" s="243"/>
      <c r="D1168" s="119">
        <v>1155</v>
      </c>
      <c r="E1168" s="25" t="str">
        <f>Tp_Non_CHG!D123</f>
        <v>Transition Probability from state 1 to state 4 on day 17 (Non-CHG)</v>
      </c>
      <c r="F1168" s="40">
        <f t="shared" si="194"/>
        <v>3.6101083032490976E-3</v>
      </c>
      <c r="G1168" s="156">
        <v>1</v>
      </c>
      <c r="H1168" s="120">
        <f>Tp_Non_CHG!G123</f>
        <v>3.6101083032490976E-3</v>
      </c>
      <c r="I1168" s="40" t="s">
        <v>58</v>
      </c>
      <c r="J1168" s="40">
        <f>IF(H1168=0,0,_xlfn.NORM.INV(0.025,H1168,R1168))</f>
        <v>2.9025400777833743E-3</v>
      </c>
      <c r="K1168" s="40">
        <f>IF(H1168=0,0,_xlfn.NORM.INV(0.975,H1168,R1168))</f>
        <v>4.3176765287148214E-3</v>
      </c>
      <c r="L1168" s="40" t="s">
        <v>26</v>
      </c>
      <c r="M1168" s="50" t="s">
        <v>266</v>
      </c>
      <c r="N1168" s="190">
        <f t="shared" ca="1" si="188"/>
        <v>3.0648699554068257E-3</v>
      </c>
      <c r="O1168" s="40">
        <f ca="1">RAND()</f>
        <v>5.9398505542397895E-2</v>
      </c>
      <c r="P1168" s="51">
        <f t="shared" si="186"/>
        <v>99.635379061371822</v>
      </c>
      <c r="Q1168" s="51">
        <f t="shared" si="187"/>
        <v>27499.364620938621</v>
      </c>
      <c r="R1168" s="51">
        <f>assumedSE*H1168</f>
        <v>3.6101083032490978E-4</v>
      </c>
      <c r="S1168"/>
      <c r="T1168" s="83"/>
    </row>
    <row r="1169" spans="1:20" ht="16" x14ac:dyDescent="0.2">
      <c r="A1169"/>
      <c r="B1169" s="103"/>
      <c r="C1169" s="243"/>
      <c r="D1169" s="119">
        <v>1156</v>
      </c>
      <c r="E1169" s="25" t="str">
        <f>Tp_Non_CHG!D155</f>
        <v>Transition Probability from state 1 to state 5 on day 17 (Non-CHG)</v>
      </c>
      <c r="F1169" s="40">
        <f t="shared" si="194"/>
        <v>3.6101083032490976E-3</v>
      </c>
      <c r="G1169" s="156">
        <v>1</v>
      </c>
      <c r="H1169" s="120">
        <f>Tp_Non_CHG!G155</f>
        <v>3.6101083032490976E-3</v>
      </c>
      <c r="I1169" s="40" t="s">
        <v>58</v>
      </c>
      <c r="J1169" s="40">
        <f>IF(H1169=0,0,_xlfn.NORM.INV(0.025,H1169,R1169))</f>
        <v>2.9025400777833743E-3</v>
      </c>
      <c r="K1169" s="40">
        <f>IF(H1169=0,0,_xlfn.NORM.INV(0.975,H1169,R1169))</f>
        <v>4.3176765287148214E-3</v>
      </c>
      <c r="L1169" s="40" t="s">
        <v>26</v>
      </c>
      <c r="M1169" s="50" t="s">
        <v>266</v>
      </c>
      <c r="N1169" s="190">
        <f t="shared" ca="1" si="188"/>
        <v>3.262376945756847E-3</v>
      </c>
      <c r="O1169" s="40">
        <f ca="1">RAND()</f>
        <v>0.16793273847168011</v>
      </c>
      <c r="P1169" s="51">
        <f t="shared" ref="P1169:P1232" si="195">IFERROR(H1169*((H1169*(1-H1169)/(R1169^2))-1),0)</f>
        <v>99.635379061371822</v>
      </c>
      <c r="Q1169" s="51">
        <f t="shared" ref="Q1169:Q1232" si="196">IFERROR((1-H1169)*((H1169*(1-H1169))/(R1169^2)-1),0)</f>
        <v>27499.364620938621</v>
      </c>
      <c r="R1169" s="51">
        <f>assumedSE*H1169</f>
        <v>3.6101083032490978E-4</v>
      </c>
      <c r="S1169"/>
      <c r="T1169" s="83"/>
    </row>
    <row r="1170" spans="1:20" ht="16" x14ac:dyDescent="0.2">
      <c r="A1170"/>
      <c r="B1170" s="103"/>
      <c r="C1170" s="243"/>
      <c r="D1170" s="119">
        <v>1157</v>
      </c>
      <c r="E1170" s="25" t="str">
        <f>Tp_Non_CHG!D220</f>
        <v>Transition Probability from state 1 to state 7 on day 17 (Non-CHG)</v>
      </c>
      <c r="F1170" s="40">
        <f t="shared" si="194"/>
        <v>4.3321299638989168E-2</v>
      </c>
      <c r="G1170" s="156">
        <v>1</v>
      </c>
      <c r="H1170" s="120">
        <f>Tp_Non_CHG!G220</f>
        <v>4.3321299638989168E-2</v>
      </c>
      <c r="I1170" s="40" t="s">
        <v>58</v>
      </c>
      <c r="J1170" s="40">
        <f>IF(H1170=0,0,_xlfn.NORM.INV(0.025,H1170,R1170))</f>
        <v>3.4830480933400486E-2</v>
      </c>
      <c r="K1170" s="40">
        <f>IF(H1170=0,0,_xlfn.NORM.INV(0.975,H1170,R1170))</f>
        <v>5.181211834457785E-2</v>
      </c>
      <c r="L1170" s="40" t="s">
        <v>26</v>
      </c>
      <c r="M1170" s="50" t="s">
        <v>266</v>
      </c>
      <c r="N1170" s="190">
        <f t="shared" ca="1" si="188"/>
        <v>4.6435334980411636E-2</v>
      </c>
      <c r="O1170" s="40">
        <f ca="1">RAND()</f>
        <v>0.76866872238373196</v>
      </c>
      <c r="P1170" s="51">
        <f t="shared" si="195"/>
        <v>95.624548736462074</v>
      </c>
      <c r="Q1170" s="51">
        <f t="shared" si="196"/>
        <v>2111.7087845968713</v>
      </c>
      <c r="R1170" s="51">
        <f>assumedSE*H1170</f>
        <v>4.3321299638989169E-3</v>
      </c>
      <c r="S1170"/>
      <c r="T1170" s="83"/>
    </row>
    <row r="1171" spans="1:20" ht="16" x14ac:dyDescent="0.2">
      <c r="A1171"/>
      <c r="B1171" s="103"/>
      <c r="C1171" s="243"/>
      <c r="D1171" s="119">
        <v>1158</v>
      </c>
      <c r="E1171" s="25" t="str">
        <f>Tp_Non_CHG!D252</f>
        <v>Transition Probability from state 1 to state 8 on day 17 (Non-CHG)</v>
      </c>
      <c r="F1171" s="40">
        <f t="shared" si="194"/>
        <v>1.444043321299639E-2</v>
      </c>
      <c r="G1171" s="156">
        <v>1</v>
      </c>
      <c r="H1171" s="120">
        <f>Tp_Non_CHG!G252</f>
        <v>1.444043321299639E-2</v>
      </c>
      <c r="I1171" s="40" t="s">
        <v>58</v>
      </c>
      <c r="J1171" s="40">
        <f>IF(H1171=0,0,_xlfn.NORM.INV(0.025,H1171,R1171))</f>
        <v>1.1610160311133497E-2</v>
      </c>
      <c r="K1171" s="40">
        <f>IF(H1171=0,0,_xlfn.NORM.INV(0.975,H1171,R1171))</f>
        <v>1.7270706114859286E-2</v>
      </c>
      <c r="L1171" s="40" t="s">
        <v>26</v>
      </c>
      <c r="M1171" s="50" t="s">
        <v>266</v>
      </c>
      <c r="N1171" s="190">
        <f t="shared" ca="1" si="188"/>
        <v>1.3515943175585575E-2</v>
      </c>
      <c r="O1171" s="40">
        <f ca="1">RAND()</f>
        <v>0.26726801831517144</v>
      </c>
      <c r="P1171" s="51">
        <f t="shared" si="195"/>
        <v>98.541516245487358</v>
      </c>
      <c r="Q1171" s="51">
        <f t="shared" si="196"/>
        <v>6725.4584837545117</v>
      </c>
      <c r="R1171" s="51">
        <f>assumedSE*H1171</f>
        <v>1.4440433212996391E-3</v>
      </c>
      <c r="S1171"/>
      <c r="T1171" s="83"/>
    </row>
    <row r="1172" spans="1:20" ht="16" x14ac:dyDescent="0.2">
      <c r="A1172"/>
      <c r="B1172" s="103"/>
      <c r="C1172" s="243"/>
      <c r="D1172" s="119">
        <v>1159</v>
      </c>
      <c r="E1172" s="25" t="str">
        <f>Tp_Non_CHG!D28</f>
        <v>Transition Probability from state 1 to state 1 on day 18 (Non-CHG)</v>
      </c>
      <c r="F1172" s="40">
        <f t="shared" si="194"/>
        <v>0.90769230769230769</v>
      </c>
      <c r="G1172" s="156">
        <v>1</v>
      </c>
      <c r="H1172" s="120">
        <f>Tp_Non_CHG!G28</f>
        <v>0.90769230769230769</v>
      </c>
      <c r="I1172" s="40" t="s">
        <v>58</v>
      </c>
      <c r="J1172" s="40">
        <f t="shared" si="181"/>
        <v>0.72978788448021048</v>
      </c>
      <c r="K1172" s="40">
        <f t="shared" si="182"/>
        <v>1.0855967309044048</v>
      </c>
      <c r="L1172" s="40" t="s">
        <v>26</v>
      </c>
      <c r="M1172" s="50" t="s">
        <v>266</v>
      </c>
      <c r="N1172" s="190">
        <f t="shared" ca="1" si="188"/>
        <v>0.98847592273284324</v>
      </c>
      <c r="O1172" s="40">
        <f t="shared" ca="1" si="193"/>
        <v>0.86101407388209894</v>
      </c>
      <c r="P1172" s="51">
        <f t="shared" si="195"/>
        <v>8.3230769230769237</v>
      </c>
      <c r="Q1172" s="51">
        <f t="shared" si="196"/>
        <v>0.84641460234680588</v>
      </c>
      <c r="R1172" s="51">
        <f t="shared" si="183"/>
        <v>9.0769230769230769E-2</v>
      </c>
      <c r="S1172"/>
      <c r="T1172" s="83"/>
    </row>
    <row r="1173" spans="1:20" ht="16" x14ac:dyDescent="0.2">
      <c r="A1173"/>
      <c r="B1173" s="103"/>
      <c r="C1173" s="243"/>
      <c r="D1173" s="119">
        <v>1160</v>
      </c>
      <c r="E1173" s="25" t="str">
        <f>Tp_Non_CHG!D60</f>
        <v>Transition Probability from state 1 to state 2 on day 18 (Non-CHG)</v>
      </c>
      <c r="F1173" s="40">
        <f t="shared" si="194"/>
        <v>4.230769230769231E-2</v>
      </c>
      <c r="G1173" s="156">
        <v>1</v>
      </c>
      <c r="H1173" s="120">
        <f>Tp_Non_CHG!G60</f>
        <v>4.230769230769231E-2</v>
      </c>
      <c r="I1173" s="40" t="s">
        <v>58</v>
      </c>
      <c r="J1173" s="40">
        <f>IF(H1173=0,0,_xlfn.NORM.INV(0.025,H1173,R1173))</f>
        <v>3.4015536988484391E-2</v>
      </c>
      <c r="K1173" s="40">
        <f>IF(H1173=0,0,_xlfn.NORM.INV(0.975,H1173,R1173))</f>
        <v>5.059984762690023E-2</v>
      </c>
      <c r="L1173" s="40" t="s">
        <v>26</v>
      </c>
      <c r="M1173" s="50" t="s">
        <v>266</v>
      </c>
      <c r="N1173" s="190">
        <f t="shared" ca="1" si="188"/>
        <v>4.2665418044146808E-2</v>
      </c>
      <c r="O1173" s="40">
        <f ca="1">RAND()</f>
        <v>0.54623486436768187</v>
      </c>
      <c r="P1173" s="51">
        <f t="shared" si="195"/>
        <v>95.726923076923057</v>
      </c>
      <c r="Q1173" s="51">
        <f t="shared" si="196"/>
        <v>2166.9094405594401</v>
      </c>
      <c r="R1173" s="51">
        <f>assumedSE*H1173</f>
        <v>4.2307692307692315E-3</v>
      </c>
      <c r="S1173"/>
      <c r="T1173" s="83"/>
    </row>
    <row r="1174" spans="1:20" ht="16" x14ac:dyDescent="0.2">
      <c r="A1174"/>
      <c r="B1174" s="103"/>
      <c r="C1174" s="243"/>
      <c r="D1174" s="119">
        <v>1161</v>
      </c>
      <c r="E1174" s="25" t="str">
        <f>Tp_Non_CHG!D124</f>
        <v>Transition Probability from state 1 to state 4 on day 18 (Non-CHG)</v>
      </c>
      <c r="F1174" s="40">
        <f t="shared" si="194"/>
        <v>3.8461538461538464E-3</v>
      </c>
      <c r="G1174" s="156">
        <v>1</v>
      </c>
      <c r="H1174" s="120">
        <f>Tp_Non_CHG!G124</f>
        <v>3.8461538461538464E-3</v>
      </c>
      <c r="I1174" s="40" t="s">
        <v>58</v>
      </c>
      <c r="J1174" s="40">
        <f>IF(H1174=0,0,_xlfn.NORM.INV(0.025,H1174,R1174))</f>
        <v>3.0923215444076716E-3</v>
      </c>
      <c r="K1174" s="40">
        <f>IF(H1174=0,0,_xlfn.NORM.INV(0.975,H1174,R1174))</f>
        <v>4.5999861479000207E-3</v>
      </c>
      <c r="L1174" s="40" t="s">
        <v>26</v>
      </c>
      <c r="M1174" s="50" t="s">
        <v>266</v>
      </c>
      <c r="N1174" s="190">
        <f t="shared" ca="1" si="188"/>
        <v>3.6843168740945766E-3</v>
      </c>
      <c r="O1174" s="40">
        <f ca="1">RAND()</f>
        <v>0.34698957668517472</v>
      </c>
      <c r="P1174" s="51">
        <f t="shared" si="195"/>
        <v>99.611538461538458</v>
      </c>
      <c r="Q1174" s="51">
        <f t="shared" si="196"/>
        <v>25799.38846153846</v>
      </c>
      <c r="R1174" s="51">
        <f>assumedSE*H1174</f>
        <v>3.8461538461538467E-4</v>
      </c>
      <c r="S1174"/>
      <c r="T1174" s="83"/>
    </row>
    <row r="1175" spans="1:20" ht="16" x14ac:dyDescent="0.2">
      <c r="A1175"/>
      <c r="B1175" s="103"/>
      <c r="C1175" s="243"/>
      <c r="D1175" s="119">
        <v>1162</v>
      </c>
      <c r="E1175" s="25" t="str">
        <f>Tp_Non_CHG!D221</f>
        <v>Transition Probability from state 1 to state 7 on day 18 (Non-CHG)</v>
      </c>
      <c r="F1175" s="40">
        <f t="shared" si="194"/>
        <v>2.6923076923076925E-2</v>
      </c>
      <c r="G1175" s="156">
        <v>1</v>
      </c>
      <c r="H1175" s="120">
        <f>Tp_Non_CHG!G221</f>
        <v>2.6923076923076925E-2</v>
      </c>
      <c r="I1175" s="40" t="s">
        <v>58</v>
      </c>
      <c r="J1175" s="40">
        <f>IF(H1175=0,0,_xlfn.NORM.INV(0.025,H1175,R1175))</f>
        <v>2.1646250810853702E-2</v>
      </c>
      <c r="K1175" s="40">
        <f>IF(H1175=0,0,_xlfn.NORM.INV(0.975,H1175,R1175))</f>
        <v>3.2199903035300147E-2</v>
      </c>
      <c r="L1175" s="40" t="s">
        <v>26</v>
      </c>
      <c r="M1175" s="50" t="s">
        <v>266</v>
      </c>
      <c r="N1175" s="190">
        <f t="shared" ref="N1175:N1237" ca="1" si="197">_xlfn.BETA.INV(O1175,P1175,Q1175)</f>
        <v>2.4780365891337617E-2</v>
      </c>
      <c r="O1175" s="40">
        <f ca="1">RAND()</f>
        <v>0.21634288850454364</v>
      </c>
      <c r="P1175" s="51">
        <f t="shared" si="195"/>
        <v>97.280769230769224</v>
      </c>
      <c r="Q1175" s="51">
        <f t="shared" si="196"/>
        <v>3516.0049450549445</v>
      </c>
      <c r="R1175" s="51">
        <f>assumedSE*H1175</f>
        <v>2.6923076923076926E-3</v>
      </c>
      <c r="S1175"/>
      <c r="T1175" s="83"/>
    </row>
    <row r="1176" spans="1:20" ht="16" x14ac:dyDescent="0.2">
      <c r="A1176"/>
      <c r="B1176" s="103"/>
      <c r="C1176" s="243"/>
      <c r="D1176" s="119">
        <v>1163</v>
      </c>
      <c r="E1176" s="25" t="str">
        <f>Tp_Non_CHG!D253</f>
        <v>Transition Probability from state 1 to state 8 on day 18 (Non-CHG)</v>
      </c>
      <c r="F1176" s="40">
        <f t="shared" si="194"/>
        <v>1.9230769230769232E-2</v>
      </c>
      <c r="G1176" s="156">
        <v>1</v>
      </c>
      <c r="H1176" s="120">
        <f>Tp_Non_CHG!G253</f>
        <v>1.9230769230769232E-2</v>
      </c>
      <c r="I1176" s="40" t="s">
        <v>58</v>
      </c>
      <c r="J1176" s="40">
        <f>IF(H1176=0,0,_xlfn.NORM.INV(0.025,H1176,R1176))</f>
        <v>1.5461607722038358E-2</v>
      </c>
      <c r="K1176" s="40">
        <f>IF(H1176=0,0,_xlfn.NORM.INV(0.975,H1176,R1176))</f>
        <v>2.2999930739500105E-2</v>
      </c>
      <c r="L1176" s="40" t="s">
        <v>26</v>
      </c>
      <c r="M1176" s="50" t="s">
        <v>266</v>
      </c>
      <c r="N1176" s="190">
        <f t="shared" ca="1" si="197"/>
        <v>1.616782337793362E-2</v>
      </c>
      <c r="O1176" s="40">
        <f ca="1">RAND()</f>
        <v>4.93717256097288E-2</v>
      </c>
      <c r="P1176" s="51">
        <f t="shared" si="195"/>
        <v>98.057692307692292</v>
      </c>
      <c r="Q1176" s="51">
        <f t="shared" si="196"/>
        <v>5000.9423076923067</v>
      </c>
      <c r="R1176" s="51">
        <f>assumedSE*H1176</f>
        <v>1.9230769230769232E-3</v>
      </c>
      <c r="S1176"/>
      <c r="T1176" s="83"/>
    </row>
    <row r="1177" spans="1:20" ht="16" x14ac:dyDescent="0.2">
      <c r="A1177"/>
      <c r="B1177" s="103"/>
      <c r="C1177" s="243"/>
      <c r="D1177" s="119">
        <v>1164</v>
      </c>
      <c r="E1177" s="25" t="str">
        <f>Tp_Non_CHG!D29</f>
        <v>Transition Probability from state 1 to state 1 on day 19 (Non-CHG)</v>
      </c>
      <c r="F1177" s="40">
        <f t="shared" si="194"/>
        <v>0.87190082644628097</v>
      </c>
      <c r="G1177" s="156">
        <v>1</v>
      </c>
      <c r="H1177" s="120">
        <f>Tp_Non_CHG!G29</f>
        <v>0.87190082644628097</v>
      </c>
      <c r="I1177" s="40" t="s">
        <v>58</v>
      </c>
      <c r="J1177" s="40">
        <f t="shared" si="181"/>
        <v>0.70101140465373912</v>
      </c>
      <c r="K1177" s="40">
        <f t="shared" si="182"/>
        <v>1.0427902482388229</v>
      </c>
      <c r="L1177" s="40" t="s">
        <v>26</v>
      </c>
      <c r="M1177" s="50" t="s">
        <v>266</v>
      </c>
      <c r="N1177" s="190">
        <f t="shared" ca="1" si="197"/>
        <v>0.82620473473901301</v>
      </c>
      <c r="O1177" s="40">
        <f t="shared" ca="1" si="193"/>
        <v>0.2563708232454498</v>
      </c>
      <c r="P1177" s="51">
        <f t="shared" si="195"/>
        <v>11.938016528925619</v>
      </c>
      <c r="Q1177" s="51">
        <f t="shared" si="196"/>
        <v>1.7539265990364656</v>
      </c>
      <c r="R1177" s="51">
        <f t="shared" si="183"/>
        <v>8.7190082644628103E-2</v>
      </c>
      <c r="S1177"/>
      <c r="T1177" s="83"/>
    </row>
    <row r="1178" spans="1:20" ht="16" x14ac:dyDescent="0.2">
      <c r="A1178"/>
      <c r="B1178" s="103"/>
      <c r="C1178" s="243"/>
      <c r="D1178" s="119">
        <v>1165</v>
      </c>
      <c r="E1178" s="25" t="str">
        <f>Tp_Non_CHG!D61</f>
        <v>Transition Probability from state 1 to state 2 on day 19 (Non-CHG)</v>
      </c>
      <c r="F1178" s="40">
        <f t="shared" si="194"/>
        <v>2.8925619834710745E-2</v>
      </c>
      <c r="G1178" s="156">
        <v>1</v>
      </c>
      <c r="H1178" s="120">
        <f>Tp_Non_CHG!G61</f>
        <v>2.8925619834710745E-2</v>
      </c>
      <c r="I1178" s="40" t="s">
        <v>58</v>
      </c>
      <c r="J1178" s="40">
        <f>IF(H1178=0,0,_xlfn.NORM.INV(0.025,H1178,R1178))</f>
        <v>2.3256302524057696E-2</v>
      </c>
      <c r="K1178" s="40">
        <f>IF(H1178=0,0,_xlfn.NORM.INV(0.975,H1178,R1178))</f>
        <v>3.4594937145363797E-2</v>
      </c>
      <c r="L1178" s="40" t="s">
        <v>26</v>
      </c>
      <c r="M1178" s="50" t="s">
        <v>266</v>
      </c>
      <c r="N1178" s="190">
        <f t="shared" ca="1" si="197"/>
        <v>3.2240252266206526E-2</v>
      </c>
      <c r="O1178" s="40">
        <f ca="1">RAND()</f>
        <v>0.87242335607737409</v>
      </c>
      <c r="P1178" s="51">
        <f t="shared" si="195"/>
        <v>97.078512396694208</v>
      </c>
      <c r="Q1178" s="51">
        <f t="shared" si="196"/>
        <v>3259.0643447461625</v>
      </c>
      <c r="R1178" s="51">
        <f>assumedSE*H1178</f>
        <v>2.8925619834710746E-3</v>
      </c>
      <c r="S1178"/>
      <c r="T1178" s="83"/>
    </row>
    <row r="1179" spans="1:20" ht="16" x14ac:dyDescent="0.2">
      <c r="A1179"/>
      <c r="B1179" s="103"/>
      <c r="C1179" s="243"/>
      <c r="D1179" s="119">
        <v>1166</v>
      </c>
      <c r="E1179" s="25" t="str">
        <f>Tp_Non_CHG!D125</f>
        <v>Transition Probability from state 1 to state 4 on day 19 (Non-CHG)</v>
      </c>
      <c r="F1179" s="40">
        <f>IFERROR(CHOOSE(G1179,H1179,J1179,K1179,N1179),0)</f>
        <v>4.1322314049586778E-3</v>
      </c>
      <c r="G1179" s="156">
        <v>1</v>
      </c>
      <c r="H1179" s="120">
        <f>Tp_Non_CHG!G125</f>
        <v>4.1322314049586778E-3</v>
      </c>
      <c r="I1179" s="40" t="s">
        <v>58</v>
      </c>
      <c r="J1179" s="40">
        <f>IF(H1179=0,0,_xlfn.NORM.INV(0.025,H1179,R1179))</f>
        <v>3.3223289320082421E-3</v>
      </c>
      <c r="K1179" s="40">
        <f>IF(H1179=0,0,_xlfn.NORM.INV(0.975,H1179,R1179))</f>
        <v>4.9421338779091131E-3</v>
      </c>
      <c r="L1179" s="40" t="s">
        <v>26</v>
      </c>
      <c r="M1179" s="50" t="s">
        <v>266</v>
      </c>
      <c r="N1179" s="190">
        <f t="shared" ca="1" si="197"/>
        <v>4.3841193286460189E-3</v>
      </c>
      <c r="O1179" s="40">
        <f ca="1">RAND()</f>
        <v>0.73587387278162053</v>
      </c>
      <c r="P1179" s="51">
        <f t="shared" si="195"/>
        <v>99.58264462809916</v>
      </c>
      <c r="Q1179" s="51">
        <f t="shared" si="196"/>
        <v>23999.417355371897</v>
      </c>
      <c r="R1179" s="51">
        <f>assumedSE*H1179</f>
        <v>4.1322314049586781E-4</v>
      </c>
      <c r="S1179" s="1"/>
      <c r="T1179" s="83"/>
    </row>
    <row r="1180" spans="1:20" ht="16" x14ac:dyDescent="0.2">
      <c r="A1180"/>
      <c r="B1180" s="103"/>
      <c r="C1180" s="243"/>
      <c r="D1180" s="119">
        <v>1167</v>
      </c>
      <c r="E1180" s="25" t="str">
        <f>Tp_Non_CHG!D222</f>
        <v>Transition Probability from state 1 to state 7 on day 19 (Non-CHG)</v>
      </c>
      <c r="F1180" s="40">
        <f t="shared" si="194"/>
        <v>4.9586776859504134E-2</v>
      </c>
      <c r="G1180" s="156">
        <v>1</v>
      </c>
      <c r="H1180" s="120">
        <f>Tp_Non_CHG!G222</f>
        <v>4.9586776859504134E-2</v>
      </c>
      <c r="I1180" s="40" t="s">
        <v>58</v>
      </c>
      <c r="J1180" s="40">
        <f>IF(H1180=0,0,_xlfn.NORM.INV(0.025,H1180,R1180))</f>
        <v>3.9867947184098904E-2</v>
      </c>
      <c r="K1180" s="40">
        <f>IF(H1180=0,0,_xlfn.NORM.INV(0.975,H1180,R1180))</f>
        <v>5.9305606534909357E-2</v>
      </c>
      <c r="L1180" s="40" t="s">
        <v>26</v>
      </c>
      <c r="M1180" s="50" t="s">
        <v>266</v>
      </c>
      <c r="N1180" s="190">
        <f t="shared" ca="1" si="197"/>
        <v>4.3192451227796247E-2</v>
      </c>
      <c r="O1180" s="40">
        <f ca="1">RAND()</f>
        <v>9.4420669784772815E-2</v>
      </c>
      <c r="P1180" s="51">
        <f t="shared" si="195"/>
        <v>94.991735537190067</v>
      </c>
      <c r="Q1180" s="51">
        <f t="shared" si="196"/>
        <v>1820.6749311294761</v>
      </c>
      <c r="R1180" s="51">
        <f>assumedSE*H1180</f>
        <v>4.9586776859504135E-3</v>
      </c>
      <c r="S1180"/>
      <c r="T1180" s="83"/>
    </row>
    <row r="1181" spans="1:20" ht="16" x14ac:dyDescent="0.2">
      <c r="A1181"/>
      <c r="B1181" s="103"/>
      <c r="C1181" s="243"/>
      <c r="D1181" s="119">
        <v>1168</v>
      </c>
      <c r="E1181" s="25" t="str">
        <f>Tp_Non_CHG!D254</f>
        <v>Transition Probability from state 1 to state 8 on day 19 (Non-CHG)</v>
      </c>
      <c r="F1181" s="40">
        <f t="shared" si="194"/>
        <v>4.5454545454545456E-2</v>
      </c>
      <c r="G1181" s="156">
        <v>1</v>
      </c>
      <c r="H1181" s="120">
        <f>Tp_Non_CHG!G254</f>
        <v>4.5454545454545456E-2</v>
      </c>
      <c r="I1181" s="40" t="s">
        <v>58</v>
      </c>
      <c r="J1181" s="40">
        <f>IF(H1181=0,0,_xlfn.NORM.INV(0.025,H1181,R1181))</f>
        <v>3.6545618252090663E-2</v>
      </c>
      <c r="K1181" s="40">
        <f>IF(H1181=0,0,_xlfn.NORM.INV(0.975,H1181,R1181))</f>
        <v>5.4363472657000242E-2</v>
      </c>
      <c r="L1181" s="40" t="s">
        <v>26</v>
      </c>
      <c r="M1181" s="50" t="s">
        <v>266</v>
      </c>
      <c r="N1181" s="190">
        <f t="shared" ca="1" si="197"/>
        <v>4.4263343207667921E-2</v>
      </c>
      <c r="O1181" s="40">
        <f ca="1">RAND()</f>
        <v>0.40813088074204118</v>
      </c>
      <c r="P1181" s="51">
        <f t="shared" si="195"/>
        <v>95.409090909090892</v>
      </c>
      <c r="Q1181" s="51">
        <f t="shared" si="196"/>
        <v>2003.5909090909088</v>
      </c>
      <c r="R1181" s="51">
        <f>assumedSE*H1181</f>
        <v>4.5454545454545461E-3</v>
      </c>
      <c r="S1181"/>
      <c r="T1181" s="83"/>
    </row>
    <row r="1182" spans="1:20" ht="16" x14ac:dyDescent="0.2">
      <c r="A1182"/>
      <c r="B1182" s="103"/>
      <c r="C1182" s="243"/>
      <c r="D1182" s="119">
        <v>1169</v>
      </c>
      <c r="E1182" s="25" t="str">
        <f>Tp_Non_CHG!D30</f>
        <v>Transition Probability from state 1 to state 1 on day 20 (Non-CHG)</v>
      </c>
      <c r="F1182" s="40">
        <f t="shared" si="194"/>
        <v>0.91928251121076232</v>
      </c>
      <c r="G1182" s="156">
        <v>1</v>
      </c>
      <c r="H1182" s="120">
        <f>Tp_Non_CHG!G30</f>
        <v>0.91928251121076232</v>
      </c>
      <c r="I1182" s="40" t="s">
        <v>58</v>
      </c>
      <c r="J1182" s="40">
        <f t="shared" si="181"/>
        <v>0.73910644985169904</v>
      </c>
      <c r="K1182" s="40">
        <f t="shared" si="182"/>
        <v>1.0994585725698256</v>
      </c>
      <c r="L1182" s="40" t="s">
        <v>26</v>
      </c>
      <c r="M1182" s="50" t="s">
        <v>266</v>
      </c>
      <c r="N1182" s="190">
        <f t="shared" ca="1" si="197"/>
        <v>0.97139016925550803</v>
      </c>
      <c r="O1182" s="40">
        <f t="shared" ca="1" si="193"/>
        <v>0.62128503028664472</v>
      </c>
      <c r="P1182" s="51">
        <f t="shared" si="195"/>
        <v>7.1524663677130054</v>
      </c>
      <c r="Q1182" s="51">
        <f t="shared" si="196"/>
        <v>0.62802143716504444</v>
      </c>
      <c r="R1182" s="51">
        <f t="shared" si="183"/>
        <v>9.1928251121076235E-2</v>
      </c>
      <c r="S1182"/>
      <c r="T1182" s="83"/>
    </row>
    <row r="1183" spans="1:20" ht="16" x14ac:dyDescent="0.2">
      <c r="A1183"/>
      <c r="B1183" s="103"/>
      <c r="C1183" s="243"/>
      <c r="D1183" s="119">
        <v>1170</v>
      </c>
      <c r="E1183" s="25" t="str">
        <f>Tp_Non_CHG!D62</f>
        <v>Transition Probability from state 1 to state 2 on day 20 (Non-CHG)</v>
      </c>
      <c r="F1183" s="40">
        <f t="shared" si="194"/>
        <v>1.3452914798206279E-2</v>
      </c>
      <c r="G1183" s="156">
        <v>1</v>
      </c>
      <c r="H1183" s="120">
        <f>Tp_Non_CHG!G62</f>
        <v>1.3452914798206279E-2</v>
      </c>
      <c r="I1183" s="40" t="s">
        <v>58</v>
      </c>
      <c r="J1183" s="40">
        <f>IF(H1183=0,0,_xlfn.NORM.INV(0.025,H1183,R1183))</f>
        <v>1.0816191949049255E-2</v>
      </c>
      <c r="K1183" s="40">
        <f>IF(H1183=0,0,_xlfn.NORM.INV(0.975,H1183,R1183))</f>
        <v>1.6089637647363302E-2</v>
      </c>
      <c r="L1183" s="40" t="s">
        <v>26</v>
      </c>
      <c r="M1183" s="50" t="s">
        <v>266</v>
      </c>
      <c r="N1183" s="190">
        <f t="shared" ca="1" si="197"/>
        <v>1.3093126461761452E-2</v>
      </c>
      <c r="O1183" s="40">
        <f ca="1">RAND()</f>
        <v>0.40638963068331269</v>
      </c>
      <c r="P1183" s="51">
        <f t="shared" si="195"/>
        <v>98.641255605381161</v>
      </c>
      <c r="Q1183" s="51">
        <f t="shared" si="196"/>
        <v>7233.6920777279511</v>
      </c>
      <c r="R1183" s="51">
        <f>assumedSE*H1183</f>
        <v>1.3452914798206279E-3</v>
      </c>
      <c r="S1183"/>
      <c r="T1183" s="83"/>
    </row>
    <row r="1184" spans="1:20" ht="16" x14ac:dyDescent="0.2">
      <c r="A1184"/>
      <c r="B1184" s="103"/>
      <c r="C1184" s="243"/>
      <c r="D1184" s="119">
        <v>1171</v>
      </c>
      <c r="E1184" s="25" t="str">
        <f>Tp_Non_CHG!D158</f>
        <v>Transition Probability from state 1 to state 5 on day 20 (Non-CHG)</v>
      </c>
      <c r="F1184" s="40">
        <f t="shared" si="194"/>
        <v>4.4843049327354259E-3</v>
      </c>
      <c r="G1184" s="156">
        <v>1</v>
      </c>
      <c r="H1184" s="120">
        <f>Tp_Non_CHG!G158</f>
        <v>4.4843049327354259E-3</v>
      </c>
      <c r="I1184" s="40" t="s">
        <v>58</v>
      </c>
      <c r="J1184" s="40">
        <f>IF(H1184=0,0,_xlfn.NORM.INV(0.025,H1184,R1184))</f>
        <v>3.6053973163497517E-3</v>
      </c>
      <c r="K1184" s="40">
        <f>IF(H1184=0,0,_xlfn.NORM.INV(0.975,H1184,R1184))</f>
        <v>5.3632125491211002E-3</v>
      </c>
      <c r="L1184" s="40" t="s">
        <v>26</v>
      </c>
      <c r="M1184" s="50" t="s">
        <v>266</v>
      </c>
      <c r="N1184" s="190">
        <f t="shared" ca="1" si="197"/>
        <v>4.4047177282630712E-3</v>
      </c>
      <c r="O1184" s="40">
        <f ca="1">RAND()</f>
        <v>0.4422415321425216</v>
      </c>
      <c r="P1184" s="51">
        <f t="shared" si="195"/>
        <v>99.547085201793706</v>
      </c>
      <c r="Q1184" s="51">
        <f t="shared" si="196"/>
        <v>22099.452914798203</v>
      </c>
      <c r="R1184" s="51">
        <f>assumedSE*H1184</f>
        <v>4.4843049327354261E-4</v>
      </c>
      <c r="S1184"/>
      <c r="T1184" s="83"/>
    </row>
    <row r="1185" spans="1:20" ht="16" x14ac:dyDescent="0.2">
      <c r="A1185"/>
      <c r="B1185" s="103"/>
      <c r="C1185" s="243"/>
      <c r="D1185" s="119">
        <v>1172</v>
      </c>
      <c r="E1185" s="25" t="str">
        <f>Tp_Non_CHG!D223</f>
        <v>Transition Probability from state 1 to state 7 on day 20 (Non-CHG)</v>
      </c>
      <c r="F1185" s="40">
        <f t="shared" si="194"/>
        <v>4.9327354260089683E-2</v>
      </c>
      <c r="G1185" s="156">
        <v>1</v>
      </c>
      <c r="H1185" s="120">
        <f>Tp_Non_CHG!G223</f>
        <v>4.9327354260089683E-2</v>
      </c>
      <c r="I1185" s="40" t="s">
        <v>58</v>
      </c>
      <c r="J1185" s="40">
        <f>IF(H1185=0,0,_xlfn.NORM.INV(0.025,H1185,R1185))</f>
        <v>3.9659370479847265E-2</v>
      </c>
      <c r="K1185" s="40">
        <f>IF(H1185=0,0,_xlfn.NORM.INV(0.975,H1185,R1185))</f>
        <v>5.89953380403321E-2</v>
      </c>
      <c r="L1185" s="40" t="s">
        <v>26</v>
      </c>
      <c r="M1185" s="50" t="s">
        <v>266</v>
      </c>
      <c r="N1185" s="190">
        <f t="shared" ca="1" si="197"/>
        <v>5.452872680638865E-2</v>
      </c>
      <c r="O1185" s="40">
        <f ca="1">RAND()</f>
        <v>0.85367811896570489</v>
      </c>
      <c r="P1185" s="51">
        <f t="shared" si="195"/>
        <v>95.017937219730939</v>
      </c>
      <c r="Q1185" s="51">
        <f t="shared" si="196"/>
        <v>1831.2547900529964</v>
      </c>
      <c r="R1185" s="51">
        <f>assumedSE*H1185</f>
        <v>4.9327354260089683E-3</v>
      </c>
      <c r="S1185"/>
      <c r="T1185" s="83"/>
    </row>
    <row r="1186" spans="1:20" ht="16" x14ac:dyDescent="0.2">
      <c r="A1186"/>
      <c r="B1186" s="103"/>
      <c r="C1186" s="243"/>
      <c r="D1186" s="119">
        <v>1173</v>
      </c>
      <c r="E1186" s="25" t="str">
        <f>Tp_Non_CHG!D255</f>
        <v>Transition Probability from state 1 to state 8 on day 20 (Non-CHG)</v>
      </c>
      <c r="F1186" s="40">
        <f t="shared" si="194"/>
        <v>1.3452914798206279E-2</v>
      </c>
      <c r="G1186" s="156">
        <v>1</v>
      </c>
      <c r="H1186" s="120">
        <f>Tp_Non_CHG!G255</f>
        <v>1.3452914798206279E-2</v>
      </c>
      <c r="I1186" s="40" t="s">
        <v>58</v>
      </c>
      <c r="J1186" s="40">
        <f>IF(H1186=0,0,_xlfn.NORM.INV(0.025,H1186,R1186))</f>
        <v>1.0816191949049255E-2</v>
      </c>
      <c r="K1186" s="40">
        <f>IF(H1186=0,0,_xlfn.NORM.INV(0.975,H1186,R1186))</f>
        <v>1.6089637647363302E-2</v>
      </c>
      <c r="L1186" s="40" t="s">
        <v>26</v>
      </c>
      <c r="M1186" s="50" t="s">
        <v>266</v>
      </c>
      <c r="N1186" s="190">
        <f t="shared" ca="1" si="197"/>
        <v>1.3930095532285192E-2</v>
      </c>
      <c r="O1186" s="40">
        <f ca="1">RAND()</f>
        <v>0.64929222447072432</v>
      </c>
      <c r="P1186" s="51">
        <f t="shared" si="195"/>
        <v>98.641255605381161</v>
      </c>
      <c r="Q1186" s="51">
        <f t="shared" si="196"/>
        <v>7233.6920777279511</v>
      </c>
      <c r="R1186" s="51">
        <f>assumedSE*H1186</f>
        <v>1.3452914798206279E-3</v>
      </c>
      <c r="S1186"/>
      <c r="T1186" s="83"/>
    </row>
    <row r="1187" spans="1:20" ht="16" x14ac:dyDescent="0.2">
      <c r="A1187"/>
      <c r="B1187" s="103"/>
      <c r="C1187" s="243"/>
      <c r="D1187" s="119">
        <v>1174</v>
      </c>
      <c r="E1187" s="25" t="str">
        <f>Tp_Non_CHG!D31</f>
        <v>Transition Probability from state 1 to state 1 on day 21 (Non-CHG)</v>
      </c>
      <c r="F1187" s="40">
        <f t="shared" si="194"/>
        <v>0.88785046728971961</v>
      </c>
      <c r="G1187" s="156">
        <v>1</v>
      </c>
      <c r="H1187" s="120">
        <f>Tp_Non_CHG!G31</f>
        <v>0.88785046728971961</v>
      </c>
      <c r="I1187" s="40" t="s">
        <v>58</v>
      </c>
      <c r="J1187" s="40">
        <f t="shared" si="181"/>
        <v>0.71383497333522883</v>
      </c>
      <c r="K1187" s="40">
        <f t="shared" si="182"/>
        <v>1.0618659612442103</v>
      </c>
      <c r="L1187" s="40" t="s">
        <v>26</v>
      </c>
      <c r="M1187" s="50" t="s">
        <v>266</v>
      </c>
      <c r="N1187" s="190">
        <f t="shared" ca="1" si="197"/>
        <v>0.86558224967041753</v>
      </c>
      <c r="O1187" s="40">
        <f t="shared" ca="1" si="193"/>
        <v>0.32104152104010131</v>
      </c>
      <c r="P1187" s="51">
        <f t="shared" si="195"/>
        <v>10.327102803738317</v>
      </c>
      <c r="Q1187" s="51">
        <f t="shared" si="196"/>
        <v>1.3044761436301033</v>
      </c>
      <c r="R1187" s="51">
        <f t="shared" si="183"/>
        <v>8.8785046728971972E-2</v>
      </c>
      <c r="S1187"/>
      <c r="T1187" s="83"/>
    </row>
    <row r="1188" spans="1:20" ht="16" x14ac:dyDescent="0.2">
      <c r="A1188"/>
      <c r="B1188" s="103"/>
      <c r="C1188" s="243"/>
      <c r="D1188" s="119">
        <v>1175</v>
      </c>
      <c r="E1188" s="25" t="str">
        <f>Tp_Non_CHG!D63</f>
        <v>Transition Probability from state 1 to state 2 on day 21 (Non-CHG)</v>
      </c>
      <c r="F1188" s="40">
        <f t="shared" si="194"/>
        <v>2.336448598130841E-2</v>
      </c>
      <c r="G1188" s="156">
        <v>1</v>
      </c>
      <c r="H1188" s="120">
        <f>Tp_Non_CHG!G63</f>
        <v>2.336448598130841E-2</v>
      </c>
      <c r="I1188" s="40" t="s">
        <v>58</v>
      </c>
      <c r="J1188" s="40">
        <f>IF(H1188=0,0,_xlfn.NORM.INV(0.025,H1188,R1188))</f>
        <v>1.8785130877242866E-2</v>
      </c>
      <c r="K1188" s="40">
        <f>IF(H1188=0,0,_xlfn.NORM.INV(0.975,H1188,R1188))</f>
        <v>2.7943841085373955E-2</v>
      </c>
      <c r="L1188" s="40" t="s">
        <v>26</v>
      </c>
      <c r="M1188" s="50" t="s">
        <v>266</v>
      </c>
      <c r="N1188" s="190">
        <f t="shared" ca="1" si="197"/>
        <v>2.5580537257284486E-2</v>
      </c>
      <c r="O1188" s="40">
        <f ca="1">RAND()</f>
        <v>0.82967228685238215</v>
      </c>
      <c r="P1188" s="51">
        <f t="shared" si="195"/>
        <v>97.640186915887867</v>
      </c>
      <c r="Q1188" s="51">
        <f t="shared" si="196"/>
        <v>4081.3598130841133</v>
      </c>
      <c r="R1188" s="51">
        <f>assumedSE*H1188</f>
        <v>2.3364485981308409E-3</v>
      </c>
      <c r="S1188"/>
      <c r="T1188" s="83"/>
    </row>
    <row r="1189" spans="1:20" ht="16" x14ac:dyDescent="0.2">
      <c r="A1189"/>
      <c r="B1189" s="103"/>
      <c r="C1189" s="243"/>
      <c r="D1189" s="119">
        <v>1176</v>
      </c>
      <c r="E1189" s="25" t="str">
        <f>Tp_Non_CHG!D224</f>
        <v>Transition Probability from state 1 to state 7 on day 21 (Non-CHG)</v>
      </c>
      <c r="F1189" s="40">
        <f t="shared" si="194"/>
        <v>6.5420560747663545E-2</v>
      </c>
      <c r="G1189" s="156">
        <v>1</v>
      </c>
      <c r="H1189" s="120">
        <f>Tp_Non_CHG!G224</f>
        <v>6.5420560747663545E-2</v>
      </c>
      <c r="I1189" s="40" t="s">
        <v>58</v>
      </c>
      <c r="J1189" s="40">
        <f>IF(H1189=0,0,_xlfn.NORM.INV(0.025,H1189,R1189))</f>
        <v>5.2598366456280014E-2</v>
      </c>
      <c r="K1189" s="40">
        <f>IF(H1189=0,0,_xlfn.NORM.INV(0.975,H1189,R1189))</f>
        <v>7.8242755039047068E-2</v>
      </c>
      <c r="L1189" s="40" t="s">
        <v>26</v>
      </c>
      <c r="M1189" s="50" t="s">
        <v>266</v>
      </c>
      <c r="N1189" s="190">
        <f t="shared" ca="1" si="197"/>
        <v>6.2448102417093587E-2</v>
      </c>
      <c r="O1189" s="40">
        <f ca="1">RAND()</f>
        <v>0.33375484626052587</v>
      </c>
      <c r="P1189" s="51">
        <f t="shared" si="195"/>
        <v>93.392523364485982</v>
      </c>
      <c r="Q1189" s="51">
        <f t="shared" si="196"/>
        <v>1334.1789052069428</v>
      </c>
      <c r="R1189" s="51">
        <f>assumedSE*H1189</f>
        <v>6.5420560747663547E-3</v>
      </c>
      <c r="S1189"/>
      <c r="T1189" s="83"/>
    </row>
    <row r="1190" spans="1:20" ht="16" x14ac:dyDescent="0.2">
      <c r="A1190"/>
      <c r="B1190" s="103"/>
      <c r="C1190" s="243"/>
      <c r="D1190" s="119">
        <v>1177</v>
      </c>
      <c r="E1190" s="25" t="str">
        <f>Tp_Non_CHG!D256</f>
        <v>Transition Probability from state 1 to state 8 on day 21 (Non-CHG)</v>
      </c>
      <c r="F1190" s="40">
        <f t="shared" si="194"/>
        <v>2.336448598130841E-2</v>
      </c>
      <c r="G1190" s="156">
        <v>1</v>
      </c>
      <c r="H1190" s="120">
        <f>Tp_Non_CHG!G256</f>
        <v>2.336448598130841E-2</v>
      </c>
      <c r="I1190" s="40" t="s">
        <v>58</v>
      </c>
      <c r="J1190" s="40">
        <f>IF(H1190=0,0,_xlfn.NORM.INV(0.025,H1190,R1190))</f>
        <v>1.8785130877242866E-2</v>
      </c>
      <c r="K1190" s="40">
        <f>IF(H1190=0,0,_xlfn.NORM.INV(0.975,H1190,R1190))</f>
        <v>2.7943841085373955E-2</v>
      </c>
      <c r="L1190" s="40" t="s">
        <v>26</v>
      </c>
      <c r="M1190" s="50" t="s">
        <v>266</v>
      </c>
      <c r="N1190" s="190">
        <f t="shared" ca="1" si="197"/>
        <v>2.3146175722080612E-2</v>
      </c>
      <c r="O1190" s="40">
        <f ca="1">RAND()</f>
        <v>0.47562685916464142</v>
      </c>
      <c r="P1190" s="51">
        <f t="shared" si="195"/>
        <v>97.640186915887867</v>
      </c>
      <c r="Q1190" s="51">
        <f t="shared" si="196"/>
        <v>4081.3598130841133</v>
      </c>
      <c r="R1190" s="51">
        <f>assumedSE*H1190</f>
        <v>2.3364485981308409E-3</v>
      </c>
      <c r="S1190"/>
      <c r="T1190" s="83"/>
    </row>
    <row r="1191" spans="1:20" ht="16" x14ac:dyDescent="0.2">
      <c r="A1191"/>
      <c r="B1191" s="103"/>
      <c r="C1191" s="243"/>
      <c r="D1191" s="119">
        <v>1178</v>
      </c>
      <c r="E1191" s="25" t="str">
        <f>Tp_Non_CHG!D32</f>
        <v>Transition Probability from state 1 to state 1 on day 22 (Non-CHG)</v>
      </c>
      <c r="F1191" s="40">
        <f t="shared" si="194"/>
        <v>0.88082901554404147</v>
      </c>
      <c r="G1191" s="156">
        <v>1</v>
      </c>
      <c r="H1191" s="120">
        <f>Tp_Non_CHG!G32</f>
        <v>0.88082901554404147</v>
      </c>
      <c r="I1191" s="40" t="s">
        <v>58</v>
      </c>
      <c r="J1191" s="40">
        <f t="shared" si="181"/>
        <v>0.70818970084362221</v>
      </c>
      <c r="K1191" s="40">
        <f t="shared" si="182"/>
        <v>1.0534683302444607</v>
      </c>
      <c r="L1191" s="40" t="s">
        <v>26</v>
      </c>
      <c r="M1191" s="50" t="s">
        <v>266</v>
      </c>
      <c r="N1191" s="190">
        <f t="shared" ca="1" si="197"/>
        <v>0.82491706402379794</v>
      </c>
      <c r="O1191" s="40">
        <f t="shared" ca="1" si="193"/>
        <v>0.22527755019881346</v>
      </c>
      <c r="P1191" s="51">
        <f t="shared" si="195"/>
        <v>11.03626943005181</v>
      </c>
      <c r="Q1191" s="51">
        <f t="shared" si="196"/>
        <v>1.4931423346540682</v>
      </c>
      <c r="R1191" s="51">
        <f t="shared" si="183"/>
        <v>8.8082901554404153E-2</v>
      </c>
      <c r="S1191"/>
      <c r="T1191" s="83"/>
    </row>
    <row r="1192" spans="1:20" ht="16" x14ac:dyDescent="0.2">
      <c r="A1192"/>
      <c r="B1192" s="103"/>
      <c r="C1192" s="243"/>
      <c r="D1192" s="119">
        <v>1179</v>
      </c>
      <c r="E1192" s="25" t="str">
        <f>Tp_Non_CHG!D64</f>
        <v>Transition Probability from state 1 to state 2 on day 22 (Non-CHG)</v>
      </c>
      <c r="F1192" s="40">
        <f t="shared" si="194"/>
        <v>2.072538860103627E-2</v>
      </c>
      <c r="G1192" s="156">
        <v>1</v>
      </c>
      <c r="H1192" s="120">
        <f>Tp_Non_CHG!G64</f>
        <v>2.072538860103627E-2</v>
      </c>
      <c r="I1192" s="40" t="s">
        <v>58</v>
      </c>
      <c r="J1192" s="40">
        <f>IF(H1192=0,0,_xlfn.NORM.INV(0.025,H1192,R1192))</f>
        <v>1.6663287078673462E-2</v>
      </c>
      <c r="K1192" s="40">
        <f>IF(H1192=0,0,_xlfn.NORM.INV(0.975,H1192,R1192))</f>
        <v>2.4787490123399078E-2</v>
      </c>
      <c r="L1192" s="40" t="s">
        <v>26</v>
      </c>
      <c r="M1192" s="50" t="s">
        <v>266</v>
      </c>
      <c r="N1192" s="190">
        <f t="shared" ca="1" si="197"/>
        <v>2.2126147043793898E-2</v>
      </c>
      <c r="O1192" s="40">
        <f ca="1">RAND()</f>
        <v>0.75612294144935754</v>
      </c>
      <c r="P1192" s="51">
        <f t="shared" si="195"/>
        <v>97.906735751295315</v>
      </c>
      <c r="Q1192" s="51">
        <f t="shared" si="196"/>
        <v>4626.0932642487041</v>
      </c>
      <c r="R1192" s="51">
        <f>assumedSE*H1192</f>
        <v>2.0725388601036273E-3</v>
      </c>
      <c r="S1192"/>
      <c r="T1192" s="83"/>
    </row>
    <row r="1193" spans="1:20" ht="16" x14ac:dyDescent="0.2">
      <c r="A1193"/>
      <c r="B1193" s="103"/>
      <c r="C1193" s="243"/>
      <c r="D1193" s="119">
        <v>1180</v>
      </c>
      <c r="E1193" s="25" t="str">
        <f>Tp_Non_CHG!D96</f>
        <v>Transition Probability from state 1 to state 3 on day 22 (Non-CHG)</v>
      </c>
      <c r="F1193" s="40">
        <f t="shared" si="194"/>
        <v>5.1813471502590676E-3</v>
      </c>
      <c r="G1193" s="156">
        <v>1</v>
      </c>
      <c r="H1193" s="120">
        <f>Tp_Non_CHG!G96</f>
        <v>5.1813471502590676E-3</v>
      </c>
      <c r="I1193" s="40" t="s">
        <v>58</v>
      </c>
      <c r="J1193" s="40">
        <f>IF(H1193=0,0,_xlfn.NORM.INV(0.025,H1193,R1193))</f>
        <v>4.1658217696683656E-3</v>
      </c>
      <c r="K1193" s="40">
        <f>IF(H1193=0,0,_xlfn.NORM.INV(0.975,H1193,R1193))</f>
        <v>6.1968725308497695E-3</v>
      </c>
      <c r="L1193" s="40" t="s">
        <v>26</v>
      </c>
      <c r="M1193" s="50" t="s">
        <v>266</v>
      </c>
      <c r="N1193" s="190">
        <f t="shared" ca="1" si="197"/>
        <v>5.317807855985901E-3</v>
      </c>
      <c r="O1193" s="40">
        <f ca="1">RAND()</f>
        <v>0.61569387384575802</v>
      </c>
      <c r="P1193" s="51">
        <f t="shared" si="195"/>
        <v>99.476683937823793</v>
      </c>
      <c r="Q1193" s="51">
        <f t="shared" si="196"/>
        <v>19099.523316062168</v>
      </c>
      <c r="R1193" s="51">
        <f>assumedSE*H1193</f>
        <v>5.1813471502590682E-4</v>
      </c>
      <c r="S1193"/>
      <c r="T1193" s="83"/>
    </row>
    <row r="1194" spans="1:20" ht="16" x14ac:dyDescent="0.2">
      <c r="A1194"/>
      <c r="B1194" s="103"/>
      <c r="C1194" s="243"/>
      <c r="D1194" s="119">
        <v>1181</v>
      </c>
      <c r="E1194" s="25" t="str">
        <f>Tp_Non_CHG!D225</f>
        <v>Transition Probability from state 1 to state 7 on day 22 (Non-CHG)</v>
      </c>
      <c r="F1194" s="40">
        <f t="shared" si="194"/>
        <v>6.7357512953367879E-2</v>
      </c>
      <c r="G1194" s="156">
        <v>1</v>
      </c>
      <c r="H1194" s="120">
        <f>Tp_Non_CHG!G225</f>
        <v>6.7357512953367879E-2</v>
      </c>
      <c r="I1194" s="40" t="s">
        <v>58</v>
      </c>
      <c r="J1194" s="40">
        <f>IF(H1194=0,0,_xlfn.NORM.INV(0.025,H1194,R1194))</f>
        <v>5.4155683005688758E-2</v>
      </c>
      <c r="K1194" s="40">
        <f>IF(H1194=0,0,_xlfn.NORM.INV(0.975,H1194,R1194))</f>
        <v>8.0559342901046993E-2</v>
      </c>
      <c r="L1194" s="40" t="s">
        <v>26</v>
      </c>
      <c r="M1194" s="50" t="s">
        <v>266</v>
      </c>
      <c r="N1194" s="190">
        <f t="shared" ca="1" si="197"/>
        <v>7.2229842129718724E-2</v>
      </c>
      <c r="O1194" s="40">
        <f ca="1">RAND()</f>
        <v>0.76981374926278723</v>
      </c>
      <c r="P1194" s="51">
        <f t="shared" si="195"/>
        <v>93.196891191709838</v>
      </c>
      <c r="Q1194" s="51">
        <f t="shared" si="196"/>
        <v>1290.4184934236746</v>
      </c>
      <c r="R1194" s="51">
        <f>assumedSE*H1194</f>
        <v>6.7357512953367879E-3</v>
      </c>
      <c r="S1194"/>
      <c r="T1194" s="83"/>
    </row>
    <row r="1195" spans="1:20" ht="16" x14ac:dyDescent="0.2">
      <c r="A1195"/>
      <c r="B1195" s="103"/>
      <c r="C1195" s="243"/>
      <c r="D1195" s="119">
        <v>1182</v>
      </c>
      <c r="E1195" s="25" t="str">
        <f>Tp_Non_CHG!D257</f>
        <v>Transition Probability from state 1 to state 8 on day 22 (Non-CHG)</v>
      </c>
      <c r="F1195" s="40">
        <f t="shared" si="194"/>
        <v>2.5906735751295335E-2</v>
      </c>
      <c r="G1195" s="156">
        <v>1</v>
      </c>
      <c r="H1195" s="120">
        <f>Tp_Non_CHG!G257</f>
        <v>2.5906735751295335E-2</v>
      </c>
      <c r="I1195" s="40" t="s">
        <v>58</v>
      </c>
      <c r="J1195" s="40">
        <f>IF(H1195=0,0,_xlfn.NORM.INV(0.025,H1195,R1195))</f>
        <v>2.0829108848341826E-2</v>
      </c>
      <c r="K1195" s="40">
        <f>IF(H1195=0,0,_xlfn.NORM.INV(0.975,H1195,R1195))</f>
        <v>3.0984362654248844E-2</v>
      </c>
      <c r="L1195" s="40" t="s">
        <v>26</v>
      </c>
      <c r="M1195" s="50" t="s">
        <v>266</v>
      </c>
      <c r="N1195" s="190">
        <f t="shared" ca="1" si="197"/>
        <v>2.3822388134294881E-2</v>
      </c>
      <c r="O1195" s="40">
        <f ca="1">RAND()</f>
        <v>0.21366359641881449</v>
      </c>
      <c r="P1195" s="51">
        <f t="shared" si="195"/>
        <v>97.383419689119165</v>
      </c>
      <c r="Q1195" s="51">
        <f t="shared" si="196"/>
        <v>3661.6165803108811</v>
      </c>
      <c r="R1195" s="51">
        <f>assumedSE*H1195</f>
        <v>2.5906735751295338E-3</v>
      </c>
      <c r="S1195"/>
      <c r="T1195" s="83"/>
    </row>
    <row r="1196" spans="1:20" ht="16" x14ac:dyDescent="0.2">
      <c r="A1196"/>
      <c r="B1196" s="103"/>
      <c r="C1196" s="243"/>
      <c r="D1196" s="119">
        <v>1183</v>
      </c>
      <c r="E1196" s="25" t="str">
        <f>Tp_Non_CHG!D33</f>
        <v>Transition Probability from state 1 to state 1 on day 23 (Non-CHG)</v>
      </c>
      <c r="F1196" s="40">
        <f t="shared" si="194"/>
        <v>0.92613636363636365</v>
      </c>
      <c r="G1196" s="156">
        <v>1</v>
      </c>
      <c r="H1196" s="120">
        <f>Tp_Non_CHG!G33</f>
        <v>0.92613636363636365</v>
      </c>
      <c r="I1196" s="40" t="s">
        <v>58</v>
      </c>
      <c r="J1196" s="40">
        <f t="shared" si="181"/>
        <v>0.74461697188634735</v>
      </c>
      <c r="K1196" s="40">
        <f t="shared" si="182"/>
        <v>1.1076557553863799</v>
      </c>
      <c r="L1196" s="40" t="s">
        <v>26</v>
      </c>
      <c r="M1196" s="50" t="s">
        <v>266</v>
      </c>
      <c r="N1196" s="190">
        <f t="shared" ca="1" si="197"/>
        <v>0.9923030173852625</v>
      </c>
      <c r="O1196" s="40">
        <f t="shared" ca="1" si="193"/>
        <v>0.76771085896455837</v>
      </c>
      <c r="P1196" s="51">
        <f t="shared" si="195"/>
        <v>6.4602272727272716</v>
      </c>
      <c r="Q1196" s="51">
        <f t="shared" si="196"/>
        <v>0.5152328499721136</v>
      </c>
      <c r="R1196" s="51">
        <f t="shared" si="183"/>
        <v>9.261363636363637E-2</v>
      </c>
      <c r="S1196"/>
      <c r="T1196" s="83"/>
    </row>
    <row r="1197" spans="1:20" ht="16" x14ac:dyDescent="0.2">
      <c r="A1197"/>
      <c r="B1197" s="103"/>
      <c r="C1197" s="243"/>
      <c r="D1197" s="119">
        <v>1184</v>
      </c>
      <c r="E1197" s="25" t="str">
        <f>Tp_Non_CHG!D65</f>
        <v>Transition Probability from state 1 to state 2 on day 23 (Non-CHG)</v>
      </c>
      <c r="F1197" s="40">
        <f t="shared" si="194"/>
        <v>1.7045454545454544E-2</v>
      </c>
      <c r="G1197" s="156">
        <v>1</v>
      </c>
      <c r="H1197" s="120">
        <f>Tp_Non_CHG!G65</f>
        <v>1.7045454545454544E-2</v>
      </c>
      <c r="I1197" s="40" t="s">
        <v>58</v>
      </c>
      <c r="J1197" s="40">
        <f>IF(H1197=0,0,_xlfn.NORM.INV(0.025,H1197,R1197))</f>
        <v>1.3704606844533998E-2</v>
      </c>
      <c r="K1197" s="40">
        <f>IF(H1197=0,0,_xlfn.NORM.INV(0.975,H1197,R1197))</f>
        <v>2.0386302246375089E-2</v>
      </c>
      <c r="L1197" s="40" t="s">
        <v>26</v>
      </c>
      <c r="M1197" s="50" t="s">
        <v>266</v>
      </c>
      <c r="N1197" s="190">
        <f t="shared" ca="1" si="197"/>
        <v>2.0104082368583742E-2</v>
      </c>
      <c r="O1197" s="40">
        <f ca="1">RAND()</f>
        <v>0.95826469100213951</v>
      </c>
      <c r="P1197" s="51">
        <f t="shared" si="195"/>
        <v>98.278409090909079</v>
      </c>
      <c r="Q1197" s="51">
        <f t="shared" si="196"/>
        <v>5667.3882575757571</v>
      </c>
      <c r="R1197" s="51">
        <f>assumedSE*H1197</f>
        <v>1.7045454545454545E-3</v>
      </c>
      <c r="S1197"/>
      <c r="T1197" s="83"/>
    </row>
    <row r="1198" spans="1:20" ht="16" x14ac:dyDescent="0.2">
      <c r="A1198"/>
      <c r="B1198" s="103"/>
      <c r="C1198" s="243"/>
      <c r="D1198" s="119">
        <v>1185</v>
      </c>
      <c r="E1198" s="25" t="str">
        <f>Tp_Non_CHG!D161</f>
        <v>Transition Probability from state 1 to state 5 on day 23 (Non-CHG)</v>
      </c>
      <c r="F1198" s="40">
        <f t="shared" si="194"/>
        <v>5.681818181818182E-3</v>
      </c>
      <c r="G1198" s="156">
        <v>1</v>
      </c>
      <c r="H1198" s="120">
        <f>Tp_Non_CHG!G161</f>
        <v>5.681818181818182E-3</v>
      </c>
      <c r="I1198" s="40" t="s">
        <v>58</v>
      </c>
      <c r="J1198" s="40">
        <f>IF(H1198=0,0,_xlfn.NORM.INV(0.025,H1198,R1198))</f>
        <v>4.5682022815113328E-3</v>
      </c>
      <c r="K1198" s="40">
        <f>IF(H1198=0,0,_xlfn.NORM.INV(0.975,H1198,R1198))</f>
        <v>6.7954340821250302E-3</v>
      </c>
      <c r="L1198" s="40" t="s">
        <v>26</v>
      </c>
      <c r="M1198" s="50" t="s">
        <v>266</v>
      </c>
      <c r="N1198" s="190">
        <f t="shared" ca="1" si="197"/>
        <v>4.6923738338494657E-3</v>
      </c>
      <c r="O1198" s="40">
        <f ca="1">RAND()</f>
        <v>3.4391002992599784E-2</v>
      </c>
      <c r="P1198" s="51">
        <f t="shared" si="195"/>
        <v>99.426136363636346</v>
      </c>
      <c r="Q1198" s="51">
        <f t="shared" si="196"/>
        <v>17399.57386363636</v>
      </c>
      <c r="R1198" s="51">
        <f>assumedSE*H1198</f>
        <v>5.6818181818181826E-4</v>
      </c>
      <c r="S1198"/>
      <c r="T1198" s="83"/>
    </row>
    <row r="1199" spans="1:20" ht="16" x14ac:dyDescent="0.2">
      <c r="A1199"/>
      <c r="B1199" s="103"/>
      <c r="C1199" s="243"/>
      <c r="D1199" s="119">
        <v>1186</v>
      </c>
      <c r="E1199" s="25" t="str">
        <f>Tp_Non_CHG!D226</f>
        <v>Transition Probability from state 1 to state 7 on day 23 (Non-CHG)</v>
      </c>
      <c r="F1199" s="40">
        <f t="shared" si="194"/>
        <v>2.8409090909090908E-2</v>
      </c>
      <c r="G1199" s="156">
        <v>1</v>
      </c>
      <c r="H1199" s="120">
        <f>Tp_Non_CHG!G226</f>
        <v>2.8409090909090908E-2</v>
      </c>
      <c r="I1199" s="40" t="s">
        <v>58</v>
      </c>
      <c r="J1199" s="40">
        <f>IF(H1199=0,0,_xlfn.NORM.INV(0.025,H1199,R1199))</f>
        <v>2.2841011407556663E-2</v>
      </c>
      <c r="K1199" s="40">
        <f>IF(H1199=0,0,_xlfn.NORM.INV(0.975,H1199,R1199))</f>
        <v>3.3977170410625153E-2</v>
      </c>
      <c r="L1199" s="40" t="s">
        <v>26</v>
      </c>
      <c r="M1199" s="50" t="s">
        <v>266</v>
      </c>
      <c r="N1199" s="190">
        <f t="shared" ca="1" si="197"/>
        <v>3.1535808461081616E-2</v>
      </c>
      <c r="O1199" s="40">
        <f ca="1">RAND()</f>
        <v>0.86337917184301294</v>
      </c>
      <c r="P1199" s="51">
        <f t="shared" si="195"/>
        <v>97.130681818181813</v>
      </c>
      <c r="Q1199" s="51">
        <f t="shared" si="196"/>
        <v>3321.869318181818</v>
      </c>
      <c r="R1199" s="51">
        <f>assumedSE*H1199</f>
        <v>2.840909090909091E-3</v>
      </c>
      <c r="S1199"/>
      <c r="T1199" s="83"/>
    </row>
    <row r="1200" spans="1:20" ht="16" x14ac:dyDescent="0.2">
      <c r="A1200"/>
      <c r="B1200" s="103"/>
      <c r="C1200" s="243"/>
      <c r="D1200" s="119">
        <v>1187</v>
      </c>
      <c r="E1200" s="25" t="str">
        <f>Tp_Non_CHG!D258</f>
        <v>Transition Probability from state 1 to state 8 on day 23 (Non-CHG)</v>
      </c>
      <c r="F1200" s="40">
        <f t="shared" si="194"/>
        <v>2.2727272727272728E-2</v>
      </c>
      <c r="G1200" s="156">
        <v>1</v>
      </c>
      <c r="H1200" s="120">
        <f>Tp_Non_CHG!G258</f>
        <v>2.2727272727272728E-2</v>
      </c>
      <c r="I1200" s="40" t="s">
        <v>58</v>
      </c>
      <c r="J1200" s="40">
        <f>IF(H1200=0,0,_xlfn.NORM.INV(0.025,H1200,R1200))</f>
        <v>1.8272809126045331E-2</v>
      </c>
      <c r="K1200" s="40">
        <f>IF(H1200=0,0,_xlfn.NORM.INV(0.975,H1200,R1200))</f>
        <v>2.7181736328500121E-2</v>
      </c>
      <c r="L1200" s="40" t="s">
        <v>26</v>
      </c>
      <c r="M1200" s="50" t="s">
        <v>266</v>
      </c>
      <c r="N1200" s="190">
        <f t="shared" ca="1" si="197"/>
        <v>2.5059177944194322E-2</v>
      </c>
      <c r="O1200" s="40">
        <f ca="1">RAND()</f>
        <v>0.84751307293543399</v>
      </c>
      <c r="P1200" s="51">
        <f t="shared" si="195"/>
        <v>97.704545454545439</v>
      </c>
      <c r="Q1200" s="51">
        <f t="shared" si="196"/>
        <v>4201.295454545454</v>
      </c>
      <c r="R1200" s="51">
        <f>assumedSE*H1200</f>
        <v>2.2727272727272731E-3</v>
      </c>
      <c r="S1200"/>
      <c r="T1200" s="83"/>
    </row>
    <row r="1201" spans="1:20" ht="16" x14ac:dyDescent="0.2">
      <c r="A1201"/>
      <c r="B1201" s="103"/>
      <c r="C1201" s="243"/>
      <c r="D1201" s="119">
        <v>1188</v>
      </c>
      <c r="E1201" s="25" t="str">
        <f>Tp_Non_CHG!D34</f>
        <v>Transition Probability from state 1 to state 1 on day 24 (Non-CHG)</v>
      </c>
      <c r="F1201" s="40">
        <f t="shared" si="194"/>
        <v>0.92261904761904767</v>
      </c>
      <c r="G1201" s="156">
        <v>1</v>
      </c>
      <c r="H1201" s="120">
        <f>Tp_Non_CHG!G34</f>
        <v>0.92261904761904767</v>
      </c>
      <c r="I1201" s="40" t="s">
        <v>58</v>
      </c>
      <c r="J1201" s="40">
        <f t="shared" si="181"/>
        <v>0.74178903714064981</v>
      </c>
      <c r="K1201" s="40">
        <f t="shared" si="182"/>
        <v>1.1034490580974454</v>
      </c>
      <c r="L1201" s="40" t="s">
        <v>26</v>
      </c>
      <c r="M1201" s="50" t="s">
        <v>266</v>
      </c>
      <c r="N1201" s="190">
        <f t="shared" ca="1" si="197"/>
        <v>0.97001521368174026</v>
      </c>
      <c r="O1201" s="40">
        <f t="shared" ca="1" si="193"/>
        <v>0.58202961733542902</v>
      </c>
      <c r="P1201" s="51">
        <f t="shared" si="195"/>
        <v>6.8154761904761854</v>
      </c>
      <c r="Q1201" s="51">
        <f t="shared" si="196"/>
        <v>0.57162058371735713</v>
      </c>
      <c r="R1201" s="51">
        <f t="shared" si="183"/>
        <v>9.2261904761904767E-2</v>
      </c>
      <c r="S1201"/>
      <c r="T1201" s="83"/>
    </row>
    <row r="1202" spans="1:20" ht="16" x14ac:dyDescent="0.2">
      <c r="A1202"/>
      <c r="B1202" s="103"/>
      <c r="C1202" s="243"/>
      <c r="D1202" s="119">
        <v>1189</v>
      </c>
      <c r="E1202" s="25" t="str">
        <f>Tp_Non_CHG!D66</f>
        <v>Transition Probability from state 1 to state 2 on day 24 (Non-CHG)</v>
      </c>
      <c r="F1202" s="40">
        <f t="shared" si="194"/>
        <v>1.7857142857142856E-2</v>
      </c>
      <c r="G1202" s="156">
        <v>1</v>
      </c>
      <c r="H1202" s="120">
        <f>Tp_Non_CHG!G66</f>
        <v>1.7857142857142856E-2</v>
      </c>
      <c r="I1202" s="40" t="s">
        <v>58</v>
      </c>
      <c r="J1202" s="40">
        <f>IF(H1202=0,0,_xlfn.NORM.INV(0.025,H1202,R1202))</f>
        <v>1.4357207170464188E-2</v>
      </c>
      <c r="K1202" s="40">
        <f>IF(H1202=0,0,_xlfn.NORM.INV(0.975,H1202,R1202))</f>
        <v>2.1357078543821524E-2</v>
      </c>
      <c r="L1202" s="40" t="s">
        <v>26</v>
      </c>
      <c r="M1202" s="50" t="s">
        <v>266</v>
      </c>
      <c r="N1202" s="190">
        <f t="shared" ca="1" si="197"/>
        <v>1.7126229931569512E-2</v>
      </c>
      <c r="O1202" s="40">
        <f ca="1">RAND()</f>
        <v>0.35122191224916088</v>
      </c>
      <c r="P1202" s="51">
        <f t="shared" si="195"/>
        <v>98.196428571428569</v>
      </c>
      <c r="Q1202" s="51">
        <f t="shared" si="196"/>
        <v>5400.8035714285716</v>
      </c>
      <c r="R1202" s="51">
        <f>assumedSE*H1202</f>
        <v>1.7857142857142857E-3</v>
      </c>
      <c r="S1202"/>
      <c r="T1202" s="83"/>
    </row>
    <row r="1203" spans="1:20" ht="16" x14ac:dyDescent="0.2">
      <c r="A1203"/>
      <c r="B1203" s="103"/>
      <c r="C1203" s="243"/>
      <c r="D1203" s="119">
        <v>1190</v>
      </c>
      <c r="E1203" s="25" t="str">
        <f>Tp_Non_CHG!D227</f>
        <v>Transition Probability from state 1 to state 7 on day 24 (Non-CHG)</v>
      </c>
      <c r="F1203" s="40">
        <f t="shared" si="194"/>
        <v>3.5714285714285712E-2</v>
      </c>
      <c r="G1203" s="156">
        <v>1</v>
      </c>
      <c r="H1203" s="120">
        <f>Tp_Non_CHG!G227</f>
        <v>3.5714285714285712E-2</v>
      </c>
      <c r="I1203" s="40" t="s">
        <v>58</v>
      </c>
      <c r="J1203" s="40">
        <f>IF(H1203=0,0,_xlfn.NORM.INV(0.025,H1203,R1203))</f>
        <v>2.8714414340928376E-2</v>
      </c>
      <c r="K1203" s="40">
        <f>IF(H1203=0,0,_xlfn.NORM.INV(0.975,H1203,R1203))</f>
        <v>4.2714157087643048E-2</v>
      </c>
      <c r="L1203" s="40" t="s">
        <v>26</v>
      </c>
      <c r="M1203" s="50" t="s">
        <v>266</v>
      </c>
      <c r="N1203" s="190">
        <f t="shared" ca="1" si="197"/>
        <v>4.1089857683243025E-2</v>
      </c>
      <c r="O1203" s="40">
        <f ca="1">RAND()</f>
        <v>0.92917008275848689</v>
      </c>
      <c r="P1203" s="51">
        <f t="shared" si="195"/>
        <v>96.392857142857139</v>
      </c>
      <c r="Q1203" s="51">
        <f t="shared" si="196"/>
        <v>2602.6071428571431</v>
      </c>
      <c r="R1203" s="51">
        <f>assumedSE*H1203</f>
        <v>3.5714285714285713E-3</v>
      </c>
      <c r="S1203"/>
      <c r="T1203" s="83"/>
    </row>
    <row r="1204" spans="1:20" ht="16" x14ac:dyDescent="0.2">
      <c r="A1204"/>
      <c r="B1204" s="103"/>
      <c r="C1204" s="243"/>
      <c r="D1204" s="119">
        <v>1191</v>
      </c>
      <c r="E1204" s="25" t="str">
        <f>Tp_Non_CHG!D259</f>
        <v>Transition Probability from state 1 to state 8 on day 24 (Non-CHG)</v>
      </c>
      <c r="F1204" s="40">
        <f t="shared" si="194"/>
        <v>2.3809523809523808E-2</v>
      </c>
      <c r="G1204" s="156">
        <v>1</v>
      </c>
      <c r="H1204" s="120">
        <f>Tp_Non_CHG!G259</f>
        <v>2.3809523809523808E-2</v>
      </c>
      <c r="I1204" s="40" t="s">
        <v>58</v>
      </c>
      <c r="J1204" s="40">
        <f>IF(H1204=0,0,_xlfn.NORM.INV(0.025,H1204,R1204))</f>
        <v>1.9142942893952252E-2</v>
      </c>
      <c r="K1204" s="40">
        <f>IF(H1204=0,0,_xlfn.NORM.INV(0.975,H1204,R1204))</f>
        <v>2.8476104725095364E-2</v>
      </c>
      <c r="L1204" s="40" t="s">
        <v>26</v>
      </c>
      <c r="M1204" s="50" t="s">
        <v>266</v>
      </c>
      <c r="N1204" s="190">
        <f t="shared" ca="1" si="197"/>
        <v>2.1161837868422718E-2</v>
      </c>
      <c r="O1204" s="40">
        <f ca="1">RAND()</f>
        <v>0.13092134387074161</v>
      </c>
      <c r="P1204" s="51">
        <f t="shared" si="195"/>
        <v>97.595238095238074</v>
      </c>
      <c r="Q1204" s="51">
        <f t="shared" si="196"/>
        <v>4001.404761904761</v>
      </c>
      <c r="R1204" s="51">
        <f>assumedSE*H1204</f>
        <v>2.3809523809523812E-3</v>
      </c>
      <c r="S1204"/>
      <c r="T1204" s="83"/>
    </row>
    <row r="1205" spans="1:20" ht="16" x14ac:dyDescent="0.2">
      <c r="A1205"/>
      <c r="B1205" s="103"/>
      <c r="C1205" s="243"/>
      <c r="D1205" s="119">
        <v>1192</v>
      </c>
      <c r="E1205" s="25" t="str">
        <f>Tp_Non_CHG!D35</f>
        <v>Transition Probability from state 1 to state 1 on day 25 (Non-CHG)</v>
      </c>
      <c r="F1205" s="40">
        <f t="shared" si="194"/>
        <v>0.90506329113924056</v>
      </c>
      <c r="G1205" s="156">
        <v>1</v>
      </c>
      <c r="H1205" s="120">
        <f>Tp_Non_CHG!G35</f>
        <v>0.90506329113924056</v>
      </c>
      <c r="I1205" s="40" t="s">
        <v>58</v>
      </c>
      <c r="J1205" s="40">
        <f t="shared" si="181"/>
        <v>0.72767414570302047</v>
      </c>
      <c r="K1205" s="40">
        <f t="shared" si="182"/>
        <v>1.0824524365754606</v>
      </c>
      <c r="L1205" s="40" t="s">
        <v>26</v>
      </c>
      <c r="M1205" s="50" t="s">
        <v>266</v>
      </c>
      <c r="N1205" s="190">
        <f t="shared" ca="1" si="197"/>
        <v>0.97784210897199453</v>
      </c>
      <c r="O1205" s="40">
        <f t="shared" ca="1" si="193"/>
        <v>0.78566180631921623</v>
      </c>
      <c r="P1205" s="51">
        <f t="shared" si="195"/>
        <v>8.5886075949367022</v>
      </c>
      <c r="Q1205" s="51">
        <f t="shared" si="196"/>
        <v>0.90090289457377937</v>
      </c>
      <c r="R1205" s="51">
        <f t="shared" si="183"/>
        <v>9.0506329113924061E-2</v>
      </c>
      <c r="S1205"/>
      <c r="T1205" s="83"/>
    </row>
    <row r="1206" spans="1:20" ht="16" x14ac:dyDescent="0.2">
      <c r="A1206"/>
      <c r="B1206" s="103"/>
      <c r="C1206" s="243"/>
      <c r="D1206" s="119">
        <v>1193</v>
      </c>
      <c r="E1206" s="25" t="str">
        <f>Tp_Non_CHG!D67</f>
        <v>Transition Probability from state 1 to state 2 on day 25 (Non-CHG)</v>
      </c>
      <c r="F1206" s="40">
        <f t="shared" si="194"/>
        <v>1.8987341772151899E-2</v>
      </c>
      <c r="G1206" s="156">
        <v>1</v>
      </c>
      <c r="H1206" s="120">
        <f>Tp_Non_CHG!G67</f>
        <v>1.8987341772151899E-2</v>
      </c>
      <c r="I1206" s="40" t="s">
        <v>58</v>
      </c>
      <c r="J1206" s="40">
        <f>IF(H1206=0,0,_xlfn.NORM.INV(0.025,H1206,R1206))</f>
        <v>1.5265891168594834E-2</v>
      </c>
      <c r="K1206" s="40">
        <f>IF(H1206=0,0,_xlfn.NORM.INV(0.975,H1206,R1206))</f>
        <v>2.2708792375708962E-2</v>
      </c>
      <c r="L1206" s="40" t="s">
        <v>26</v>
      </c>
      <c r="M1206" s="50" t="s">
        <v>266</v>
      </c>
      <c r="N1206" s="190">
        <f t="shared" ca="1" si="197"/>
        <v>2.1195965920375315E-2</v>
      </c>
      <c r="O1206" s="40">
        <f ca="1">RAND()</f>
        <v>0.8757521775557483</v>
      </c>
      <c r="P1206" s="51">
        <f t="shared" si="195"/>
        <v>98.082278481012665</v>
      </c>
      <c r="Q1206" s="51">
        <f t="shared" si="196"/>
        <v>5067.5843881856545</v>
      </c>
      <c r="R1206" s="51">
        <f>assumedSE*H1206</f>
        <v>1.89873417721519E-3</v>
      </c>
      <c r="S1206"/>
      <c r="T1206" s="83"/>
    </row>
    <row r="1207" spans="1:20" ht="16" x14ac:dyDescent="0.2">
      <c r="A1207"/>
      <c r="B1207" s="103"/>
      <c r="C1207" s="243"/>
      <c r="D1207" s="119">
        <v>1194</v>
      </c>
      <c r="E1207" s="25" t="str">
        <f>Tp_Non_CHG!D163</f>
        <v>Transition Probability from state 1 to state 5 on day 25 (Non-CHG)</v>
      </c>
      <c r="F1207" s="40">
        <f t="shared" si="194"/>
        <v>6.3291139240506328E-3</v>
      </c>
      <c r="G1207" s="156">
        <v>1</v>
      </c>
      <c r="H1207" s="120">
        <f>Tp_Non_CHG!G163</f>
        <v>6.3291139240506328E-3</v>
      </c>
      <c r="I1207" s="40" t="s">
        <v>58</v>
      </c>
      <c r="J1207" s="40">
        <f>IF(H1207=0,0,_xlfn.NORM.INV(0.025,H1207,R1207))</f>
        <v>5.0886303895316112E-3</v>
      </c>
      <c r="K1207" s="40">
        <f>IF(H1207=0,0,_xlfn.NORM.INV(0.975,H1207,R1207))</f>
        <v>7.5695974585696544E-3</v>
      </c>
      <c r="L1207" s="40" t="s">
        <v>26</v>
      </c>
      <c r="M1207" s="50" t="s">
        <v>266</v>
      </c>
      <c r="N1207" s="190">
        <f t="shared" ca="1" si="197"/>
        <v>6.5423988581845283E-3</v>
      </c>
      <c r="O1207" s="40">
        <f ca="1">RAND()</f>
        <v>0.64293841236120297</v>
      </c>
      <c r="P1207" s="51">
        <f t="shared" si="195"/>
        <v>99.360759493670869</v>
      </c>
      <c r="Q1207" s="51">
        <f t="shared" si="196"/>
        <v>15599.639240506327</v>
      </c>
      <c r="R1207" s="51">
        <f>assumedSE*H1207</f>
        <v>6.329113924050633E-4</v>
      </c>
      <c r="S1207"/>
      <c r="T1207" s="83"/>
    </row>
    <row r="1208" spans="1:20" ht="16" x14ac:dyDescent="0.2">
      <c r="A1208"/>
      <c r="B1208" s="103"/>
      <c r="C1208" s="243"/>
      <c r="D1208" s="119">
        <v>1195</v>
      </c>
      <c r="E1208" s="25" t="str">
        <f>Tp_Non_CHG!D228</f>
        <v>Transition Probability from state 1 to state 7 on day 25 (Non-CHG)</v>
      </c>
      <c r="F1208" s="40">
        <f t="shared" si="194"/>
        <v>5.0632911392405063E-2</v>
      </c>
      <c r="G1208" s="156">
        <v>1</v>
      </c>
      <c r="H1208" s="120">
        <f>Tp_Non_CHG!G228</f>
        <v>5.0632911392405063E-2</v>
      </c>
      <c r="I1208" s="40" t="s">
        <v>58</v>
      </c>
      <c r="J1208" s="40">
        <f>IF(H1208=0,0,_xlfn.NORM.INV(0.025,H1208,R1208))</f>
        <v>4.070904311625289E-2</v>
      </c>
      <c r="K1208" s="40">
        <f>IF(H1208=0,0,_xlfn.NORM.INV(0.975,H1208,R1208))</f>
        <v>6.0556779668557235E-2</v>
      </c>
      <c r="L1208" s="40" t="s">
        <v>26</v>
      </c>
      <c r="M1208" s="50" t="s">
        <v>266</v>
      </c>
      <c r="N1208" s="190">
        <f t="shared" ca="1" si="197"/>
        <v>5.7325780148712924E-2</v>
      </c>
      <c r="O1208" s="40">
        <f ca="1">RAND()</f>
        <v>0.9034430770471612</v>
      </c>
      <c r="P1208" s="51">
        <f t="shared" si="195"/>
        <v>94.886075949367083</v>
      </c>
      <c r="Q1208" s="51">
        <f t="shared" si="196"/>
        <v>1779.1139240506327</v>
      </c>
      <c r="R1208" s="51">
        <f>assumedSE*H1208</f>
        <v>5.0632911392405064E-3</v>
      </c>
      <c r="S1208"/>
      <c r="T1208" s="83"/>
    </row>
    <row r="1209" spans="1:20" ht="16" x14ac:dyDescent="0.2">
      <c r="A1209"/>
      <c r="B1209" s="103"/>
      <c r="C1209" s="243"/>
      <c r="D1209" s="119">
        <v>1196</v>
      </c>
      <c r="E1209" s="25" t="str">
        <f>Tp_Non_CHG!D260</f>
        <v>Transition Probability from state 1 to state 8 on day 25 (Non-CHG)</v>
      </c>
      <c r="F1209" s="40">
        <f t="shared" si="194"/>
        <v>1.8987341772151899E-2</v>
      </c>
      <c r="G1209" s="156">
        <v>1</v>
      </c>
      <c r="H1209" s="120">
        <f>Tp_Non_CHG!G260</f>
        <v>1.8987341772151899E-2</v>
      </c>
      <c r="I1209" s="40" t="s">
        <v>58</v>
      </c>
      <c r="J1209" s="40">
        <f>IF(H1209=0,0,_xlfn.NORM.INV(0.025,H1209,R1209))</f>
        <v>1.5265891168594834E-2</v>
      </c>
      <c r="K1209" s="40">
        <f>IF(H1209=0,0,_xlfn.NORM.INV(0.975,H1209,R1209))</f>
        <v>2.2708792375708962E-2</v>
      </c>
      <c r="L1209" s="40" t="s">
        <v>26</v>
      </c>
      <c r="M1209" s="50" t="s">
        <v>266</v>
      </c>
      <c r="N1209" s="190">
        <f t="shared" ca="1" si="197"/>
        <v>2.2073315193520737E-2</v>
      </c>
      <c r="O1209" s="40">
        <f ca="1">RAND()</f>
        <v>0.94276306113772912</v>
      </c>
      <c r="P1209" s="51">
        <f t="shared" si="195"/>
        <v>98.082278481012665</v>
      </c>
      <c r="Q1209" s="51">
        <f t="shared" si="196"/>
        <v>5067.5843881856545</v>
      </c>
      <c r="R1209" s="51">
        <f>assumedSE*H1209</f>
        <v>1.89873417721519E-3</v>
      </c>
      <c r="S1209"/>
      <c r="T1209" s="83"/>
    </row>
    <row r="1210" spans="1:20" ht="16" x14ac:dyDescent="0.2">
      <c r="A1210"/>
      <c r="B1210" s="103"/>
      <c r="C1210" s="243"/>
      <c r="D1210" s="119">
        <v>1197</v>
      </c>
      <c r="E1210" s="25" t="str">
        <f>Tp_Non_CHG!D36</f>
        <v>Transition Probability from state 1 to state 1 on day 26 (Non-CHG)</v>
      </c>
      <c r="F1210" s="40">
        <f t="shared" si="194"/>
        <v>0.8904109589041096</v>
      </c>
      <c r="G1210" s="156">
        <v>1</v>
      </c>
      <c r="H1210" s="120">
        <f>Tp_Non_CHG!G36</f>
        <v>0.8904109589041096</v>
      </c>
      <c r="I1210" s="40" t="s">
        <v>58</v>
      </c>
      <c r="J1210" s="40">
        <f t="shared" si="181"/>
        <v>0.71589361781492666</v>
      </c>
      <c r="K1210" s="40">
        <f t="shared" si="182"/>
        <v>1.0649282999932925</v>
      </c>
      <c r="L1210" s="40" t="s">
        <v>26</v>
      </c>
      <c r="M1210" s="50" t="s">
        <v>266</v>
      </c>
      <c r="N1210" s="190">
        <f t="shared" ca="1" si="197"/>
        <v>0.90567528608927328</v>
      </c>
      <c r="O1210" s="40">
        <f t="shared" ca="1" si="193"/>
        <v>0.46567493015502404</v>
      </c>
      <c r="P1210" s="51">
        <f t="shared" si="195"/>
        <v>10.06849315068493</v>
      </c>
      <c r="Q1210" s="51">
        <f t="shared" si="196"/>
        <v>1.2391991570073757</v>
      </c>
      <c r="R1210" s="51">
        <f t="shared" si="183"/>
        <v>8.9041095890410968E-2</v>
      </c>
      <c r="S1210"/>
      <c r="T1210" s="83"/>
    </row>
    <row r="1211" spans="1:20" ht="16" x14ac:dyDescent="0.2">
      <c r="A1211"/>
      <c r="B1211" s="103"/>
      <c r="C1211" s="243"/>
      <c r="D1211" s="119">
        <v>1198</v>
      </c>
      <c r="E1211" s="25" t="str">
        <f>Tp_Non_CHG!D68</f>
        <v>Transition Probability from state 1 to state 2 on day 26 (Non-CHG)</v>
      </c>
      <c r="F1211" s="40">
        <f t="shared" si="194"/>
        <v>6.8493150684931503E-3</v>
      </c>
      <c r="G1211" s="156">
        <v>1</v>
      </c>
      <c r="H1211" s="120">
        <f>Tp_Non_CHG!G68</f>
        <v>6.8493150684931503E-3</v>
      </c>
      <c r="I1211" s="40" t="s">
        <v>58</v>
      </c>
      <c r="J1211" s="40">
        <f>IF(H1211=0,0,_xlfn.NORM.INV(0.025,H1211,R1211))</f>
        <v>5.506873983191744E-3</v>
      </c>
      <c r="K1211" s="40">
        <f>IF(H1211=0,0,_xlfn.NORM.INV(0.975,H1211,R1211))</f>
        <v>8.1917561537945566E-3</v>
      </c>
      <c r="L1211" s="40" t="s">
        <v>26</v>
      </c>
      <c r="M1211" s="50" t="s">
        <v>266</v>
      </c>
      <c r="N1211" s="190">
        <f t="shared" ca="1" si="197"/>
        <v>7.7719090236431088E-3</v>
      </c>
      <c r="O1211" s="40">
        <f ca="1">RAND()</f>
        <v>0.90723910807584252</v>
      </c>
      <c r="P1211" s="51">
        <f t="shared" si="195"/>
        <v>99.308219178082183</v>
      </c>
      <c r="Q1211" s="51">
        <f t="shared" si="196"/>
        <v>14399.691780821917</v>
      </c>
      <c r="R1211" s="51">
        <f>assumedSE*H1211</f>
        <v>6.8493150684931507E-4</v>
      </c>
      <c r="S1211"/>
      <c r="T1211" s="83"/>
    </row>
    <row r="1212" spans="1:20" ht="16" x14ac:dyDescent="0.2">
      <c r="A1212"/>
      <c r="B1212" s="103"/>
      <c r="C1212" s="243"/>
      <c r="D1212" s="119">
        <v>1199</v>
      </c>
      <c r="E1212" s="25" t="str">
        <f>Tp_Non_CHG!D229</f>
        <v>Transition Probability from state 1 to state 7 on day 26 (Non-CHG)</v>
      </c>
      <c r="F1212" s="40">
        <f t="shared" si="194"/>
        <v>6.1643835616438353E-2</v>
      </c>
      <c r="G1212" s="156">
        <v>1</v>
      </c>
      <c r="H1212" s="120">
        <f>Tp_Non_CHG!G229</f>
        <v>6.1643835616438353E-2</v>
      </c>
      <c r="I1212" s="40" t="s">
        <v>58</v>
      </c>
      <c r="J1212" s="40">
        <f>IF(H1212=0,0,_xlfn.NORM.INV(0.025,H1212,R1212))</f>
        <v>4.9561865848725691E-2</v>
      </c>
      <c r="K1212" s="40">
        <f>IF(H1212=0,0,_xlfn.NORM.INV(0.975,H1212,R1212))</f>
        <v>7.3725805384151008E-2</v>
      </c>
      <c r="L1212" s="40" t="s">
        <v>26</v>
      </c>
      <c r="M1212" s="50" t="s">
        <v>266</v>
      </c>
      <c r="N1212" s="190">
        <f t="shared" ca="1" si="197"/>
        <v>6.0193084128671914E-2</v>
      </c>
      <c r="O1212" s="40">
        <f ca="1">RAND()</f>
        <v>0.41849067474964596</v>
      </c>
      <c r="P1212" s="51">
        <f t="shared" si="195"/>
        <v>93.773972602739718</v>
      </c>
      <c r="Q1212" s="51">
        <f t="shared" si="196"/>
        <v>1427.4482496194823</v>
      </c>
      <c r="R1212" s="51">
        <f>assumedSE*H1212</f>
        <v>6.1643835616438354E-3</v>
      </c>
      <c r="S1212"/>
      <c r="T1212" s="83"/>
    </row>
    <row r="1213" spans="1:20" ht="16" x14ac:dyDescent="0.2">
      <c r="A1213"/>
      <c r="B1213" s="103"/>
      <c r="C1213" s="243"/>
      <c r="D1213" s="119">
        <v>1200</v>
      </c>
      <c r="E1213" s="25" t="str">
        <f>Tp_Non_CHG!D261</f>
        <v>Transition Probability from state 1 to state 8 on day 26 (Non-CHG)</v>
      </c>
      <c r="F1213" s="40">
        <f t="shared" si="194"/>
        <v>4.1095890410958902E-2</v>
      </c>
      <c r="G1213" s="156">
        <v>1</v>
      </c>
      <c r="H1213" s="120">
        <f>Tp_Non_CHG!G261</f>
        <v>4.1095890410958902E-2</v>
      </c>
      <c r="I1213" s="40" t="s">
        <v>58</v>
      </c>
      <c r="J1213" s="40">
        <f>IF(H1213=0,0,_xlfn.NORM.INV(0.025,H1213,R1213))</f>
        <v>3.304124389915046E-2</v>
      </c>
      <c r="K1213" s="40">
        <f>IF(H1213=0,0,_xlfn.NORM.INV(0.975,H1213,R1213))</f>
        <v>4.9150536922767343E-2</v>
      </c>
      <c r="L1213" s="40" t="s">
        <v>26</v>
      </c>
      <c r="M1213" s="50" t="s">
        <v>266</v>
      </c>
      <c r="N1213" s="190">
        <f t="shared" ca="1" si="197"/>
        <v>4.4734581898917547E-2</v>
      </c>
      <c r="O1213" s="40">
        <f ca="1">RAND()</f>
        <v>0.81408795969877357</v>
      </c>
      <c r="P1213" s="51">
        <f t="shared" si="195"/>
        <v>95.849315068493155</v>
      </c>
      <c r="Q1213" s="51">
        <f t="shared" si="196"/>
        <v>2236.4840182648404</v>
      </c>
      <c r="R1213" s="51">
        <f>assumedSE*H1213</f>
        <v>4.10958904109589E-3</v>
      </c>
      <c r="S1213"/>
      <c r="T1213" s="83"/>
    </row>
    <row r="1214" spans="1:20" ht="16" x14ac:dyDescent="0.2">
      <c r="A1214"/>
      <c r="B1214" s="103"/>
      <c r="C1214" s="243"/>
      <c r="D1214" s="119">
        <v>1201</v>
      </c>
      <c r="E1214" s="25" t="str">
        <f>Tp_Non_CHG!D37</f>
        <v>Transition Probability from state 1 to state 1 on day 27 (Non-CHG)</v>
      </c>
      <c r="F1214" s="40">
        <f t="shared" si="194"/>
        <v>0.96240601503759393</v>
      </c>
      <c r="G1214" s="156">
        <v>1</v>
      </c>
      <c r="H1214" s="120">
        <f>Tp_Non_CHG!G37</f>
        <v>0.96240601503759393</v>
      </c>
      <c r="I1214" s="40" t="s">
        <v>58</v>
      </c>
      <c r="J1214" s="40">
        <f t="shared" si="181"/>
        <v>0.77377790223975418</v>
      </c>
      <c r="K1214" s="40">
        <f t="shared" si="182"/>
        <v>1.1510341278354337</v>
      </c>
      <c r="L1214" s="40" t="s">
        <v>26</v>
      </c>
      <c r="M1214" s="50" t="s">
        <v>266</v>
      </c>
      <c r="N1214" s="190">
        <f t="shared" ca="1" si="197"/>
        <v>0.91292744109522428</v>
      </c>
      <c r="O1214" s="40">
        <f t="shared" ca="1" si="193"/>
        <v>0.12540399099632715</v>
      </c>
      <c r="P1214" s="51">
        <f t="shared" si="195"/>
        <v>2.796992481203012</v>
      </c>
      <c r="Q1214" s="51">
        <f t="shared" si="196"/>
        <v>0.10925751879699282</v>
      </c>
      <c r="R1214" s="51">
        <f t="shared" si="183"/>
        <v>9.6240601503759404E-2</v>
      </c>
      <c r="S1214"/>
      <c r="T1214" s="83"/>
    </row>
    <row r="1215" spans="1:20" ht="16" x14ac:dyDescent="0.2">
      <c r="A1215"/>
      <c r="B1215" s="103"/>
      <c r="C1215" s="243"/>
      <c r="D1215" s="119">
        <v>1202</v>
      </c>
      <c r="E1215" s="25" t="str">
        <f>Tp_Non_CHG!D230</f>
        <v>Transition Probability from state 1 to state 7 on day 27 (Non-CHG)</v>
      </c>
      <c r="F1215" s="40">
        <f t="shared" si="194"/>
        <v>2.2556390977443608E-2</v>
      </c>
      <c r="G1215" s="156">
        <v>1</v>
      </c>
      <c r="H1215" s="120">
        <f>Tp_Non_CHG!G230</f>
        <v>2.2556390977443608E-2</v>
      </c>
      <c r="I1215" s="40" t="s">
        <v>58</v>
      </c>
      <c r="J1215" s="40">
        <f>IF(H1215=0,0,_xlfn.NORM.INV(0.025,H1215,R1215))</f>
        <v>1.8135419583744237E-2</v>
      </c>
      <c r="K1215" s="40">
        <f>IF(H1215=0,0,_xlfn.NORM.INV(0.975,H1215,R1215))</f>
        <v>2.6977362371142975E-2</v>
      </c>
      <c r="L1215" s="40" t="s">
        <v>26</v>
      </c>
      <c r="M1215" s="50" t="s">
        <v>266</v>
      </c>
      <c r="N1215" s="190">
        <f t="shared" ca="1" si="197"/>
        <v>1.8035285858480684E-2</v>
      </c>
      <c r="O1215" s="40">
        <f ca="1">RAND()</f>
        <v>1.7019243496914083E-2</v>
      </c>
      <c r="P1215" s="51">
        <f t="shared" si="195"/>
        <v>97.721804511278179</v>
      </c>
      <c r="Q1215" s="51">
        <f t="shared" si="196"/>
        <v>4234.6115288220553</v>
      </c>
      <c r="R1215" s="51">
        <f>assumedSE*H1215</f>
        <v>2.255639097744361E-3</v>
      </c>
      <c r="S1215"/>
      <c r="T1215" s="83"/>
    </row>
    <row r="1216" spans="1:20" ht="16" x14ac:dyDescent="0.2">
      <c r="A1216"/>
      <c r="B1216" s="103"/>
      <c r="C1216" s="243"/>
      <c r="D1216" s="119">
        <v>1203</v>
      </c>
      <c r="E1216" s="25" t="str">
        <f>Tp_Non_CHG!D262</f>
        <v>Transition Probability from state 1 to state 8 on day 27 (Non-CHG)</v>
      </c>
      <c r="F1216" s="40">
        <f t="shared" si="194"/>
        <v>1.5037593984962405E-2</v>
      </c>
      <c r="G1216" s="156">
        <v>1</v>
      </c>
      <c r="H1216" s="120">
        <f>Tp_Non_CHG!G262</f>
        <v>1.5037593984962405E-2</v>
      </c>
      <c r="I1216" s="40" t="s">
        <v>58</v>
      </c>
      <c r="J1216" s="40">
        <f>IF(H1216=0,0,_xlfn.NORM.INV(0.025,H1216,R1216))</f>
        <v>1.2090279722496159E-2</v>
      </c>
      <c r="K1216" s="40">
        <f>IF(H1216=0,0,_xlfn.NORM.INV(0.975,H1216,R1216))</f>
        <v>1.7984908247428651E-2</v>
      </c>
      <c r="L1216" s="40" t="s">
        <v>26</v>
      </c>
      <c r="M1216" s="50" t="s">
        <v>266</v>
      </c>
      <c r="N1216" s="190">
        <f t="shared" ca="1" si="197"/>
        <v>1.5987890093184687E-2</v>
      </c>
      <c r="O1216" s="40">
        <f ca="1">RAND()</f>
        <v>0.74276742574124621</v>
      </c>
      <c r="P1216" s="51">
        <f t="shared" si="195"/>
        <v>98.481203007518758</v>
      </c>
      <c r="Q1216" s="51">
        <f t="shared" si="196"/>
        <v>6450.5187969924791</v>
      </c>
      <c r="R1216" s="51">
        <f>assumedSE*H1216</f>
        <v>1.5037593984962407E-3</v>
      </c>
      <c r="S1216"/>
      <c r="T1216" s="83"/>
    </row>
    <row r="1217" spans="1:20" ht="16" x14ac:dyDescent="0.2">
      <c r="A1217"/>
      <c r="B1217" s="103"/>
      <c r="C1217" s="243"/>
      <c r="D1217" s="119">
        <v>1204</v>
      </c>
      <c r="E1217" s="25" t="str">
        <f>Tp_Non_CHG!D38</f>
        <v>Transition Probability from state 1 to state 1 on day 28 (Non-CHG)</v>
      </c>
      <c r="F1217" s="40">
        <f t="shared" si="194"/>
        <v>0.93076923076923079</v>
      </c>
      <c r="G1217" s="156">
        <v>1</v>
      </c>
      <c r="H1217" s="120">
        <f>Tp_Non_CHG!G38</f>
        <v>0.93076923076923079</v>
      </c>
      <c r="I1217" s="40" t="s">
        <v>58</v>
      </c>
      <c r="J1217" s="40">
        <f t="shared" si="181"/>
        <v>0.74834181374665654</v>
      </c>
      <c r="K1217" s="40">
        <f t="shared" si="182"/>
        <v>1.1131966477918049</v>
      </c>
      <c r="L1217" s="40" t="s">
        <v>26</v>
      </c>
      <c r="M1217" s="50" t="s">
        <v>266</v>
      </c>
      <c r="N1217" s="190">
        <f t="shared" ca="1" si="197"/>
        <v>0.89502413255773172</v>
      </c>
      <c r="O1217" s="40">
        <f t="shared" ca="1" si="193"/>
        <v>0.22910023579965344</v>
      </c>
      <c r="P1217" s="51">
        <f t="shared" si="195"/>
        <v>5.9923076923076897</v>
      </c>
      <c r="Q1217" s="51">
        <f t="shared" si="196"/>
        <v>0.44570883661792721</v>
      </c>
      <c r="R1217" s="51">
        <f t="shared" si="183"/>
        <v>9.3076923076923085E-2</v>
      </c>
      <c r="S1217"/>
      <c r="T1217" s="83"/>
    </row>
    <row r="1218" spans="1:20" ht="16" x14ac:dyDescent="0.2">
      <c r="A1218"/>
      <c r="B1218" s="103"/>
      <c r="C1218" s="243"/>
      <c r="D1218" s="119">
        <v>1205</v>
      </c>
      <c r="E1218" s="25" t="str">
        <f>Tp_Non_CHG!D70</f>
        <v>Transition Probability from state 1 to state 2 on day 28 (Non-CHG)</v>
      </c>
      <c r="F1218" s="40">
        <f t="shared" si="194"/>
        <v>1.5384615384615385E-2</v>
      </c>
      <c r="G1218" s="156">
        <v>1</v>
      </c>
      <c r="H1218" s="120">
        <f>Tp_Non_CHG!G70</f>
        <v>1.5384615384615385E-2</v>
      </c>
      <c r="I1218" s="40" t="s">
        <v>58</v>
      </c>
      <c r="J1218" s="40">
        <f>IF(H1218=0,0,_xlfn.NORM.INV(0.025,H1218,R1218))</f>
        <v>1.2369286177630686E-2</v>
      </c>
      <c r="K1218" s="40">
        <f>IF(H1218=0,0,_xlfn.NORM.INV(0.975,H1218,R1218))</f>
        <v>1.8399944591600083E-2</v>
      </c>
      <c r="L1218" s="40" t="s">
        <v>26</v>
      </c>
      <c r="M1218" s="50" t="s">
        <v>266</v>
      </c>
      <c r="N1218" s="190">
        <f t="shared" ca="1" si="197"/>
        <v>1.5277690665667943E-2</v>
      </c>
      <c r="O1218" s="40">
        <f ca="1">RAND()</f>
        <v>0.48531829984222652</v>
      </c>
      <c r="P1218" s="51">
        <f t="shared" si="195"/>
        <v>98.446153846153834</v>
      </c>
      <c r="Q1218" s="51">
        <f t="shared" si="196"/>
        <v>6300.5538461538454</v>
      </c>
      <c r="R1218" s="51">
        <f>assumedSE*H1218</f>
        <v>1.5384615384615387E-3</v>
      </c>
      <c r="S1218"/>
      <c r="T1218" s="83"/>
    </row>
    <row r="1219" spans="1:20" ht="16" x14ac:dyDescent="0.2">
      <c r="A1219"/>
      <c r="B1219" s="103"/>
      <c r="C1219" s="243"/>
      <c r="D1219" s="119">
        <v>1206</v>
      </c>
      <c r="E1219" s="25" t="str">
        <f>Tp_Non_CHG!D166</f>
        <v>Transition Probability from state 1 to state 5 on day 28 (Non-CHG)</v>
      </c>
      <c r="F1219" s="40">
        <f t="shared" si="194"/>
        <v>7.6923076923076927E-3</v>
      </c>
      <c r="G1219" s="156">
        <v>1</v>
      </c>
      <c r="H1219" s="120">
        <f>Tp_Non_CHG!G166</f>
        <v>7.6923076923076927E-3</v>
      </c>
      <c r="I1219" s="40" t="s">
        <v>58</v>
      </c>
      <c r="J1219" s="40">
        <f>IF(H1219=0,0,_xlfn.NORM.INV(0.025,H1219,R1219))</f>
        <v>6.1846430888153432E-3</v>
      </c>
      <c r="K1219" s="40">
        <f>IF(H1219=0,0,_xlfn.NORM.INV(0.975,H1219,R1219))</f>
        <v>9.1999722958000414E-3</v>
      </c>
      <c r="L1219" s="40" t="s">
        <v>26</v>
      </c>
      <c r="M1219" s="50" t="s">
        <v>266</v>
      </c>
      <c r="N1219" s="190">
        <f t="shared" ca="1" si="197"/>
        <v>8.4930857030349749E-3</v>
      </c>
      <c r="O1219" s="40">
        <f ca="1">RAND()</f>
        <v>0.85081917315840982</v>
      </c>
      <c r="P1219" s="51">
        <f t="shared" si="195"/>
        <v>99.223076923076917</v>
      </c>
      <c r="Q1219" s="51">
        <f t="shared" si="196"/>
        <v>12799.776923076921</v>
      </c>
      <c r="R1219" s="51">
        <f>assumedSE*H1219</f>
        <v>7.6923076923076934E-4</v>
      </c>
      <c r="S1219"/>
      <c r="T1219" s="83"/>
    </row>
    <row r="1220" spans="1:20" ht="16" x14ac:dyDescent="0.2">
      <c r="A1220"/>
      <c r="B1220" s="103"/>
      <c r="C1220" s="243"/>
      <c r="D1220" s="119">
        <v>1207</v>
      </c>
      <c r="E1220" s="25" t="str">
        <f>Tp_Non_CHG!D231</f>
        <v>Transition Probability from state 1 to state 7 on day 28 (Non-CHG)</v>
      </c>
      <c r="F1220" s="40">
        <f t="shared" si="194"/>
        <v>3.8461538461538464E-2</v>
      </c>
      <c r="G1220" s="156">
        <v>1</v>
      </c>
      <c r="H1220" s="120">
        <f>Tp_Non_CHG!G231</f>
        <v>3.8461538461538464E-2</v>
      </c>
      <c r="I1220" s="40" t="s">
        <v>58</v>
      </c>
      <c r="J1220" s="40">
        <f>IF(H1220=0,0,_xlfn.NORM.INV(0.025,H1220,R1220))</f>
        <v>3.0923215444076717E-2</v>
      </c>
      <c r="K1220" s="40">
        <f>IF(H1220=0,0,_xlfn.NORM.INV(0.975,H1220,R1220))</f>
        <v>4.5999861479000211E-2</v>
      </c>
      <c r="L1220" s="40" t="s">
        <v>26</v>
      </c>
      <c r="M1220" s="50" t="s">
        <v>266</v>
      </c>
      <c r="N1220" s="190">
        <f t="shared" ca="1" si="197"/>
        <v>3.9388131868630327E-2</v>
      </c>
      <c r="O1220" s="40">
        <f ca="1">RAND()</f>
        <v>0.6067912107278266</v>
      </c>
      <c r="P1220" s="51">
        <f t="shared" si="195"/>
        <v>96.115384615384627</v>
      </c>
      <c r="Q1220" s="51">
        <f t="shared" si="196"/>
        <v>2402.8846153846152</v>
      </c>
      <c r="R1220" s="51">
        <f>assumedSE*H1220</f>
        <v>3.8461538461538464E-3</v>
      </c>
      <c r="S1220"/>
      <c r="T1220" s="83"/>
    </row>
    <row r="1221" spans="1:20" ht="16" x14ac:dyDescent="0.2">
      <c r="A1221"/>
      <c r="B1221" s="103"/>
      <c r="C1221" s="243"/>
      <c r="D1221" s="119">
        <v>1208</v>
      </c>
      <c r="E1221" s="25" t="str">
        <f>Tp_Non_CHG!D263</f>
        <v>Transition Probability from state 1 to state 8 on day 28 (Non-CHG)</v>
      </c>
      <c r="F1221" s="40">
        <f t="shared" si="194"/>
        <v>7.6923076923076927E-3</v>
      </c>
      <c r="G1221" s="156">
        <v>1</v>
      </c>
      <c r="H1221" s="120">
        <f>Tp_Non_CHG!G263</f>
        <v>7.6923076923076927E-3</v>
      </c>
      <c r="I1221" s="40" t="s">
        <v>58</v>
      </c>
      <c r="J1221" s="40">
        <f>IF(H1221=0,0,_xlfn.NORM.INV(0.025,H1221,R1221))</f>
        <v>6.1846430888153432E-3</v>
      </c>
      <c r="K1221" s="40">
        <f>IF(H1221=0,0,_xlfn.NORM.INV(0.975,H1221,R1221))</f>
        <v>9.1999722958000414E-3</v>
      </c>
      <c r="L1221" s="40" t="s">
        <v>26</v>
      </c>
      <c r="M1221" s="50" t="s">
        <v>266</v>
      </c>
      <c r="N1221" s="190">
        <f t="shared" ca="1" si="197"/>
        <v>8.0708240912831242E-3</v>
      </c>
      <c r="O1221" s="40">
        <f ca="1">RAND()</f>
        <v>0.69749498248486086</v>
      </c>
      <c r="P1221" s="51">
        <f t="shared" si="195"/>
        <v>99.223076923076917</v>
      </c>
      <c r="Q1221" s="51">
        <f t="shared" si="196"/>
        <v>12799.776923076921</v>
      </c>
      <c r="R1221" s="51">
        <f>assumedSE*H1221</f>
        <v>7.6923076923076934E-4</v>
      </c>
      <c r="S1221"/>
      <c r="T1221" s="83"/>
    </row>
    <row r="1222" spans="1:20" ht="16" x14ac:dyDescent="0.2">
      <c r="A1222"/>
      <c r="B1222" s="103"/>
      <c r="C1222" s="243"/>
      <c r="D1222" s="119">
        <v>1209</v>
      </c>
      <c r="E1222" s="25" t="str">
        <f>Tp_Non_CHG!D39</f>
        <v>Transition Probability from state 1 to state 1 on day 29 (Non-CHG)</v>
      </c>
      <c r="F1222" s="40">
        <f t="shared" si="194"/>
        <v>0.95041322314049592</v>
      </c>
      <c r="G1222" s="156">
        <v>1</v>
      </c>
      <c r="H1222" s="120">
        <f>Tp_Non_CHG!G39</f>
        <v>0.95041322314049592</v>
      </c>
      <c r="I1222" s="40" t="s">
        <v>58</v>
      </c>
      <c r="J1222" s="40">
        <f t="shared" si="181"/>
        <v>0.76413565436189579</v>
      </c>
      <c r="K1222" s="40">
        <f t="shared" si="182"/>
        <v>1.1366907919190961</v>
      </c>
      <c r="L1222" s="40" t="s">
        <v>26</v>
      </c>
      <c r="M1222" s="50" t="s">
        <v>266</v>
      </c>
      <c r="N1222" s="190">
        <f t="shared" ca="1" si="197"/>
        <v>0.99958972174070793</v>
      </c>
      <c r="O1222" s="40">
        <f t="shared" ca="1" si="193"/>
        <v>0.72026551256800986</v>
      </c>
      <c r="P1222" s="51">
        <f t="shared" si="195"/>
        <v>4.00826446280991</v>
      </c>
      <c r="Q1222" s="51">
        <f t="shared" si="196"/>
        <v>0.20912684153790811</v>
      </c>
      <c r="R1222" s="51">
        <f t="shared" si="183"/>
        <v>9.5041322314049603E-2</v>
      </c>
      <c r="S1222"/>
      <c r="T1222" s="83"/>
    </row>
    <row r="1223" spans="1:20" ht="16" x14ac:dyDescent="0.2">
      <c r="A1223"/>
      <c r="B1223" s="103"/>
      <c r="C1223" s="243"/>
      <c r="D1223" s="119">
        <v>1210</v>
      </c>
      <c r="E1223" s="25" t="str">
        <f>Tp_Non_CHG!D71</f>
        <v>Transition Probability from state 1 to state 2 on day 29 (Non-CHG)</v>
      </c>
      <c r="F1223" s="40">
        <f t="shared" si="194"/>
        <v>8.2644628099173556E-3</v>
      </c>
      <c r="G1223" s="156">
        <v>1</v>
      </c>
      <c r="H1223" s="120">
        <f>Tp_Non_CHG!G71</f>
        <v>8.2644628099173556E-3</v>
      </c>
      <c r="I1223" s="40" t="s">
        <v>58</v>
      </c>
      <c r="J1223" s="40">
        <f>IF(H1223=0,0,_xlfn.NORM.INV(0.025,H1223,R1223))</f>
        <v>6.6446578640164842E-3</v>
      </c>
      <c r="K1223" s="40">
        <f>IF(H1223=0,0,_xlfn.NORM.INV(0.975,H1223,R1223))</f>
        <v>9.8842677558182261E-3</v>
      </c>
      <c r="L1223" s="40" t="s">
        <v>26</v>
      </c>
      <c r="M1223" s="50" t="s">
        <v>266</v>
      </c>
      <c r="N1223" s="190">
        <f t="shared" ca="1" si="197"/>
        <v>8.0092067318057875E-3</v>
      </c>
      <c r="O1223" s="40">
        <f ca="1">RAND()</f>
        <v>0.39016014674636446</v>
      </c>
      <c r="P1223" s="51">
        <f t="shared" si="195"/>
        <v>99.165289256198335</v>
      </c>
      <c r="Q1223" s="51">
        <f t="shared" si="196"/>
        <v>11899.8347107438</v>
      </c>
      <c r="R1223" s="51">
        <f>assumedSE*H1223</f>
        <v>8.2644628099173563E-4</v>
      </c>
      <c r="S1223"/>
      <c r="T1223" s="83"/>
    </row>
    <row r="1224" spans="1:20" ht="16" x14ac:dyDescent="0.2">
      <c r="A1224"/>
      <c r="B1224" s="103"/>
      <c r="C1224" s="243"/>
      <c r="D1224" s="119">
        <v>1211</v>
      </c>
      <c r="E1224" s="25" t="str">
        <f>Tp_Non_CHG!D167</f>
        <v>Transition Probability from state 1 to state 5 on day 29 (Non-CHG)</v>
      </c>
      <c r="F1224" s="40">
        <f t="shared" si="194"/>
        <v>8.2644628099173556E-3</v>
      </c>
      <c r="G1224" s="156">
        <v>1</v>
      </c>
      <c r="H1224" s="120">
        <f>Tp_Non_CHG!G167</f>
        <v>8.2644628099173556E-3</v>
      </c>
      <c r="I1224" s="40" t="s">
        <v>58</v>
      </c>
      <c r="J1224" s="40">
        <f>IF(H1224=0,0,_xlfn.NORM.INV(0.025,H1224,R1224))</f>
        <v>6.6446578640164842E-3</v>
      </c>
      <c r="K1224" s="40">
        <f>IF(H1224=0,0,_xlfn.NORM.INV(0.975,H1224,R1224))</f>
        <v>9.8842677558182261E-3</v>
      </c>
      <c r="L1224" s="40" t="s">
        <v>26</v>
      </c>
      <c r="M1224" s="50" t="s">
        <v>266</v>
      </c>
      <c r="N1224" s="190">
        <f t="shared" ca="1" si="197"/>
        <v>9.3976365105366E-3</v>
      </c>
      <c r="O1224" s="40">
        <f ca="1">RAND()</f>
        <v>0.91087626770722852</v>
      </c>
      <c r="P1224" s="51">
        <f t="shared" si="195"/>
        <v>99.165289256198335</v>
      </c>
      <c r="Q1224" s="51">
        <f t="shared" si="196"/>
        <v>11899.8347107438</v>
      </c>
      <c r="R1224" s="51">
        <f>assumedSE*H1224</f>
        <v>8.2644628099173563E-4</v>
      </c>
      <c r="S1224"/>
      <c r="T1224" s="83"/>
    </row>
    <row r="1225" spans="1:20" ht="16" x14ac:dyDescent="0.2">
      <c r="A1225"/>
      <c r="B1225" s="103"/>
      <c r="C1225" s="243"/>
      <c r="D1225" s="119">
        <v>1212</v>
      </c>
      <c r="E1225" s="25" t="str">
        <f>Tp_Non_CHG!D232</f>
        <v>Transition Probability from state 1 to state 7 on day 29 (Non-CHG)</v>
      </c>
      <c r="F1225" s="40">
        <f t="shared" si="194"/>
        <v>2.4793388429752067E-2</v>
      </c>
      <c r="G1225" s="156">
        <v>1</v>
      </c>
      <c r="H1225" s="120">
        <f>Tp_Non_CHG!G232</f>
        <v>2.4793388429752067E-2</v>
      </c>
      <c r="I1225" s="40" t="s">
        <v>58</v>
      </c>
      <c r="J1225" s="40">
        <f>IF(H1225=0,0,_xlfn.NORM.INV(0.025,H1225,R1225))</f>
        <v>1.9933973592049452E-2</v>
      </c>
      <c r="K1225" s="40">
        <f>IF(H1225=0,0,_xlfn.NORM.INV(0.975,H1225,R1225))</f>
        <v>2.9652803267454678E-2</v>
      </c>
      <c r="L1225" s="40" t="s">
        <v>26</v>
      </c>
      <c r="M1225" s="50" t="s">
        <v>266</v>
      </c>
      <c r="N1225" s="190">
        <f t="shared" ca="1" si="197"/>
        <v>2.4257047939682263E-2</v>
      </c>
      <c r="O1225" s="40">
        <f ca="1">RAND()</f>
        <v>0.42651008512036537</v>
      </c>
      <c r="P1225" s="51">
        <f t="shared" si="195"/>
        <v>97.495867768595033</v>
      </c>
      <c r="Q1225" s="51">
        <f t="shared" si="196"/>
        <v>3834.8374655647381</v>
      </c>
      <c r="R1225" s="51">
        <f>assumedSE*H1225</f>
        <v>2.4793388429752068E-3</v>
      </c>
      <c r="S1225"/>
      <c r="T1225" s="83"/>
    </row>
    <row r="1226" spans="1:20" ht="16" x14ac:dyDescent="0.2">
      <c r="A1226"/>
      <c r="B1226" s="103"/>
      <c r="C1226" s="243"/>
      <c r="D1226" s="119">
        <v>1213</v>
      </c>
      <c r="E1226" s="25" t="str">
        <f>Tp_Non_CHG!D264</f>
        <v>Transition Probability from state 1 to state 8 on day 29 (Non-CHG)</v>
      </c>
      <c r="F1226" s="40">
        <f t="shared" si="194"/>
        <v>8.2644628099173556E-3</v>
      </c>
      <c r="G1226" s="156">
        <v>1</v>
      </c>
      <c r="H1226" s="120">
        <f>Tp_Non_CHG!G264</f>
        <v>8.2644628099173556E-3</v>
      </c>
      <c r="I1226" s="40" t="s">
        <v>58</v>
      </c>
      <c r="J1226" s="40">
        <f>IF(H1226=0,0,_xlfn.NORM.INV(0.025,H1226,R1226))</f>
        <v>6.6446578640164842E-3</v>
      </c>
      <c r="K1226" s="40">
        <f>IF(H1226=0,0,_xlfn.NORM.INV(0.975,H1226,R1226))</f>
        <v>9.8842677558182261E-3</v>
      </c>
      <c r="L1226" s="40" t="s">
        <v>26</v>
      </c>
      <c r="M1226" s="50" t="s">
        <v>266</v>
      </c>
      <c r="N1226" s="190">
        <f t="shared" ca="1" si="197"/>
        <v>8.0154782002962843E-3</v>
      </c>
      <c r="O1226" s="40">
        <f ca="1">RAND()</f>
        <v>0.39313455826296095</v>
      </c>
      <c r="P1226" s="51">
        <f t="shared" si="195"/>
        <v>99.165289256198335</v>
      </c>
      <c r="Q1226" s="51">
        <f t="shared" si="196"/>
        <v>11899.8347107438</v>
      </c>
      <c r="R1226" s="51">
        <f>assumedSE*H1226</f>
        <v>8.2644628099173563E-4</v>
      </c>
      <c r="S1226"/>
      <c r="T1226" s="83"/>
    </row>
    <row r="1227" spans="1:20" ht="16" x14ac:dyDescent="0.2">
      <c r="A1227"/>
      <c r="B1227" s="103"/>
      <c r="C1227" s="243"/>
      <c r="D1227" s="119">
        <v>1214</v>
      </c>
      <c r="E1227" s="25" t="str">
        <f>Tp_Non_CHG!D40</f>
        <v>Transition Probability from state 1 to state 1 on day 30 (Non-CHG)</v>
      </c>
      <c r="F1227" s="40">
        <f t="shared" si="194"/>
        <v>0.87179487179487181</v>
      </c>
      <c r="G1227" s="156">
        <v>1</v>
      </c>
      <c r="H1227" s="120">
        <f>Tp_Non_CHG!G40</f>
        <v>0.87179487179487181</v>
      </c>
      <c r="I1227" s="40" t="s">
        <v>58</v>
      </c>
      <c r="J1227" s="40">
        <f t="shared" si="181"/>
        <v>0.70092621673240552</v>
      </c>
      <c r="K1227" s="40">
        <f t="shared" si="182"/>
        <v>1.0426635268573381</v>
      </c>
      <c r="L1227" s="40" t="s">
        <v>26</v>
      </c>
      <c r="M1227" s="50" t="s">
        <v>266</v>
      </c>
      <c r="N1227" s="190">
        <f t="shared" ca="1" si="197"/>
        <v>0.82056898721914995</v>
      </c>
      <c r="O1227" s="40">
        <f t="shared" ca="1" si="193"/>
        <v>0.24053465652313022</v>
      </c>
      <c r="P1227" s="51">
        <f t="shared" si="195"/>
        <v>11.948717948717945</v>
      </c>
      <c r="Q1227" s="51">
        <f t="shared" si="196"/>
        <v>1.7571644042232271</v>
      </c>
      <c r="R1227" s="51">
        <f t="shared" si="183"/>
        <v>8.7179487179487189E-2</v>
      </c>
      <c r="S1227"/>
      <c r="T1227" s="83"/>
    </row>
    <row r="1228" spans="1:20" ht="16" x14ac:dyDescent="0.2">
      <c r="A1228"/>
      <c r="B1228" s="103"/>
      <c r="C1228" s="243"/>
      <c r="D1228" s="119">
        <v>1215</v>
      </c>
      <c r="E1228" s="25" t="str">
        <f>Tp_Non_CHG!D72</f>
        <v>Transition Probability from state 1 to state 2 on day 30 (Non-CHG)</v>
      </c>
      <c r="F1228" s="40">
        <f t="shared" si="194"/>
        <v>3.4188034188034191E-2</v>
      </c>
      <c r="G1228" s="156">
        <v>1</v>
      </c>
      <c r="H1228" s="120">
        <f>Tp_Non_CHG!G72</f>
        <v>3.4188034188034191E-2</v>
      </c>
      <c r="I1228" s="40" t="s">
        <v>58</v>
      </c>
      <c r="J1228" s="40">
        <f>IF(H1228=0,0,_xlfn.NORM.INV(0.025,H1228,R1228))</f>
        <v>2.7487302616957084E-2</v>
      </c>
      <c r="K1228" s="40">
        <f>IF(H1228=0,0,_xlfn.NORM.INV(0.975,H1228,R1228))</f>
        <v>4.0888765759111295E-2</v>
      </c>
      <c r="L1228" s="40" t="s">
        <v>26</v>
      </c>
      <c r="M1228" s="50" t="s">
        <v>266</v>
      </c>
      <c r="N1228" s="190">
        <f t="shared" ca="1" si="197"/>
        <v>3.7360327428203277E-2</v>
      </c>
      <c r="O1228" s="40">
        <f ca="1">RAND()</f>
        <v>0.82467559178129779</v>
      </c>
      <c r="P1228" s="51">
        <f t="shared" si="195"/>
        <v>96.547008547008545</v>
      </c>
      <c r="Q1228" s="51">
        <f t="shared" si="196"/>
        <v>2727.4529914529912</v>
      </c>
      <c r="R1228" s="51">
        <f>assumedSE*H1228</f>
        <v>3.4188034188034192E-3</v>
      </c>
      <c r="S1228"/>
      <c r="T1228" s="83"/>
    </row>
    <row r="1229" spans="1:20" ht="16" x14ac:dyDescent="0.2">
      <c r="A1229"/>
      <c r="B1229" s="103"/>
      <c r="C1229" s="243"/>
      <c r="D1229" s="119">
        <v>1216</v>
      </c>
      <c r="E1229" s="25" t="str">
        <f>Tp_Non_CHG!D233</f>
        <v>Transition Probability from state 1 to state 7 on day 30 (Non-CHG)</v>
      </c>
      <c r="F1229" s="40">
        <f t="shared" si="194"/>
        <v>7.6923076923076927E-2</v>
      </c>
      <c r="G1229" s="156">
        <v>1</v>
      </c>
      <c r="H1229" s="120">
        <f>Tp_Non_CHG!G233</f>
        <v>7.6923076923076927E-2</v>
      </c>
      <c r="I1229" s="40" t="s">
        <v>58</v>
      </c>
      <c r="J1229" s="40">
        <f>IF(H1229=0,0,_xlfn.NORM.INV(0.025,H1229,R1229))</f>
        <v>6.1846430888153434E-2</v>
      </c>
      <c r="K1229" s="40">
        <f>IF(H1229=0,0,_xlfn.NORM.INV(0.975,H1229,R1229))</f>
        <v>9.1999722958000421E-2</v>
      </c>
      <c r="L1229" s="40" t="s">
        <v>26</v>
      </c>
      <c r="M1229" s="50" t="s">
        <v>266</v>
      </c>
      <c r="N1229" s="190">
        <f t="shared" ca="1" si="197"/>
        <v>7.5695237626992831E-2</v>
      </c>
      <c r="O1229" s="40">
        <f ca="1">RAND()</f>
        <v>0.4484061237468826</v>
      </c>
      <c r="P1229" s="51">
        <f t="shared" si="195"/>
        <v>92.230769230769241</v>
      </c>
      <c r="Q1229" s="51">
        <f t="shared" si="196"/>
        <v>1106.7692307692309</v>
      </c>
      <c r="R1229" s="51">
        <f>assumedSE*H1229</f>
        <v>7.6923076923076927E-3</v>
      </c>
      <c r="S1229"/>
      <c r="T1229" s="83"/>
    </row>
    <row r="1230" spans="1:20" ht="16" x14ac:dyDescent="0.2">
      <c r="A1230"/>
      <c r="B1230" s="103"/>
      <c r="C1230" s="243"/>
      <c r="D1230" s="119">
        <v>1217</v>
      </c>
      <c r="E1230" s="25" t="str">
        <f>Tp_Non_CHG!D265</f>
        <v>Transition Probability from state 1 to state 8 on day 30 (Non-CHG)</v>
      </c>
      <c r="F1230" s="40">
        <f t="shared" si="194"/>
        <v>1.7094017094017096E-2</v>
      </c>
      <c r="G1230" s="156">
        <v>1</v>
      </c>
      <c r="H1230" s="120">
        <f>Tp_Non_CHG!G265</f>
        <v>1.7094017094017096E-2</v>
      </c>
      <c r="I1230" s="40" t="s">
        <v>58</v>
      </c>
      <c r="J1230" s="40">
        <f>IF(H1230=0,0,_xlfn.NORM.INV(0.025,H1230,R1230))</f>
        <v>1.3743651308478542E-2</v>
      </c>
      <c r="K1230" s="40">
        <f>IF(H1230=0,0,_xlfn.NORM.INV(0.975,H1230,R1230))</f>
        <v>2.0444382879555648E-2</v>
      </c>
      <c r="L1230" s="40" t="s">
        <v>26</v>
      </c>
      <c r="M1230" s="50" t="s">
        <v>266</v>
      </c>
      <c r="N1230" s="190">
        <f t="shared" ca="1" si="197"/>
        <v>1.7995199641519966E-2</v>
      </c>
      <c r="O1230" s="40">
        <f ca="1">RAND()</f>
        <v>0.70915514481904784</v>
      </c>
      <c r="P1230" s="51">
        <f t="shared" si="195"/>
        <v>98.273504273504273</v>
      </c>
      <c r="Q1230" s="51">
        <f t="shared" si="196"/>
        <v>5650.7264957264942</v>
      </c>
      <c r="R1230" s="51">
        <f>assumedSE*H1230</f>
        <v>1.7094017094017096E-3</v>
      </c>
      <c r="S1230"/>
      <c r="T1230" s="83"/>
    </row>
    <row r="1231" spans="1:20" ht="13.5" customHeight="1" x14ac:dyDescent="0.2">
      <c r="A1231"/>
      <c r="B1231" s="103"/>
      <c r="C1231" s="243"/>
      <c r="D1231" s="119">
        <v>1218</v>
      </c>
      <c r="E1231" s="25" t="str">
        <f>Tp_Non_CHG!I11</f>
        <v>Transition Probability from state 2 to state 1 on day 1 (Non-CHG)</v>
      </c>
      <c r="F1231" s="40">
        <f t="shared" si="194"/>
        <v>0</v>
      </c>
      <c r="G1231" s="156">
        <v>1</v>
      </c>
      <c r="H1231" s="120">
        <f>Tp_Non_CHG!L11</f>
        <v>0</v>
      </c>
      <c r="I1231" s="40" t="s">
        <v>58</v>
      </c>
      <c r="J1231" s="40">
        <f t="shared" si="181"/>
        <v>0</v>
      </c>
      <c r="K1231" s="40">
        <f t="shared" si="182"/>
        <v>0</v>
      </c>
      <c r="L1231" s="40" t="s">
        <v>58</v>
      </c>
      <c r="M1231" s="50" t="s">
        <v>266</v>
      </c>
      <c r="N1231" s="190"/>
      <c r="O1231" s="40">
        <f t="shared" ca="1" si="193"/>
        <v>7.1623501394383449E-2</v>
      </c>
      <c r="P1231" s="51">
        <f t="shared" si="195"/>
        <v>0</v>
      </c>
      <c r="Q1231" s="51">
        <f t="shared" si="196"/>
        <v>0</v>
      </c>
      <c r="R1231" s="51">
        <f t="shared" si="183"/>
        <v>0</v>
      </c>
      <c r="S1231"/>
      <c r="T1231" s="83"/>
    </row>
    <row r="1232" spans="1:20" ht="16" x14ac:dyDescent="0.2">
      <c r="A1232"/>
      <c r="B1232" s="103"/>
      <c r="C1232" s="243"/>
      <c r="D1232" s="119">
        <v>1219</v>
      </c>
      <c r="E1232" s="25" t="str">
        <f>Tp_Non_CHG!I12</f>
        <v>Transition Probability from state 2 to state 1 on day 2 (Non-CHG)</v>
      </c>
      <c r="F1232" s="40">
        <f t="shared" ref="F1232:F1295" si="198">IFERROR(CHOOSE(G1232,H1232,J1232,K1232,N1232),0)</f>
        <v>0.83333333333333337</v>
      </c>
      <c r="G1232" s="156">
        <v>1</v>
      </c>
      <c r="H1232" s="120">
        <f>Tp_Non_CHG!L12</f>
        <v>0.83333333333333337</v>
      </c>
      <c r="I1232" s="40" t="s">
        <v>58</v>
      </c>
      <c r="J1232" s="40">
        <f t="shared" si="181"/>
        <v>0.6700030012883289</v>
      </c>
      <c r="K1232" s="40">
        <f t="shared" si="182"/>
        <v>0.99666366537833784</v>
      </c>
      <c r="L1232" s="40" t="s">
        <v>26</v>
      </c>
      <c r="M1232" s="50" t="s">
        <v>266</v>
      </c>
      <c r="N1232" s="190">
        <f t="shared" ca="1" si="197"/>
        <v>0.86400021384109382</v>
      </c>
      <c r="O1232" s="40">
        <f t="shared" ca="1" si="193"/>
        <v>0.59251015893184333</v>
      </c>
      <c r="P1232" s="51">
        <f t="shared" si="195"/>
        <v>15.833333333333329</v>
      </c>
      <c r="Q1232" s="51">
        <f t="shared" si="196"/>
        <v>3.1666666666666647</v>
      </c>
      <c r="R1232" s="51">
        <f t="shared" si="183"/>
        <v>8.3333333333333343E-2</v>
      </c>
      <c r="S1232"/>
      <c r="T1232" s="83"/>
    </row>
    <row r="1233" spans="1:20" ht="16" x14ac:dyDescent="0.2">
      <c r="A1233"/>
      <c r="B1233" s="103"/>
      <c r="C1233" s="243"/>
      <c r="D1233" s="119">
        <v>1220</v>
      </c>
      <c r="E1233" s="25" t="str">
        <f>Tp_Non_CHG!I237</f>
        <v>Transition Probability from state 2 to state 8 on day 2 (Non-CHG)</v>
      </c>
      <c r="F1233" s="40">
        <f t="shared" si="198"/>
        <v>0.16666666666666666</v>
      </c>
      <c r="G1233" s="156">
        <v>1</v>
      </c>
      <c r="H1233" s="120">
        <f>Tp_Non_CHG!L237</f>
        <v>0.16666666666666666</v>
      </c>
      <c r="I1233" s="40" t="s">
        <v>58</v>
      </c>
      <c r="J1233" s="40">
        <f>IF(H1233=0,0,_xlfn.NORM.INV(0.025,H1233,R1233))</f>
        <v>0.13400060025766575</v>
      </c>
      <c r="K1233" s="40">
        <f>IF(H1233=0,0,_xlfn.NORM.INV(0.975,H1233,R1233))</f>
        <v>0.19933273307566757</v>
      </c>
      <c r="L1233" s="40" t="s">
        <v>26</v>
      </c>
      <c r="M1233" s="50" t="s">
        <v>266</v>
      </c>
      <c r="N1233" s="190">
        <f t="shared" ca="1" si="197"/>
        <v>0.16647375686541022</v>
      </c>
      <c r="O1233" s="40">
        <f ca="1">RAND()</f>
        <v>0.50604243771390411</v>
      </c>
      <c r="P1233" s="51">
        <f t="shared" ref="P1233:P1296" si="199">IFERROR(H1233*((H1233*(1-H1233)/(R1233^2))-1),0)</f>
        <v>83.166666666666657</v>
      </c>
      <c r="Q1233" s="51">
        <f t="shared" ref="Q1233:Q1296" si="200">IFERROR((1-H1233)*((H1233*(1-H1233))/(R1233^2)-1),0)</f>
        <v>415.83333333333337</v>
      </c>
      <c r="R1233" s="51">
        <f>assumedSE*H1233</f>
        <v>1.6666666666666666E-2</v>
      </c>
      <c r="S1233"/>
      <c r="T1233" s="83"/>
    </row>
    <row r="1234" spans="1:20" ht="16" x14ac:dyDescent="0.2">
      <c r="A1234"/>
      <c r="B1234" s="103"/>
      <c r="C1234" s="243"/>
      <c r="D1234" s="119">
        <v>1221</v>
      </c>
      <c r="E1234" s="25" t="str">
        <f>Tp_Non_CHG!I13</f>
        <v>Transition Probability from state 2 to state 1 on day 3 (Non-CHG)</v>
      </c>
      <c r="F1234" s="40">
        <f t="shared" si="198"/>
        <v>0.91666666666666663</v>
      </c>
      <c r="G1234" s="156">
        <v>1</v>
      </c>
      <c r="H1234" s="120">
        <f>Tp_Non_CHG!L13</f>
        <v>0.91666666666666663</v>
      </c>
      <c r="I1234" s="40" t="s">
        <v>58</v>
      </c>
      <c r="J1234" s="40">
        <f t="shared" si="181"/>
        <v>0.73700330141716175</v>
      </c>
      <c r="K1234" s="40">
        <f t="shared" si="182"/>
        <v>1.0963300319161715</v>
      </c>
      <c r="L1234" s="40" t="s">
        <v>26</v>
      </c>
      <c r="M1234" s="50" t="s">
        <v>266</v>
      </c>
      <c r="N1234" s="190">
        <f t="shared" ca="1" si="197"/>
        <v>0.96822884531964371</v>
      </c>
      <c r="O1234" s="40">
        <f t="shared" ca="1" si="193"/>
        <v>0.62068243780716459</v>
      </c>
      <c r="P1234" s="51">
        <f t="shared" si="199"/>
        <v>7.4166666666666687</v>
      </c>
      <c r="Q1234" s="51">
        <f t="shared" si="200"/>
        <v>0.67424242424242475</v>
      </c>
      <c r="R1234" s="51">
        <f t="shared" si="183"/>
        <v>9.1666666666666674E-2</v>
      </c>
      <c r="S1234"/>
      <c r="T1234" s="83"/>
    </row>
    <row r="1235" spans="1:20" ht="16" x14ac:dyDescent="0.2">
      <c r="A1235"/>
      <c r="B1235" s="103"/>
      <c r="C1235" s="243"/>
      <c r="D1235" s="119">
        <v>1222</v>
      </c>
      <c r="E1235" s="25" t="str">
        <f>Tp_Non_CHG!I238</f>
        <v>Transition Probability from state 2 to state 8 on day 3 (Non-CHG)</v>
      </c>
      <c r="F1235" s="40">
        <f t="shared" si="198"/>
        <v>8.3333333333333329E-2</v>
      </c>
      <c r="G1235" s="156">
        <v>1</v>
      </c>
      <c r="H1235" s="120">
        <f>Tp_Non_CHG!L238</f>
        <v>8.3333333333333329E-2</v>
      </c>
      <c r="I1235" s="40" t="s">
        <v>58</v>
      </c>
      <c r="J1235" s="40">
        <f>IF(H1235=0,0,_xlfn.NORM.INV(0.025,H1235,R1235))</f>
        <v>6.7000300128832874E-2</v>
      </c>
      <c r="K1235" s="40">
        <f>IF(H1235=0,0,_xlfn.NORM.INV(0.975,H1235,R1235))</f>
        <v>9.9666366537833784E-2</v>
      </c>
      <c r="L1235" s="40" t="s">
        <v>26</v>
      </c>
      <c r="M1235" s="50" t="s">
        <v>266</v>
      </c>
      <c r="N1235" s="190">
        <f t="shared" ca="1" si="197"/>
        <v>8.2565751979575414E-2</v>
      </c>
      <c r="O1235" s="40">
        <f ca="1">RAND()</f>
        <v>0.47529845615446575</v>
      </c>
      <c r="P1235" s="51">
        <f t="shared" si="199"/>
        <v>91.583333333333329</v>
      </c>
      <c r="Q1235" s="51">
        <f t="shared" si="200"/>
        <v>1007.4166666666666</v>
      </c>
      <c r="R1235" s="51">
        <f>assumedSE*H1235</f>
        <v>8.3333333333333332E-3</v>
      </c>
      <c r="S1235"/>
      <c r="T1235" s="83"/>
    </row>
    <row r="1236" spans="1:20" ht="16" x14ac:dyDescent="0.2">
      <c r="A1236"/>
      <c r="B1236" s="103"/>
      <c r="C1236" s="243"/>
      <c r="D1236" s="119">
        <v>1223</v>
      </c>
      <c r="E1236" s="25" t="str">
        <f>Tp_Non_CHG!I14</f>
        <v>Transition Probability from state 2 to state 1 on day 4 (Non-CHG)</v>
      </c>
      <c r="F1236" s="40">
        <f t="shared" si="198"/>
        <v>0.93333333333333335</v>
      </c>
      <c r="G1236" s="156">
        <v>1</v>
      </c>
      <c r="H1236" s="120">
        <f>Tp_Non_CHG!L14</f>
        <v>0.93333333333333335</v>
      </c>
      <c r="I1236" s="40" t="s">
        <v>58</v>
      </c>
      <c r="J1236" s="40">
        <f t="shared" si="181"/>
        <v>0.7504033614429283</v>
      </c>
      <c r="K1236" s="40">
        <f t="shared" si="182"/>
        <v>1.1162633052237383</v>
      </c>
      <c r="L1236" s="40" t="s">
        <v>26</v>
      </c>
      <c r="M1236" s="50" t="s">
        <v>266</v>
      </c>
      <c r="N1236" s="190">
        <f t="shared" ca="1" si="197"/>
        <v>0.99999555314051403</v>
      </c>
      <c r="O1236" s="40">
        <f t="shared" ca="1" si="193"/>
        <v>0.98548492813043842</v>
      </c>
      <c r="P1236" s="51">
        <f t="shared" si="199"/>
        <v>5.7333333333333316</v>
      </c>
      <c r="Q1236" s="51">
        <f t="shared" si="200"/>
        <v>0.40952380952380929</v>
      </c>
      <c r="R1236" s="51">
        <f t="shared" si="183"/>
        <v>9.3333333333333338E-2</v>
      </c>
      <c r="S1236"/>
      <c r="T1236" s="83"/>
    </row>
    <row r="1237" spans="1:20" ht="16" x14ac:dyDescent="0.2">
      <c r="A1237"/>
      <c r="B1237" s="103"/>
      <c r="C1237" s="243"/>
      <c r="D1237" s="119">
        <v>1224</v>
      </c>
      <c r="E1237" s="25" t="str">
        <f>Tp_Non_CHG!I46</f>
        <v>Transition Probability from state 2 to state 2 on day 4 (Non-CHG)</v>
      </c>
      <c r="F1237" s="40">
        <f t="shared" si="198"/>
        <v>6.6666666666666666E-2</v>
      </c>
      <c r="G1237" s="156">
        <v>1</v>
      </c>
      <c r="H1237" s="120">
        <f>Tp_Non_CHG!L46</f>
        <v>6.6666666666666666E-2</v>
      </c>
      <c r="I1237" s="40" t="s">
        <v>58</v>
      </c>
      <c r="J1237" s="40">
        <f>IF(H1237=0,0,_xlfn.NORM.INV(0.025,H1237,R1237))</f>
        <v>5.3600240103066306E-2</v>
      </c>
      <c r="K1237" s="40">
        <f>IF(H1237=0,0,_xlfn.NORM.INV(0.975,H1237,R1237))</f>
        <v>7.9733093230267019E-2</v>
      </c>
      <c r="L1237" s="40" t="s">
        <v>26</v>
      </c>
      <c r="M1237" s="50" t="s">
        <v>266</v>
      </c>
      <c r="N1237" s="190">
        <f t="shared" ca="1" si="197"/>
        <v>7.5979548426379218E-2</v>
      </c>
      <c r="O1237" s="40">
        <f ca="1">RAND()</f>
        <v>0.91482411261179097</v>
      </c>
      <c r="P1237" s="51">
        <f t="shared" si="199"/>
        <v>93.266666666666652</v>
      </c>
      <c r="Q1237" s="51">
        <f t="shared" si="200"/>
        <v>1305.7333333333331</v>
      </c>
      <c r="R1237" s="51">
        <f>assumedSE*H1237</f>
        <v>6.6666666666666671E-3</v>
      </c>
      <c r="S1237"/>
      <c r="T1237" s="83"/>
    </row>
    <row r="1238" spans="1:20" ht="16" x14ac:dyDescent="0.2">
      <c r="A1238"/>
      <c r="B1238" s="103"/>
      <c r="C1238" s="243"/>
      <c r="D1238" s="119">
        <v>1225</v>
      </c>
      <c r="E1238" s="25" t="str">
        <f>Tp_Non_CHG!I15</f>
        <v>Transition Probability from state 2 to state 1 on day 5 (Non-CHG)</v>
      </c>
      <c r="F1238" s="40">
        <f t="shared" si="198"/>
        <v>1</v>
      </c>
      <c r="G1238" s="156">
        <v>1</v>
      </c>
      <c r="H1238" s="120">
        <f>Tp_Non_CHG!L15</f>
        <v>1</v>
      </c>
      <c r="I1238" s="40" t="s">
        <v>58</v>
      </c>
      <c r="J1238" s="40">
        <f t="shared" si="181"/>
        <v>0.8040036015459946</v>
      </c>
      <c r="K1238" s="40">
        <f t="shared" si="182"/>
        <v>1.1959963984540054</v>
      </c>
      <c r="L1238" s="40" t="s">
        <v>58</v>
      </c>
      <c r="M1238" s="50" t="s">
        <v>266</v>
      </c>
      <c r="N1238" s="190"/>
      <c r="O1238" s="40">
        <f t="shared" ca="1" si="193"/>
        <v>0.85873737292421171</v>
      </c>
      <c r="P1238" s="51">
        <f t="shared" si="199"/>
        <v>-1</v>
      </c>
      <c r="Q1238" s="51">
        <f t="shared" si="200"/>
        <v>0</v>
      </c>
      <c r="R1238" s="51">
        <f t="shared" si="183"/>
        <v>0.1</v>
      </c>
      <c r="S1238"/>
      <c r="T1238" s="83"/>
    </row>
    <row r="1239" spans="1:20" ht="16" x14ac:dyDescent="0.2">
      <c r="A1239"/>
      <c r="B1239" s="103"/>
      <c r="C1239" s="243"/>
      <c r="D1239" s="119">
        <v>1226</v>
      </c>
      <c r="E1239" s="25" t="str">
        <f>Tp_Non_CHG!I16</f>
        <v>Transition Probability from state 2 to state 1 on day 6 (Non-CHG)</v>
      </c>
      <c r="F1239" s="40">
        <f t="shared" si="198"/>
        <v>1</v>
      </c>
      <c r="G1239" s="156">
        <v>1</v>
      </c>
      <c r="H1239" s="120">
        <f>Tp_Non_CHG!L16</f>
        <v>1</v>
      </c>
      <c r="I1239" s="40" t="s">
        <v>58</v>
      </c>
      <c r="J1239" s="40">
        <f t="shared" si="181"/>
        <v>0.8040036015459946</v>
      </c>
      <c r="K1239" s="40">
        <f t="shared" si="182"/>
        <v>1.1959963984540054</v>
      </c>
      <c r="L1239" s="40" t="s">
        <v>58</v>
      </c>
      <c r="M1239" s="50" t="s">
        <v>266</v>
      </c>
      <c r="N1239" s="190"/>
      <c r="O1239" s="40">
        <f t="shared" ca="1" si="193"/>
        <v>0.44754269673654978</v>
      </c>
      <c r="P1239" s="51">
        <f t="shared" si="199"/>
        <v>-1</v>
      </c>
      <c r="Q1239" s="51">
        <f t="shared" si="200"/>
        <v>0</v>
      </c>
      <c r="R1239" s="51">
        <f t="shared" si="183"/>
        <v>0.1</v>
      </c>
      <c r="S1239"/>
      <c r="T1239" s="83"/>
    </row>
    <row r="1240" spans="1:20" ht="16" x14ac:dyDescent="0.2">
      <c r="A1240"/>
      <c r="B1240" s="103"/>
      <c r="C1240" s="243"/>
      <c r="D1240" s="119">
        <v>1227</v>
      </c>
      <c r="E1240" s="25" t="str">
        <f>Tp_Non_CHG!I17</f>
        <v>Transition Probability from state 2 to state 1 on day 7 (Non-CHG)</v>
      </c>
      <c r="F1240" s="40">
        <f t="shared" si="198"/>
        <v>0.94736842105263153</v>
      </c>
      <c r="G1240" s="156">
        <v>1</v>
      </c>
      <c r="H1240" s="120">
        <f>Tp_Non_CHG!L17</f>
        <v>0.94736842105263153</v>
      </c>
      <c r="I1240" s="40" t="s">
        <v>58</v>
      </c>
      <c r="J1240" s="40">
        <f t="shared" si="181"/>
        <v>0.76168762251725797</v>
      </c>
      <c r="K1240" s="40">
        <f t="shared" si="182"/>
        <v>1.1330492195880051</v>
      </c>
      <c r="L1240" s="40" t="s">
        <v>26</v>
      </c>
      <c r="M1240" s="50" t="s">
        <v>266</v>
      </c>
      <c r="N1240" s="190">
        <f t="shared" ref="N1240:N1262" ca="1" si="201">_xlfn.BETA.INV(O1240,P1240,Q1240)</f>
        <v>0.97892913672409898</v>
      </c>
      <c r="O1240" s="40">
        <f t="shared" ca="1" si="193"/>
        <v>0.40184361890664155</v>
      </c>
      <c r="P1240" s="51">
        <f t="shared" si="199"/>
        <v>4.3157894736842151</v>
      </c>
      <c r="Q1240" s="51">
        <f t="shared" si="200"/>
        <v>0.23976608187134554</v>
      </c>
      <c r="R1240" s="51">
        <f t="shared" si="183"/>
        <v>9.4736842105263161E-2</v>
      </c>
      <c r="S1240"/>
      <c r="T1240" s="83"/>
    </row>
    <row r="1241" spans="1:20" ht="16" x14ac:dyDescent="0.2">
      <c r="A1241"/>
      <c r="B1241" s="103"/>
      <c r="C1241" s="243"/>
      <c r="D1241" s="119">
        <v>1228</v>
      </c>
      <c r="E1241" s="25" t="str">
        <f>Tp_Non_CHG!I49</f>
        <v>Transition Probability from state 2 to state 2 on day 7 (Non-CHG)</v>
      </c>
      <c r="F1241" s="40">
        <f t="shared" si="198"/>
        <v>5.2631578947368418E-2</v>
      </c>
      <c r="G1241" s="156">
        <v>1</v>
      </c>
      <c r="H1241" s="120">
        <f>Tp_Non_CHG!L49</f>
        <v>5.2631578947368418E-2</v>
      </c>
      <c r="I1241" s="40" t="s">
        <v>58</v>
      </c>
      <c r="J1241" s="40">
        <f>IF(H1241=0,0,_xlfn.NORM.INV(0.025,H1241,R1241))</f>
        <v>4.2315979028736558E-2</v>
      </c>
      <c r="K1241" s="40">
        <f>IF(H1241=0,0,_xlfn.NORM.INV(0.975,H1241,R1241))</f>
        <v>6.2947178866000278E-2</v>
      </c>
      <c r="L1241" s="40" t="s">
        <v>26</v>
      </c>
      <c r="M1241" s="50" t="s">
        <v>266</v>
      </c>
      <c r="N1241" s="190">
        <f t="shared" ca="1" si="201"/>
        <v>5.352016887577582E-2</v>
      </c>
      <c r="O1241" s="40">
        <f ca="1">RAND()</f>
        <v>0.57899832989275035</v>
      </c>
      <c r="P1241" s="51">
        <f t="shared" si="199"/>
        <v>94.684210526315795</v>
      </c>
      <c r="Q1241" s="51">
        <f t="shared" si="200"/>
        <v>1704.3157894736846</v>
      </c>
      <c r="R1241" s="51">
        <f>assumedSE*H1241</f>
        <v>5.263157894736842E-3</v>
      </c>
      <c r="S1241"/>
      <c r="T1241" s="83"/>
    </row>
    <row r="1242" spans="1:20" ht="16" x14ac:dyDescent="0.2">
      <c r="A1242"/>
      <c r="B1242" s="103"/>
      <c r="C1242" s="243"/>
      <c r="D1242" s="119">
        <v>1229</v>
      </c>
      <c r="E1242" s="25" t="str">
        <f>Tp_Non_CHG!I18</f>
        <v>Transition Probability from state 2 to state 1 on day 8 (Non-CHG)</v>
      </c>
      <c r="F1242" s="40">
        <f t="shared" si="198"/>
        <v>0.84210526315789469</v>
      </c>
      <c r="G1242" s="156">
        <v>1</v>
      </c>
      <c r="H1242" s="120">
        <f>Tp_Non_CHG!L18</f>
        <v>0.84210526315789469</v>
      </c>
      <c r="I1242" s="40" t="s">
        <v>58</v>
      </c>
      <c r="J1242" s="40">
        <f t="shared" si="181"/>
        <v>0.67705566445978493</v>
      </c>
      <c r="K1242" s="40">
        <f t="shared" si="182"/>
        <v>1.0071548618560044</v>
      </c>
      <c r="L1242" s="40" t="s">
        <v>26</v>
      </c>
      <c r="M1242" s="50" t="s">
        <v>266</v>
      </c>
      <c r="N1242" s="190">
        <f t="shared" ca="1" si="201"/>
        <v>0.69881245813153336</v>
      </c>
      <c r="O1242" s="40">
        <f t="shared" ca="1" si="193"/>
        <v>6.4076425702012663E-2</v>
      </c>
      <c r="P1242" s="51">
        <f t="shared" si="199"/>
        <v>14.947368421052637</v>
      </c>
      <c r="Q1242" s="51">
        <f t="shared" si="200"/>
        <v>2.8026315789473704</v>
      </c>
      <c r="R1242" s="51">
        <f t="shared" si="183"/>
        <v>8.4210526315789472E-2</v>
      </c>
      <c r="S1242"/>
      <c r="T1242" s="83"/>
    </row>
    <row r="1243" spans="1:20" ht="16" x14ac:dyDescent="0.2">
      <c r="A1243"/>
      <c r="B1243" s="103"/>
      <c r="C1243" s="243"/>
      <c r="D1243" s="119">
        <v>1230</v>
      </c>
      <c r="E1243" s="25" t="str">
        <f>Tp_Non_CHG!I50</f>
        <v>Transition Probability from state 2 to state 2 on day 8 (Non-CHG)</v>
      </c>
      <c r="F1243" s="40">
        <f t="shared" si="198"/>
        <v>0.15789473684210525</v>
      </c>
      <c r="G1243" s="156">
        <v>1</v>
      </c>
      <c r="H1243" s="120">
        <f>Tp_Non_CHG!L50</f>
        <v>0.15789473684210525</v>
      </c>
      <c r="I1243" s="40" t="s">
        <v>58</v>
      </c>
      <c r="J1243" s="40">
        <f>IF(H1243=0,0,_xlfn.NORM.INV(0.025,H1243,R1243))</f>
        <v>0.12694793708620966</v>
      </c>
      <c r="K1243" s="40">
        <f>IF(H1243=0,0,_xlfn.NORM.INV(0.975,H1243,R1243))</f>
        <v>0.18884153659800085</v>
      </c>
      <c r="L1243" s="40" t="s">
        <v>26</v>
      </c>
      <c r="M1243" s="50" t="s">
        <v>266</v>
      </c>
      <c r="N1243" s="190">
        <f t="shared" ca="1" si="201"/>
        <v>0.16880343238104212</v>
      </c>
      <c r="O1243" s="40">
        <f ca="1">RAND()</f>
        <v>0.75945447542162969</v>
      </c>
      <c r="P1243" s="51">
        <f t="shared" si="199"/>
        <v>84.052631578947356</v>
      </c>
      <c r="Q1243" s="51">
        <f t="shared" si="200"/>
        <v>448.28070175438586</v>
      </c>
      <c r="R1243" s="51">
        <f>assumedSE*H1243</f>
        <v>1.5789473684210527E-2</v>
      </c>
      <c r="S1243"/>
      <c r="T1243" s="83"/>
    </row>
    <row r="1244" spans="1:20" ht="16" x14ac:dyDescent="0.2">
      <c r="A1244"/>
      <c r="B1244" s="103"/>
      <c r="C1244" s="243"/>
      <c r="D1244" s="119">
        <v>1231</v>
      </c>
      <c r="E1244" s="25" t="str">
        <f>Tp_Non_CHG!I19</f>
        <v>Transition Probability from state 2 to state 1 on day 9 (Non-CHG)</v>
      </c>
      <c r="F1244" s="40">
        <f t="shared" si="198"/>
        <v>0.8666666666666667</v>
      </c>
      <c r="G1244" s="156">
        <v>1</v>
      </c>
      <c r="H1244" s="120">
        <f>Tp_Non_CHG!L19</f>
        <v>0.8666666666666667</v>
      </c>
      <c r="I1244" s="40" t="s">
        <v>58</v>
      </c>
      <c r="J1244" s="40">
        <f t="shared" si="181"/>
        <v>0.696803121339862</v>
      </c>
      <c r="K1244" s="40">
        <f t="shared" si="182"/>
        <v>1.0365302119934714</v>
      </c>
      <c r="L1244" s="40" t="s">
        <v>26</v>
      </c>
      <c r="M1244" s="50" t="s">
        <v>266</v>
      </c>
      <c r="N1244" s="190">
        <f t="shared" ca="1" si="201"/>
        <v>0.96980425175639318</v>
      </c>
      <c r="O1244" s="40">
        <f t="shared" ca="1" si="193"/>
        <v>0.92942667232666909</v>
      </c>
      <c r="P1244" s="51">
        <f t="shared" si="199"/>
        <v>12.466666666666665</v>
      </c>
      <c r="Q1244" s="51">
        <f t="shared" si="200"/>
        <v>1.9179487179487171</v>
      </c>
      <c r="R1244" s="51">
        <f t="shared" si="183"/>
        <v>8.666666666666667E-2</v>
      </c>
      <c r="S1244"/>
      <c r="T1244" s="83"/>
    </row>
    <row r="1245" spans="1:20" ht="16" x14ac:dyDescent="0.2">
      <c r="A1245"/>
      <c r="B1245" s="103"/>
      <c r="C1245" s="243"/>
      <c r="D1245" s="119">
        <v>1232</v>
      </c>
      <c r="E1245" s="25" t="str">
        <f>Tp_Non_CHG!I147</f>
        <v>Transition Probability from state 2 to state 5 on day 9 (Non-CHG)</v>
      </c>
      <c r="F1245" s="40">
        <f t="shared" si="198"/>
        <v>6.6666666666666666E-2</v>
      </c>
      <c r="G1245" s="156">
        <v>1</v>
      </c>
      <c r="H1245" s="120">
        <f>Tp_Non_CHG!L147</f>
        <v>6.6666666666666666E-2</v>
      </c>
      <c r="I1245" s="40" t="s">
        <v>58</v>
      </c>
      <c r="J1245" s="40">
        <f>IF(H1245=0,0,_xlfn.NORM.INV(0.025,H1245,R1245))</f>
        <v>5.3600240103066306E-2</v>
      </c>
      <c r="K1245" s="40">
        <f>IF(H1245=0,0,_xlfn.NORM.INV(0.975,H1245,R1245))</f>
        <v>7.9733093230267019E-2</v>
      </c>
      <c r="L1245" s="40" t="s">
        <v>26</v>
      </c>
      <c r="M1245" s="50" t="s">
        <v>266</v>
      </c>
      <c r="N1245" s="190">
        <f t="shared" ca="1" si="201"/>
        <v>6.2826672259345795E-2</v>
      </c>
      <c r="O1245" s="40">
        <f ca="1">RAND()</f>
        <v>0.28937532347566297</v>
      </c>
      <c r="P1245" s="51">
        <f t="shared" si="199"/>
        <v>93.266666666666652</v>
      </c>
      <c r="Q1245" s="51">
        <f t="shared" si="200"/>
        <v>1305.7333333333331</v>
      </c>
      <c r="R1245" s="51">
        <f>assumedSE*H1245</f>
        <v>6.6666666666666671E-3</v>
      </c>
      <c r="S1245"/>
      <c r="T1245" s="83"/>
    </row>
    <row r="1246" spans="1:20" ht="16" x14ac:dyDescent="0.2">
      <c r="A1246"/>
      <c r="B1246" s="103"/>
      <c r="C1246" s="243"/>
      <c r="D1246" s="119">
        <v>1233</v>
      </c>
      <c r="E1246" s="25" t="str">
        <f>Tp_Non_CHG!I244</f>
        <v>Transition Probability from state 2 to state 8 on day 9 (Non-CHG)</v>
      </c>
      <c r="F1246" s="40">
        <f t="shared" si="198"/>
        <v>6.6666666666666666E-2</v>
      </c>
      <c r="G1246" s="156">
        <v>1</v>
      </c>
      <c r="H1246" s="120">
        <f>Tp_Non_CHG!L244</f>
        <v>6.6666666666666666E-2</v>
      </c>
      <c r="I1246" s="40" t="s">
        <v>58</v>
      </c>
      <c r="J1246" s="40">
        <f>IF(H1246=0,0,_xlfn.NORM.INV(0.025,H1246,R1246))</f>
        <v>5.3600240103066306E-2</v>
      </c>
      <c r="K1246" s="40">
        <f>IF(H1246=0,0,_xlfn.NORM.INV(0.975,H1246,R1246))</f>
        <v>7.9733093230267019E-2</v>
      </c>
      <c r="L1246" s="40" t="s">
        <v>26</v>
      </c>
      <c r="M1246" s="50" t="s">
        <v>266</v>
      </c>
      <c r="N1246" s="190">
        <f t="shared" ca="1" si="201"/>
        <v>7.0195615787377097E-2</v>
      </c>
      <c r="O1246" s="40">
        <f ca="1">RAND()</f>
        <v>0.70935581656407432</v>
      </c>
      <c r="P1246" s="51">
        <f t="shared" si="199"/>
        <v>93.266666666666652</v>
      </c>
      <c r="Q1246" s="51">
        <f t="shared" si="200"/>
        <v>1305.7333333333331</v>
      </c>
      <c r="R1246" s="51">
        <f>assumedSE*H1246</f>
        <v>6.6666666666666671E-3</v>
      </c>
      <c r="S1246"/>
      <c r="T1246" s="83"/>
    </row>
    <row r="1247" spans="1:20" ht="16" x14ac:dyDescent="0.2">
      <c r="A1247"/>
      <c r="B1247" s="103"/>
      <c r="C1247" s="243"/>
      <c r="D1247" s="119">
        <v>1234</v>
      </c>
      <c r="E1247" s="25" t="str">
        <f>Tp_Non_CHG!I20</f>
        <v>Transition Probability from state 2 to state 1 on day 10 (Non-CHG)</v>
      </c>
      <c r="F1247" s="40">
        <f t="shared" si="198"/>
        <v>1</v>
      </c>
      <c r="G1247" s="156">
        <v>1</v>
      </c>
      <c r="H1247" s="120">
        <f>Tp_Non_CHG!L20</f>
        <v>1</v>
      </c>
      <c r="I1247" s="40" t="s">
        <v>58</v>
      </c>
      <c r="J1247" s="40">
        <f t="shared" si="181"/>
        <v>0.8040036015459946</v>
      </c>
      <c r="K1247" s="40">
        <f t="shared" si="182"/>
        <v>1.1959963984540054</v>
      </c>
      <c r="L1247" s="40" t="s">
        <v>58</v>
      </c>
      <c r="M1247" s="50" t="s">
        <v>266</v>
      </c>
      <c r="N1247" s="190"/>
      <c r="O1247" s="40">
        <f t="shared" ca="1" si="193"/>
        <v>0.67360127324747365</v>
      </c>
      <c r="P1247" s="51">
        <f t="shared" si="199"/>
        <v>-1</v>
      </c>
      <c r="Q1247" s="51">
        <f t="shared" si="200"/>
        <v>0</v>
      </c>
      <c r="R1247" s="51">
        <f t="shared" si="183"/>
        <v>0.1</v>
      </c>
      <c r="S1247"/>
      <c r="T1247" s="83"/>
    </row>
    <row r="1248" spans="1:20" ht="16" x14ac:dyDescent="0.2">
      <c r="A1248"/>
      <c r="B1248" s="103"/>
      <c r="C1248" s="243"/>
      <c r="D1248" s="119">
        <v>1235</v>
      </c>
      <c r="E1248" s="25" t="str">
        <f>Tp_Non_CHG!I21</f>
        <v>Transition Probability from state 2 to state 1 on day 11 (Non-CHG)</v>
      </c>
      <c r="F1248" s="40">
        <f t="shared" si="198"/>
        <v>1</v>
      </c>
      <c r="G1248" s="156">
        <v>1</v>
      </c>
      <c r="H1248" s="120">
        <f>Tp_Non_CHG!L21</f>
        <v>1</v>
      </c>
      <c r="I1248" s="40" t="s">
        <v>58</v>
      </c>
      <c r="J1248" s="40">
        <f t="shared" si="181"/>
        <v>0.8040036015459946</v>
      </c>
      <c r="K1248" s="40">
        <f t="shared" si="182"/>
        <v>1.1959963984540054</v>
      </c>
      <c r="L1248" s="40" t="s">
        <v>58</v>
      </c>
      <c r="M1248" s="50" t="s">
        <v>266</v>
      </c>
      <c r="N1248" s="190"/>
      <c r="O1248" s="40">
        <f t="shared" ca="1" si="193"/>
        <v>0.42619651511457568</v>
      </c>
      <c r="P1248" s="51">
        <f t="shared" si="199"/>
        <v>-1</v>
      </c>
      <c r="Q1248" s="51">
        <f t="shared" si="200"/>
        <v>0</v>
      </c>
      <c r="R1248" s="51">
        <f t="shared" si="183"/>
        <v>0.1</v>
      </c>
      <c r="S1248"/>
      <c r="T1248" s="83"/>
    </row>
    <row r="1249" spans="1:20" ht="16" x14ac:dyDescent="0.2">
      <c r="A1249"/>
      <c r="B1249" s="103"/>
      <c r="C1249" s="243"/>
      <c r="D1249" s="119">
        <v>1236</v>
      </c>
      <c r="E1249" s="25" t="str">
        <f>Tp_Non_CHG!I22</f>
        <v>Transition Probability from state 2 to state 1 on day 12 (Non-CHG)</v>
      </c>
      <c r="F1249" s="40">
        <f t="shared" si="198"/>
        <v>0.9</v>
      </c>
      <c r="G1249" s="156">
        <v>1</v>
      </c>
      <c r="H1249" s="120">
        <f>Tp_Non_CHG!L22</f>
        <v>0.9</v>
      </c>
      <c r="I1249" s="40" t="s">
        <v>58</v>
      </c>
      <c r="J1249" s="40">
        <f t="shared" si="181"/>
        <v>0.72360324139139509</v>
      </c>
      <c r="K1249" s="40">
        <f t="shared" si="182"/>
        <v>1.076396758608605</v>
      </c>
      <c r="L1249" s="40" t="s">
        <v>26</v>
      </c>
      <c r="M1249" s="50" t="s">
        <v>266</v>
      </c>
      <c r="N1249" s="190">
        <f t="shared" ca="1" si="201"/>
        <v>0.97198118206081441</v>
      </c>
      <c r="O1249" s="40">
        <f t="shared" ca="1" si="193"/>
        <v>0.77662601514980889</v>
      </c>
      <c r="P1249" s="51">
        <f t="shared" si="199"/>
        <v>9.0999999999999961</v>
      </c>
      <c r="Q1249" s="51">
        <f t="shared" si="200"/>
        <v>1.0111111111111104</v>
      </c>
      <c r="R1249" s="51">
        <f t="shared" si="183"/>
        <v>9.0000000000000011E-2</v>
      </c>
      <c r="S1249"/>
      <c r="T1249" s="83"/>
    </row>
    <row r="1250" spans="1:20" ht="16" x14ac:dyDescent="0.2">
      <c r="A1250"/>
      <c r="B1250" s="103"/>
      <c r="C1250" s="243"/>
      <c r="D1250" s="119">
        <v>1237</v>
      </c>
      <c r="E1250" s="25" t="str">
        <f>Tp_Non_CHG!I54</f>
        <v>Transition Probability from state 2 to state 2 on day 12 (Non-CHG)</v>
      </c>
      <c r="F1250" s="40">
        <f t="shared" si="198"/>
        <v>0.1</v>
      </c>
      <c r="G1250" s="156">
        <v>1</v>
      </c>
      <c r="H1250" s="120">
        <f>Tp_Non_CHG!L54</f>
        <v>0.1</v>
      </c>
      <c r="I1250" s="40" t="s">
        <v>58</v>
      </c>
      <c r="J1250" s="40">
        <f>IF(H1250=0,0,_xlfn.NORM.INV(0.025,H1250,R1250))</f>
        <v>8.0400360154599462E-2</v>
      </c>
      <c r="K1250" s="40">
        <f>IF(H1250=0,0,_xlfn.NORM.INV(0.975,H1250,R1250))</f>
        <v>0.11959963984540055</v>
      </c>
      <c r="L1250" s="40" t="s">
        <v>26</v>
      </c>
      <c r="M1250" s="50" t="s">
        <v>266</v>
      </c>
      <c r="N1250" s="190">
        <f t="shared" ca="1" si="201"/>
        <v>0.10669929021731861</v>
      </c>
      <c r="O1250" s="40">
        <f ca="1">RAND()</f>
        <v>0.75368010958058229</v>
      </c>
      <c r="P1250" s="51">
        <f t="shared" si="199"/>
        <v>89.899999999999977</v>
      </c>
      <c r="Q1250" s="51">
        <f t="shared" si="200"/>
        <v>809.09999999999968</v>
      </c>
      <c r="R1250" s="51">
        <f>assumedSE*H1250</f>
        <v>1.0000000000000002E-2</v>
      </c>
      <c r="S1250"/>
      <c r="T1250" s="83"/>
    </row>
    <row r="1251" spans="1:20" ht="16" x14ac:dyDescent="0.2">
      <c r="A1251"/>
      <c r="B1251" s="103"/>
      <c r="C1251" s="243"/>
      <c r="D1251" s="119">
        <v>1238</v>
      </c>
      <c r="E1251" s="25" t="str">
        <f>Tp_Non_CHG!I23</f>
        <v>Transition Probability from state 2 to state 1 on day 13 (Non-CHG)</v>
      </c>
      <c r="F1251" s="40">
        <f t="shared" si="198"/>
        <v>1</v>
      </c>
      <c r="G1251" s="156">
        <v>1</v>
      </c>
      <c r="H1251" s="120">
        <f>Tp_Non_CHG!L23</f>
        <v>1</v>
      </c>
      <c r="I1251" s="40" t="s">
        <v>58</v>
      </c>
      <c r="J1251" s="40">
        <f t="shared" si="181"/>
        <v>0.8040036015459946</v>
      </c>
      <c r="K1251" s="40">
        <f t="shared" si="182"/>
        <v>1.1959963984540054</v>
      </c>
      <c r="L1251" s="40" t="s">
        <v>58</v>
      </c>
      <c r="M1251" s="50" t="s">
        <v>266</v>
      </c>
      <c r="N1251" s="190"/>
      <c r="O1251" s="40">
        <f t="shared" ca="1" si="193"/>
        <v>0.48574581737197875</v>
      </c>
      <c r="P1251" s="51">
        <f t="shared" si="199"/>
        <v>-1</v>
      </c>
      <c r="Q1251" s="51">
        <f t="shared" si="200"/>
        <v>0</v>
      </c>
      <c r="R1251" s="51">
        <f t="shared" si="183"/>
        <v>0.1</v>
      </c>
      <c r="S1251"/>
      <c r="T1251" s="83"/>
    </row>
    <row r="1252" spans="1:20" ht="16" x14ac:dyDescent="0.2">
      <c r="A1252"/>
      <c r="B1252" s="103"/>
      <c r="C1252" s="243"/>
      <c r="D1252" s="119">
        <v>1239</v>
      </c>
      <c r="E1252" s="25" t="str">
        <f>Tp_Non_CHG!I24</f>
        <v>Transition Probability from state 2 to state 1 on day 14 (Non-CHG)</v>
      </c>
      <c r="F1252" s="40">
        <f t="shared" si="198"/>
        <v>0.7857142857142857</v>
      </c>
      <c r="G1252" s="156">
        <v>1</v>
      </c>
      <c r="H1252" s="120">
        <f>Tp_Non_CHG!L24</f>
        <v>0.7857142857142857</v>
      </c>
      <c r="I1252" s="40" t="s">
        <v>58</v>
      </c>
      <c r="J1252" s="40">
        <f t="shared" si="181"/>
        <v>0.63171711550042431</v>
      </c>
      <c r="K1252" s="40">
        <f t="shared" si="182"/>
        <v>0.93971145592814709</v>
      </c>
      <c r="L1252" s="40" t="s">
        <v>26</v>
      </c>
      <c r="M1252" s="50" t="s">
        <v>266</v>
      </c>
      <c r="N1252" s="190">
        <f t="shared" ca="1" si="201"/>
        <v>0.80945806776695128</v>
      </c>
      <c r="O1252" s="40">
        <f t="shared" ca="1" si="193"/>
        <v>0.58339517921823136</v>
      </c>
      <c r="P1252" s="51">
        <f t="shared" si="199"/>
        <v>20.642857142857146</v>
      </c>
      <c r="Q1252" s="51">
        <f t="shared" si="200"/>
        <v>5.629870129870131</v>
      </c>
      <c r="R1252" s="51">
        <f t="shared" si="183"/>
        <v>7.857142857142857E-2</v>
      </c>
      <c r="S1252"/>
      <c r="T1252" s="83"/>
    </row>
    <row r="1253" spans="1:20" ht="16" x14ac:dyDescent="0.2">
      <c r="A1253"/>
      <c r="B1253" s="103"/>
      <c r="C1253" s="243"/>
      <c r="D1253" s="119">
        <v>1240</v>
      </c>
      <c r="E1253" s="25" t="str">
        <f>Tp_Non_CHG!I217</f>
        <v>Transition Probability from state 2 to state 7 on day 14 (Non-CHG)</v>
      </c>
      <c r="F1253" s="40">
        <f t="shared" si="198"/>
        <v>7.1428571428571425E-2</v>
      </c>
      <c r="G1253" s="156">
        <v>1</v>
      </c>
      <c r="H1253" s="120">
        <f>Tp_Non_CHG!L217</f>
        <v>7.1428571428571425E-2</v>
      </c>
      <c r="I1253" s="40" t="s">
        <v>58</v>
      </c>
      <c r="J1253" s="40">
        <f>IF(H1253=0,0,_xlfn.NORM.INV(0.025,H1253,R1253))</f>
        <v>5.7428828681856753E-2</v>
      </c>
      <c r="K1253" s="40">
        <f>IF(H1253=0,0,_xlfn.NORM.INV(0.975,H1253,R1253))</f>
        <v>8.5428314175286096E-2</v>
      </c>
      <c r="L1253" s="40" t="s">
        <v>26</v>
      </c>
      <c r="M1253" s="50" t="s">
        <v>266</v>
      </c>
      <c r="N1253" s="190">
        <f t="shared" ca="1" si="201"/>
        <v>7.8729208319423094E-2</v>
      </c>
      <c r="O1253" s="40">
        <f ca="1">RAND()</f>
        <v>0.84655561115624134</v>
      </c>
      <c r="P1253" s="51">
        <f t="shared" si="199"/>
        <v>92.785714285714292</v>
      </c>
      <c r="Q1253" s="51">
        <f t="shared" si="200"/>
        <v>1206.214285714286</v>
      </c>
      <c r="R1253" s="51">
        <f>assumedSE*H1253</f>
        <v>7.1428571428571426E-3</v>
      </c>
      <c r="S1253"/>
      <c r="T1253" s="83"/>
    </row>
    <row r="1254" spans="1:20" ht="16" x14ac:dyDescent="0.2">
      <c r="A1254"/>
      <c r="B1254" s="103"/>
      <c r="C1254" s="243"/>
      <c r="D1254" s="119">
        <v>1241</v>
      </c>
      <c r="E1254" s="25" t="str">
        <f>Tp_Non_CHG!I249</f>
        <v>Transition Probability from state 2 to state 8 on day 14 (Non-CHG)</v>
      </c>
      <c r="F1254" s="40">
        <f t="shared" si="198"/>
        <v>0.14285714285714285</v>
      </c>
      <c r="G1254" s="156">
        <v>1</v>
      </c>
      <c r="H1254" s="120">
        <f>Tp_Non_CHG!L249</f>
        <v>0.14285714285714285</v>
      </c>
      <c r="I1254" s="40" t="s">
        <v>58</v>
      </c>
      <c r="J1254" s="40">
        <f>IF(H1254=0,0,_xlfn.NORM.INV(0.025,H1254,R1254))</f>
        <v>0.11485765736371351</v>
      </c>
      <c r="K1254" s="40">
        <f>IF(H1254=0,0,_xlfn.NORM.INV(0.975,H1254,R1254))</f>
        <v>0.17085662835057219</v>
      </c>
      <c r="L1254" s="40" t="s">
        <v>26</v>
      </c>
      <c r="M1254" s="50" t="s">
        <v>266</v>
      </c>
      <c r="N1254" s="190">
        <f t="shared" ca="1" si="201"/>
        <v>0.12398173422250923</v>
      </c>
      <c r="O1254" s="40">
        <f ca="1">RAND()</f>
        <v>8.9397822988643294E-2</v>
      </c>
      <c r="P1254" s="51">
        <f t="shared" si="199"/>
        <v>85.571428571428569</v>
      </c>
      <c r="Q1254" s="51">
        <f t="shared" si="200"/>
        <v>513.42857142857144</v>
      </c>
      <c r="R1254" s="51">
        <f>assumedSE*H1254</f>
        <v>1.4285714285714285E-2</v>
      </c>
      <c r="S1254"/>
      <c r="T1254" s="83"/>
    </row>
    <row r="1255" spans="1:20" ht="16" x14ac:dyDescent="0.2">
      <c r="A1255"/>
      <c r="B1255" s="103"/>
      <c r="C1255" s="243"/>
      <c r="D1255" s="119">
        <v>1242</v>
      </c>
      <c r="E1255" s="25" t="str">
        <f>Tp_Non_CHG!I25</f>
        <v>Transition Probability from state 2 to state 1 on day 15 (Non-CHG)</v>
      </c>
      <c r="F1255" s="40">
        <f t="shared" si="198"/>
        <v>0.8</v>
      </c>
      <c r="G1255" s="156">
        <v>1</v>
      </c>
      <c r="H1255" s="120">
        <f>Tp_Non_CHG!L25</f>
        <v>0.8</v>
      </c>
      <c r="I1255" s="40" t="s">
        <v>58</v>
      </c>
      <c r="J1255" s="40">
        <f t="shared" ref="J1255:J1324" si="202">IF(H1255=0,0,_xlfn.NORM.INV(0.025,H1255,R1255))</f>
        <v>0.6432028812367957</v>
      </c>
      <c r="K1255" s="40">
        <f t="shared" ref="K1255:K1324" si="203">IF(H1255=0,0,_xlfn.NORM.INV(0.975,H1255,R1255))</f>
        <v>0.95679711876320439</v>
      </c>
      <c r="L1255" s="40" t="s">
        <v>26</v>
      </c>
      <c r="M1255" s="50" t="s">
        <v>266</v>
      </c>
      <c r="N1255" s="190">
        <f t="shared" ca="1" si="201"/>
        <v>0.65606367034819846</v>
      </c>
      <c r="O1255" s="40">
        <f t="shared" ca="1" si="193"/>
        <v>5.0951474610218761E-2</v>
      </c>
      <c r="P1255" s="51">
        <f t="shared" si="199"/>
        <v>19.199999999999989</v>
      </c>
      <c r="Q1255" s="51">
        <f t="shared" si="200"/>
        <v>4.7999999999999963</v>
      </c>
      <c r="R1255" s="51">
        <f t="shared" ref="R1255:R1324" si="204">assumedSE*H1255</f>
        <v>8.0000000000000016E-2</v>
      </c>
      <c r="S1255"/>
      <c r="T1255" s="83"/>
    </row>
    <row r="1256" spans="1:20" ht="16" x14ac:dyDescent="0.2">
      <c r="A1256"/>
      <c r="B1256" s="103"/>
      <c r="C1256" s="243"/>
      <c r="D1256" s="119">
        <v>1243</v>
      </c>
      <c r="E1256" s="25" t="str">
        <f>Tp_Non_CHG!I218</f>
        <v>Transition Probability from state 2 to state 7 on day 15 (Non-CHG)</v>
      </c>
      <c r="F1256" s="40">
        <f t="shared" si="198"/>
        <v>0.2</v>
      </c>
      <c r="G1256" s="156">
        <v>1</v>
      </c>
      <c r="H1256" s="120">
        <f>Tp_Non_CHG!L218</f>
        <v>0.2</v>
      </c>
      <c r="I1256" s="40" t="s">
        <v>58</v>
      </c>
      <c r="J1256" s="40">
        <f>IF(H1256=0,0,_xlfn.NORM.INV(0.025,H1256,R1256))</f>
        <v>0.16080072030919892</v>
      </c>
      <c r="K1256" s="40">
        <f>IF(H1256=0,0,_xlfn.NORM.INV(0.975,H1256,R1256))</f>
        <v>0.2391992796908011</v>
      </c>
      <c r="L1256" s="40" t="s">
        <v>26</v>
      </c>
      <c r="M1256" s="50" t="s">
        <v>266</v>
      </c>
      <c r="N1256" s="190">
        <f t="shared" ca="1" si="201"/>
        <v>0.21420491049401313</v>
      </c>
      <c r="O1256" s="40">
        <f ca="1">RAND()</f>
        <v>0.76480524506429626</v>
      </c>
      <c r="P1256" s="51">
        <f t="shared" si="199"/>
        <v>79.799999999999983</v>
      </c>
      <c r="Q1256" s="51">
        <f t="shared" si="200"/>
        <v>319.19999999999993</v>
      </c>
      <c r="R1256" s="51">
        <f>assumedSE*H1256</f>
        <v>2.0000000000000004E-2</v>
      </c>
      <c r="S1256"/>
      <c r="T1256" s="83"/>
    </row>
    <row r="1257" spans="1:20" ht="16" x14ac:dyDescent="0.2">
      <c r="A1257"/>
      <c r="B1257" s="103"/>
      <c r="C1257" s="243"/>
      <c r="D1257" s="119">
        <v>1244</v>
      </c>
      <c r="E1257" s="25" t="str">
        <f>Tp_Non_CHG!I26</f>
        <v>Transition Probability from state 2 to state 1 on day 16 (Non-CHG)</v>
      </c>
      <c r="F1257" s="40">
        <f t="shared" si="198"/>
        <v>1</v>
      </c>
      <c r="G1257" s="156">
        <v>1</v>
      </c>
      <c r="H1257" s="120">
        <f>Tp_Non_CHG!L26</f>
        <v>1</v>
      </c>
      <c r="I1257" s="40" t="s">
        <v>58</v>
      </c>
      <c r="J1257" s="40">
        <f t="shared" si="202"/>
        <v>0.8040036015459946</v>
      </c>
      <c r="K1257" s="40">
        <f t="shared" si="203"/>
        <v>1.1959963984540054</v>
      </c>
      <c r="L1257" s="40" t="s">
        <v>58</v>
      </c>
      <c r="M1257" s="50" t="s">
        <v>266</v>
      </c>
      <c r="N1257" s="190"/>
      <c r="O1257" s="40">
        <f t="shared" ca="1" si="193"/>
        <v>0.59215034286899293</v>
      </c>
      <c r="P1257" s="51">
        <f t="shared" si="199"/>
        <v>-1</v>
      </c>
      <c r="Q1257" s="51">
        <f t="shared" si="200"/>
        <v>0</v>
      </c>
      <c r="R1257" s="51">
        <f t="shared" si="204"/>
        <v>0.1</v>
      </c>
      <c r="S1257"/>
      <c r="T1257" s="83"/>
    </row>
    <row r="1258" spans="1:20" ht="16" x14ac:dyDescent="0.2">
      <c r="A1258"/>
      <c r="B1258" s="103"/>
      <c r="C1258" s="243"/>
      <c r="D1258" s="119">
        <v>1245</v>
      </c>
      <c r="E1258" s="25" t="str">
        <f>Tp_Non_CHG!I27</f>
        <v>Transition Probability from state 2 to state 1 on day 17 (Non-CHG)</v>
      </c>
      <c r="F1258" s="40">
        <f t="shared" si="198"/>
        <v>1</v>
      </c>
      <c r="G1258" s="156">
        <v>1</v>
      </c>
      <c r="H1258" s="120">
        <f>Tp_Non_CHG!L27</f>
        <v>1</v>
      </c>
      <c r="I1258" s="40" t="s">
        <v>58</v>
      </c>
      <c r="J1258" s="40">
        <f t="shared" si="202"/>
        <v>0.8040036015459946</v>
      </c>
      <c r="K1258" s="40">
        <f t="shared" si="203"/>
        <v>1.1959963984540054</v>
      </c>
      <c r="L1258" s="40" t="s">
        <v>58</v>
      </c>
      <c r="M1258" s="50" t="s">
        <v>266</v>
      </c>
      <c r="N1258" s="190"/>
      <c r="O1258" s="40">
        <f t="shared" ca="1" si="193"/>
        <v>0.64774680254712447</v>
      </c>
      <c r="P1258" s="51">
        <f t="shared" si="199"/>
        <v>-1</v>
      </c>
      <c r="Q1258" s="51">
        <f t="shared" si="200"/>
        <v>0</v>
      </c>
      <c r="R1258" s="51">
        <f t="shared" si="204"/>
        <v>0.1</v>
      </c>
      <c r="S1258"/>
      <c r="T1258" s="83"/>
    </row>
    <row r="1259" spans="1:20" ht="16" x14ac:dyDescent="0.2">
      <c r="A1259"/>
      <c r="B1259" s="103"/>
      <c r="C1259" s="243"/>
      <c r="D1259" s="119">
        <v>1246</v>
      </c>
      <c r="E1259" s="25" t="str">
        <f>Tp_Non_CHG!I28</f>
        <v>Transition Probability from state 2 to state 1 on day 18 (Non-CHG)</v>
      </c>
      <c r="F1259" s="40">
        <f t="shared" si="198"/>
        <v>0.83333333333333337</v>
      </c>
      <c r="G1259" s="156">
        <v>1</v>
      </c>
      <c r="H1259" s="120">
        <f>Tp_Non_CHG!L28</f>
        <v>0.83333333333333337</v>
      </c>
      <c r="I1259" s="40" t="s">
        <v>58</v>
      </c>
      <c r="J1259" s="40">
        <f t="shared" si="202"/>
        <v>0.6700030012883289</v>
      </c>
      <c r="K1259" s="40">
        <f t="shared" si="203"/>
        <v>0.99666366537833784</v>
      </c>
      <c r="L1259" s="40" t="s">
        <v>26</v>
      </c>
      <c r="M1259" s="50" t="s">
        <v>266</v>
      </c>
      <c r="N1259" s="190">
        <f t="shared" ca="1" si="201"/>
        <v>0.61728440434254539</v>
      </c>
      <c r="O1259" s="40">
        <f t="shared" ca="1" si="193"/>
        <v>1.537711764348193E-2</v>
      </c>
      <c r="P1259" s="51">
        <f t="shared" si="199"/>
        <v>15.833333333333329</v>
      </c>
      <c r="Q1259" s="51">
        <f t="shared" si="200"/>
        <v>3.1666666666666647</v>
      </c>
      <c r="R1259" s="51">
        <f t="shared" si="204"/>
        <v>8.3333333333333343E-2</v>
      </c>
      <c r="S1259"/>
      <c r="T1259" s="83"/>
    </row>
    <row r="1260" spans="1:20" ht="16" x14ac:dyDescent="0.2">
      <c r="A1260"/>
      <c r="B1260" s="103"/>
      <c r="C1260" s="243"/>
      <c r="D1260" s="119">
        <v>1247</v>
      </c>
      <c r="E1260" s="25" t="str">
        <f>Tp_Non_CHG!I253</f>
        <v>Transition Probability from state 2 to state 8 on day 18 (Non-CHG)</v>
      </c>
      <c r="F1260" s="40">
        <f t="shared" si="198"/>
        <v>0.16666666666666666</v>
      </c>
      <c r="G1260" s="156">
        <v>1</v>
      </c>
      <c r="H1260" s="120">
        <f>Tp_Non_CHG!L253</f>
        <v>0.16666666666666666</v>
      </c>
      <c r="I1260" s="40" t="s">
        <v>58</v>
      </c>
      <c r="J1260" s="40">
        <f>IF(H1260=0,0,_xlfn.NORM.INV(0.025,H1260,R1260))</f>
        <v>0.13400060025766575</v>
      </c>
      <c r="K1260" s="40">
        <f>IF(H1260=0,0,_xlfn.NORM.INV(0.975,H1260,R1260))</f>
        <v>0.19933273307566757</v>
      </c>
      <c r="L1260" s="40" t="s">
        <v>26</v>
      </c>
      <c r="M1260" s="50" t="s">
        <v>266</v>
      </c>
      <c r="N1260" s="190">
        <f t="shared" ca="1" si="201"/>
        <v>0.18558126388034846</v>
      </c>
      <c r="O1260" s="40">
        <f ca="1">RAND()</f>
        <v>0.87028691120438439</v>
      </c>
      <c r="P1260" s="51">
        <f t="shared" si="199"/>
        <v>83.166666666666657</v>
      </c>
      <c r="Q1260" s="51">
        <f t="shared" si="200"/>
        <v>415.83333333333337</v>
      </c>
      <c r="R1260" s="51">
        <f>assumedSE*H1260</f>
        <v>1.6666666666666666E-2</v>
      </c>
      <c r="S1260"/>
      <c r="T1260" s="83"/>
    </row>
    <row r="1261" spans="1:20" ht="16" x14ac:dyDescent="0.2">
      <c r="A1261"/>
      <c r="B1261" s="103"/>
      <c r="C1261" s="243"/>
      <c r="D1261" s="119">
        <v>1248</v>
      </c>
      <c r="E1261" s="25" t="str">
        <f>Tp_Non_CHG!I29</f>
        <v>Transition Probability from state 2 to state 1 on day 19 (Non-CHG)</v>
      </c>
      <c r="F1261" s="40">
        <f t="shared" si="198"/>
        <v>0.90909090909090906</v>
      </c>
      <c r="G1261" s="156">
        <v>1</v>
      </c>
      <c r="H1261" s="120">
        <f>Tp_Non_CHG!L29</f>
        <v>0.90909090909090906</v>
      </c>
      <c r="I1261" s="40" t="s">
        <v>58</v>
      </c>
      <c r="J1261" s="40">
        <f t="shared" si="202"/>
        <v>0.73091236504181323</v>
      </c>
      <c r="K1261" s="40">
        <f t="shared" si="203"/>
        <v>1.0872694531400049</v>
      </c>
      <c r="L1261" s="40" t="s">
        <v>26</v>
      </c>
      <c r="M1261" s="50" t="s">
        <v>266</v>
      </c>
      <c r="N1261" s="190">
        <f t="shared" ca="1" si="201"/>
        <v>0.96855259394088367</v>
      </c>
      <c r="O1261" s="40">
        <f t="shared" ca="1" si="193"/>
        <v>0.68471317211145177</v>
      </c>
      <c r="P1261" s="51">
        <f t="shared" si="199"/>
        <v>8.1818181818181852</v>
      </c>
      <c r="Q1261" s="51">
        <f t="shared" si="200"/>
        <v>0.81818181818181879</v>
      </c>
      <c r="R1261" s="51">
        <f t="shared" si="204"/>
        <v>9.0909090909090912E-2</v>
      </c>
      <c r="S1261"/>
      <c r="T1261" s="83"/>
    </row>
    <row r="1262" spans="1:20" ht="16" x14ac:dyDescent="0.2">
      <c r="A1262"/>
      <c r="B1262" s="103"/>
      <c r="C1262" s="243"/>
      <c r="D1262" s="119">
        <v>1249</v>
      </c>
      <c r="E1262" s="25" t="str">
        <f>Tp_Non_CHG!I61</f>
        <v>Transition Probability from state 2 to state 2 on day 19 (Non-CHG)</v>
      </c>
      <c r="F1262" s="40">
        <f t="shared" si="198"/>
        <v>9.0909090909090912E-2</v>
      </c>
      <c r="G1262" s="156">
        <v>1</v>
      </c>
      <c r="H1262" s="120">
        <f>Tp_Non_CHG!L61</f>
        <v>9.0909090909090912E-2</v>
      </c>
      <c r="I1262" s="40" t="s">
        <v>58</v>
      </c>
      <c r="J1262" s="40">
        <f>IF(H1262=0,0,_xlfn.NORM.INV(0.025,H1262,R1262))</f>
        <v>7.3091236504181326E-2</v>
      </c>
      <c r="K1262" s="40">
        <f>IF(H1262=0,0,_xlfn.NORM.INV(0.975,H1262,R1262))</f>
        <v>0.10872694531400048</v>
      </c>
      <c r="L1262" s="40" t="s">
        <v>26</v>
      </c>
      <c r="M1262" s="50" t="s">
        <v>266</v>
      </c>
      <c r="N1262" s="190">
        <f t="shared" ca="1" si="201"/>
        <v>0.10575507296165909</v>
      </c>
      <c r="O1262" s="40">
        <f ca="1">RAND()</f>
        <v>0.94393544042041544</v>
      </c>
      <c r="P1262" s="51">
        <f t="shared" si="199"/>
        <v>90.818181818181799</v>
      </c>
      <c r="Q1262" s="51">
        <f t="shared" si="200"/>
        <v>908.1818181818179</v>
      </c>
      <c r="R1262" s="51">
        <f>assumedSE*H1262</f>
        <v>9.0909090909090922E-3</v>
      </c>
      <c r="S1262"/>
      <c r="T1262" s="83"/>
    </row>
    <row r="1263" spans="1:20" ht="16" x14ac:dyDescent="0.2">
      <c r="A1263"/>
      <c r="B1263" s="103"/>
      <c r="C1263" s="243"/>
      <c r="D1263" s="119">
        <v>1250</v>
      </c>
      <c r="E1263" s="25" t="str">
        <f>Tp_Non_CHG!I30</f>
        <v>Transition Probability from state 2 to state 1 on day 20 (Non-CHG)</v>
      </c>
      <c r="F1263" s="40">
        <f t="shared" si="198"/>
        <v>1</v>
      </c>
      <c r="G1263" s="156">
        <v>1</v>
      </c>
      <c r="H1263" s="120">
        <f>Tp_Non_CHG!L30</f>
        <v>1</v>
      </c>
      <c r="I1263" s="40" t="s">
        <v>58</v>
      </c>
      <c r="J1263" s="40">
        <f t="shared" si="202"/>
        <v>0.8040036015459946</v>
      </c>
      <c r="K1263" s="40">
        <f t="shared" si="203"/>
        <v>1.1959963984540054</v>
      </c>
      <c r="L1263" s="40" t="s">
        <v>58</v>
      </c>
      <c r="M1263" s="50" t="s">
        <v>266</v>
      </c>
      <c r="N1263" s="190"/>
      <c r="O1263" s="40">
        <f t="shared" ca="1" si="193"/>
        <v>0.45484956482079397</v>
      </c>
      <c r="P1263" s="51">
        <f t="shared" si="199"/>
        <v>-1</v>
      </c>
      <c r="Q1263" s="51">
        <f t="shared" si="200"/>
        <v>0</v>
      </c>
      <c r="R1263" s="51">
        <f t="shared" si="204"/>
        <v>0.1</v>
      </c>
      <c r="S1263"/>
      <c r="T1263" s="83"/>
    </row>
    <row r="1264" spans="1:20" ht="16" x14ac:dyDescent="0.2">
      <c r="A1264"/>
      <c r="B1264" s="103"/>
      <c r="C1264" s="243"/>
      <c r="D1264" s="119">
        <v>1251</v>
      </c>
      <c r="E1264" s="25" t="str">
        <f>Tp_Non_CHG!I31</f>
        <v>Transition Probability from state 2 to state 1 on day 21 (Non-CHG)</v>
      </c>
      <c r="F1264" s="40">
        <f t="shared" si="198"/>
        <v>1</v>
      </c>
      <c r="G1264" s="156">
        <v>1</v>
      </c>
      <c r="H1264" s="120">
        <f>Tp_Non_CHG!L31</f>
        <v>1</v>
      </c>
      <c r="I1264" s="40" t="s">
        <v>58</v>
      </c>
      <c r="J1264" s="40">
        <f t="shared" si="202"/>
        <v>0.8040036015459946</v>
      </c>
      <c r="K1264" s="40">
        <f t="shared" si="203"/>
        <v>1.1959963984540054</v>
      </c>
      <c r="L1264" s="40" t="s">
        <v>58</v>
      </c>
      <c r="M1264" s="50" t="s">
        <v>266</v>
      </c>
      <c r="N1264" s="190"/>
      <c r="O1264" s="40">
        <f t="shared" ca="1" si="193"/>
        <v>0.53172267064929113</v>
      </c>
      <c r="P1264" s="51">
        <f t="shared" si="199"/>
        <v>-1</v>
      </c>
      <c r="Q1264" s="51">
        <f t="shared" si="200"/>
        <v>0</v>
      </c>
      <c r="R1264" s="51">
        <f t="shared" si="204"/>
        <v>0.1</v>
      </c>
      <c r="S1264"/>
      <c r="T1264" s="83"/>
    </row>
    <row r="1265" spans="1:20" ht="16" x14ac:dyDescent="0.2">
      <c r="A1265"/>
      <c r="B1265" s="103"/>
      <c r="C1265" s="243"/>
      <c r="D1265" s="119">
        <v>1252</v>
      </c>
      <c r="E1265" s="25" t="str">
        <f>Tp_Non_CHG!I32</f>
        <v>Transition Probability from state 2 to state 1 on day 22 (Non-CHG)</v>
      </c>
      <c r="F1265" s="40">
        <f t="shared" si="198"/>
        <v>1</v>
      </c>
      <c r="G1265" s="156">
        <v>1</v>
      </c>
      <c r="H1265" s="120">
        <f>Tp_Non_CHG!L32</f>
        <v>1</v>
      </c>
      <c r="I1265" s="40" t="s">
        <v>58</v>
      </c>
      <c r="J1265" s="40">
        <f t="shared" si="202"/>
        <v>0.8040036015459946</v>
      </c>
      <c r="K1265" s="40">
        <f t="shared" si="203"/>
        <v>1.1959963984540054</v>
      </c>
      <c r="L1265" s="40" t="s">
        <v>58</v>
      </c>
      <c r="M1265" s="50" t="s">
        <v>266</v>
      </c>
      <c r="N1265" s="190"/>
      <c r="O1265" s="40">
        <f t="shared" ca="1" si="193"/>
        <v>6.0864087715310045E-2</v>
      </c>
      <c r="P1265" s="51">
        <f t="shared" si="199"/>
        <v>-1</v>
      </c>
      <c r="Q1265" s="51">
        <f t="shared" si="200"/>
        <v>0</v>
      </c>
      <c r="R1265" s="51">
        <f t="shared" si="204"/>
        <v>0.1</v>
      </c>
      <c r="S1265"/>
      <c r="T1265" s="83"/>
    </row>
    <row r="1266" spans="1:20" ht="16" x14ac:dyDescent="0.2">
      <c r="A1266"/>
      <c r="B1266" s="103"/>
      <c r="C1266" s="243"/>
      <c r="D1266" s="119">
        <v>1253</v>
      </c>
      <c r="E1266" s="25" t="str">
        <f>Tp_Non_CHG!I33</f>
        <v>Transition Probability from state 2 to state 1 on day 23 (Non-CHG)</v>
      </c>
      <c r="F1266" s="40">
        <f t="shared" si="198"/>
        <v>1</v>
      </c>
      <c r="G1266" s="156">
        <v>1</v>
      </c>
      <c r="H1266" s="120">
        <f>Tp_Non_CHG!L33</f>
        <v>1</v>
      </c>
      <c r="I1266" s="40" t="s">
        <v>58</v>
      </c>
      <c r="J1266" s="40">
        <f t="shared" si="202"/>
        <v>0.8040036015459946</v>
      </c>
      <c r="K1266" s="40">
        <f t="shared" si="203"/>
        <v>1.1959963984540054</v>
      </c>
      <c r="L1266" s="40" t="s">
        <v>58</v>
      </c>
      <c r="M1266" s="50" t="s">
        <v>266</v>
      </c>
      <c r="N1266" s="190"/>
      <c r="O1266" s="40">
        <f t="shared" ca="1" si="193"/>
        <v>0.76106502837758794</v>
      </c>
      <c r="P1266" s="51">
        <f t="shared" si="199"/>
        <v>-1</v>
      </c>
      <c r="Q1266" s="51">
        <f t="shared" si="200"/>
        <v>0</v>
      </c>
      <c r="R1266" s="51">
        <f t="shared" si="204"/>
        <v>0.1</v>
      </c>
      <c r="S1266"/>
      <c r="T1266" s="83"/>
    </row>
    <row r="1267" spans="1:20" ht="16" x14ac:dyDescent="0.2">
      <c r="A1267"/>
      <c r="B1267" s="103"/>
      <c r="C1267" s="243"/>
      <c r="D1267" s="119">
        <v>1254</v>
      </c>
      <c r="E1267" s="25" t="str">
        <f>Tp_Non_CHG!I34</f>
        <v>Transition Probability from state 2 to state 1 on day 24 (Non-CHG)</v>
      </c>
      <c r="F1267" s="40">
        <f t="shared" si="198"/>
        <v>1</v>
      </c>
      <c r="G1267" s="156">
        <v>1</v>
      </c>
      <c r="H1267" s="120">
        <f>Tp_Non_CHG!L34</f>
        <v>1</v>
      </c>
      <c r="I1267" s="40" t="s">
        <v>58</v>
      </c>
      <c r="J1267" s="40">
        <f t="shared" si="202"/>
        <v>0.8040036015459946</v>
      </c>
      <c r="K1267" s="40">
        <f t="shared" si="203"/>
        <v>1.1959963984540054</v>
      </c>
      <c r="L1267" s="40" t="s">
        <v>58</v>
      </c>
      <c r="M1267" s="50" t="s">
        <v>266</v>
      </c>
      <c r="N1267" s="190"/>
      <c r="O1267" s="40">
        <f t="shared" ca="1" si="193"/>
        <v>0.85804583449105221</v>
      </c>
      <c r="P1267" s="51">
        <f t="shared" si="199"/>
        <v>-1</v>
      </c>
      <c r="Q1267" s="51">
        <f t="shared" si="200"/>
        <v>0</v>
      </c>
      <c r="R1267" s="51">
        <f t="shared" si="204"/>
        <v>0.1</v>
      </c>
      <c r="S1267"/>
      <c r="T1267" s="83"/>
    </row>
    <row r="1268" spans="1:20" ht="16" x14ac:dyDescent="0.2">
      <c r="A1268"/>
      <c r="B1268" s="103"/>
      <c r="C1268" s="243"/>
      <c r="D1268" s="119">
        <v>1255</v>
      </c>
      <c r="E1268" s="25" t="str">
        <f>Tp_Non_CHG!I35</f>
        <v>Transition Probability from state 2 to state 1 on day 25 (Non-CHG)</v>
      </c>
      <c r="F1268" s="40">
        <f t="shared" si="198"/>
        <v>1</v>
      </c>
      <c r="G1268" s="156">
        <v>1</v>
      </c>
      <c r="H1268" s="120">
        <f>Tp_Non_CHG!L35</f>
        <v>1</v>
      </c>
      <c r="I1268" s="40" t="s">
        <v>58</v>
      </c>
      <c r="J1268" s="40">
        <f t="shared" si="202"/>
        <v>0.8040036015459946</v>
      </c>
      <c r="K1268" s="40">
        <f t="shared" si="203"/>
        <v>1.1959963984540054</v>
      </c>
      <c r="L1268" s="40" t="s">
        <v>58</v>
      </c>
      <c r="M1268" s="50" t="s">
        <v>266</v>
      </c>
      <c r="N1268" s="190"/>
      <c r="O1268" s="40">
        <f t="shared" ca="1" si="193"/>
        <v>0.74123720666628723</v>
      </c>
      <c r="P1268" s="51">
        <f t="shared" si="199"/>
        <v>-1</v>
      </c>
      <c r="Q1268" s="51">
        <f t="shared" si="200"/>
        <v>0</v>
      </c>
      <c r="R1268" s="51">
        <f t="shared" si="204"/>
        <v>0.1</v>
      </c>
      <c r="S1268"/>
      <c r="T1268" s="83"/>
    </row>
    <row r="1269" spans="1:20" ht="16" x14ac:dyDescent="0.2">
      <c r="A1269"/>
      <c r="B1269" s="103"/>
      <c r="C1269" s="243"/>
      <c r="D1269" s="119">
        <v>1256</v>
      </c>
      <c r="E1269" s="25" t="str">
        <f>Tp_Non_CHG!I36</f>
        <v>Transition Probability from state 2 to state 1 on day 26 (Non-CHG)</v>
      </c>
      <c r="F1269" s="40">
        <f t="shared" si="198"/>
        <v>1</v>
      </c>
      <c r="G1269" s="156">
        <v>1</v>
      </c>
      <c r="H1269" s="120">
        <f>Tp_Non_CHG!L36</f>
        <v>1</v>
      </c>
      <c r="I1269" s="40" t="s">
        <v>58</v>
      </c>
      <c r="J1269" s="40">
        <f t="shared" si="202"/>
        <v>0.8040036015459946</v>
      </c>
      <c r="K1269" s="40">
        <f t="shared" si="203"/>
        <v>1.1959963984540054</v>
      </c>
      <c r="L1269" s="40" t="s">
        <v>58</v>
      </c>
      <c r="M1269" s="50" t="s">
        <v>266</v>
      </c>
      <c r="N1269" s="190"/>
      <c r="O1269" s="40">
        <f t="shared" ca="1" si="193"/>
        <v>0.54517369069161592</v>
      </c>
      <c r="P1269" s="51">
        <f t="shared" si="199"/>
        <v>-1</v>
      </c>
      <c r="Q1269" s="51">
        <f t="shared" si="200"/>
        <v>0</v>
      </c>
      <c r="R1269" s="51">
        <f t="shared" si="204"/>
        <v>0.1</v>
      </c>
      <c r="S1269"/>
      <c r="T1269" s="83"/>
    </row>
    <row r="1270" spans="1:20" ht="16" x14ac:dyDescent="0.2">
      <c r="A1270"/>
      <c r="B1270" s="103"/>
      <c r="C1270" s="243"/>
      <c r="D1270" s="119">
        <v>1257</v>
      </c>
      <c r="E1270" s="25" t="str">
        <f>Tp_Non_CHG!I37</f>
        <v>Transition Probability from state 2 to state 1 on day 27 (Non-CHG)</v>
      </c>
      <c r="F1270" s="40">
        <f t="shared" si="198"/>
        <v>0</v>
      </c>
      <c r="G1270" s="156">
        <v>1</v>
      </c>
      <c r="H1270" s="120">
        <f>Tp_Non_CHG!L37</f>
        <v>0</v>
      </c>
      <c r="I1270" s="40" t="s">
        <v>58</v>
      </c>
      <c r="J1270" s="40">
        <f t="shared" si="202"/>
        <v>0</v>
      </c>
      <c r="K1270" s="40">
        <f t="shared" si="203"/>
        <v>0</v>
      </c>
      <c r="L1270" s="40" t="s">
        <v>58</v>
      </c>
      <c r="M1270" s="50" t="s">
        <v>266</v>
      </c>
      <c r="N1270" s="190"/>
      <c r="O1270" s="40">
        <f t="shared" ca="1" si="193"/>
        <v>0.94888338215090129</v>
      </c>
      <c r="P1270" s="51">
        <f t="shared" si="199"/>
        <v>0</v>
      </c>
      <c r="Q1270" s="51">
        <f t="shared" si="200"/>
        <v>0</v>
      </c>
      <c r="R1270" s="51">
        <f t="shared" si="204"/>
        <v>0</v>
      </c>
      <c r="S1270"/>
      <c r="T1270" s="83"/>
    </row>
    <row r="1271" spans="1:20" ht="16" x14ac:dyDescent="0.2">
      <c r="A1271"/>
      <c r="B1271" s="103"/>
      <c r="C1271" s="243"/>
      <c r="D1271" s="119">
        <v>1258</v>
      </c>
      <c r="E1271" s="25" t="str">
        <f>Tp_Non_CHG!I262</f>
        <v>Transition Probability from state 2 to state 8 on day 27 (Non-CHG)</v>
      </c>
      <c r="F1271" s="40">
        <f t="shared" si="198"/>
        <v>1</v>
      </c>
      <c r="G1271" s="156">
        <v>1</v>
      </c>
      <c r="H1271" s="120">
        <f>Tp_Non_CHG!L262</f>
        <v>1</v>
      </c>
      <c r="I1271" s="40" t="s">
        <v>58</v>
      </c>
      <c r="J1271" s="40">
        <f>IF(H1271=0,0,_xlfn.NORM.INV(0.025,H1271,R1271))</f>
        <v>0.8040036015459946</v>
      </c>
      <c r="K1271" s="40">
        <f>IF(H1271=0,0,_xlfn.NORM.INV(0.975,H1271,R1271))</f>
        <v>1.1959963984540054</v>
      </c>
      <c r="L1271" s="40" t="s">
        <v>58</v>
      </c>
      <c r="M1271" s="50" t="s">
        <v>266</v>
      </c>
      <c r="N1271" s="190"/>
      <c r="O1271" s="40">
        <f ca="1">RAND()</f>
        <v>0.18152779388187257</v>
      </c>
      <c r="P1271" s="51">
        <f t="shared" si="199"/>
        <v>-1</v>
      </c>
      <c r="Q1271" s="51">
        <f t="shared" si="200"/>
        <v>0</v>
      </c>
      <c r="R1271" s="51">
        <f>assumedSE*H1271</f>
        <v>0.1</v>
      </c>
      <c r="S1271"/>
      <c r="T1271" s="83"/>
    </row>
    <row r="1272" spans="1:20" ht="16" x14ac:dyDescent="0.2">
      <c r="A1272"/>
      <c r="B1272" s="103"/>
      <c r="C1272" s="243"/>
      <c r="D1272" s="119">
        <v>1259</v>
      </c>
      <c r="E1272" s="25" t="str">
        <f>Tp_Non_CHG!I38</f>
        <v>Transition Probability from state 2 to state 1 on day 28 (Non-CHG)</v>
      </c>
      <c r="F1272" s="40">
        <f t="shared" si="198"/>
        <v>0</v>
      </c>
      <c r="G1272" s="156">
        <v>1</v>
      </c>
      <c r="H1272" s="120">
        <f>Tp_Non_CHG!L38</f>
        <v>0</v>
      </c>
      <c r="I1272" s="40" t="s">
        <v>58</v>
      </c>
      <c r="J1272" s="40">
        <f t="shared" si="202"/>
        <v>0</v>
      </c>
      <c r="K1272" s="40">
        <f t="shared" si="203"/>
        <v>0</v>
      </c>
      <c r="L1272" s="40" t="s">
        <v>58</v>
      </c>
      <c r="M1272" s="50" t="s">
        <v>266</v>
      </c>
      <c r="N1272" s="190"/>
      <c r="O1272" s="40">
        <f t="shared" ca="1" si="193"/>
        <v>0.84622155852569214</v>
      </c>
      <c r="P1272" s="51">
        <f t="shared" si="199"/>
        <v>0</v>
      </c>
      <c r="Q1272" s="51">
        <f t="shared" si="200"/>
        <v>0</v>
      </c>
      <c r="R1272" s="51">
        <f t="shared" si="204"/>
        <v>0</v>
      </c>
      <c r="S1272"/>
      <c r="T1272" s="83"/>
    </row>
    <row r="1273" spans="1:20" ht="16" x14ac:dyDescent="0.2">
      <c r="A1273"/>
      <c r="B1273" s="103"/>
      <c r="C1273" s="243"/>
      <c r="D1273" s="119">
        <v>1260</v>
      </c>
      <c r="E1273" s="25" t="str">
        <f>Tp_Non_CHG!I39</f>
        <v>Transition Probability from state 2 to state 1 on day 29 (Non-CHG)</v>
      </c>
      <c r="F1273" s="40">
        <f t="shared" si="198"/>
        <v>1</v>
      </c>
      <c r="G1273" s="156">
        <v>1</v>
      </c>
      <c r="H1273" s="120">
        <f>Tp_Non_CHG!L39</f>
        <v>1</v>
      </c>
      <c r="I1273" s="40" t="s">
        <v>58</v>
      </c>
      <c r="J1273" s="40">
        <f t="shared" si="202"/>
        <v>0.8040036015459946</v>
      </c>
      <c r="K1273" s="40">
        <f t="shared" si="203"/>
        <v>1.1959963984540054</v>
      </c>
      <c r="L1273" s="40" t="s">
        <v>58</v>
      </c>
      <c r="M1273" s="50" t="s">
        <v>266</v>
      </c>
      <c r="N1273" s="190"/>
      <c r="O1273" s="40">
        <f t="shared" ca="1" si="193"/>
        <v>0.11033645224481814</v>
      </c>
      <c r="P1273" s="51">
        <f t="shared" si="199"/>
        <v>-1</v>
      </c>
      <c r="Q1273" s="51">
        <f t="shared" si="200"/>
        <v>0</v>
      </c>
      <c r="R1273" s="51">
        <f t="shared" si="204"/>
        <v>0.1</v>
      </c>
      <c r="S1273"/>
      <c r="T1273" s="83"/>
    </row>
    <row r="1274" spans="1:20" ht="16" x14ac:dyDescent="0.2">
      <c r="A1274"/>
      <c r="B1274" s="103"/>
      <c r="C1274" s="243"/>
      <c r="D1274" s="119">
        <v>1261</v>
      </c>
      <c r="E1274" s="25" t="str">
        <f>Tp_Non_CHG!I40</f>
        <v>Transition Probability from state 2 to state 1 on day 30 (Non-CHG)</v>
      </c>
      <c r="F1274" s="40">
        <f t="shared" si="198"/>
        <v>1</v>
      </c>
      <c r="G1274" s="156">
        <v>1</v>
      </c>
      <c r="H1274" s="120">
        <f>Tp_Non_CHG!L40</f>
        <v>1</v>
      </c>
      <c r="I1274" s="40" t="s">
        <v>58</v>
      </c>
      <c r="J1274" s="40">
        <f t="shared" si="202"/>
        <v>0.8040036015459946</v>
      </c>
      <c r="K1274" s="40">
        <f t="shared" si="203"/>
        <v>1.1959963984540054</v>
      </c>
      <c r="L1274" s="40" t="s">
        <v>58</v>
      </c>
      <c r="M1274" s="50" t="s">
        <v>266</v>
      </c>
      <c r="N1274" s="190"/>
      <c r="O1274" s="40">
        <f t="shared" ca="1" si="193"/>
        <v>0.12421144363534165</v>
      </c>
      <c r="P1274" s="51">
        <f t="shared" si="199"/>
        <v>-1</v>
      </c>
      <c r="Q1274" s="51">
        <f t="shared" si="200"/>
        <v>0</v>
      </c>
      <c r="R1274" s="51">
        <f t="shared" si="204"/>
        <v>0.1</v>
      </c>
      <c r="S1274"/>
      <c r="T1274" s="83"/>
    </row>
    <row r="1275" spans="1:20" ht="16" x14ac:dyDescent="0.2">
      <c r="A1275"/>
      <c r="B1275" s="103"/>
      <c r="C1275" s="243"/>
      <c r="D1275" s="119">
        <v>1262</v>
      </c>
      <c r="E1275" s="25" t="str">
        <f>Tp_Non_CHG!N11</f>
        <v>Transition Probability from state 3 to state 1 on day 1 (Non-CHG)</v>
      </c>
      <c r="F1275" s="40">
        <f t="shared" si="198"/>
        <v>0</v>
      </c>
      <c r="G1275" s="156">
        <v>1</v>
      </c>
      <c r="H1275" s="120">
        <f>Tp_Non_CHG!Q11</f>
        <v>0</v>
      </c>
      <c r="I1275" s="40" t="s">
        <v>58</v>
      </c>
      <c r="J1275" s="40">
        <f t="shared" si="202"/>
        <v>0</v>
      </c>
      <c r="K1275" s="40">
        <f t="shared" si="203"/>
        <v>0</v>
      </c>
      <c r="L1275" s="40" t="s">
        <v>58</v>
      </c>
      <c r="M1275" s="50" t="s">
        <v>266</v>
      </c>
      <c r="N1275" s="190"/>
      <c r="O1275" s="40">
        <f t="shared" ca="1" si="193"/>
        <v>0.17558990890616721</v>
      </c>
      <c r="P1275" s="51">
        <f t="shared" si="199"/>
        <v>0</v>
      </c>
      <c r="Q1275" s="51">
        <f t="shared" si="200"/>
        <v>0</v>
      </c>
      <c r="R1275" s="51">
        <f t="shared" si="204"/>
        <v>0</v>
      </c>
      <c r="S1275"/>
      <c r="T1275" s="83"/>
    </row>
    <row r="1276" spans="1:20" ht="16" x14ac:dyDescent="0.2">
      <c r="A1276"/>
      <c r="B1276" s="103"/>
      <c r="C1276" s="243"/>
      <c r="D1276" s="119">
        <v>1263</v>
      </c>
      <c r="E1276" s="25" t="str">
        <f>Tp_Non_CHG!N12</f>
        <v>Transition Probability from state 3 to state 1 on day 2 (Non-CHG)</v>
      </c>
      <c r="F1276" s="40">
        <f t="shared" si="198"/>
        <v>0</v>
      </c>
      <c r="G1276" s="156">
        <v>1</v>
      </c>
      <c r="H1276" s="120">
        <f>Tp_Non_CHG!Q12</f>
        <v>0</v>
      </c>
      <c r="I1276" s="40" t="s">
        <v>58</v>
      </c>
      <c r="J1276" s="40">
        <f t="shared" si="202"/>
        <v>0</v>
      </c>
      <c r="K1276" s="40">
        <f t="shared" si="203"/>
        <v>0</v>
      </c>
      <c r="L1276" s="40" t="s">
        <v>58</v>
      </c>
      <c r="M1276" s="50" t="s">
        <v>266</v>
      </c>
      <c r="N1276" s="190"/>
      <c r="O1276" s="40">
        <f t="shared" ca="1" si="193"/>
        <v>5.3992020396388396E-3</v>
      </c>
      <c r="P1276" s="51">
        <f t="shared" si="199"/>
        <v>0</v>
      </c>
      <c r="Q1276" s="51">
        <f t="shared" si="200"/>
        <v>0</v>
      </c>
      <c r="R1276" s="51">
        <f t="shared" si="204"/>
        <v>0</v>
      </c>
      <c r="S1276"/>
      <c r="T1276" s="83"/>
    </row>
    <row r="1277" spans="1:20" ht="16" x14ac:dyDescent="0.2">
      <c r="A1277"/>
      <c r="B1277" s="103"/>
      <c r="C1277" s="243"/>
      <c r="D1277" s="119">
        <v>1264</v>
      </c>
      <c r="E1277" s="25" t="str">
        <f>Tp_Non_CHG!N13</f>
        <v>Transition Probability from state 3 to state 1 on day 3 (Non-CHG)</v>
      </c>
      <c r="F1277" s="40">
        <f t="shared" si="198"/>
        <v>0</v>
      </c>
      <c r="G1277" s="156">
        <v>1</v>
      </c>
      <c r="H1277" s="120">
        <f>Tp_Non_CHG!Q13</f>
        <v>0</v>
      </c>
      <c r="I1277" s="40" t="s">
        <v>58</v>
      </c>
      <c r="J1277" s="40">
        <f t="shared" si="202"/>
        <v>0</v>
      </c>
      <c r="K1277" s="40">
        <f t="shared" si="203"/>
        <v>0</v>
      </c>
      <c r="L1277" s="40" t="s">
        <v>58</v>
      </c>
      <c r="M1277" s="50" t="s">
        <v>266</v>
      </c>
      <c r="N1277" s="190"/>
      <c r="O1277" s="40">
        <f t="shared" ca="1" si="193"/>
        <v>0.2173260443012115</v>
      </c>
      <c r="P1277" s="51">
        <f t="shared" si="199"/>
        <v>0</v>
      </c>
      <c r="Q1277" s="51">
        <f t="shared" si="200"/>
        <v>0</v>
      </c>
      <c r="R1277" s="51">
        <f t="shared" si="204"/>
        <v>0</v>
      </c>
      <c r="S1277"/>
      <c r="T1277" s="83"/>
    </row>
    <row r="1278" spans="1:20" ht="16" x14ac:dyDescent="0.2">
      <c r="A1278"/>
      <c r="B1278" s="103"/>
      <c r="C1278" s="243"/>
      <c r="D1278" s="119">
        <v>1265</v>
      </c>
      <c r="E1278" s="25" t="str">
        <f>Tp_Non_CHG!N14</f>
        <v>Transition Probability from state 3 to state 1 on day 4 (Non-CHG)</v>
      </c>
      <c r="F1278" s="40">
        <f t="shared" si="198"/>
        <v>0</v>
      </c>
      <c r="G1278" s="156">
        <v>1</v>
      </c>
      <c r="H1278" s="120">
        <f>Tp_Non_CHG!Q14</f>
        <v>0</v>
      </c>
      <c r="I1278" s="40" t="s">
        <v>58</v>
      </c>
      <c r="J1278" s="40">
        <f t="shared" si="202"/>
        <v>0</v>
      </c>
      <c r="K1278" s="40">
        <f t="shared" si="203"/>
        <v>0</v>
      </c>
      <c r="L1278" s="40" t="s">
        <v>58</v>
      </c>
      <c r="M1278" s="50" t="s">
        <v>266</v>
      </c>
      <c r="N1278" s="190"/>
      <c r="O1278" s="40">
        <f t="shared" ca="1" si="193"/>
        <v>0.17503070091268702</v>
      </c>
      <c r="P1278" s="51">
        <f t="shared" si="199"/>
        <v>0</v>
      </c>
      <c r="Q1278" s="51">
        <f t="shared" si="200"/>
        <v>0</v>
      </c>
      <c r="R1278" s="51">
        <f t="shared" si="204"/>
        <v>0</v>
      </c>
      <c r="S1278"/>
      <c r="T1278" s="83"/>
    </row>
    <row r="1279" spans="1:20" ht="16" x14ac:dyDescent="0.2">
      <c r="A1279"/>
      <c r="B1279" s="103"/>
      <c r="C1279" s="243"/>
      <c r="D1279" s="119">
        <v>1266</v>
      </c>
      <c r="E1279" s="25" t="str">
        <f>Tp_Non_CHG!N15</f>
        <v>Transition Probability from state 3 to state 1 on day 5 (Non-CHG)</v>
      </c>
      <c r="F1279" s="40">
        <f t="shared" si="198"/>
        <v>0</v>
      </c>
      <c r="G1279" s="156">
        <v>1</v>
      </c>
      <c r="H1279" s="120">
        <f>Tp_Non_CHG!Q15</f>
        <v>0</v>
      </c>
      <c r="I1279" s="40" t="s">
        <v>58</v>
      </c>
      <c r="J1279" s="40">
        <f t="shared" si="202"/>
        <v>0</v>
      </c>
      <c r="K1279" s="40">
        <f t="shared" si="203"/>
        <v>0</v>
      </c>
      <c r="L1279" s="40" t="s">
        <v>58</v>
      </c>
      <c r="M1279" s="50" t="s">
        <v>266</v>
      </c>
      <c r="N1279" s="190"/>
      <c r="O1279" s="40">
        <f t="shared" ca="1" si="193"/>
        <v>0.79774892239911499</v>
      </c>
      <c r="P1279" s="51">
        <f t="shared" si="199"/>
        <v>0</v>
      </c>
      <c r="Q1279" s="51">
        <f t="shared" si="200"/>
        <v>0</v>
      </c>
      <c r="R1279" s="51">
        <f t="shared" si="204"/>
        <v>0</v>
      </c>
      <c r="S1279"/>
      <c r="T1279" s="83"/>
    </row>
    <row r="1280" spans="1:20" ht="16" x14ac:dyDescent="0.2">
      <c r="A1280"/>
      <c r="B1280" s="103"/>
      <c r="C1280" s="243"/>
      <c r="D1280" s="119">
        <v>1267</v>
      </c>
      <c r="E1280" s="25" t="str">
        <f>Tp_Non_CHG!N16</f>
        <v>Transition Probability from state 3 to state 1 on day 6 (Non-CHG)</v>
      </c>
      <c r="F1280" s="40">
        <f t="shared" si="198"/>
        <v>0</v>
      </c>
      <c r="G1280" s="156">
        <v>1</v>
      </c>
      <c r="H1280" s="120">
        <f>Tp_Non_CHG!Q16</f>
        <v>0</v>
      </c>
      <c r="I1280" s="40" t="s">
        <v>58</v>
      </c>
      <c r="J1280" s="40">
        <f t="shared" si="202"/>
        <v>0</v>
      </c>
      <c r="K1280" s="40">
        <f t="shared" si="203"/>
        <v>0</v>
      </c>
      <c r="L1280" s="40" t="s">
        <v>58</v>
      </c>
      <c r="M1280" s="50" t="s">
        <v>266</v>
      </c>
      <c r="N1280" s="190"/>
      <c r="O1280" s="40">
        <f t="shared" ca="1" si="193"/>
        <v>0.58354009626619452</v>
      </c>
      <c r="P1280" s="51">
        <f t="shared" si="199"/>
        <v>0</v>
      </c>
      <c r="Q1280" s="51">
        <f t="shared" si="200"/>
        <v>0</v>
      </c>
      <c r="R1280" s="51">
        <f t="shared" si="204"/>
        <v>0</v>
      </c>
      <c r="S1280"/>
      <c r="T1280" s="83"/>
    </row>
    <row r="1281" spans="1:20" ht="16" x14ac:dyDescent="0.2">
      <c r="A1281"/>
      <c r="B1281" s="103"/>
      <c r="C1281" s="243"/>
      <c r="D1281" s="119">
        <v>1268</v>
      </c>
      <c r="E1281" s="25" t="str">
        <f>Tp_Non_CHG!N17</f>
        <v>Transition Probability from state 3 to state 1 on day 7 (Non-CHG)</v>
      </c>
      <c r="F1281" s="40">
        <f t="shared" si="198"/>
        <v>0</v>
      </c>
      <c r="G1281" s="156">
        <v>1</v>
      </c>
      <c r="H1281" s="120">
        <f>Tp_Non_CHG!Q17</f>
        <v>0</v>
      </c>
      <c r="I1281" s="40" t="s">
        <v>58</v>
      </c>
      <c r="J1281" s="40">
        <f t="shared" si="202"/>
        <v>0</v>
      </c>
      <c r="K1281" s="40">
        <f t="shared" si="203"/>
        <v>0</v>
      </c>
      <c r="L1281" s="40" t="s">
        <v>58</v>
      </c>
      <c r="M1281" s="50" t="s">
        <v>266</v>
      </c>
      <c r="N1281" s="190"/>
      <c r="O1281" s="40">
        <f t="shared" ca="1" si="193"/>
        <v>0.66005070159026036</v>
      </c>
      <c r="P1281" s="51">
        <f t="shared" si="199"/>
        <v>0</v>
      </c>
      <c r="Q1281" s="51">
        <f t="shared" si="200"/>
        <v>0</v>
      </c>
      <c r="R1281" s="51">
        <f t="shared" si="204"/>
        <v>0</v>
      </c>
      <c r="S1281"/>
      <c r="T1281" s="83"/>
    </row>
    <row r="1282" spans="1:20" ht="16" x14ac:dyDescent="0.2">
      <c r="A1282"/>
      <c r="B1282" s="103"/>
      <c r="C1282" s="243"/>
      <c r="D1282" s="119">
        <v>1269</v>
      </c>
      <c r="E1282" s="25" t="str">
        <f>Tp_Non_CHG!N18</f>
        <v>Transition Probability from state 3 to state 1 on day 8 (Non-CHG)</v>
      </c>
      <c r="F1282" s="40">
        <f t="shared" si="198"/>
        <v>0</v>
      </c>
      <c r="G1282" s="156">
        <v>1</v>
      </c>
      <c r="H1282" s="120">
        <f>Tp_Non_CHG!Q18</f>
        <v>0</v>
      </c>
      <c r="I1282" s="40" t="s">
        <v>58</v>
      </c>
      <c r="J1282" s="40">
        <f t="shared" si="202"/>
        <v>0</v>
      </c>
      <c r="K1282" s="40">
        <f t="shared" si="203"/>
        <v>0</v>
      </c>
      <c r="L1282" s="40" t="s">
        <v>58</v>
      </c>
      <c r="M1282" s="50" t="s">
        <v>266</v>
      </c>
      <c r="N1282" s="190"/>
      <c r="O1282" s="40">
        <f t="shared" ca="1" si="193"/>
        <v>0.56058821763879518</v>
      </c>
      <c r="P1282" s="51">
        <f t="shared" si="199"/>
        <v>0</v>
      </c>
      <c r="Q1282" s="51">
        <f t="shared" si="200"/>
        <v>0</v>
      </c>
      <c r="R1282" s="51">
        <f t="shared" si="204"/>
        <v>0</v>
      </c>
      <c r="S1282"/>
      <c r="T1282" s="83"/>
    </row>
    <row r="1283" spans="1:20" ht="16" x14ac:dyDescent="0.2">
      <c r="A1283"/>
      <c r="B1283" s="103"/>
      <c r="C1283" s="243"/>
      <c r="D1283" s="119">
        <v>1270</v>
      </c>
      <c r="E1283" s="25" t="str">
        <f>Tp_Non_CHG!N19</f>
        <v>Transition Probability from state 3 to state 1 on day 9 (Non-CHG)</v>
      </c>
      <c r="F1283" s="40">
        <f t="shared" si="198"/>
        <v>0</v>
      </c>
      <c r="G1283" s="156">
        <v>1</v>
      </c>
      <c r="H1283" s="120">
        <f>Tp_Non_CHG!Q19</f>
        <v>0</v>
      </c>
      <c r="I1283" s="40" t="s">
        <v>58</v>
      </c>
      <c r="J1283" s="40">
        <f t="shared" si="202"/>
        <v>0</v>
      </c>
      <c r="K1283" s="40">
        <f t="shared" si="203"/>
        <v>0</v>
      </c>
      <c r="L1283" s="40" t="s">
        <v>58</v>
      </c>
      <c r="M1283" s="50" t="s">
        <v>266</v>
      </c>
      <c r="N1283" s="190"/>
      <c r="O1283" s="40">
        <f t="shared" ca="1" si="193"/>
        <v>4.3257456133028116E-2</v>
      </c>
      <c r="P1283" s="51">
        <f t="shared" si="199"/>
        <v>0</v>
      </c>
      <c r="Q1283" s="51">
        <f t="shared" si="200"/>
        <v>0</v>
      </c>
      <c r="R1283" s="51">
        <f t="shared" si="204"/>
        <v>0</v>
      </c>
      <c r="S1283"/>
      <c r="T1283" s="83"/>
    </row>
    <row r="1284" spans="1:20" ht="16" x14ac:dyDescent="0.2">
      <c r="A1284"/>
      <c r="B1284" s="103"/>
      <c r="C1284" s="243"/>
      <c r="D1284" s="119">
        <v>1271</v>
      </c>
      <c r="E1284" s="25" t="str">
        <f>Tp_Non_CHG!N20</f>
        <v>Transition Probability from state 3 to state 1 on day 10 (Non-CHG)</v>
      </c>
      <c r="F1284" s="40">
        <f t="shared" si="198"/>
        <v>1</v>
      </c>
      <c r="G1284" s="156">
        <v>1</v>
      </c>
      <c r="H1284" s="120">
        <f>Tp_Non_CHG!Q20</f>
        <v>1</v>
      </c>
      <c r="I1284" s="40" t="s">
        <v>58</v>
      </c>
      <c r="J1284" s="40">
        <f t="shared" si="202"/>
        <v>0.8040036015459946</v>
      </c>
      <c r="K1284" s="40">
        <f t="shared" si="203"/>
        <v>1.1959963984540054</v>
      </c>
      <c r="L1284" s="40" t="s">
        <v>58</v>
      </c>
      <c r="M1284" s="50" t="s">
        <v>266</v>
      </c>
      <c r="N1284" s="190"/>
      <c r="O1284" s="40">
        <f t="shared" ca="1" si="193"/>
        <v>0.65653252122905159</v>
      </c>
      <c r="P1284" s="51">
        <f t="shared" si="199"/>
        <v>-1</v>
      </c>
      <c r="Q1284" s="51">
        <f t="shared" si="200"/>
        <v>0</v>
      </c>
      <c r="R1284" s="51">
        <f t="shared" si="204"/>
        <v>0.1</v>
      </c>
      <c r="S1284"/>
      <c r="T1284" s="83"/>
    </row>
    <row r="1285" spans="1:20" ht="16" x14ac:dyDescent="0.2">
      <c r="A1285"/>
      <c r="B1285" s="103"/>
      <c r="C1285" s="243"/>
      <c r="D1285" s="119">
        <v>1272</v>
      </c>
      <c r="E1285" s="25" t="str">
        <f>Tp_Non_CHG!N21</f>
        <v>Transition Probability from state 3 to state 1 on day 11 (Non-CHG)</v>
      </c>
      <c r="F1285" s="40">
        <f t="shared" si="198"/>
        <v>1</v>
      </c>
      <c r="G1285" s="156">
        <v>1</v>
      </c>
      <c r="H1285" s="120">
        <f>Tp_Non_CHG!Q21</f>
        <v>1</v>
      </c>
      <c r="I1285" s="40" t="s">
        <v>58</v>
      </c>
      <c r="J1285" s="40">
        <f t="shared" si="202"/>
        <v>0.8040036015459946</v>
      </c>
      <c r="K1285" s="40">
        <f t="shared" si="203"/>
        <v>1.1959963984540054</v>
      </c>
      <c r="L1285" s="40" t="s">
        <v>58</v>
      </c>
      <c r="M1285" s="50" t="s">
        <v>266</v>
      </c>
      <c r="N1285" s="190"/>
      <c r="O1285" s="40">
        <f t="shared" ca="1" si="193"/>
        <v>0.97141613434264917</v>
      </c>
      <c r="P1285" s="51">
        <f t="shared" si="199"/>
        <v>-1</v>
      </c>
      <c r="Q1285" s="51">
        <f t="shared" si="200"/>
        <v>0</v>
      </c>
      <c r="R1285" s="51">
        <f t="shared" si="204"/>
        <v>0.1</v>
      </c>
      <c r="S1285"/>
      <c r="T1285" s="83"/>
    </row>
    <row r="1286" spans="1:20" ht="16" x14ac:dyDescent="0.2">
      <c r="A1286"/>
      <c r="B1286" s="103"/>
      <c r="C1286" s="243"/>
      <c r="D1286" s="119">
        <v>1273</v>
      </c>
      <c r="E1286" s="25" t="str">
        <f>Tp_Non_CHG!N22</f>
        <v>Transition Probability from state 3 to state 1 on day 12 (Non-CHG)</v>
      </c>
      <c r="F1286" s="40">
        <f t="shared" si="198"/>
        <v>0</v>
      </c>
      <c r="G1286" s="156">
        <v>1</v>
      </c>
      <c r="H1286" s="120">
        <f>Tp_Non_CHG!Q22</f>
        <v>0</v>
      </c>
      <c r="I1286" s="40" t="s">
        <v>58</v>
      </c>
      <c r="J1286" s="40">
        <f t="shared" si="202"/>
        <v>0</v>
      </c>
      <c r="K1286" s="40">
        <f t="shared" si="203"/>
        <v>0</v>
      </c>
      <c r="L1286" s="40" t="s">
        <v>58</v>
      </c>
      <c r="M1286" s="50" t="s">
        <v>266</v>
      </c>
      <c r="N1286" s="190"/>
      <c r="O1286" s="40">
        <f t="shared" ca="1" si="193"/>
        <v>0.47656161623504778</v>
      </c>
      <c r="P1286" s="51">
        <f t="shared" si="199"/>
        <v>0</v>
      </c>
      <c r="Q1286" s="51">
        <f t="shared" si="200"/>
        <v>0</v>
      </c>
      <c r="R1286" s="51">
        <f t="shared" si="204"/>
        <v>0</v>
      </c>
      <c r="S1286"/>
      <c r="T1286" s="83"/>
    </row>
    <row r="1287" spans="1:20" ht="16" x14ac:dyDescent="0.2">
      <c r="A1287"/>
      <c r="B1287" s="103"/>
      <c r="C1287" s="243"/>
      <c r="D1287" s="119">
        <v>1274</v>
      </c>
      <c r="E1287" s="25" t="str">
        <f>Tp_Non_CHG!N23</f>
        <v>Transition Probability from state 3 to state 1 on day 13 (Non-CHG)</v>
      </c>
      <c r="F1287" s="40">
        <f t="shared" si="198"/>
        <v>1</v>
      </c>
      <c r="G1287" s="156">
        <v>1</v>
      </c>
      <c r="H1287" s="120">
        <f>Tp_Non_CHG!Q23</f>
        <v>1</v>
      </c>
      <c r="I1287" s="40" t="s">
        <v>58</v>
      </c>
      <c r="J1287" s="40">
        <f t="shared" si="202"/>
        <v>0.8040036015459946</v>
      </c>
      <c r="K1287" s="40">
        <f t="shared" si="203"/>
        <v>1.1959963984540054</v>
      </c>
      <c r="L1287" s="40" t="s">
        <v>58</v>
      </c>
      <c r="M1287" s="50" t="s">
        <v>266</v>
      </c>
      <c r="N1287" s="190"/>
      <c r="O1287" s="40">
        <f t="shared" ca="1" si="193"/>
        <v>0.45590319316189465</v>
      </c>
      <c r="P1287" s="51">
        <f t="shared" si="199"/>
        <v>-1</v>
      </c>
      <c r="Q1287" s="51">
        <f t="shared" si="200"/>
        <v>0</v>
      </c>
      <c r="R1287" s="51">
        <f t="shared" si="204"/>
        <v>0.1</v>
      </c>
      <c r="S1287"/>
      <c r="T1287" s="83"/>
    </row>
    <row r="1288" spans="1:20" ht="16" x14ac:dyDescent="0.2">
      <c r="A1288"/>
      <c r="B1288" s="103"/>
      <c r="C1288" s="243"/>
      <c r="D1288" s="119">
        <v>1275</v>
      </c>
      <c r="E1288" s="25" t="str">
        <f>Tp_Non_CHG!N24</f>
        <v>Transition Probability from state 3 to state 1 on day 14 (Non-CHG)</v>
      </c>
      <c r="F1288" s="40">
        <f t="shared" si="198"/>
        <v>1</v>
      </c>
      <c r="G1288" s="156">
        <v>1</v>
      </c>
      <c r="H1288" s="120">
        <f>Tp_Non_CHG!Q24</f>
        <v>1</v>
      </c>
      <c r="I1288" s="40" t="s">
        <v>58</v>
      </c>
      <c r="J1288" s="40">
        <f t="shared" si="202"/>
        <v>0.8040036015459946</v>
      </c>
      <c r="K1288" s="40">
        <f t="shared" si="203"/>
        <v>1.1959963984540054</v>
      </c>
      <c r="L1288" s="40" t="s">
        <v>58</v>
      </c>
      <c r="M1288" s="50" t="s">
        <v>266</v>
      </c>
      <c r="N1288" s="190"/>
      <c r="O1288" s="40">
        <f t="shared" ca="1" si="193"/>
        <v>0.25512913754024291</v>
      </c>
      <c r="P1288" s="51">
        <f t="shared" si="199"/>
        <v>-1</v>
      </c>
      <c r="Q1288" s="51">
        <f t="shared" si="200"/>
        <v>0</v>
      </c>
      <c r="R1288" s="51">
        <f t="shared" si="204"/>
        <v>0.1</v>
      </c>
      <c r="S1288"/>
      <c r="T1288" s="83"/>
    </row>
    <row r="1289" spans="1:20" ht="16" x14ac:dyDescent="0.2">
      <c r="A1289"/>
      <c r="B1289" s="103"/>
      <c r="C1289" s="243"/>
      <c r="D1289" s="119">
        <v>1276</v>
      </c>
      <c r="E1289" s="25" t="str">
        <f>Tp_Non_CHG!N25</f>
        <v>Transition Probability from state 3 to state 1 on day 15 (Non-CHG)</v>
      </c>
      <c r="F1289" s="40">
        <f t="shared" si="198"/>
        <v>0</v>
      </c>
      <c r="G1289" s="156">
        <v>1</v>
      </c>
      <c r="H1289" s="120">
        <f>Tp_Non_CHG!Q25</f>
        <v>0</v>
      </c>
      <c r="I1289" s="40" t="s">
        <v>58</v>
      </c>
      <c r="J1289" s="40">
        <f t="shared" si="202"/>
        <v>0</v>
      </c>
      <c r="K1289" s="40">
        <f t="shared" si="203"/>
        <v>0</v>
      </c>
      <c r="L1289" s="40" t="s">
        <v>58</v>
      </c>
      <c r="M1289" s="50" t="s">
        <v>266</v>
      </c>
      <c r="N1289" s="190"/>
      <c r="O1289" s="40">
        <f t="shared" ca="1" si="193"/>
        <v>0.72910924587942039</v>
      </c>
      <c r="P1289" s="51">
        <f t="shared" si="199"/>
        <v>0</v>
      </c>
      <c r="Q1289" s="51">
        <f t="shared" si="200"/>
        <v>0</v>
      </c>
      <c r="R1289" s="51">
        <f t="shared" si="204"/>
        <v>0</v>
      </c>
      <c r="S1289"/>
      <c r="T1289" s="83"/>
    </row>
    <row r="1290" spans="1:20" ht="16" x14ac:dyDescent="0.2">
      <c r="A1290"/>
      <c r="B1290" s="103"/>
      <c r="C1290" s="243"/>
      <c r="D1290" s="119">
        <v>1277</v>
      </c>
      <c r="E1290" s="25" t="str">
        <f>Tp_Non_CHG!N26</f>
        <v>Transition Probability from state 3 to state 1 on day 16 (Non-CHG)</v>
      </c>
      <c r="F1290" s="40">
        <f t="shared" si="198"/>
        <v>0</v>
      </c>
      <c r="G1290" s="156">
        <v>1</v>
      </c>
      <c r="H1290" s="120">
        <f>Tp_Non_CHG!Q26</f>
        <v>0</v>
      </c>
      <c r="I1290" s="40" t="s">
        <v>58</v>
      </c>
      <c r="J1290" s="40">
        <f t="shared" si="202"/>
        <v>0</v>
      </c>
      <c r="K1290" s="40">
        <f t="shared" si="203"/>
        <v>0</v>
      </c>
      <c r="L1290" s="40" t="s">
        <v>58</v>
      </c>
      <c r="M1290" s="50" t="s">
        <v>266</v>
      </c>
      <c r="N1290" s="190"/>
      <c r="O1290" s="40">
        <f t="shared" ca="1" si="193"/>
        <v>0.71559609903519295</v>
      </c>
      <c r="P1290" s="51">
        <f t="shared" si="199"/>
        <v>0</v>
      </c>
      <c r="Q1290" s="51">
        <f t="shared" si="200"/>
        <v>0</v>
      </c>
      <c r="R1290" s="51">
        <f t="shared" si="204"/>
        <v>0</v>
      </c>
      <c r="S1290"/>
      <c r="T1290" s="83"/>
    </row>
    <row r="1291" spans="1:20" ht="16" x14ac:dyDescent="0.2">
      <c r="A1291"/>
      <c r="B1291" s="103"/>
      <c r="C1291" s="243"/>
      <c r="D1291" s="119">
        <v>1278</v>
      </c>
      <c r="E1291" s="25" t="str">
        <f>Tp_Non_CHG!N27</f>
        <v>Transition Probability from state 3 to state 1 on day 17 (Non-CHG)</v>
      </c>
      <c r="F1291" s="40">
        <f t="shared" si="198"/>
        <v>0</v>
      </c>
      <c r="G1291" s="156">
        <v>1</v>
      </c>
      <c r="H1291" s="120">
        <f>Tp_Non_CHG!Q27</f>
        <v>0</v>
      </c>
      <c r="I1291" s="40" t="s">
        <v>58</v>
      </c>
      <c r="J1291" s="40">
        <f t="shared" si="202"/>
        <v>0</v>
      </c>
      <c r="K1291" s="40">
        <f t="shared" si="203"/>
        <v>0</v>
      </c>
      <c r="L1291" s="40" t="s">
        <v>58</v>
      </c>
      <c r="M1291" s="50" t="s">
        <v>266</v>
      </c>
      <c r="N1291" s="190"/>
      <c r="O1291" s="40">
        <f t="shared" ca="1" si="193"/>
        <v>0.79199093672305354</v>
      </c>
      <c r="P1291" s="51">
        <f t="shared" si="199"/>
        <v>0</v>
      </c>
      <c r="Q1291" s="51">
        <f t="shared" si="200"/>
        <v>0</v>
      </c>
      <c r="R1291" s="51">
        <f t="shared" si="204"/>
        <v>0</v>
      </c>
      <c r="S1291"/>
      <c r="T1291" s="83"/>
    </row>
    <row r="1292" spans="1:20" ht="16" x14ac:dyDescent="0.2">
      <c r="A1292"/>
      <c r="B1292" s="103"/>
      <c r="C1292" s="243"/>
      <c r="D1292" s="119">
        <v>1279</v>
      </c>
      <c r="E1292" s="25" t="str">
        <f>Tp_Non_CHG!N28</f>
        <v>Transition Probability from state 3 to state 1 on day 18 (Non-CHG)</v>
      </c>
      <c r="F1292" s="40">
        <f t="shared" si="198"/>
        <v>0</v>
      </c>
      <c r="G1292" s="156">
        <v>1</v>
      </c>
      <c r="H1292" s="120">
        <f>Tp_Non_CHG!Q28</f>
        <v>0</v>
      </c>
      <c r="I1292" s="40" t="s">
        <v>58</v>
      </c>
      <c r="J1292" s="40">
        <f t="shared" si="202"/>
        <v>0</v>
      </c>
      <c r="K1292" s="40">
        <f t="shared" si="203"/>
        <v>0</v>
      </c>
      <c r="L1292" s="40" t="s">
        <v>58</v>
      </c>
      <c r="M1292" s="50" t="s">
        <v>266</v>
      </c>
      <c r="N1292" s="190"/>
      <c r="O1292" s="40">
        <f t="shared" ca="1" si="193"/>
        <v>0.70142784869416996</v>
      </c>
      <c r="P1292" s="51">
        <f t="shared" si="199"/>
        <v>0</v>
      </c>
      <c r="Q1292" s="51">
        <f t="shared" si="200"/>
        <v>0</v>
      </c>
      <c r="R1292" s="51">
        <f t="shared" si="204"/>
        <v>0</v>
      </c>
      <c r="S1292"/>
      <c r="T1292" s="83"/>
    </row>
    <row r="1293" spans="1:20" ht="16" x14ac:dyDescent="0.2">
      <c r="A1293"/>
      <c r="B1293" s="103"/>
      <c r="C1293" s="243"/>
      <c r="D1293" s="119">
        <v>1280</v>
      </c>
      <c r="E1293" s="25" t="str">
        <f>Tp_Non_CHG!N29</f>
        <v>Transition Probability from state 3 to state 1 on day 19 (Non-CHG)</v>
      </c>
      <c r="F1293" s="40">
        <f t="shared" si="198"/>
        <v>0</v>
      </c>
      <c r="G1293" s="156">
        <v>1</v>
      </c>
      <c r="H1293" s="120">
        <f>Tp_Non_CHG!Q29</f>
        <v>0</v>
      </c>
      <c r="I1293" s="40" t="s">
        <v>58</v>
      </c>
      <c r="J1293" s="40">
        <f t="shared" si="202"/>
        <v>0</v>
      </c>
      <c r="K1293" s="40">
        <f t="shared" si="203"/>
        <v>0</v>
      </c>
      <c r="L1293" s="40" t="s">
        <v>58</v>
      </c>
      <c r="M1293" s="50" t="s">
        <v>266</v>
      </c>
      <c r="N1293" s="190"/>
      <c r="O1293" s="40">
        <f t="shared" ref="O1293:O1361" ca="1" si="205">RAND()</f>
        <v>0.71635215335721825</v>
      </c>
      <c r="P1293" s="51">
        <f t="shared" si="199"/>
        <v>0</v>
      </c>
      <c r="Q1293" s="51">
        <f t="shared" si="200"/>
        <v>0</v>
      </c>
      <c r="R1293" s="51">
        <f t="shared" si="204"/>
        <v>0</v>
      </c>
      <c r="S1293"/>
      <c r="T1293" s="83"/>
    </row>
    <row r="1294" spans="1:20" ht="16" x14ac:dyDescent="0.2">
      <c r="A1294"/>
      <c r="B1294" s="103"/>
      <c r="C1294" s="243"/>
      <c r="D1294" s="119">
        <v>1281</v>
      </c>
      <c r="E1294" s="25" t="str">
        <f>Tp_Non_CHG!N30</f>
        <v>Transition Probability from state 3 to state 1 on day 20 (Non-CHG)</v>
      </c>
      <c r="F1294" s="40">
        <f t="shared" si="198"/>
        <v>0</v>
      </c>
      <c r="G1294" s="156">
        <v>1</v>
      </c>
      <c r="H1294" s="120">
        <f>Tp_Non_CHG!Q30</f>
        <v>0</v>
      </c>
      <c r="I1294" s="40" t="s">
        <v>58</v>
      </c>
      <c r="J1294" s="40">
        <f t="shared" si="202"/>
        <v>0</v>
      </c>
      <c r="K1294" s="40">
        <f t="shared" si="203"/>
        <v>0</v>
      </c>
      <c r="L1294" s="40" t="s">
        <v>58</v>
      </c>
      <c r="M1294" s="50" t="s">
        <v>266</v>
      </c>
      <c r="N1294" s="190"/>
      <c r="O1294" s="40">
        <f t="shared" ca="1" si="205"/>
        <v>0.16855481027933905</v>
      </c>
      <c r="P1294" s="51">
        <f t="shared" si="199"/>
        <v>0</v>
      </c>
      <c r="Q1294" s="51">
        <f t="shared" si="200"/>
        <v>0</v>
      </c>
      <c r="R1294" s="51">
        <f t="shared" si="204"/>
        <v>0</v>
      </c>
      <c r="S1294"/>
      <c r="T1294" s="83"/>
    </row>
    <row r="1295" spans="1:20" ht="16" x14ac:dyDescent="0.2">
      <c r="A1295"/>
      <c r="B1295" s="103"/>
      <c r="C1295" s="243"/>
      <c r="D1295" s="119">
        <v>1282</v>
      </c>
      <c r="E1295" s="25" t="str">
        <f>Tp_Non_CHG!N31</f>
        <v>Transition Probability from state 3 to state 1 on day 21 (Non-CHG)</v>
      </c>
      <c r="F1295" s="40">
        <f t="shared" si="198"/>
        <v>0</v>
      </c>
      <c r="G1295" s="156">
        <v>1</v>
      </c>
      <c r="H1295" s="120">
        <f>Tp_Non_CHG!Q31</f>
        <v>0</v>
      </c>
      <c r="I1295" s="40" t="s">
        <v>58</v>
      </c>
      <c r="J1295" s="40">
        <f t="shared" si="202"/>
        <v>0</v>
      </c>
      <c r="K1295" s="40">
        <f t="shared" si="203"/>
        <v>0</v>
      </c>
      <c r="L1295" s="40" t="s">
        <v>58</v>
      </c>
      <c r="M1295" s="50" t="s">
        <v>266</v>
      </c>
      <c r="N1295" s="190"/>
      <c r="O1295" s="40">
        <f t="shared" ca="1" si="205"/>
        <v>0.21544159886343006</v>
      </c>
      <c r="P1295" s="51">
        <f t="shared" si="199"/>
        <v>0</v>
      </c>
      <c r="Q1295" s="51">
        <f t="shared" si="200"/>
        <v>0</v>
      </c>
      <c r="R1295" s="51">
        <f t="shared" si="204"/>
        <v>0</v>
      </c>
      <c r="S1295"/>
      <c r="T1295" s="83"/>
    </row>
    <row r="1296" spans="1:20" ht="16" x14ac:dyDescent="0.2">
      <c r="A1296"/>
      <c r="B1296" s="103"/>
      <c r="C1296" s="243"/>
      <c r="D1296" s="119">
        <v>1283</v>
      </c>
      <c r="E1296" s="25" t="str">
        <f>Tp_Non_CHG!N32</f>
        <v>Transition Probability from state 3 to state 1 on day 22 (Non-CHG)</v>
      </c>
      <c r="F1296" s="40">
        <f t="shared" ref="F1296:F1359" si="206">IFERROR(CHOOSE(G1296,H1296,J1296,K1296,N1296),0)</f>
        <v>0</v>
      </c>
      <c r="G1296" s="156">
        <v>1</v>
      </c>
      <c r="H1296" s="120">
        <f>Tp_Non_CHG!Q32</f>
        <v>0</v>
      </c>
      <c r="I1296" s="40" t="s">
        <v>58</v>
      </c>
      <c r="J1296" s="40">
        <f t="shared" si="202"/>
        <v>0</v>
      </c>
      <c r="K1296" s="40">
        <f t="shared" si="203"/>
        <v>0</v>
      </c>
      <c r="L1296" s="40" t="s">
        <v>58</v>
      </c>
      <c r="M1296" s="50" t="s">
        <v>266</v>
      </c>
      <c r="N1296" s="190"/>
      <c r="O1296" s="40">
        <f t="shared" ca="1" si="205"/>
        <v>6.0060006198712435E-2</v>
      </c>
      <c r="P1296" s="51">
        <f t="shared" si="199"/>
        <v>0</v>
      </c>
      <c r="Q1296" s="51">
        <f t="shared" si="200"/>
        <v>0</v>
      </c>
      <c r="R1296" s="51">
        <f t="shared" si="204"/>
        <v>0</v>
      </c>
      <c r="S1296"/>
      <c r="T1296" s="83"/>
    </row>
    <row r="1297" spans="1:20" ht="16" x14ac:dyDescent="0.2">
      <c r="A1297"/>
      <c r="B1297" s="103"/>
      <c r="C1297" s="243"/>
      <c r="D1297" s="119">
        <v>1284</v>
      </c>
      <c r="E1297" s="25" t="str">
        <f>Tp_Non_CHG!N33</f>
        <v>Transition Probability from state 3 to state 1 on day 23 (Non-CHG)</v>
      </c>
      <c r="F1297" s="40">
        <f t="shared" si="206"/>
        <v>1</v>
      </c>
      <c r="G1297" s="156">
        <v>1</v>
      </c>
      <c r="H1297" s="120">
        <f>Tp_Non_CHG!Q33</f>
        <v>1</v>
      </c>
      <c r="I1297" s="40" t="s">
        <v>58</v>
      </c>
      <c r="J1297" s="40">
        <f t="shared" si="202"/>
        <v>0.8040036015459946</v>
      </c>
      <c r="K1297" s="40">
        <f t="shared" si="203"/>
        <v>1.1959963984540054</v>
      </c>
      <c r="L1297" s="40" t="s">
        <v>58</v>
      </c>
      <c r="M1297" s="50" t="s">
        <v>266</v>
      </c>
      <c r="N1297" s="190"/>
      <c r="O1297" s="40">
        <f t="shared" ca="1" si="205"/>
        <v>0.7354193836563564</v>
      </c>
      <c r="P1297" s="51">
        <f t="shared" ref="P1297:P1360" si="207">IFERROR(H1297*((H1297*(1-H1297)/(R1297^2))-1),0)</f>
        <v>-1</v>
      </c>
      <c r="Q1297" s="51">
        <f t="shared" ref="Q1297:Q1360" si="208">IFERROR((1-H1297)*((H1297*(1-H1297))/(R1297^2)-1),0)</f>
        <v>0</v>
      </c>
      <c r="R1297" s="51">
        <f t="shared" si="204"/>
        <v>0.1</v>
      </c>
      <c r="S1297"/>
      <c r="T1297" s="83"/>
    </row>
    <row r="1298" spans="1:20" ht="16" x14ac:dyDescent="0.2">
      <c r="A1298"/>
      <c r="B1298" s="103"/>
      <c r="C1298" s="243"/>
      <c r="D1298" s="119">
        <v>1285</v>
      </c>
      <c r="E1298" s="25" t="str">
        <f>Tp_Non_CHG!N34</f>
        <v>Transition Probability from state 3 to state 1 on day 24 (Non-CHG)</v>
      </c>
      <c r="F1298" s="40">
        <f t="shared" si="206"/>
        <v>0</v>
      </c>
      <c r="G1298" s="156">
        <v>1</v>
      </c>
      <c r="H1298" s="120">
        <f>Tp_Non_CHG!Q34</f>
        <v>0</v>
      </c>
      <c r="I1298" s="40" t="s">
        <v>58</v>
      </c>
      <c r="J1298" s="40">
        <f t="shared" si="202"/>
        <v>0</v>
      </c>
      <c r="K1298" s="40">
        <f t="shared" si="203"/>
        <v>0</v>
      </c>
      <c r="L1298" s="40" t="s">
        <v>58</v>
      </c>
      <c r="M1298" s="50" t="s">
        <v>266</v>
      </c>
      <c r="N1298" s="190"/>
      <c r="O1298" s="40">
        <f t="shared" ca="1" si="205"/>
        <v>0.48029418008006608</v>
      </c>
      <c r="P1298" s="51">
        <f t="shared" si="207"/>
        <v>0</v>
      </c>
      <c r="Q1298" s="51">
        <f t="shared" si="208"/>
        <v>0</v>
      </c>
      <c r="R1298" s="51">
        <f t="shared" si="204"/>
        <v>0</v>
      </c>
      <c r="S1298"/>
      <c r="T1298" s="83"/>
    </row>
    <row r="1299" spans="1:20" ht="16" x14ac:dyDescent="0.2">
      <c r="A1299"/>
      <c r="B1299" s="103"/>
      <c r="C1299" s="243"/>
      <c r="D1299" s="119">
        <v>1286</v>
      </c>
      <c r="E1299" s="25" t="str">
        <f>Tp_Non_CHG!N35</f>
        <v>Transition Probability from state 3 to state 1 on day 25 (Non-CHG)</v>
      </c>
      <c r="F1299" s="40">
        <f t="shared" si="206"/>
        <v>0</v>
      </c>
      <c r="G1299" s="156">
        <v>1</v>
      </c>
      <c r="H1299" s="120">
        <f>Tp_Non_CHG!Q35</f>
        <v>0</v>
      </c>
      <c r="I1299" s="40" t="s">
        <v>58</v>
      </c>
      <c r="J1299" s="40">
        <f t="shared" si="202"/>
        <v>0</v>
      </c>
      <c r="K1299" s="40">
        <f t="shared" si="203"/>
        <v>0</v>
      </c>
      <c r="L1299" s="40" t="s">
        <v>58</v>
      </c>
      <c r="M1299" s="50" t="s">
        <v>266</v>
      </c>
      <c r="N1299" s="190"/>
      <c r="O1299" s="40">
        <f t="shared" ca="1" si="205"/>
        <v>0.42372512500151216</v>
      </c>
      <c r="P1299" s="51">
        <f t="shared" si="207"/>
        <v>0</v>
      </c>
      <c r="Q1299" s="51">
        <f t="shared" si="208"/>
        <v>0</v>
      </c>
      <c r="R1299" s="51">
        <f t="shared" si="204"/>
        <v>0</v>
      </c>
      <c r="S1299"/>
      <c r="T1299" s="83"/>
    </row>
    <row r="1300" spans="1:20" ht="16" x14ac:dyDescent="0.2">
      <c r="A1300"/>
      <c r="B1300" s="103"/>
      <c r="C1300" s="243"/>
      <c r="D1300" s="119">
        <v>1287</v>
      </c>
      <c r="E1300" s="25" t="str">
        <f>Tp_Non_CHG!N36</f>
        <v>Transition Probability from state 3 to state 1 on day 26 (Non-CHG)</v>
      </c>
      <c r="F1300" s="40">
        <f t="shared" si="206"/>
        <v>0</v>
      </c>
      <c r="G1300" s="156">
        <v>1</v>
      </c>
      <c r="H1300" s="120">
        <f>Tp_Non_CHG!Q36</f>
        <v>0</v>
      </c>
      <c r="I1300" s="40" t="s">
        <v>58</v>
      </c>
      <c r="J1300" s="40">
        <f t="shared" si="202"/>
        <v>0</v>
      </c>
      <c r="K1300" s="40">
        <f t="shared" si="203"/>
        <v>0</v>
      </c>
      <c r="L1300" s="40" t="s">
        <v>58</v>
      </c>
      <c r="M1300" s="50" t="s">
        <v>266</v>
      </c>
      <c r="N1300" s="190"/>
      <c r="O1300" s="40">
        <f t="shared" ca="1" si="205"/>
        <v>0.31029002015042439</v>
      </c>
      <c r="P1300" s="51">
        <f t="shared" si="207"/>
        <v>0</v>
      </c>
      <c r="Q1300" s="51">
        <f t="shared" si="208"/>
        <v>0</v>
      </c>
      <c r="R1300" s="51">
        <f t="shared" si="204"/>
        <v>0</v>
      </c>
      <c r="S1300"/>
      <c r="T1300" s="83"/>
    </row>
    <row r="1301" spans="1:20" ht="16" x14ac:dyDescent="0.2">
      <c r="A1301"/>
      <c r="B1301" s="103"/>
      <c r="C1301" s="243"/>
      <c r="D1301" s="119">
        <v>1288</v>
      </c>
      <c r="E1301" s="25" t="str">
        <f>Tp_Non_CHG!N37</f>
        <v>Transition Probability from state 3 to state 1 on day 27 (Non-CHG)</v>
      </c>
      <c r="F1301" s="40">
        <f t="shared" si="206"/>
        <v>0</v>
      </c>
      <c r="G1301" s="156">
        <v>1</v>
      </c>
      <c r="H1301" s="120">
        <f>Tp_Non_CHG!Q37</f>
        <v>0</v>
      </c>
      <c r="I1301" s="40" t="s">
        <v>58</v>
      </c>
      <c r="J1301" s="40">
        <f t="shared" si="202"/>
        <v>0</v>
      </c>
      <c r="K1301" s="40">
        <f t="shared" si="203"/>
        <v>0</v>
      </c>
      <c r="L1301" s="40" t="s">
        <v>58</v>
      </c>
      <c r="M1301" s="50" t="s">
        <v>266</v>
      </c>
      <c r="N1301" s="190"/>
      <c r="O1301" s="40">
        <f t="shared" ca="1" si="205"/>
        <v>0.20928246620159252</v>
      </c>
      <c r="P1301" s="51">
        <f t="shared" si="207"/>
        <v>0</v>
      </c>
      <c r="Q1301" s="51">
        <f t="shared" si="208"/>
        <v>0</v>
      </c>
      <c r="R1301" s="51">
        <f t="shared" si="204"/>
        <v>0</v>
      </c>
      <c r="S1301"/>
      <c r="T1301" s="83"/>
    </row>
    <row r="1302" spans="1:20" ht="16" x14ac:dyDescent="0.2">
      <c r="A1302"/>
      <c r="B1302" s="103"/>
      <c r="C1302" s="243"/>
      <c r="D1302" s="119">
        <v>1289</v>
      </c>
      <c r="E1302" s="25" t="str">
        <f>Tp_Non_CHG!N38</f>
        <v>Transition Probability from state 3 to state 1 on day 28 (Non-CHG)</v>
      </c>
      <c r="F1302" s="40">
        <f t="shared" si="206"/>
        <v>0</v>
      </c>
      <c r="G1302" s="156">
        <v>1</v>
      </c>
      <c r="H1302" s="120">
        <f>Tp_Non_CHG!Q38</f>
        <v>0</v>
      </c>
      <c r="I1302" s="40" t="s">
        <v>58</v>
      </c>
      <c r="J1302" s="40">
        <f t="shared" si="202"/>
        <v>0</v>
      </c>
      <c r="K1302" s="40">
        <f t="shared" si="203"/>
        <v>0</v>
      </c>
      <c r="L1302" s="40" t="s">
        <v>58</v>
      </c>
      <c r="M1302" s="50" t="s">
        <v>266</v>
      </c>
      <c r="N1302" s="190"/>
      <c r="O1302" s="40">
        <f t="shared" ca="1" si="205"/>
        <v>0.50341040089405897</v>
      </c>
      <c r="P1302" s="51">
        <f t="shared" si="207"/>
        <v>0</v>
      </c>
      <c r="Q1302" s="51">
        <f t="shared" si="208"/>
        <v>0</v>
      </c>
      <c r="R1302" s="51">
        <f t="shared" si="204"/>
        <v>0</v>
      </c>
      <c r="S1302"/>
      <c r="T1302" s="83"/>
    </row>
    <row r="1303" spans="1:20" ht="16" x14ac:dyDescent="0.2">
      <c r="A1303"/>
      <c r="B1303" s="103"/>
      <c r="C1303" s="243"/>
      <c r="D1303" s="119">
        <v>1290</v>
      </c>
      <c r="E1303" s="25" t="str">
        <f>Tp_Non_CHG!N39</f>
        <v>Transition Probability from state 3 to state 1 on day 29 (Non-CHG)</v>
      </c>
      <c r="F1303" s="40">
        <f t="shared" si="206"/>
        <v>0</v>
      </c>
      <c r="G1303" s="156">
        <v>1</v>
      </c>
      <c r="H1303" s="120">
        <f>Tp_Non_CHG!Q39</f>
        <v>0</v>
      </c>
      <c r="I1303" s="40" t="s">
        <v>58</v>
      </c>
      <c r="J1303" s="40">
        <f t="shared" si="202"/>
        <v>0</v>
      </c>
      <c r="K1303" s="40">
        <f t="shared" si="203"/>
        <v>0</v>
      </c>
      <c r="L1303" s="40" t="s">
        <v>58</v>
      </c>
      <c r="M1303" s="50" t="s">
        <v>266</v>
      </c>
      <c r="N1303" s="190"/>
      <c r="O1303" s="40">
        <f t="shared" ca="1" si="205"/>
        <v>0.64093459607103331</v>
      </c>
      <c r="P1303" s="51">
        <f t="shared" si="207"/>
        <v>0</v>
      </c>
      <c r="Q1303" s="51">
        <f t="shared" si="208"/>
        <v>0</v>
      </c>
      <c r="R1303" s="51">
        <f t="shared" si="204"/>
        <v>0</v>
      </c>
      <c r="S1303"/>
      <c r="T1303" s="83"/>
    </row>
    <row r="1304" spans="1:20" ht="16" x14ac:dyDescent="0.2">
      <c r="A1304"/>
      <c r="B1304" s="103"/>
      <c r="C1304" s="243"/>
      <c r="D1304" s="119">
        <v>1291</v>
      </c>
      <c r="E1304" s="25" t="str">
        <f>Tp_Non_CHG!N40</f>
        <v>Transition Probability from state 3 to state 1 on day 30 (Non-CHG)</v>
      </c>
      <c r="F1304" s="40">
        <f t="shared" si="206"/>
        <v>0</v>
      </c>
      <c r="G1304" s="156">
        <v>1</v>
      </c>
      <c r="H1304" s="120">
        <f>Tp_Non_CHG!Q40</f>
        <v>0</v>
      </c>
      <c r="I1304" s="40" t="s">
        <v>58</v>
      </c>
      <c r="J1304" s="40">
        <f t="shared" si="202"/>
        <v>0</v>
      </c>
      <c r="K1304" s="40">
        <f t="shared" si="203"/>
        <v>0</v>
      </c>
      <c r="L1304" s="40" t="s">
        <v>58</v>
      </c>
      <c r="M1304" s="50" t="s">
        <v>266</v>
      </c>
      <c r="N1304" s="190"/>
      <c r="O1304" s="40">
        <f t="shared" ca="1" si="205"/>
        <v>0.3833301578064009</v>
      </c>
      <c r="P1304" s="51">
        <f t="shared" si="207"/>
        <v>0</v>
      </c>
      <c r="Q1304" s="51">
        <f t="shared" si="208"/>
        <v>0</v>
      </c>
      <c r="R1304" s="51">
        <f t="shared" si="204"/>
        <v>0</v>
      </c>
      <c r="S1304"/>
      <c r="T1304" s="83"/>
    </row>
    <row r="1305" spans="1:20" ht="16" x14ac:dyDescent="0.2">
      <c r="A1305"/>
      <c r="B1305" s="103"/>
      <c r="C1305" s="243"/>
      <c r="D1305" s="119">
        <v>1292</v>
      </c>
      <c r="E1305" s="25" t="str">
        <f>Tp_Non_CHG!S11</f>
        <v>Transition Probability from state 4 to state 1 on day 1 (Non-CHG)</v>
      </c>
      <c r="F1305" s="40">
        <f t="shared" si="206"/>
        <v>0</v>
      </c>
      <c r="G1305" s="156">
        <v>1</v>
      </c>
      <c r="H1305" s="120">
        <f>Tp_Non_CHG!V11</f>
        <v>0</v>
      </c>
      <c r="I1305" s="40" t="s">
        <v>58</v>
      </c>
      <c r="J1305" s="40">
        <f t="shared" si="202"/>
        <v>0</v>
      </c>
      <c r="K1305" s="40">
        <f t="shared" si="203"/>
        <v>0</v>
      </c>
      <c r="L1305" s="40" t="s">
        <v>58</v>
      </c>
      <c r="M1305" s="50" t="s">
        <v>266</v>
      </c>
      <c r="N1305" s="190"/>
      <c r="O1305" s="40">
        <f t="shared" ca="1" si="205"/>
        <v>0.95802726251993553</v>
      </c>
      <c r="P1305" s="51">
        <f t="shared" si="207"/>
        <v>0</v>
      </c>
      <c r="Q1305" s="51">
        <f t="shared" si="208"/>
        <v>0</v>
      </c>
      <c r="R1305" s="51">
        <f t="shared" si="204"/>
        <v>0</v>
      </c>
      <c r="S1305"/>
      <c r="T1305" s="83"/>
    </row>
    <row r="1306" spans="1:20" ht="16" x14ac:dyDescent="0.2">
      <c r="A1306"/>
      <c r="B1306" s="103"/>
      <c r="C1306" s="243"/>
      <c r="D1306" s="119">
        <v>1293</v>
      </c>
      <c r="E1306" s="25" t="str">
        <f>Tp_Non_CHG!S12</f>
        <v>Transition Probability from state 4 to state 1 on day 2 (Non-CHG)</v>
      </c>
      <c r="F1306" s="40">
        <f t="shared" si="206"/>
        <v>0</v>
      </c>
      <c r="G1306" s="156">
        <v>1</v>
      </c>
      <c r="H1306" s="120">
        <f>Tp_Non_CHG!V12</f>
        <v>0</v>
      </c>
      <c r="I1306" s="40" t="s">
        <v>58</v>
      </c>
      <c r="J1306" s="40">
        <f t="shared" si="202"/>
        <v>0</v>
      </c>
      <c r="K1306" s="40">
        <f t="shared" si="203"/>
        <v>0</v>
      </c>
      <c r="L1306" s="40" t="s">
        <v>58</v>
      </c>
      <c r="M1306" s="50" t="s">
        <v>266</v>
      </c>
      <c r="N1306" s="190"/>
      <c r="O1306" s="40">
        <f t="shared" ca="1" si="205"/>
        <v>0.95017806648272896</v>
      </c>
      <c r="P1306" s="51">
        <f t="shared" si="207"/>
        <v>0</v>
      </c>
      <c r="Q1306" s="51">
        <f t="shared" si="208"/>
        <v>0</v>
      </c>
      <c r="R1306" s="51">
        <f t="shared" si="204"/>
        <v>0</v>
      </c>
      <c r="S1306"/>
      <c r="T1306" s="83"/>
    </row>
    <row r="1307" spans="1:20" ht="16" x14ac:dyDescent="0.2">
      <c r="A1307"/>
      <c r="B1307" s="103"/>
      <c r="C1307" s="243"/>
      <c r="D1307" s="119">
        <v>1294</v>
      </c>
      <c r="E1307" s="25" t="str">
        <f>Tp_Non_CHG!S13</f>
        <v>Transition Probability from state 4 to state 1 on day 3 (Non-CHG)</v>
      </c>
      <c r="F1307" s="40">
        <f t="shared" si="206"/>
        <v>0</v>
      </c>
      <c r="G1307" s="156">
        <v>1</v>
      </c>
      <c r="H1307" s="120">
        <f>Tp_Non_CHG!V13</f>
        <v>0</v>
      </c>
      <c r="I1307" s="40" t="s">
        <v>58</v>
      </c>
      <c r="J1307" s="40">
        <f t="shared" si="202"/>
        <v>0</v>
      </c>
      <c r="K1307" s="40">
        <f t="shared" si="203"/>
        <v>0</v>
      </c>
      <c r="L1307" s="40" t="s">
        <v>58</v>
      </c>
      <c r="M1307" s="50" t="s">
        <v>266</v>
      </c>
      <c r="N1307" s="190"/>
      <c r="O1307" s="40">
        <f t="shared" ca="1" si="205"/>
        <v>2.71838414390696E-2</v>
      </c>
      <c r="P1307" s="51">
        <f t="shared" si="207"/>
        <v>0</v>
      </c>
      <c r="Q1307" s="51">
        <f t="shared" si="208"/>
        <v>0</v>
      </c>
      <c r="R1307" s="51">
        <f t="shared" si="204"/>
        <v>0</v>
      </c>
      <c r="S1307"/>
      <c r="T1307" s="83"/>
    </row>
    <row r="1308" spans="1:20" ht="16" x14ac:dyDescent="0.2">
      <c r="A1308"/>
      <c r="B1308" s="103"/>
      <c r="C1308" s="243"/>
      <c r="D1308" s="119">
        <v>1295</v>
      </c>
      <c r="E1308" s="25" t="str">
        <f>Tp_Non_CHG!S14</f>
        <v>Transition Probability from state 4 to state 1 on day 4 (Non-CHG)</v>
      </c>
      <c r="F1308" s="40">
        <f t="shared" si="206"/>
        <v>0</v>
      </c>
      <c r="G1308" s="156">
        <v>1</v>
      </c>
      <c r="H1308" s="120">
        <f>Tp_Non_CHG!V14</f>
        <v>0</v>
      </c>
      <c r="I1308" s="40" t="s">
        <v>58</v>
      </c>
      <c r="J1308" s="40">
        <f t="shared" si="202"/>
        <v>0</v>
      </c>
      <c r="K1308" s="40">
        <f t="shared" si="203"/>
        <v>0</v>
      </c>
      <c r="L1308" s="40" t="s">
        <v>58</v>
      </c>
      <c r="M1308" s="50" t="s">
        <v>266</v>
      </c>
      <c r="N1308" s="190"/>
      <c r="O1308" s="40">
        <f t="shared" ca="1" si="205"/>
        <v>0.61937961672235164</v>
      </c>
      <c r="P1308" s="51">
        <f t="shared" si="207"/>
        <v>0</v>
      </c>
      <c r="Q1308" s="51">
        <f t="shared" si="208"/>
        <v>0</v>
      </c>
      <c r="R1308" s="51">
        <f t="shared" si="204"/>
        <v>0</v>
      </c>
      <c r="S1308"/>
      <c r="T1308" s="83"/>
    </row>
    <row r="1309" spans="1:20" ht="16" x14ac:dyDescent="0.2">
      <c r="A1309"/>
      <c r="B1309" s="103"/>
      <c r="C1309" s="243"/>
      <c r="D1309" s="119">
        <v>1296</v>
      </c>
      <c r="E1309" s="25" t="str">
        <f>Tp_Non_CHG!S15</f>
        <v>Transition Probability from state 4 to state 1 on day 5 (Non-CHG)</v>
      </c>
      <c r="F1309" s="40">
        <f t="shared" si="206"/>
        <v>0</v>
      </c>
      <c r="G1309" s="156">
        <v>1</v>
      </c>
      <c r="H1309" s="120">
        <f>Tp_Non_CHG!V15</f>
        <v>0</v>
      </c>
      <c r="I1309" s="40" t="s">
        <v>58</v>
      </c>
      <c r="J1309" s="40">
        <f t="shared" si="202"/>
        <v>0</v>
      </c>
      <c r="K1309" s="40">
        <f t="shared" si="203"/>
        <v>0</v>
      </c>
      <c r="L1309" s="40" t="s">
        <v>58</v>
      </c>
      <c r="M1309" s="50" t="s">
        <v>266</v>
      </c>
      <c r="N1309" s="190"/>
      <c r="O1309" s="40">
        <f t="shared" ca="1" si="205"/>
        <v>0.93273600114232325</v>
      </c>
      <c r="P1309" s="51">
        <f t="shared" si="207"/>
        <v>0</v>
      </c>
      <c r="Q1309" s="51">
        <f t="shared" si="208"/>
        <v>0</v>
      </c>
      <c r="R1309" s="51">
        <f t="shared" si="204"/>
        <v>0</v>
      </c>
      <c r="S1309"/>
      <c r="T1309" s="83"/>
    </row>
    <row r="1310" spans="1:20" ht="16" x14ac:dyDescent="0.2">
      <c r="A1310"/>
      <c r="B1310" s="103"/>
      <c r="C1310" s="243"/>
      <c r="D1310" s="119">
        <v>1297</v>
      </c>
      <c r="E1310" s="25" t="str">
        <f>Tp_Non_CHG!S16</f>
        <v>Transition Probability from state 4 to state 1 on day 6 (Non-CHG)</v>
      </c>
      <c r="F1310" s="40">
        <f t="shared" si="206"/>
        <v>0</v>
      </c>
      <c r="G1310" s="156">
        <v>1</v>
      </c>
      <c r="H1310" s="120">
        <f>Tp_Non_CHG!V16</f>
        <v>0</v>
      </c>
      <c r="I1310" s="40" t="s">
        <v>58</v>
      </c>
      <c r="J1310" s="40">
        <f t="shared" si="202"/>
        <v>0</v>
      </c>
      <c r="K1310" s="40">
        <f t="shared" si="203"/>
        <v>0</v>
      </c>
      <c r="L1310" s="40" t="s">
        <v>58</v>
      </c>
      <c r="M1310" s="50" t="s">
        <v>266</v>
      </c>
      <c r="N1310" s="190"/>
      <c r="O1310" s="40">
        <f t="shared" ca="1" si="205"/>
        <v>0.13298351874452552</v>
      </c>
      <c r="P1310" s="51">
        <f t="shared" si="207"/>
        <v>0</v>
      </c>
      <c r="Q1310" s="51">
        <f t="shared" si="208"/>
        <v>0</v>
      </c>
      <c r="R1310" s="51">
        <f t="shared" si="204"/>
        <v>0</v>
      </c>
      <c r="S1310"/>
      <c r="T1310" s="83"/>
    </row>
    <row r="1311" spans="1:20" ht="16" x14ac:dyDescent="0.2">
      <c r="A1311"/>
      <c r="B1311" s="103"/>
      <c r="C1311" s="243"/>
      <c r="D1311" s="119">
        <v>1298</v>
      </c>
      <c r="E1311" s="25" t="str">
        <f>Tp_Non_CHG!S17</f>
        <v>Transition Probability from state 4 to state 1 on day 7 (Non-CHG)</v>
      </c>
      <c r="F1311" s="40">
        <f t="shared" si="206"/>
        <v>1</v>
      </c>
      <c r="G1311" s="156">
        <v>1</v>
      </c>
      <c r="H1311" s="120">
        <f>Tp_Non_CHG!V17</f>
        <v>1</v>
      </c>
      <c r="I1311" s="40" t="s">
        <v>58</v>
      </c>
      <c r="J1311" s="40">
        <f t="shared" si="202"/>
        <v>0.8040036015459946</v>
      </c>
      <c r="K1311" s="40">
        <f t="shared" si="203"/>
        <v>1.1959963984540054</v>
      </c>
      <c r="L1311" s="40" t="s">
        <v>58</v>
      </c>
      <c r="M1311" s="50" t="s">
        <v>266</v>
      </c>
      <c r="N1311" s="190"/>
      <c r="O1311" s="40">
        <f t="shared" ca="1" si="205"/>
        <v>0.88736703924888582</v>
      </c>
      <c r="P1311" s="51">
        <f t="shared" si="207"/>
        <v>-1</v>
      </c>
      <c r="Q1311" s="51">
        <f t="shared" si="208"/>
        <v>0</v>
      </c>
      <c r="R1311" s="51">
        <f t="shared" si="204"/>
        <v>0.1</v>
      </c>
      <c r="S1311"/>
      <c r="T1311" s="83"/>
    </row>
    <row r="1312" spans="1:20" ht="16" x14ac:dyDescent="0.2">
      <c r="A1312"/>
      <c r="B1312" s="103"/>
      <c r="C1312" s="243"/>
      <c r="D1312" s="119">
        <v>1299</v>
      </c>
      <c r="E1312" s="25" t="str">
        <f>Tp_Non_CHG!S18</f>
        <v>Transition Probability from state 4 to state 1 on day 8 (Non-CHG)</v>
      </c>
      <c r="F1312" s="40">
        <f t="shared" si="206"/>
        <v>1</v>
      </c>
      <c r="G1312" s="156">
        <v>1</v>
      </c>
      <c r="H1312" s="120">
        <f>Tp_Non_CHG!V18</f>
        <v>1</v>
      </c>
      <c r="I1312" s="40" t="s">
        <v>58</v>
      </c>
      <c r="J1312" s="40">
        <f t="shared" si="202"/>
        <v>0.8040036015459946</v>
      </c>
      <c r="K1312" s="40">
        <f t="shared" si="203"/>
        <v>1.1959963984540054</v>
      </c>
      <c r="L1312" s="40" t="s">
        <v>58</v>
      </c>
      <c r="M1312" s="50" t="s">
        <v>266</v>
      </c>
      <c r="N1312" s="190"/>
      <c r="O1312" s="40">
        <f t="shared" ca="1" si="205"/>
        <v>5.339489646896356E-2</v>
      </c>
      <c r="P1312" s="51">
        <f t="shared" si="207"/>
        <v>-1</v>
      </c>
      <c r="Q1312" s="51">
        <f t="shared" si="208"/>
        <v>0</v>
      </c>
      <c r="R1312" s="51">
        <f t="shared" si="204"/>
        <v>0.1</v>
      </c>
      <c r="S1312"/>
      <c r="T1312" s="83"/>
    </row>
    <row r="1313" spans="1:20" ht="16" x14ac:dyDescent="0.2">
      <c r="A1313"/>
      <c r="B1313" s="103"/>
      <c r="C1313" s="243"/>
      <c r="D1313" s="119">
        <v>1300</v>
      </c>
      <c r="E1313" s="25" t="str">
        <f>Tp_Non_CHG!S19</f>
        <v>Transition Probability from state 4 to state 1 on day 9 (Non-CHG)</v>
      </c>
      <c r="F1313" s="40">
        <f t="shared" si="206"/>
        <v>0</v>
      </c>
      <c r="G1313" s="156">
        <v>1</v>
      </c>
      <c r="H1313" s="120">
        <f>Tp_Non_CHG!V19</f>
        <v>0</v>
      </c>
      <c r="I1313" s="40" t="s">
        <v>58</v>
      </c>
      <c r="J1313" s="40">
        <f t="shared" si="202"/>
        <v>0</v>
      </c>
      <c r="K1313" s="40">
        <f t="shared" si="203"/>
        <v>0</v>
      </c>
      <c r="L1313" s="40" t="s">
        <v>58</v>
      </c>
      <c r="M1313" s="50" t="s">
        <v>266</v>
      </c>
      <c r="N1313" s="190"/>
      <c r="O1313" s="40">
        <f t="shared" ca="1" si="205"/>
        <v>2.7986735105270277E-2</v>
      </c>
      <c r="P1313" s="51">
        <f t="shared" si="207"/>
        <v>0</v>
      </c>
      <c r="Q1313" s="51">
        <f t="shared" si="208"/>
        <v>0</v>
      </c>
      <c r="R1313" s="51">
        <f t="shared" si="204"/>
        <v>0</v>
      </c>
      <c r="S1313"/>
      <c r="T1313" s="83"/>
    </row>
    <row r="1314" spans="1:20" ht="16" x14ac:dyDescent="0.2">
      <c r="A1314"/>
      <c r="B1314" s="103"/>
      <c r="C1314" s="243"/>
      <c r="D1314" s="119">
        <v>1301</v>
      </c>
      <c r="E1314" s="25" t="str">
        <f>Tp_Non_CHG!S20</f>
        <v>Transition Probability from state 4 to state 1 on day 10 (Non-CHG)</v>
      </c>
      <c r="F1314" s="40">
        <f t="shared" si="206"/>
        <v>1</v>
      </c>
      <c r="G1314" s="156">
        <v>1</v>
      </c>
      <c r="H1314" s="120">
        <f>Tp_Non_CHG!V20</f>
        <v>1</v>
      </c>
      <c r="I1314" s="40" t="s">
        <v>58</v>
      </c>
      <c r="J1314" s="40">
        <f t="shared" si="202"/>
        <v>0.8040036015459946</v>
      </c>
      <c r="K1314" s="40">
        <f t="shared" si="203"/>
        <v>1.1959963984540054</v>
      </c>
      <c r="L1314" s="40" t="s">
        <v>58</v>
      </c>
      <c r="M1314" s="50" t="s">
        <v>266</v>
      </c>
      <c r="N1314" s="190"/>
      <c r="O1314" s="40">
        <f t="shared" ca="1" si="205"/>
        <v>0.75877944744605741</v>
      </c>
      <c r="P1314" s="51">
        <f t="shared" si="207"/>
        <v>-1</v>
      </c>
      <c r="Q1314" s="51">
        <f t="shared" si="208"/>
        <v>0</v>
      </c>
      <c r="R1314" s="51">
        <f t="shared" si="204"/>
        <v>0.1</v>
      </c>
      <c r="S1314"/>
      <c r="T1314" s="83"/>
    </row>
    <row r="1315" spans="1:20" ht="16" x14ac:dyDescent="0.2">
      <c r="A1315"/>
      <c r="B1315" s="103"/>
      <c r="C1315" s="243"/>
      <c r="D1315" s="119">
        <v>1302</v>
      </c>
      <c r="E1315" s="25" t="str">
        <f>Tp_Non_CHG!S21</f>
        <v>Transition Probability from state 4 to state 1 on day 11 (Non-CHG)</v>
      </c>
      <c r="F1315" s="40">
        <f t="shared" si="206"/>
        <v>0</v>
      </c>
      <c r="G1315" s="156">
        <v>1</v>
      </c>
      <c r="H1315" s="120">
        <f>Tp_Non_CHG!V21</f>
        <v>0</v>
      </c>
      <c r="I1315" s="40" t="s">
        <v>58</v>
      </c>
      <c r="J1315" s="40">
        <f t="shared" si="202"/>
        <v>0</v>
      </c>
      <c r="K1315" s="40">
        <f t="shared" si="203"/>
        <v>0</v>
      </c>
      <c r="L1315" s="40" t="s">
        <v>58</v>
      </c>
      <c r="M1315" s="50" t="s">
        <v>266</v>
      </c>
      <c r="N1315" s="190"/>
      <c r="O1315" s="40">
        <f t="shared" ca="1" si="205"/>
        <v>0.46972481864118421</v>
      </c>
      <c r="P1315" s="51">
        <f t="shared" si="207"/>
        <v>0</v>
      </c>
      <c r="Q1315" s="51">
        <f t="shared" si="208"/>
        <v>0</v>
      </c>
      <c r="R1315" s="51">
        <f t="shared" si="204"/>
        <v>0</v>
      </c>
      <c r="S1315"/>
      <c r="T1315" s="83"/>
    </row>
    <row r="1316" spans="1:20" ht="16" x14ac:dyDescent="0.2">
      <c r="A1316"/>
      <c r="B1316" s="103"/>
      <c r="C1316" s="243"/>
      <c r="D1316" s="119">
        <v>1303</v>
      </c>
      <c r="E1316" s="25" t="str">
        <f>Tp_Non_CHG!S214</f>
        <v>Transition Probability from state 4 to state 7 on day 11 (Non-CHG)</v>
      </c>
      <c r="F1316" s="40">
        <f t="shared" si="206"/>
        <v>1</v>
      </c>
      <c r="G1316" s="156">
        <v>1</v>
      </c>
      <c r="H1316" s="120">
        <f>Tp_Non_CHG!V214</f>
        <v>1</v>
      </c>
      <c r="I1316" s="40" t="s">
        <v>58</v>
      </c>
      <c r="J1316" s="40">
        <f>IF(H1316=0,0,_xlfn.NORM.INV(0.025,H1316,R1316))</f>
        <v>0.8040036015459946</v>
      </c>
      <c r="K1316" s="40">
        <f>IF(H1316=0,0,_xlfn.NORM.INV(0.975,H1316,R1316))</f>
        <v>1.1959963984540054</v>
      </c>
      <c r="L1316" s="40" t="s">
        <v>58</v>
      </c>
      <c r="M1316" s="50" t="s">
        <v>266</v>
      </c>
      <c r="N1316" s="190"/>
      <c r="O1316" s="40">
        <f ca="1">RAND()</f>
        <v>0.70931398560617598</v>
      </c>
      <c r="P1316" s="51">
        <f t="shared" si="207"/>
        <v>-1</v>
      </c>
      <c r="Q1316" s="51">
        <f t="shared" si="208"/>
        <v>0</v>
      </c>
      <c r="R1316" s="51">
        <f>assumedSE*H1316</f>
        <v>0.1</v>
      </c>
      <c r="S1316"/>
      <c r="T1316" s="83"/>
    </row>
    <row r="1317" spans="1:20" ht="16" x14ac:dyDescent="0.2">
      <c r="A1317"/>
      <c r="B1317" s="103"/>
      <c r="C1317" s="243"/>
      <c r="D1317" s="119">
        <v>1304</v>
      </c>
      <c r="E1317" s="25" t="str">
        <f>Tp_Non_CHG!S22</f>
        <v>Transition Probability from state 4 to state 1 on day 12 (Non-CHG)</v>
      </c>
      <c r="F1317" s="40">
        <f t="shared" si="206"/>
        <v>1</v>
      </c>
      <c r="G1317" s="156">
        <v>1</v>
      </c>
      <c r="H1317" s="120">
        <f>Tp_Non_CHG!V22</f>
        <v>1</v>
      </c>
      <c r="I1317" s="40" t="s">
        <v>58</v>
      </c>
      <c r="J1317" s="40">
        <f t="shared" si="202"/>
        <v>0.8040036015459946</v>
      </c>
      <c r="K1317" s="40">
        <f t="shared" si="203"/>
        <v>1.1959963984540054</v>
      </c>
      <c r="L1317" s="40" t="s">
        <v>58</v>
      </c>
      <c r="M1317" s="50" t="s">
        <v>266</v>
      </c>
      <c r="N1317" s="190"/>
      <c r="O1317" s="40">
        <f t="shared" ca="1" si="205"/>
        <v>0.58561683442147505</v>
      </c>
      <c r="P1317" s="51">
        <f t="shared" si="207"/>
        <v>-1</v>
      </c>
      <c r="Q1317" s="51">
        <f t="shared" si="208"/>
        <v>0</v>
      </c>
      <c r="R1317" s="51">
        <f t="shared" si="204"/>
        <v>0.1</v>
      </c>
      <c r="S1317"/>
      <c r="T1317" s="83"/>
    </row>
    <row r="1318" spans="1:20" ht="16" x14ac:dyDescent="0.2">
      <c r="A1318"/>
      <c r="B1318" s="103"/>
      <c r="C1318" s="243"/>
      <c r="D1318" s="119">
        <v>1305</v>
      </c>
      <c r="E1318" s="25" t="str">
        <f>Tp_Non_CHG!S23</f>
        <v>Transition Probability from state 4 to state 1 on day 13 (Non-CHG)</v>
      </c>
      <c r="F1318" s="40">
        <f t="shared" si="206"/>
        <v>0</v>
      </c>
      <c r="G1318" s="156">
        <v>1</v>
      </c>
      <c r="H1318" s="120">
        <f>Tp_Non_CHG!V23</f>
        <v>0</v>
      </c>
      <c r="I1318" s="40" t="s">
        <v>58</v>
      </c>
      <c r="J1318" s="40">
        <f t="shared" si="202"/>
        <v>0</v>
      </c>
      <c r="K1318" s="40">
        <f t="shared" si="203"/>
        <v>0</v>
      </c>
      <c r="L1318" s="40" t="s">
        <v>58</v>
      </c>
      <c r="M1318" s="50" t="s">
        <v>266</v>
      </c>
      <c r="N1318" s="190"/>
      <c r="O1318" s="40">
        <f t="shared" ca="1" si="205"/>
        <v>0.21556831586568947</v>
      </c>
      <c r="P1318" s="51">
        <f t="shared" si="207"/>
        <v>0</v>
      </c>
      <c r="Q1318" s="51">
        <f t="shared" si="208"/>
        <v>0</v>
      </c>
      <c r="R1318" s="51">
        <f t="shared" si="204"/>
        <v>0</v>
      </c>
      <c r="S1318"/>
      <c r="T1318" s="83"/>
    </row>
    <row r="1319" spans="1:20" ht="16" x14ac:dyDescent="0.2">
      <c r="A1319"/>
      <c r="B1319" s="103"/>
      <c r="C1319" s="243"/>
      <c r="D1319" s="119">
        <v>1306</v>
      </c>
      <c r="E1319" s="25" t="str">
        <f>Tp_Non_CHG!S55</f>
        <v>Transition Probability from state 4 to state 2 on day 13 (Non-CHG)</v>
      </c>
      <c r="F1319" s="40">
        <f t="shared" si="206"/>
        <v>1</v>
      </c>
      <c r="G1319" s="156">
        <v>1</v>
      </c>
      <c r="H1319" s="120">
        <f>Tp_Non_CHG!V55</f>
        <v>1</v>
      </c>
      <c r="I1319" s="40" t="s">
        <v>58</v>
      </c>
      <c r="J1319" s="40">
        <f>IF(H1319=0,0,_xlfn.NORM.INV(0.025,H1319,R1319))</f>
        <v>0.8040036015459946</v>
      </c>
      <c r="K1319" s="40">
        <f>IF(H1319=0,0,_xlfn.NORM.INV(0.975,H1319,R1319))</f>
        <v>1.1959963984540054</v>
      </c>
      <c r="L1319" s="40" t="s">
        <v>58</v>
      </c>
      <c r="M1319" s="50" t="s">
        <v>266</v>
      </c>
      <c r="N1319" s="190"/>
      <c r="O1319" s="40">
        <f ca="1">RAND()</f>
        <v>0.51905504213343734</v>
      </c>
      <c r="P1319" s="51">
        <f t="shared" si="207"/>
        <v>-1</v>
      </c>
      <c r="Q1319" s="51">
        <f t="shared" si="208"/>
        <v>0</v>
      </c>
      <c r="R1319" s="51">
        <f>assumedSE*H1319</f>
        <v>0.1</v>
      </c>
      <c r="S1319"/>
      <c r="T1319" s="83"/>
    </row>
    <row r="1320" spans="1:20" ht="16" x14ac:dyDescent="0.2">
      <c r="A1320"/>
      <c r="B1320" s="103"/>
      <c r="C1320" s="243"/>
      <c r="D1320" s="119">
        <v>1307</v>
      </c>
      <c r="E1320" s="25" t="str">
        <f>Tp_Non_CHG!S24</f>
        <v>Transition Probability from state 4 to state 1 on day 14 (Non-CHG)</v>
      </c>
      <c r="F1320" s="40">
        <f t="shared" si="206"/>
        <v>0</v>
      </c>
      <c r="G1320" s="156">
        <v>1</v>
      </c>
      <c r="H1320" s="120">
        <f>Tp_Non_CHG!V24</f>
        <v>0</v>
      </c>
      <c r="I1320" s="40" t="s">
        <v>58</v>
      </c>
      <c r="J1320" s="40">
        <f t="shared" si="202"/>
        <v>0</v>
      </c>
      <c r="K1320" s="40">
        <f t="shared" si="203"/>
        <v>0</v>
      </c>
      <c r="L1320" s="40" t="s">
        <v>58</v>
      </c>
      <c r="M1320" s="50" t="s">
        <v>266</v>
      </c>
      <c r="N1320" s="190"/>
      <c r="O1320" s="40">
        <f t="shared" ca="1" si="205"/>
        <v>0.40753621499501214</v>
      </c>
      <c r="P1320" s="51">
        <f t="shared" si="207"/>
        <v>0</v>
      </c>
      <c r="Q1320" s="51">
        <f t="shared" si="208"/>
        <v>0</v>
      </c>
      <c r="R1320" s="51">
        <f t="shared" si="204"/>
        <v>0</v>
      </c>
      <c r="S1320"/>
      <c r="T1320" s="83"/>
    </row>
    <row r="1321" spans="1:20" ht="16" x14ac:dyDescent="0.2">
      <c r="A1321"/>
      <c r="B1321" s="103"/>
      <c r="C1321" s="243"/>
      <c r="D1321" s="119">
        <v>1308</v>
      </c>
      <c r="E1321" s="25" t="str">
        <f>Tp_Non_CHG!S25</f>
        <v>Transition Probability from state 4 to state 1 on day 15 (Non-CHG)</v>
      </c>
      <c r="F1321" s="40">
        <f t="shared" si="206"/>
        <v>0</v>
      </c>
      <c r="G1321" s="156">
        <v>1</v>
      </c>
      <c r="H1321" s="120">
        <f>Tp_Non_CHG!V25</f>
        <v>0</v>
      </c>
      <c r="I1321" s="40" t="s">
        <v>58</v>
      </c>
      <c r="J1321" s="40">
        <f t="shared" si="202"/>
        <v>0</v>
      </c>
      <c r="K1321" s="40">
        <f t="shared" si="203"/>
        <v>0</v>
      </c>
      <c r="L1321" s="40" t="s">
        <v>58</v>
      </c>
      <c r="M1321" s="50" t="s">
        <v>266</v>
      </c>
      <c r="N1321" s="190"/>
      <c r="O1321" s="40">
        <f t="shared" ca="1" si="205"/>
        <v>0.22691980914876009</v>
      </c>
      <c r="P1321" s="51">
        <f t="shared" si="207"/>
        <v>0</v>
      </c>
      <c r="Q1321" s="51">
        <f t="shared" si="208"/>
        <v>0</v>
      </c>
      <c r="R1321" s="51">
        <f t="shared" si="204"/>
        <v>0</v>
      </c>
      <c r="S1321"/>
      <c r="T1321" s="83"/>
    </row>
    <row r="1322" spans="1:20" ht="16" x14ac:dyDescent="0.2">
      <c r="A1322"/>
      <c r="B1322" s="103"/>
      <c r="C1322" s="243"/>
      <c r="D1322" s="119">
        <v>1309</v>
      </c>
      <c r="E1322" s="25" t="str">
        <f>Tp_Non_CHG!S26</f>
        <v>Transition Probability from state 4 to state 1 on day 16 (Non-CHG)</v>
      </c>
      <c r="F1322" s="40">
        <f t="shared" si="206"/>
        <v>0</v>
      </c>
      <c r="G1322" s="156">
        <v>1</v>
      </c>
      <c r="H1322" s="120">
        <f>Tp_Non_CHG!V26</f>
        <v>0</v>
      </c>
      <c r="I1322" s="40" t="s">
        <v>58</v>
      </c>
      <c r="J1322" s="40">
        <f t="shared" si="202"/>
        <v>0</v>
      </c>
      <c r="K1322" s="40">
        <f t="shared" si="203"/>
        <v>0</v>
      </c>
      <c r="L1322" s="40" t="s">
        <v>58</v>
      </c>
      <c r="M1322" s="50" t="s">
        <v>266</v>
      </c>
      <c r="N1322" s="190"/>
      <c r="O1322" s="40">
        <f t="shared" ca="1" si="205"/>
        <v>0.47654032951125014</v>
      </c>
      <c r="P1322" s="51">
        <f t="shared" si="207"/>
        <v>0</v>
      </c>
      <c r="Q1322" s="51">
        <f t="shared" si="208"/>
        <v>0</v>
      </c>
      <c r="R1322" s="51">
        <f t="shared" si="204"/>
        <v>0</v>
      </c>
      <c r="S1322"/>
      <c r="T1322" s="83"/>
    </row>
    <row r="1323" spans="1:20" ht="16" x14ac:dyDescent="0.2">
      <c r="A1323"/>
      <c r="B1323" s="103"/>
      <c r="C1323" s="243"/>
      <c r="D1323" s="119">
        <v>1310</v>
      </c>
      <c r="E1323" s="25" t="str">
        <f>Tp_Non_CHG!S27</f>
        <v>Transition Probability from state 4 to state 1 on day 17 (Non-CHG)</v>
      </c>
      <c r="F1323" s="40">
        <f t="shared" si="206"/>
        <v>0</v>
      </c>
      <c r="G1323" s="156">
        <v>1</v>
      </c>
      <c r="H1323" s="120">
        <f>Tp_Non_CHG!V27</f>
        <v>0</v>
      </c>
      <c r="I1323" s="40" t="s">
        <v>58</v>
      </c>
      <c r="J1323" s="40">
        <f t="shared" si="202"/>
        <v>0</v>
      </c>
      <c r="K1323" s="40">
        <f t="shared" si="203"/>
        <v>0</v>
      </c>
      <c r="L1323" s="40" t="s">
        <v>58</v>
      </c>
      <c r="M1323" s="50" t="s">
        <v>266</v>
      </c>
      <c r="N1323" s="190"/>
      <c r="O1323" s="40">
        <f t="shared" ca="1" si="205"/>
        <v>0.65221684415950132</v>
      </c>
      <c r="P1323" s="51">
        <f t="shared" si="207"/>
        <v>0</v>
      </c>
      <c r="Q1323" s="51">
        <f t="shared" si="208"/>
        <v>0</v>
      </c>
      <c r="R1323" s="51">
        <f t="shared" si="204"/>
        <v>0</v>
      </c>
      <c r="S1323"/>
      <c r="T1323" s="83"/>
    </row>
    <row r="1324" spans="1:20" ht="16" x14ac:dyDescent="0.2">
      <c r="A1324"/>
      <c r="B1324" s="103"/>
      <c r="C1324" s="243"/>
      <c r="D1324" s="119">
        <v>1311</v>
      </c>
      <c r="E1324" s="25" t="str">
        <f>Tp_Non_CHG!S28</f>
        <v>Transition Probability from state 4 to state 1 on day 18 (Non-CHG)</v>
      </c>
      <c r="F1324" s="40">
        <f t="shared" si="206"/>
        <v>1</v>
      </c>
      <c r="G1324" s="156">
        <v>1</v>
      </c>
      <c r="H1324" s="120">
        <f>Tp_Non_CHG!V28</f>
        <v>1</v>
      </c>
      <c r="I1324" s="40" t="s">
        <v>58</v>
      </c>
      <c r="J1324" s="40">
        <f t="shared" si="202"/>
        <v>0.8040036015459946</v>
      </c>
      <c r="K1324" s="40">
        <f t="shared" si="203"/>
        <v>1.1959963984540054</v>
      </c>
      <c r="L1324" s="40" t="s">
        <v>58</v>
      </c>
      <c r="M1324" s="50" t="s">
        <v>266</v>
      </c>
      <c r="N1324" s="190"/>
      <c r="O1324" s="40">
        <f t="shared" ca="1" si="205"/>
        <v>0.63820718415421362</v>
      </c>
      <c r="P1324" s="51">
        <f t="shared" si="207"/>
        <v>-1</v>
      </c>
      <c r="Q1324" s="51">
        <f t="shared" si="208"/>
        <v>0</v>
      </c>
      <c r="R1324" s="51">
        <f t="shared" si="204"/>
        <v>0.1</v>
      </c>
      <c r="S1324"/>
      <c r="T1324" s="83"/>
    </row>
    <row r="1325" spans="1:20" ht="16" x14ac:dyDescent="0.2">
      <c r="A1325"/>
      <c r="B1325" s="103"/>
      <c r="C1325" s="243"/>
      <c r="D1325" s="119">
        <v>1312</v>
      </c>
      <c r="E1325" s="25" t="str">
        <f>Tp_Non_CHG!S29</f>
        <v>Transition Probability from state 4 to state 1 on day 19 (Non-CHG)</v>
      </c>
      <c r="F1325" s="40">
        <f t="shared" si="206"/>
        <v>1</v>
      </c>
      <c r="G1325" s="156">
        <v>1</v>
      </c>
      <c r="H1325" s="120">
        <f>Tp_Non_CHG!V29</f>
        <v>1</v>
      </c>
      <c r="I1325" s="40" t="s">
        <v>58</v>
      </c>
      <c r="J1325" s="40">
        <f t="shared" ref="J1325:J1370" si="209">IF(H1325=0,0,_xlfn.NORM.INV(0.025,H1325,R1325))</f>
        <v>0.8040036015459946</v>
      </c>
      <c r="K1325" s="40">
        <f t="shared" ref="K1325:K1370" si="210">IF(H1325=0,0,_xlfn.NORM.INV(0.975,H1325,R1325))</f>
        <v>1.1959963984540054</v>
      </c>
      <c r="L1325" s="40" t="s">
        <v>58</v>
      </c>
      <c r="M1325" s="50" t="s">
        <v>266</v>
      </c>
      <c r="N1325" s="190"/>
      <c r="O1325" s="40">
        <f t="shared" ca="1" si="205"/>
        <v>0.89569890401182839</v>
      </c>
      <c r="P1325" s="51">
        <f t="shared" si="207"/>
        <v>-1</v>
      </c>
      <c r="Q1325" s="51">
        <f t="shared" si="208"/>
        <v>0</v>
      </c>
      <c r="R1325" s="51">
        <f t="shared" ref="R1325:R1370" si="211">assumedSE*H1325</f>
        <v>0.1</v>
      </c>
      <c r="S1325"/>
      <c r="T1325" s="83"/>
    </row>
    <row r="1326" spans="1:20" ht="16" x14ac:dyDescent="0.2">
      <c r="A1326"/>
      <c r="B1326" s="103"/>
      <c r="C1326" s="243"/>
      <c r="D1326" s="119">
        <v>1313</v>
      </c>
      <c r="E1326" s="25" t="str">
        <f>Tp_Non_CHG!S30</f>
        <v>Transition Probability from state 4 to state 1 on day 20 (Non-CHG)</v>
      </c>
      <c r="F1326" s="40">
        <f t="shared" si="206"/>
        <v>1</v>
      </c>
      <c r="G1326" s="156">
        <v>1</v>
      </c>
      <c r="H1326" s="120">
        <f>Tp_Non_CHG!V30</f>
        <v>1</v>
      </c>
      <c r="I1326" s="40" t="s">
        <v>58</v>
      </c>
      <c r="J1326" s="40">
        <f t="shared" si="209"/>
        <v>0.8040036015459946</v>
      </c>
      <c r="K1326" s="40">
        <f t="shared" si="210"/>
        <v>1.1959963984540054</v>
      </c>
      <c r="L1326" s="40" t="s">
        <v>58</v>
      </c>
      <c r="M1326" s="50" t="s">
        <v>266</v>
      </c>
      <c r="N1326" s="190"/>
      <c r="O1326" s="40">
        <f t="shared" ca="1" si="205"/>
        <v>0.92747324062842851</v>
      </c>
      <c r="P1326" s="51">
        <f t="shared" si="207"/>
        <v>-1</v>
      </c>
      <c r="Q1326" s="51">
        <f t="shared" si="208"/>
        <v>0</v>
      </c>
      <c r="R1326" s="51">
        <f t="shared" si="211"/>
        <v>0.1</v>
      </c>
      <c r="S1326"/>
      <c r="T1326" s="83"/>
    </row>
    <row r="1327" spans="1:20" ht="16" x14ac:dyDescent="0.2">
      <c r="A1327"/>
      <c r="B1327" s="103"/>
      <c r="C1327" s="243"/>
      <c r="D1327" s="119">
        <v>1314</v>
      </c>
      <c r="E1327" s="25" t="str">
        <f>Tp_Non_CHG!S31</f>
        <v>Transition Probability from state 4 to state 1 on day 21 (Non-CHG)</v>
      </c>
      <c r="F1327" s="40">
        <f t="shared" si="206"/>
        <v>0</v>
      </c>
      <c r="G1327" s="156">
        <v>1</v>
      </c>
      <c r="H1327" s="120">
        <f>Tp_Non_CHG!V31</f>
        <v>0</v>
      </c>
      <c r="I1327" s="40" t="s">
        <v>58</v>
      </c>
      <c r="J1327" s="40">
        <f t="shared" si="209"/>
        <v>0</v>
      </c>
      <c r="K1327" s="40">
        <f t="shared" si="210"/>
        <v>0</v>
      </c>
      <c r="L1327" s="40" t="s">
        <v>58</v>
      </c>
      <c r="M1327" s="50" t="s">
        <v>266</v>
      </c>
      <c r="N1327" s="190"/>
      <c r="O1327" s="40">
        <f t="shared" ca="1" si="205"/>
        <v>0.48386417589925179</v>
      </c>
      <c r="P1327" s="51">
        <f t="shared" si="207"/>
        <v>0</v>
      </c>
      <c r="Q1327" s="51">
        <f t="shared" si="208"/>
        <v>0</v>
      </c>
      <c r="R1327" s="51">
        <f t="shared" si="211"/>
        <v>0</v>
      </c>
      <c r="S1327"/>
      <c r="T1327" s="83"/>
    </row>
    <row r="1328" spans="1:20" ht="16" x14ac:dyDescent="0.2">
      <c r="A1328"/>
      <c r="B1328" s="103"/>
      <c r="C1328" s="243"/>
      <c r="D1328" s="119">
        <v>1315</v>
      </c>
      <c r="E1328" s="25" t="str">
        <f>Tp_Non_CHG!S32</f>
        <v>Transition Probability from state 4 to state 1 on day 22 (Non-CHG)</v>
      </c>
      <c r="F1328" s="40">
        <f t="shared" si="206"/>
        <v>0</v>
      </c>
      <c r="G1328" s="156">
        <v>1</v>
      </c>
      <c r="H1328" s="120">
        <f>Tp_Non_CHG!V32</f>
        <v>0</v>
      </c>
      <c r="I1328" s="40" t="s">
        <v>58</v>
      </c>
      <c r="J1328" s="40">
        <f t="shared" si="209"/>
        <v>0</v>
      </c>
      <c r="K1328" s="40">
        <f t="shared" si="210"/>
        <v>0</v>
      </c>
      <c r="L1328" s="40" t="s">
        <v>58</v>
      </c>
      <c r="M1328" s="50" t="s">
        <v>266</v>
      </c>
      <c r="N1328" s="190"/>
      <c r="O1328" s="40">
        <f t="shared" ca="1" si="205"/>
        <v>0.26595928309134864</v>
      </c>
      <c r="P1328" s="51">
        <f t="shared" si="207"/>
        <v>0</v>
      </c>
      <c r="Q1328" s="51">
        <f t="shared" si="208"/>
        <v>0</v>
      </c>
      <c r="R1328" s="51">
        <f t="shared" si="211"/>
        <v>0</v>
      </c>
      <c r="S1328"/>
      <c r="T1328" s="83"/>
    </row>
    <row r="1329" spans="1:20" ht="16" x14ac:dyDescent="0.2">
      <c r="A1329"/>
      <c r="B1329" s="103"/>
      <c r="C1329" s="243"/>
      <c r="D1329" s="119">
        <v>1316</v>
      </c>
      <c r="E1329" s="25" t="str">
        <f>Tp_Non_CHG!S33</f>
        <v>Transition Probability from state 4 to state 1 on day 23 (Non-CHG)</v>
      </c>
      <c r="F1329" s="40">
        <f t="shared" si="206"/>
        <v>0</v>
      </c>
      <c r="G1329" s="156">
        <v>1</v>
      </c>
      <c r="H1329" s="120">
        <f>Tp_Non_CHG!V33</f>
        <v>0</v>
      </c>
      <c r="I1329" s="40" t="s">
        <v>58</v>
      </c>
      <c r="J1329" s="40">
        <f t="shared" si="209"/>
        <v>0</v>
      </c>
      <c r="K1329" s="40">
        <f t="shared" si="210"/>
        <v>0</v>
      </c>
      <c r="L1329" s="40" t="s">
        <v>58</v>
      </c>
      <c r="M1329" s="50" t="s">
        <v>266</v>
      </c>
      <c r="N1329" s="190"/>
      <c r="O1329" s="40">
        <f t="shared" ca="1" si="205"/>
        <v>0.89443972732902888</v>
      </c>
      <c r="P1329" s="51">
        <f t="shared" si="207"/>
        <v>0</v>
      </c>
      <c r="Q1329" s="51">
        <f t="shared" si="208"/>
        <v>0</v>
      </c>
      <c r="R1329" s="51">
        <f t="shared" si="211"/>
        <v>0</v>
      </c>
      <c r="S1329"/>
      <c r="T1329" s="83"/>
    </row>
    <row r="1330" spans="1:20" ht="16" x14ac:dyDescent="0.2">
      <c r="A1330"/>
      <c r="B1330" s="103"/>
      <c r="C1330" s="243"/>
      <c r="D1330" s="119">
        <v>1317</v>
      </c>
      <c r="E1330" s="25" t="str">
        <f>Tp_Non_CHG!S34</f>
        <v>Transition Probability from state 4 to state 1 on day 24 (Non-CHG)</v>
      </c>
      <c r="F1330" s="40">
        <f t="shared" si="206"/>
        <v>0</v>
      </c>
      <c r="G1330" s="156">
        <v>1</v>
      </c>
      <c r="H1330" s="120">
        <f>Tp_Non_CHG!V34</f>
        <v>0</v>
      </c>
      <c r="I1330" s="40" t="s">
        <v>58</v>
      </c>
      <c r="J1330" s="40">
        <f t="shared" si="209"/>
        <v>0</v>
      </c>
      <c r="K1330" s="40">
        <f t="shared" si="210"/>
        <v>0</v>
      </c>
      <c r="L1330" s="40" t="s">
        <v>58</v>
      </c>
      <c r="M1330" s="50" t="s">
        <v>266</v>
      </c>
      <c r="N1330" s="190"/>
      <c r="O1330" s="40">
        <f t="shared" ca="1" si="205"/>
        <v>0.25139144077983522</v>
      </c>
      <c r="P1330" s="51">
        <f t="shared" si="207"/>
        <v>0</v>
      </c>
      <c r="Q1330" s="51">
        <f t="shared" si="208"/>
        <v>0</v>
      </c>
      <c r="R1330" s="51">
        <f t="shared" si="211"/>
        <v>0</v>
      </c>
      <c r="S1330"/>
      <c r="T1330" s="83"/>
    </row>
    <row r="1331" spans="1:20" ht="16" x14ac:dyDescent="0.2">
      <c r="A1331"/>
      <c r="B1331" s="103"/>
      <c r="C1331" s="243"/>
      <c r="D1331" s="119">
        <v>1318</v>
      </c>
      <c r="E1331" s="25" t="str">
        <f>Tp_Non_CHG!S35</f>
        <v>Transition Probability from state 4 to state 1 on day 25 (Non-CHG)</v>
      </c>
      <c r="F1331" s="40">
        <f t="shared" si="206"/>
        <v>0</v>
      </c>
      <c r="G1331" s="156">
        <v>1</v>
      </c>
      <c r="H1331" s="120">
        <f>Tp_Non_CHG!V35</f>
        <v>0</v>
      </c>
      <c r="I1331" s="40" t="s">
        <v>58</v>
      </c>
      <c r="J1331" s="40">
        <f t="shared" si="209"/>
        <v>0</v>
      </c>
      <c r="K1331" s="40">
        <f t="shared" si="210"/>
        <v>0</v>
      </c>
      <c r="L1331" s="40" t="s">
        <v>58</v>
      </c>
      <c r="M1331" s="50" t="s">
        <v>266</v>
      </c>
      <c r="N1331" s="190"/>
      <c r="O1331" s="40">
        <f t="shared" ca="1" si="205"/>
        <v>0.83646671994023358</v>
      </c>
      <c r="P1331" s="51">
        <f t="shared" si="207"/>
        <v>0</v>
      </c>
      <c r="Q1331" s="51">
        <f t="shared" si="208"/>
        <v>0</v>
      </c>
      <c r="R1331" s="51">
        <f t="shared" si="211"/>
        <v>0</v>
      </c>
      <c r="S1331"/>
      <c r="T1331" s="83"/>
    </row>
    <row r="1332" spans="1:20" ht="16" x14ac:dyDescent="0.2">
      <c r="A1332"/>
      <c r="B1332" s="103"/>
      <c r="C1332" s="243"/>
      <c r="D1332" s="119">
        <v>1319</v>
      </c>
      <c r="E1332" s="25" t="str">
        <f>Tp_Non_CHG!S36</f>
        <v>Transition Probability from state 4 to state 1 on day 26 (Non-CHG)</v>
      </c>
      <c r="F1332" s="40">
        <f t="shared" si="206"/>
        <v>0</v>
      </c>
      <c r="G1332" s="156">
        <v>1</v>
      </c>
      <c r="H1332" s="120">
        <f>Tp_Non_CHG!V36</f>
        <v>0</v>
      </c>
      <c r="I1332" s="40" t="s">
        <v>58</v>
      </c>
      <c r="J1332" s="40">
        <f t="shared" si="209"/>
        <v>0</v>
      </c>
      <c r="K1332" s="40">
        <f t="shared" si="210"/>
        <v>0</v>
      </c>
      <c r="L1332" s="40" t="s">
        <v>58</v>
      </c>
      <c r="M1332" s="50" t="s">
        <v>266</v>
      </c>
      <c r="N1332" s="190"/>
      <c r="O1332" s="40">
        <f t="shared" ca="1" si="205"/>
        <v>0.8531495853547163</v>
      </c>
      <c r="P1332" s="51">
        <f t="shared" si="207"/>
        <v>0</v>
      </c>
      <c r="Q1332" s="51">
        <f t="shared" si="208"/>
        <v>0</v>
      </c>
      <c r="R1332" s="51">
        <f t="shared" si="211"/>
        <v>0</v>
      </c>
      <c r="S1332"/>
      <c r="T1332" s="83"/>
    </row>
    <row r="1333" spans="1:20" ht="16" x14ac:dyDescent="0.2">
      <c r="A1333"/>
      <c r="B1333" s="103"/>
      <c r="C1333" s="243"/>
      <c r="D1333" s="119">
        <v>1320</v>
      </c>
      <c r="E1333" s="25" t="str">
        <f>Tp_Non_CHG!S37</f>
        <v>Transition Probability from state 4 to state 1 on day 27 (Non-CHG)</v>
      </c>
      <c r="F1333" s="40">
        <f t="shared" si="206"/>
        <v>0</v>
      </c>
      <c r="G1333" s="156">
        <v>1</v>
      </c>
      <c r="H1333" s="120">
        <f>Tp_Non_CHG!V37</f>
        <v>0</v>
      </c>
      <c r="I1333" s="40" t="s">
        <v>58</v>
      </c>
      <c r="J1333" s="40">
        <f t="shared" si="209"/>
        <v>0</v>
      </c>
      <c r="K1333" s="40">
        <f t="shared" si="210"/>
        <v>0</v>
      </c>
      <c r="L1333" s="40" t="s">
        <v>58</v>
      </c>
      <c r="M1333" s="50" t="s">
        <v>266</v>
      </c>
      <c r="N1333" s="190"/>
      <c r="O1333" s="40">
        <f t="shared" ca="1" si="205"/>
        <v>0.49347254016129471</v>
      </c>
      <c r="P1333" s="51">
        <f t="shared" si="207"/>
        <v>0</v>
      </c>
      <c r="Q1333" s="51">
        <f t="shared" si="208"/>
        <v>0</v>
      </c>
      <c r="R1333" s="51">
        <f t="shared" si="211"/>
        <v>0</v>
      </c>
      <c r="S1333"/>
      <c r="T1333" s="83"/>
    </row>
    <row r="1334" spans="1:20" ht="16" x14ac:dyDescent="0.2">
      <c r="A1334"/>
      <c r="B1334" s="103"/>
      <c r="C1334" s="243"/>
      <c r="D1334" s="119">
        <v>1321</v>
      </c>
      <c r="E1334" s="25" t="str">
        <f>Tp_Non_CHG!S38</f>
        <v>Transition Probability from state 4 to state 1 on day 28 (Non-CHG)</v>
      </c>
      <c r="F1334" s="40">
        <f t="shared" si="206"/>
        <v>0</v>
      </c>
      <c r="G1334" s="156">
        <v>1</v>
      </c>
      <c r="H1334" s="120">
        <f>Tp_Non_CHG!V38</f>
        <v>0</v>
      </c>
      <c r="I1334" s="40" t="s">
        <v>58</v>
      </c>
      <c r="J1334" s="40">
        <f t="shared" si="209"/>
        <v>0</v>
      </c>
      <c r="K1334" s="40">
        <f t="shared" si="210"/>
        <v>0</v>
      </c>
      <c r="L1334" s="40" t="s">
        <v>58</v>
      </c>
      <c r="M1334" s="50" t="s">
        <v>266</v>
      </c>
      <c r="N1334" s="190"/>
      <c r="O1334" s="40">
        <f t="shared" ca="1" si="205"/>
        <v>0.13030213102214039</v>
      </c>
      <c r="P1334" s="51">
        <f t="shared" si="207"/>
        <v>0</v>
      </c>
      <c r="Q1334" s="51">
        <f t="shared" si="208"/>
        <v>0</v>
      </c>
      <c r="R1334" s="51">
        <f t="shared" si="211"/>
        <v>0</v>
      </c>
      <c r="S1334"/>
      <c r="T1334" s="83"/>
    </row>
    <row r="1335" spans="1:20" ht="16" x14ac:dyDescent="0.2">
      <c r="A1335"/>
      <c r="B1335" s="103"/>
      <c r="C1335" s="243"/>
      <c r="D1335" s="119">
        <v>1322</v>
      </c>
      <c r="E1335" s="25" t="str">
        <f>Tp_Non_CHG!S39</f>
        <v>Transition Probability from state 4 to state 1 on day 29 (Non-CHG)</v>
      </c>
      <c r="F1335" s="40">
        <f t="shared" si="206"/>
        <v>0</v>
      </c>
      <c r="G1335" s="156">
        <v>1</v>
      </c>
      <c r="H1335" s="120">
        <f>Tp_Non_CHG!V39</f>
        <v>0</v>
      </c>
      <c r="I1335" s="40" t="s">
        <v>58</v>
      </c>
      <c r="J1335" s="40">
        <f t="shared" si="209"/>
        <v>0</v>
      </c>
      <c r="K1335" s="40">
        <f t="shared" si="210"/>
        <v>0</v>
      </c>
      <c r="L1335" s="40" t="s">
        <v>58</v>
      </c>
      <c r="M1335" s="50" t="s">
        <v>266</v>
      </c>
      <c r="N1335" s="190"/>
      <c r="O1335" s="40">
        <f t="shared" ca="1" si="205"/>
        <v>5.7541733368146497E-2</v>
      </c>
      <c r="P1335" s="51">
        <f t="shared" si="207"/>
        <v>0</v>
      </c>
      <c r="Q1335" s="51">
        <f t="shared" si="208"/>
        <v>0</v>
      </c>
      <c r="R1335" s="51">
        <f t="shared" si="211"/>
        <v>0</v>
      </c>
      <c r="S1335"/>
      <c r="T1335" s="83"/>
    </row>
    <row r="1336" spans="1:20" ht="16" x14ac:dyDescent="0.2">
      <c r="A1336"/>
      <c r="B1336" s="103"/>
      <c r="C1336" s="243"/>
      <c r="D1336" s="119">
        <v>1323</v>
      </c>
      <c r="E1336" s="25" t="str">
        <f>Tp_Non_CHG!S40</f>
        <v>Transition Probability from state 4 to state 1 on day 30 (Non-CHG)</v>
      </c>
      <c r="F1336" s="40">
        <f t="shared" si="206"/>
        <v>0</v>
      </c>
      <c r="G1336" s="156">
        <v>1</v>
      </c>
      <c r="H1336" s="120">
        <f>Tp_Non_CHG!V40</f>
        <v>0</v>
      </c>
      <c r="I1336" s="40" t="s">
        <v>58</v>
      </c>
      <c r="J1336" s="40">
        <f t="shared" si="209"/>
        <v>0</v>
      </c>
      <c r="K1336" s="40">
        <f t="shared" si="210"/>
        <v>0</v>
      </c>
      <c r="L1336" s="40" t="s">
        <v>58</v>
      </c>
      <c r="M1336" s="50" t="s">
        <v>266</v>
      </c>
      <c r="N1336" s="190"/>
      <c r="O1336" s="40">
        <f t="shared" ca="1" si="205"/>
        <v>0.49883190000086597</v>
      </c>
      <c r="P1336" s="51">
        <f t="shared" si="207"/>
        <v>0</v>
      </c>
      <c r="Q1336" s="51">
        <f t="shared" si="208"/>
        <v>0</v>
      </c>
      <c r="R1336" s="51">
        <f t="shared" si="211"/>
        <v>0</v>
      </c>
      <c r="S1336"/>
      <c r="T1336" s="83"/>
    </row>
    <row r="1337" spans="1:20" ht="16" x14ac:dyDescent="0.2">
      <c r="A1337"/>
      <c r="B1337" s="103"/>
      <c r="C1337" s="243"/>
      <c r="D1337" s="119">
        <v>1324</v>
      </c>
      <c r="E1337" s="25" t="str">
        <f>Tp_Non_CHG!X11</f>
        <v>Transition Probability from state 6 to state 1 on day 1 (Non-CHG)</v>
      </c>
      <c r="F1337" s="40">
        <f t="shared" si="206"/>
        <v>0</v>
      </c>
      <c r="G1337" s="156">
        <v>1</v>
      </c>
      <c r="H1337" s="120">
        <f>Tp_Non_CHG!AA11</f>
        <v>0</v>
      </c>
      <c r="I1337" s="40" t="s">
        <v>58</v>
      </c>
      <c r="J1337" s="40">
        <f t="shared" si="209"/>
        <v>0</v>
      </c>
      <c r="K1337" s="40">
        <f t="shared" si="210"/>
        <v>0</v>
      </c>
      <c r="L1337" s="40" t="s">
        <v>58</v>
      </c>
      <c r="M1337" s="50" t="s">
        <v>266</v>
      </c>
      <c r="N1337" s="190"/>
      <c r="O1337" s="40">
        <f t="shared" ca="1" si="205"/>
        <v>0.43328473023231029</v>
      </c>
      <c r="P1337" s="51">
        <f t="shared" si="207"/>
        <v>0</v>
      </c>
      <c r="Q1337" s="51">
        <f t="shared" si="208"/>
        <v>0</v>
      </c>
      <c r="R1337" s="51">
        <f t="shared" si="211"/>
        <v>0</v>
      </c>
      <c r="S1337"/>
      <c r="T1337" s="83"/>
    </row>
    <row r="1338" spans="1:20" ht="16" x14ac:dyDescent="0.2">
      <c r="A1338"/>
      <c r="B1338" s="103"/>
      <c r="C1338" s="243"/>
      <c r="D1338" s="119">
        <v>1325</v>
      </c>
      <c r="E1338" s="25" t="str">
        <f>Tp_Non_CHG!X12</f>
        <v>Transition Probability from state 6 to state 1 on day 2 (Non-CHG)</v>
      </c>
      <c r="F1338" s="40">
        <f t="shared" si="206"/>
        <v>0</v>
      </c>
      <c r="G1338" s="156">
        <v>1</v>
      </c>
      <c r="H1338" s="120">
        <f>Tp_Non_CHG!AA12</f>
        <v>0</v>
      </c>
      <c r="I1338" s="40" t="s">
        <v>58</v>
      </c>
      <c r="J1338" s="40">
        <f t="shared" si="209"/>
        <v>0</v>
      </c>
      <c r="K1338" s="40">
        <f t="shared" si="210"/>
        <v>0</v>
      </c>
      <c r="L1338" s="40" t="s">
        <v>58</v>
      </c>
      <c r="M1338" s="50" t="s">
        <v>266</v>
      </c>
      <c r="N1338" s="190"/>
      <c r="O1338" s="40">
        <f t="shared" ca="1" si="205"/>
        <v>0.75072906658022132</v>
      </c>
      <c r="P1338" s="51">
        <f t="shared" si="207"/>
        <v>0</v>
      </c>
      <c r="Q1338" s="51">
        <f t="shared" si="208"/>
        <v>0</v>
      </c>
      <c r="R1338" s="51">
        <f t="shared" si="211"/>
        <v>0</v>
      </c>
      <c r="S1338"/>
      <c r="T1338" s="83"/>
    </row>
    <row r="1339" spans="1:20" ht="16" x14ac:dyDescent="0.2">
      <c r="A1339"/>
      <c r="B1339" s="103"/>
      <c r="C1339" s="243"/>
      <c r="D1339" s="119">
        <v>1326</v>
      </c>
      <c r="E1339" s="25" t="str">
        <f>Tp_Non_CHG!X13</f>
        <v>Transition Probability from state 6 to state 1 on day 3 (Non-CHG)</v>
      </c>
      <c r="F1339" s="40">
        <f t="shared" si="206"/>
        <v>0</v>
      </c>
      <c r="G1339" s="156">
        <v>1</v>
      </c>
      <c r="H1339" s="120">
        <f>Tp_Non_CHG!AA13</f>
        <v>0</v>
      </c>
      <c r="I1339" s="40" t="s">
        <v>58</v>
      </c>
      <c r="J1339" s="40">
        <f t="shared" si="209"/>
        <v>0</v>
      </c>
      <c r="K1339" s="40">
        <f t="shared" si="210"/>
        <v>0</v>
      </c>
      <c r="L1339" s="40" t="s">
        <v>58</v>
      </c>
      <c r="M1339" s="50" t="s">
        <v>266</v>
      </c>
      <c r="N1339" s="190"/>
      <c r="O1339" s="40">
        <f t="shared" ca="1" si="205"/>
        <v>0.11593107735356123</v>
      </c>
      <c r="P1339" s="51">
        <f t="shared" si="207"/>
        <v>0</v>
      </c>
      <c r="Q1339" s="51">
        <f t="shared" si="208"/>
        <v>0</v>
      </c>
      <c r="R1339" s="51">
        <f t="shared" si="211"/>
        <v>0</v>
      </c>
      <c r="S1339"/>
      <c r="T1339" s="83"/>
    </row>
    <row r="1340" spans="1:20" ht="16" x14ac:dyDescent="0.2">
      <c r="A1340"/>
      <c r="B1340" s="103"/>
      <c r="C1340" s="243"/>
      <c r="D1340" s="119">
        <v>1327</v>
      </c>
      <c r="E1340" s="25" t="str">
        <f>Tp_Non_CHG!X14</f>
        <v>Transition Probability from state 6 to state 1 on day 4 (Non-CHG)</v>
      </c>
      <c r="F1340" s="40">
        <f t="shared" si="206"/>
        <v>0</v>
      </c>
      <c r="G1340" s="156">
        <v>1</v>
      </c>
      <c r="H1340" s="120">
        <f>Tp_Non_CHG!AA14</f>
        <v>0</v>
      </c>
      <c r="I1340" s="40" t="s">
        <v>58</v>
      </c>
      <c r="J1340" s="40">
        <f t="shared" si="209"/>
        <v>0</v>
      </c>
      <c r="K1340" s="40">
        <f t="shared" si="210"/>
        <v>0</v>
      </c>
      <c r="L1340" s="40" t="s">
        <v>58</v>
      </c>
      <c r="M1340" s="50" t="s">
        <v>266</v>
      </c>
      <c r="N1340" s="190"/>
      <c r="O1340" s="40">
        <f t="shared" ca="1" si="205"/>
        <v>0.57933483331185631</v>
      </c>
      <c r="P1340" s="51">
        <f t="shared" si="207"/>
        <v>0</v>
      </c>
      <c r="Q1340" s="51">
        <f t="shared" si="208"/>
        <v>0</v>
      </c>
      <c r="R1340" s="51">
        <f t="shared" si="211"/>
        <v>0</v>
      </c>
      <c r="S1340"/>
      <c r="T1340" s="83"/>
    </row>
    <row r="1341" spans="1:20" ht="16" x14ac:dyDescent="0.2">
      <c r="A1341"/>
      <c r="B1341" s="103"/>
      <c r="C1341" s="243"/>
      <c r="D1341" s="119">
        <v>1328</v>
      </c>
      <c r="E1341" s="25" t="str">
        <f>Tp_Non_CHG!X15</f>
        <v>Transition Probability from state 6 to state 1 on day 5 (Non-CHG)</v>
      </c>
      <c r="F1341" s="40">
        <f t="shared" si="206"/>
        <v>0</v>
      </c>
      <c r="G1341" s="156">
        <v>1</v>
      </c>
      <c r="H1341" s="120">
        <f>Tp_Non_CHG!AA15</f>
        <v>0</v>
      </c>
      <c r="I1341" s="40" t="s">
        <v>58</v>
      </c>
      <c r="J1341" s="40">
        <f t="shared" si="209"/>
        <v>0</v>
      </c>
      <c r="K1341" s="40">
        <f t="shared" si="210"/>
        <v>0</v>
      </c>
      <c r="L1341" s="40" t="s">
        <v>58</v>
      </c>
      <c r="M1341" s="50" t="s">
        <v>266</v>
      </c>
      <c r="N1341" s="190"/>
      <c r="O1341" s="40">
        <f t="shared" ca="1" si="205"/>
        <v>0.13565962088580585</v>
      </c>
      <c r="P1341" s="51">
        <f t="shared" si="207"/>
        <v>0</v>
      </c>
      <c r="Q1341" s="51">
        <f t="shared" si="208"/>
        <v>0</v>
      </c>
      <c r="R1341" s="51">
        <f t="shared" si="211"/>
        <v>0</v>
      </c>
      <c r="S1341"/>
      <c r="T1341" s="83"/>
    </row>
    <row r="1342" spans="1:20" ht="16" x14ac:dyDescent="0.2">
      <c r="A1342"/>
      <c r="B1342" s="103"/>
      <c r="C1342" s="243"/>
      <c r="D1342" s="119">
        <v>1329</v>
      </c>
      <c r="E1342" s="25" t="str">
        <f>Tp_Non_CHG!X16</f>
        <v>Transition Probability from state 6 to state 1 on day 6 (Non-CHG)</v>
      </c>
      <c r="F1342" s="40">
        <f t="shared" si="206"/>
        <v>0</v>
      </c>
      <c r="G1342" s="156">
        <v>1</v>
      </c>
      <c r="H1342" s="120">
        <f>Tp_Non_CHG!AA16</f>
        <v>0</v>
      </c>
      <c r="I1342" s="40" t="s">
        <v>58</v>
      </c>
      <c r="J1342" s="40">
        <f t="shared" si="209"/>
        <v>0</v>
      </c>
      <c r="K1342" s="40">
        <f t="shared" si="210"/>
        <v>0</v>
      </c>
      <c r="L1342" s="40" t="s">
        <v>58</v>
      </c>
      <c r="M1342" s="50" t="s">
        <v>266</v>
      </c>
      <c r="N1342" s="190"/>
      <c r="O1342" s="40">
        <f t="shared" ca="1" si="205"/>
        <v>9.031164935990954E-2</v>
      </c>
      <c r="P1342" s="51">
        <f t="shared" si="207"/>
        <v>0</v>
      </c>
      <c r="Q1342" s="51">
        <f t="shared" si="208"/>
        <v>0</v>
      </c>
      <c r="R1342" s="51">
        <f t="shared" si="211"/>
        <v>0</v>
      </c>
      <c r="S1342"/>
      <c r="T1342" s="83"/>
    </row>
    <row r="1343" spans="1:20" ht="16" x14ac:dyDescent="0.2">
      <c r="A1343"/>
      <c r="B1343" s="103"/>
      <c r="C1343" s="243"/>
      <c r="D1343" s="119">
        <v>1330</v>
      </c>
      <c r="E1343" s="25" t="str">
        <f>Tp_Non_CHG!X17</f>
        <v>Transition Probability from state 6 to state 1 on day 7 (Non-CHG)</v>
      </c>
      <c r="F1343" s="40">
        <f t="shared" si="206"/>
        <v>0</v>
      </c>
      <c r="G1343" s="156">
        <v>1</v>
      </c>
      <c r="H1343" s="120">
        <f>Tp_Non_CHG!AA17</f>
        <v>0</v>
      </c>
      <c r="I1343" s="40" t="s">
        <v>58</v>
      </c>
      <c r="J1343" s="40">
        <f t="shared" si="209"/>
        <v>0</v>
      </c>
      <c r="K1343" s="40">
        <f t="shared" si="210"/>
        <v>0</v>
      </c>
      <c r="L1343" s="40" t="s">
        <v>58</v>
      </c>
      <c r="M1343" s="50" t="s">
        <v>266</v>
      </c>
      <c r="N1343" s="190"/>
      <c r="O1343" s="40">
        <f t="shared" ca="1" si="205"/>
        <v>0.36485519431275815</v>
      </c>
      <c r="P1343" s="51">
        <f t="shared" si="207"/>
        <v>0</v>
      </c>
      <c r="Q1343" s="51">
        <f t="shared" si="208"/>
        <v>0</v>
      </c>
      <c r="R1343" s="51">
        <f t="shared" si="211"/>
        <v>0</v>
      </c>
      <c r="S1343"/>
      <c r="T1343" s="83"/>
    </row>
    <row r="1344" spans="1:20" ht="16" x14ac:dyDescent="0.2">
      <c r="A1344"/>
      <c r="B1344" s="103"/>
      <c r="C1344" s="243"/>
      <c r="D1344" s="119">
        <v>1331</v>
      </c>
      <c r="E1344" s="25" t="str">
        <f>Tp_Non_CHG!X18</f>
        <v>Transition Probability from state 6 to state 1 on day 8 (Non-CHG)</v>
      </c>
      <c r="F1344" s="40">
        <f t="shared" si="206"/>
        <v>0</v>
      </c>
      <c r="G1344" s="156">
        <v>1</v>
      </c>
      <c r="H1344" s="120">
        <f>Tp_Non_CHG!AA18</f>
        <v>0</v>
      </c>
      <c r="I1344" s="40" t="s">
        <v>58</v>
      </c>
      <c r="J1344" s="40">
        <f t="shared" si="209"/>
        <v>0</v>
      </c>
      <c r="K1344" s="40">
        <f t="shared" si="210"/>
        <v>0</v>
      </c>
      <c r="L1344" s="40" t="s">
        <v>58</v>
      </c>
      <c r="M1344" s="50" t="s">
        <v>266</v>
      </c>
      <c r="N1344" s="190"/>
      <c r="O1344" s="40">
        <f t="shared" ca="1" si="205"/>
        <v>0.52125714185199157</v>
      </c>
      <c r="P1344" s="51">
        <f t="shared" si="207"/>
        <v>0</v>
      </c>
      <c r="Q1344" s="51">
        <f t="shared" si="208"/>
        <v>0</v>
      </c>
      <c r="R1344" s="51">
        <f t="shared" si="211"/>
        <v>0</v>
      </c>
      <c r="S1344"/>
      <c r="T1344" s="83"/>
    </row>
    <row r="1345" spans="1:20" ht="16" x14ac:dyDescent="0.2">
      <c r="A1345"/>
      <c r="B1345" s="103"/>
      <c r="C1345" s="243"/>
      <c r="D1345" s="119">
        <v>1332</v>
      </c>
      <c r="E1345" s="25" t="str">
        <f>Tp_Non_CHG!X243</f>
        <v>Transition Probability from state 6 to state 8 on day 8 (Non-CHG)</v>
      </c>
      <c r="F1345" s="40">
        <f t="shared" si="206"/>
        <v>1</v>
      </c>
      <c r="G1345" s="156">
        <v>1</v>
      </c>
      <c r="H1345" s="120">
        <f>Tp_Non_CHG!AA243</f>
        <v>1</v>
      </c>
      <c r="I1345" s="40" t="s">
        <v>58</v>
      </c>
      <c r="J1345" s="40">
        <f>IF(H1345=0,0,_xlfn.NORM.INV(0.025,H1345,R1345))</f>
        <v>0.8040036015459946</v>
      </c>
      <c r="K1345" s="40">
        <f>IF(H1345=0,0,_xlfn.NORM.INV(0.975,H1345,R1345))</f>
        <v>1.1959963984540054</v>
      </c>
      <c r="L1345" s="40" t="s">
        <v>58</v>
      </c>
      <c r="M1345" s="50" t="s">
        <v>266</v>
      </c>
      <c r="N1345" s="190"/>
      <c r="O1345" s="40">
        <f ca="1">RAND()</f>
        <v>0.98896754629731065</v>
      </c>
      <c r="P1345" s="51">
        <f t="shared" si="207"/>
        <v>-1</v>
      </c>
      <c r="Q1345" s="51">
        <f t="shared" si="208"/>
        <v>0</v>
      </c>
      <c r="R1345" s="51">
        <f>assumedSE*H1345</f>
        <v>0.1</v>
      </c>
      <c r="S1345"/>
      <c r="T1345" s="83"/>
    </row>
    <row r="1346" spans="1:20" ht="16" x14ac:dyDescent="0.2">
      <c r="A1346"/>
      <c r="B1346" s="103"/>
      <c r="C1346" s="243"/>
      <c r="D1346" s="119">
        <v>1333</v>
      </c>
      <c r="E1346" s="25" t="str">
        <f>Tp_Non_CHG!X19</f>
        <v>Transition Probability from state 6 to state 1 on day 9 (Non-CHG)</v>
      </c>
      <c r="F1346" s="40">
        <f t="shared" si="206"/>
        <v>0</v>
      </c>
      <c r="G1346" s="156">
        <v>1</v>
      </c>
      <c r="H1346" s="120">
        <f>Tp_Non_CHG!AA19</f>
        <v>0</v>
      </c>
      <c r="I1346" s="40" t="s">
        <v>58</v>
      </c>
      <c r="J1346" s="40">
        <f t="shared" si="209"/>
        <v>0</v>
      </c>
      <c r="K1346" s="40">
        <f t="shared" si="210"/>
        <v>0</v>
      </c>
      <c r="L1346" s="40" t="s">
        <v>58</v>
      </c>
      <c r="M1346" s="50" t="s">
        <v>266</v>
      </c>
      <c r="N1346" s="190"/>
      <c r="O1346" s="40">
        <f t="shared" ca="1" si="205"/>
        <v>0.16381886337476503</v>
      </c>
      <c r="P1346" s="51">
        <f t="shared" si="207"/>
        <v>0</v>
      </c>
      <c r="Q1346" s="51">
        <f t="shared" si="208"/>
        <v>0</v>
      </c>
      <c r="R1346" s="51">
        <f t="shared" si="211"/>
        <v>0</v>
      </c>
      <c r="S1346"/>
      <c r="T1346" s="83"/>
    </row>
    <row r="1347" spans="1:20" ht="16" x14ac:dyDescent="0.2">
      <c r="A1347"/>
      <c r="B1347" s="103"/>
      <c r="C1347" s="243"/>
      <c r="D1347" s="119">
        <v>1334</v>
      </c>
      <c r="E1347" s="25" t="str">
        <f>Tp_Non_CHG!X244</f>
        <v>Transition Probability from state 6 to state 8 on day 9 (Non-CHG)</v>
      </c>
      <c r="F1347" s="40">
        <f t="shared" si="206"/>
        <v>1</v>
      </c>
      <c r="G1347" s="156">
        <v>1</v>
      </c>
      <c r="H1347" s="120">
        <f>Tp_Non_CHG!AA244</f>
        <v>1</v>
      </c>
      <c r="I1347" s="40" t="s">
        <v>58</v>
      </c>
      <c r="J1347" s="40">
        <f>IF(H1347=0,0,_xlfn.NORM.INV(0.025,H1347,R1347))</f>
        <v>0.8040036015459946</v>
      </c>
      <c r="K1347" s="40">
        <f>IF(H1347=0,0,_xlfn.NORM.INV(0.975,H1347,R1347))</f>
        <v>1.1959963984540054</v>
      </c>
      <c r="L1347" s="40" t="s">
        <v>58</v>
      </c>
      <c r="M1347" s="50" t="s">
        <v>266</v>
      </c>
      <c r="N1347" s="190"/>
      <c r="O1347" s="40">
        <f ca="1">RAND()</f>
        <v>0.71439639879461381</v>
      </c>
      <c r="P1347" s="51">
        <f t="shared" si="207"/>
        <v>-1</v>
      </c>
      <c r="Q1347" s="51">
        <f t="shared" si="208"/>
        <v>0</v>
      </c>
      <c r="R1347" s="51">
        <f>assumedSE*H1347</f>
        <v>0.1</v>
      </c>
      <c r="S1347"/>
      <c r="T1347" s="83"/>
    </row>
    <row r="1348" spans="1:20" ht="16" x14ac:dyDescent="0.2">
      <c r="A1348"/>
      <c r="B1348" s="103"/>
      <c r="C1348" s="243"/>
      <c r="D1348" s="119">
        <v>1335</v>
      </c>
      <c r="E1348" s="25" t="str">
        <f>Tp_Non_CHG!X20</f>
        <v>Transition Probability from state 6 to state 1 on day 10 (Non-CHG)</v>
      </c>
      <c r="F1348" s="40">
        <f t="shared" si="206"/>
        <v>0</v>
      </c>
      <c r="G1348" s="156">
        <v>1</v>
      </c>
      <c r="H1348" s="120">
        <f>Tp_Non_CHG!AA20</f>
        <v>0</v>
      </c>
      <c r="I1348" s="40" t="s">
        <v>58</v>
      </c>
      <c r="J1348" s="40">
        <f t="shared" si="209"/>
        <v>0</v>
      </c>
      <c r="K1348" s="40">
        <f t="shared" si="210"/>
        <v>0</v>
      </c>
      <c r="L1348" s="40" t="s">
        <v>58</v>
      </c>
      <c r="M1348" s="50" t="s">
        <v>266</v>
      </c>
      <c r="N1348" s="190"/>
      <c r="O1348" s="40">
        <f t="shared" ca="1" si="205"/>
        <v>0.58265014538310445</v>
      </c>
      <c r="P1348" s="51">
        <f t="shared" si="207"/>
        <v>0</v>
      </c>
      <c r="Q1348" s="51">
        <f t="shared" si="208"/>
        <v>0</v>
      </c>
      <c r="R1348" s="51">
        <f t="shared" si="211"/>
        <v>0</v>
      </c>
      <c r="S1348"/>
      <c r="T1348" s="83"/>
    </row>
    <row r="1349" spans="1:20" ht="16" x14ac:dyDescent="0.2">
      <c r="A1349"/>
      <c r="B1349" s="103"/>
      <c r="C1349" s="243"/>
      <c r="D1349" s="119">
        <v>1336</v>
      </c>
      <c r="E1349" s="25" t="str">
        <f>Tp_Non_CHG!X21</f>
        <v>Transition Probability from state 6 to state 1 on day 11 (Non-CHG)</v>
      </c>
      <c r="F1349" s="40">
        <f t="shared" si="206"/>
        <v>0</v>
      </c>
      <c r="G1349" s="156">
        <v>1</v>
      </c>
      <c r="H1349" s="120">
        <f>Tp_Non_CHG!AA21</f>
        <v>0</v>
      </c>
      <c r="I1349" s="40" t="s">
        <v>58</v>
      </c>
      <c r="J1349" s="40">
        <f t="shared" si="209"/>
        <v>0</v>
      </c>
      <c r="K1349" s="40">
        <f t="shared" si="210"/>
        <v>0</v>
      </c>
      <c r="L1349" s="40" t="s">
        <v>58</v>
      </c>
      <c r="M1349" s="50" t="s">
        <v>266</v>
      </c>
      <c r="N1349" s="190"/>
      <c r="O1349" s="40">
        <f t="shared" ca="1" si="205"/>
        <v>0.28308974070480286</v>
      </c>
      <c r="P1349" s="51">
        <f t="shared" si="207"/>
        <v>0</v>
      </c>
      <c r="Q1349" s="51">
        <f t="shared" si="208"/>
        <v>0</v>
      </c>
      <c r="R1349" s="51">
        <f t="shared" si="211"/>
        <v>0</v>
      </c>
      <c r="S1349"/>
      <c r="T1349" s="83"/>
    </row>
    <row r="1350" spans="1:20" ht="16" x14ac:dyDescent="0.2">
      <c r="A1350"/>
      <c r="B1350" s="103"/>
      <c r="C1350" s="243"/>
      <c r="D1350" s="119">
        <v>1337</v>
      </c>
      <c r="E1350" s="25" t="str">
        <f>Tp_Non_CHG!X214</f>
        <v>Transition Probability from state 6 to state 7 on day 11 (Non-CHG)</v>
      </c>
      <c r="F1350" s="40">
        <f t="shared" si="206"/>
        <v>1</v>
      </c>
      <c r="G1350" s="156">
        <v>1</v>
      </c>
      <c r="H1350" s="120">
        <f>Tp_Non_CHG!AA214</f>
        <v>1</v>
      </c>
      <c r="I1350" s="40" t="s">
        <v>58</v>
      </c>
      <c r="J1350" s="40">
        <f>IF(H1350=0,0,_xlfn.NORM.INV(0.025,H1350,R1350))</f>
        <v>0.8040036015459946</v>
      </c>
      <c r="K1350" s="40">
        <f>IF(H1350=0,0,_xlfn.NORM.INV(0.975,H1350,R1350))</f>
        <v>1.1959963984540054</v>
      </c>
      <c r="L1350" s="40" t="s">
        <v>58</v>
      </c>
      <c r="M1350" s="50" t="s">
        <v>266</v>
      </c>
      <c r="N1350" s="190"/>
      <c r="O1350" s="40">
        <f ca="1">RAND()</f>
        <v>0.17305937825451123</v>
      </c>
      <c r="P1350" s="51">
        <f t="shared" si="207"/>
        <v>-1</v>
      </c>
      <c r="Q1350" s="51">
        <f t="shared" si="208"/>
        <v>0</v>
      </c>
      <c r="R1350" s="51">
        <f>assumedSE*H1350</f>
        <v>0.1</v>
      </c>
      <c r="S1350"/>
      <c r="T1350" s="83"/>
    </row>
    <row r="1351" spans="1:20" ht="16" x14ac:dyDescent="0.2">
      <c r="A1351"/>
      <c r="B1351" s="103"/>
      <c r="C1351" s="243"/>
      <c r="D1351" s="119">
        <v>1338</v>
      </c>
      <c r="E1351" s="25" t="str">
        <f>Tp_Non_CHG!X22</f>
        <v>Transition Probability from state 6 to state 1 on day 12 (Non-CHG)</v>
      </c>
      <c r="F1351" s="40">
        <f t="shared" si="206"/>
        <v>0</v>
      </c>
      <c r="G1351" s="156">
        <v>1</v>
      </c>
      <c r="H1351" s="120">
        <f>Tp_Non_CHG!AA22</f>
        <v>0</v>
      </c>
      <c r="I1351" s="40" t="s">
        <v>58</v>
      </c>
      <c r="J1351" s="40">
        <f t="shared" si="209"/>
        <v>0</v>
      </c>
      <c r="K1351" s="40">
        <f t="shared" si="210"/>
        <v>0</v>
      </c>
      <c r="L1351" s="40" t="s">
        <v>58</v>
      </c>
      <c r="M1351" s="50" t="s">
        <v>266</v>
      </c>
      <c r="N1351" s="190"/>
      <c r="O1351" s="40">
        <f t="shared" ca="1" si="205"/>
        <v>0.12409592777924927</v>
      </c>
      <c r="P1351" s="51">
        <f t="shared" si="207"/>
        <v>0</v>
      </c>
      <c r="Q1351" s="51">
        <f t="shared" si="208"/>
        <v>0</v>
      </c>
      <c r="R1351" s="51">
        <f t="shared" si="211"/>
        <v>0</v>
      </c>
      <c r="S1351"/>
      <c r="T1351" s="83"/>
    </row>
    <row r="1352" spans="1:20" ht="16" x14ac:dyDescent="0.2">
      <c r="A1352"/>
      <c r="B1352" s="103"/>
      <c r="C1352" s="243"/>
      <c r="D1352" s="119">
        <v>1339</v>
      </c>
      <c r="E1352" s="25" t="str">
        <f>Tp_Non_CHG!X23</f>
        <v>Transition Probability from state 6 to state 1 on day 13 (Non-CHG)</v>
      </c>
      <c r="F1352" s="40">
        <f t="shared" si="206"/>
        <v>0</v>
      </c>
      <c r="G1352" s="156">
        <v>1</v>
      </c>
      <c r="H1352" s="120">
        <f>Tp_Non_CHG!AA23</f>
        <v>0</v>
      </c>
      <c r="I1352" s="40" t="s">
        <v>58</v>
      </c>
      <c r="J1352" s="40">
        <f t="shared" si="209"/>
        <v>0</v>
      </c>
      <c r="K1352" s="40">
        <f t="shared" si="210"/>
        <v>0</v>
      </c>
      <c r="L1352" s="40" t="s">
        <v>58</v>
      </c>
      <c r="M1352" s="50" t="s">
        <v>266</v>
      </c>
      <c r="N1352" s="190"/>
      <c r="O1352" s="40">
        <f t="shared" ca="1" si="205"/>
        <v>0.73346594113931651</v>
      </c>
      <c r="P1352" s="51">
        <f t="shared" si="207"/>
        <v>0</v>
      </c>
      <c r="Q1352" s="51">
        <f t="shared" si="208"/>
        <v>0</v>
      </c>
      <c r="R1352" s="51">
        <f t="shared" si="211"/>
        <v>0</v>
      </c>
      <c r="S1352"/>
      <c r="T1352" s="83"/>
    </row>
    <row r="1353" spans="1:20" ht="16" x14ac:dyDescent="0.2">
      <c r="A1353"/>
      <c r="B1353" s="103"/>
      <c r="C1353" s="243"/>
      <c r="D1353" s="119">
        <v>1340</v>
      </c>
      <c r="E1353" s="25" t="str">
        <f>Tp_Non_CHG!X24</f>
        <v>Transition Probability from state 6 to state 1 on day 14 (Non-CHG)</v>
      </c>
      <c r="F1353" s="40">
        <f t="shared" si="206"/>
        <v>1</v>
      </c>
      <c r="G1353" s="156">
        <v>1</v>
      </c>
      <c r="H1353" s="120">
        <f>Tp_Non_CHG!AA24</f>
        <v>1</v>
      </c>
      <c r="I1353" s="40" t="s">
        <v>58</v>
      </c>
      <c r="J1353" s="40">
        <f t="shared" si="209"/>
        <v>0.8040036015459946</v>
      </c>
      <c r="K1353" s="40">
        <f t="shared" si="210"/>
        <v>1.1959963984540054</v>
      </c>
      <c r="L1353" s="40" t="s">
        <v>58</v>
      </c>
      <c r="M1353" s="50" t="s">
        <v>266</v>
      </c>
      <c r="N1353" s="190"/>
      <c r="O1353" s="40">
        <f t="shared" ca="1" si="205"/>
        <v>0.35272659635838965</v>
      </c>
      <c r="P1353" s="51">
        <f t="shared" si="207"/>
        <v>-1</v>
      </c>
      <c r="Q1353" s="51">
        <f t="shared" si="208"/>
        <v>0</v>
      </c>
      <c r="R1353" s="51">
        <f t="shared" si="211"/>
        <v>0.1</v>
      </c>
      <c r="S1353"/>
      <c r="T1353" s="83"/>
    </row>
    <row r="1354" spans="1:20" ht="16" x14ac:dyDescent="0.2">
      <c r="A1354"/>
      <c r="B1354" s="103"/>
      <c r="C1354" s="243"/>
      <c r="D1354" s="119">
        <v>1341</v>
      </c>
      <c r="E1354" s="25" t="str">
        <f>Tp_Non_CHG!X25</f>
        <v>Transition Probability from state 6 to state 1 on day 15 (Non-CHG)</v>
      </c>
      <c r="F1354" s="40">
        <f t="shared" si="206"/>
        <v>0</v>
      </c>
      <c r="G1354" s="156">
        <v>1</v>
      </c>
      <c r="H1354" s="120">
        <f>Tp_Non_CHG!AA25</f>
        <v>0</v>
      </c>
      <c r="I1354" s="40" t="s">
        <v>58</v>
      </c>
      <c r="J1354" s="40">
        <f t="shared" si="209"/>
        <v>0</v>
      </c>
      <c r="K1354" s="40">
        <f t="shared" si="210"/>
        <v>0</v>
      </c>
      <c r="L1354" s="40" t="s">
        <v>58</v>
      </c>
      <c r="M1354" s="50" t="s">
        <v>266</v>
      </c>
      <c r="N1354" s="190"/>
      <c r="O1354" s="40">
        <f t="shared" ca="1" si="205"/>
        <v>0.95893203119244563</v>
      </c>
      <c r="P1354" s="51">
        <f t="shared" si="207"/>
        <v>0</v>
      </c>
      <c r="Q1354" s="51">
        <f t="shared" si="208"/>
        <v>0</v>
      </c>
      <c r="R1354" s="51">
        <f t="shared" si="211"/>
        <v>0</v>
      </c>
      <c r="S1354"/>
      <c r="T1354" s="83"/>
    </row>
    <row r="1355" spans="1:20" ht="16" x14ac:dyDescent="0.2">
      <c r="A1355"/>
      <c r="B1355" s="103"/>
      <c r="C1355" s="243"/>
      <c r="D1355" s="119">
        <v>1342</v>
      </c>
      <c r="E1355" s="25" t="str">
        <f>Tp_Non_CHG!X26</f>
        <v>Transition Probability from state 6 to state 1 on day 16 (Non-CHG)</v>
      </c>
      <c r="F1355" s="40">
        <f t="shared" si="206"/>
        <v>0</v>
      </c>
      <c r="G1355" s="156">
        <v>1</v>
      </c>
      <c r="H1355" s="120">
        <f>Tp_Non_CHG!AA26</f>
        <v>0</v>
      </c>
      <c r="I1355" s="40" t="s">
        <v>58</v>
      </c>
      <c r="J1355" s="40">
        <f t="shared" si="209"/>
        <v>0</v>
      </c>
      <c r="K1355" s="40">
        <f t="shared" si="210"/>
        <v>0</v>
      </c>
      <c r="L1355" s="40" t="s">
        <v>58</v>
      </c>
      <c r="M1355" s="50" t="s">
        <v>266</v>
      </c>
      <c r="N1355" s="190"/>
      <c r="O1355" s="40">
        <f t="shared" ca="1" si="205"/>
        <v>0.39252655689927918</v>
      </c>
      <c r="P1355" s="51">
        <f t="shared" si="207"/>
        <v>0</v>
      </c>
      <c r="Q1355" s="51">
        <f t="shared" si="208"/>
        <v>0</v>
      </c>
      <c r="R1355" s="51">
        <f t="shared" si="211"/>
        <v>0</v>
      </c>
      <c r="S1355"/>
      <c r="T1355" s="83"/>
    </row>
    <row r="1356" spans="1:20" ht="16" x14ac:dyDescent="0.2">
      <c r="A1356"/>
      <c r="B1356" s="103"/>
      <c r="C1356" s="243"/>
      <c r="D1356" s="119">
        <v>1343</v>
      </c>
      <c r="E1356" s="25" t="str">
        <f>Tp_Non_CHG!X27</f>
        <v>Transition Probability from state 6 to state 1 on day 17 (Non-CHG)</v>
      </c>
      <c r="F1356" s="40">
        <f t="shared" si="206"/>
        <v>0</v>
      </c>
      <c r="G1356" s="156">
        <v>1</v>
      </c>
      <c r="H1356" s="120">
        <f>Tp_Non_CHG!AA27</f>
        <v>0</v>
      </c>
      <c r="I1356" s="40" t="s">
        <v>58</v>
      </c>
      <c r="J1356" s="40">
        <f t="shared" si="209"/>
        <v>0</v>
      </c>
      <c r="K1356" s="40">
        <f t="shared" si="210"/>
        <v>0</v>
      </c>
      <c r="L1356" s="40" t="s">
        <v>58</v>
      </c>
      <c r="M1356" s="50" t="s">
        <v>266</v>
      </c>
      <c r="N1356" s="190"/>
      <c r="O1356" s="40">
        <f t="shared" ca="1" si="205"/>
        <v>0.55443198883482314</v>
      </c>
      <c r="P1356" s="51">
        <f t="shared" si="207"/>
        <v>0</v>
      </c>
      <c r="Q1356" s="51">
        <f t="shared" si="208"/>
        <v>0</v>
      </c>
      <c r="R1356" s="51">
        <f t="shared" si="211"/>
        <v>0</v>
      </c>
      <c r="S1356"/>
      <c r="T1356" s="83"/>
    </row>
    <row r="1357" spans="1:20" ht="16" x14ac:dyDescent="0.2">
      <c r="A1357"/>
      <c r="B1357" s="103"/>
      <c r="C1357" s="243"/>
      <c r="D1357" s="119">
        <v>1344</v>
      </c>
      <c r="E1357" s="25" t="str">
        <f>Tp_Non_CHG!X28</f>
        <v>Transition Probability from state 6 to state 1 on day 18 (Non-CHG)</v>
      </c>
      <c r="F1357" s="40">
        <f t="shared" si="206"/>
        <v>0</v>
      </c>
      <c r="G1357" s="156">
        <v>1</v>
      </c>
      <c r="H1357" s="120">
        <f>Tp_Non_CHG!AA28</f>
        <v>0</v>
      </c>
      <c r="I1357" s="40" t="s">
        <v>58</v>
      </c>
      <c r="J1357" s="40">
        <f t="shared" si="209"/>
        <v>0</v>
      </c>
      <c r="K1357" s="40">
        <f t="shared" si="210"/>
        <v>0</v>
      </c>
      <c r="L1357" s="40" t="s">
        <v>58</v>
      </c>
      <c r="M1357" s="50" t="s">
        <v>266</v>
      </c>
      <c r="N1357" s="190"/>
      <c r="O1357" s="40">
        <f t="shared" ca="1" si="205"/>
        <v>0.19119552251042127</v>
      </c>
      <c r="P1357" s="51">
        <f t="shared" si="207"/>
        <v>0</v>
      </c>
      <c r="Q1357" s="51">
        <f t="shared" si="208"/>
        <v>0</v>
      </c>
      <c r="R1357" s="51">
        <f t="shared" si="211"/>
        <v>0</v>
      </c>
      <c r="S1357"/>
      <c r="T1357" s="83"/>
    </row>
    <row r="1358" spans="1:20" ht="16" x14ac:dyDescent="0.2">
      <c r="A1358"/>
      <c r="B1358" s="103"/>
      <c r="C1358" s="243"/>
      <c r="D1358" s="119">
        <v>1345</v>
      </c>
      <c r="E1358" s="25" t="str">
        <f>Tp_Non_CHG!X29</f>
        <v>Transition Probability from state 6 to state 1 on day 19 (Non-CHG)</v>
      </c>
      <c r="F1358" s="40">
        <f t="shared" si="206"/>
        <v>1</v>
      </c>
      <c r="G1358" s="156">
        <v>1</v>
      </c>
      <c r="H1358" s="120">
        <f>Tp_Non_CHG!AA29</f>
        <v>1</v>
      </c>
      <c r="I1358" s="40" t="s">
        <v>58</v>
      </c>
      <c r="J1358" s="40">
        <f t="shared" si="209"/>
        <v>0.8040036015459946</v>
      </c>
      <c r="K1358" s="40">
        <f t="shared" si="210"/>
        <v>1.1959963984540054</v>
      </c>
      <c r="L1358" s="40" t="s">
        <v>58</v>
      </c>
      <c r="M1358" s="50" t="s">
        <v>266</v>
      </c>
      <c r="N1358" s="190"/>
      <c r="O1358" s="40">
        <f t="shared" ca="1" si="205"/>
        <v>0.35006900937767238</v>
      </c>
      <c r="P1358" s="51">
        <f t="shared" si="207"/>
        <v>-1</v>
      </c>
      <c r="Q1358" s="51">
        <f t="shared" si="208"/>
        <v>0</v>
      </c>
      <c r="R1358" s="51">
        <f t="shared" si="211"/>
        <v>0.1</v>
      </c>
      <c r="S1358"/>
      <c r="T1358" s="83"/>
    </row>
    <row r="1359" spans="1:20" ht="16" x14ac:dyDescent="0.2">
      <c r="A1359"/>
      <c r="B1359" s="103"/>
      <c r="C1359" s="243"/>
      <c r="D1359" s="119">
        <v>1346</v>
      </c>
      <c r="E1359" s="25" t="str">
        <f>Tp_Non_CHG!X30</f>
        <v>Transition Probability from state 6 to state 1 on day 20 (Non-CHG)</v>
      </c>
      <c r="F1359" s="40">
        <f t="shared" si="206"/>
        <v>0</v>
      </c>
      <c r="G1359" s="156">
        <v>1</v>
      </c>
      <c r="H1359" s="120">
        <f>Tp_Non_CHG!AA30</f>
        <v>0</v>
      </c>
      <c r="I1359" s="40" t="s">
        <v>58</v>
      </c>
      <c r="J1359" s="40">
        <f t="shared" si="209"/>
        <v>0</v>
      </c>
      <c r="K1359" s="40">
        <f t="shared" si="210"/>
        <v>0</v>
      </c>
      <c r="L1359" s="40" t="s">
        <v>58</v>
      </c>
      <c r="M1359" s="50" t="s">
        <v>266</v>
      </c>
      <c r="N1359" s="190"/>
      <c r="O1359" s="40">
        <f t="shared" ca="1" si="205"/>
        <v>0.3334644711429694</v>
      </c>
      <c r="P1359" s="51">
        <f t="shared" si="207"/>
        <v>0</v>
      </c>
      <c r="Q1359" s="51">
        <f t="shared" si="208"/>
        <v>0</v>
      </c>
      <c r="R1359" s="51">
        <f t="shared" si="211"/>
        <v>0</v>
      </c>
      <c r="S1359"/>
      <c r="T1359" s="83"/>
    </row>
    <row r="1360" spans="1:20" ht="16" x14ac:dyDescent="0.2">
      <c r="A1360"/>
      <c r="B1360" s="103"/>
      <c r="C1360" s="243"/>
      <c r="D1360" s="119">
        <v>1347</v>
      </c>
      <c r="E1360" s="25" t="str">
        <f>Tp_Non_CHG!X31</f>
        <v>Transition Probability from state 6 to state 1 on day 21 (Non-CHG)</v>
      </c>
      <c r="F1360" s="40">
        <f t="shared" ref="F1360:F1423" si="212">IFERROR(CHOOSE(G1360,H1360,J1360,K1360,N1360),0)</f>
        <v>0</v>
      </c>
      <c r="G1360" s="156">
        <v>1</v>
      </c>
      <c r="H1360" s="120">
        <f>Tp_Non_CHG!AA31</f>
        <v>0</v>
      </c>
      <c r="I1360" s="40" t="s">
        <v>58</v>
      </c>
      <c r="J1360" s="40">
        <f t="shared" si="209"/>
        <v>0</v>
      </c>
      <c r="K1360" s="40">
        <f t="shared" si="210"/>
        <v>0</v>
      </c>
      <c r="L1360" s="40" t="s">
        <v>58</v>
      </c>
      <c r="M1360" s="50" t="s">
        <v>266</v>
      </c>
      <c r="N1360" s="190"/>
      <c r="O1360" s="40">
        <f t="shared" ca="1" si="205"/>
        <v>3.04394160921726E-2</v>
      </c>
      <c r="P1360" s="51">
        <f t="shared" si="207"/>
        <v>0</v>
      </c>
      <c r="Q1360" s="51">
        <f t="shared" si="208"/>
        <v>0</v>
      </c>
      <c r="R1360" s="51">
        <f t="shared" si="211"/>
        <v>0</v>
      </c>
      <c r="S1360"/>
      <c r="T1360" s="83"/>
    </row>
    <row r="1361" spans="1:20" ht="16" x14ac:dyDescent="0.2">
      <c r="A1361"/>
      <c r="B1361" s="103"/>
      <c r="C1361" s="243"/>
      <c r="D1361" s="119">
        <v>1348</v>
      </c>
      <c r="E1361" s="25" t="str">
        <f>Tp_Non_CHG!X32</f>
        <v>Transition Probability from state 6 to state 1 on day 22 (Non-CHG)</v>
      </c>
      <c r="F1361" s="40">
        <f t="shared" si="212"/>
        <v>1</v>
      </c>
      <c r="G1361" s="156">
        <v>1</v>
      </c>
      <c r="H1361" s="120">
        <f>Tp_Non_CHG!AA32</f>
        <v>1</v>
      </c>
      <c r="I1361" s="40" t="s">
        <v>58</v>
      </c>
      <c r="J1361" s="40">
        <f t="shared" si="209"/>
        <v>0.8040036015459946</v>
      </c>
      <c r="K1361" s="40">
        <f t="shared" si="210"/>
        <v>1.1959963984540054</v>
      </c>
      <c r="L1361" s="40" t="s">
        <v>58</v>
      </c>
      <c r="M1361" s="50" t="s">
        <v>266</v>
      </c>
      <c r="N1361" s="190"/>
      <c r="O1361" s="40">
        <f t="shared" ca="1" si="205"/>
        <v>0.54463338578152143</v>
      </c>
      <c r="P1361" s="51">
        <f t="shared" ref="P1361:P1424" si="213">IFERROR(H1361*((H1361*(1-H1361)/(R1361^2))-1),0)</f>
        <v>-1</v>
      </c>
      <c r="Q1361" s="51">
        <f t="shared" ref="Q1361:Q1424" si="214">IFERROR((1-H1361)*((H1361*(1-H1361))/(R1361^2)-1),0)</f>
        <v>0</v>
      </c>
      <c r="R1361" s="51">
        <f t="shared" si="211"/>
        <v>0.1</v>
      </c>
      <c r="S1361"/>
      <c r="T1361" s="83"/>
    </row>
    <row r="1362" spans="1:20" ht="16" x14ac:dyDescent="0.2">
      <c r="A1362"/>
      <c r="B1362" s="103"/>
      <c r="C1362" s="243"/>
      <c r="D1362" s="119">
        <v>1349</v>
      </c>
      <c r="E1362" s="25" t="str">
        <f>Tp_Non_CHG!X33</f>
        <v>Transition Probability from state 6 to state 1 on day 23 (Non-CHG)</v>
      </c>
      <c r="F1362" s="40">
        <f t="shared" si="212"/>
        <v>0</v>
      </c>
      <c r="G1362" s="156">
        <v>1</v>
      </c>
      <c r="H1362" s="120">
        <f>Tp_Non_CHG!AA33</f>
        <v>0</v>
      </c>
      <c r="I1362" s="40" t="s">
        <v>58</v>
      </c>
      <c r="J1362" s="40">
        <f t="shared" si="209"/>
        <v>0</v>
      </c>
      <c r="K1362" s="40">
        <f t="shared" si="210"/>
        <v>0</v>
      </c>
      <c r="L1362" s="40" t="s">
        <v>58</v>
      </c>
      <c r="M1362" s="50" t="s">
        <v>266</v>
      </c>
      <c r="N1362" s="190"/>
      <c r="O1362" s="40">
        <f t="shared" ref="O1362:O1393" ca="1" si="215">RAND()</f>
        <v>0.21371343779925212</v>
      </c>
      <c r="P1362" s="51">
        <f t="shared" si="213"/>
        <v>0</v>
      </c>
      <c r="Q1362" s="51">
        <f t="shared" si="214"/>
        <v>0</v>
      </c>
      <c r="R1362" s="51">
        <f t="shared" si="211"/>
        <v>0</v>
      </c>
      <c r="S1362"/>
      <c r="T1362" s="83"/>
    </row>
    <row r="1363" spans="1:20" ht="16" x14ac:dyDescent="0.2">
      <c r="A1363"/>
      <c r="B1363" s="103"/>
      <c r="C1363" s="243"/>
      <c r="D1363" s="119">
        <v>1350</v>
      </c>
      <c r="E1363" s="25" t="str">
        <f>Tp_Non_CHG!X34</f>
        <v>Transition Probability from state 6 to state 1 on day 24 (Non-CHG)</v>
      </c>
      <c r="F1363" s="40">
        <f t="shared" si="212"/>
        <v>0</v>
      </c>
      <c r="G1363" s="156">
        <v>1</v>
      </c>
      <c r="H1363" s="120">
        <f>Tp_Non_CHG!AA34</f>
        <v>0</v>
      </c>
      <c r="I1363" s="40" t="s">
        <v>58</v>
      </c>
      <c r="J1363" s="40">
        <f t="shared" si="209"/>
        <v>0</v>
      </c>
      <c r="K1363" s="40">
        <f t="shared" si="210"/>
        <v>0</v>
      </c>
      <c r="L1363" s="40" t="s">
        <v>58</v>
      </c>
      <c r="M1363" s="50" t="s">
        <v>266</v>
      </c>
      <c r="N1363" s="190"/>
      <c r="O1363" s="40">
        <f t="shared" ca="1" si="215"/>
        <v>0.81242559848191842</v>
      </c>
      <c r="P1363" s="51">
        <f t="shared" si="213"/>
        <v>0</v>
      </c>
      <c r="Q1363" s="51">
        <f t="shared" si="214"/>
        <v>0</v>
      </c>
      <c r="R1363" s="51">
        <f t="shared" si="211"/>
        <v>0</v>
      </c>
      <c r="S1363"/>
      <c r="T1363" s="83"/>
    </row>
    <row r="1364" spans="1:20" ht="16" x14ac:dyDescent="0.2">
      <c r="A1364"/>
      <c r="B1364" s="103"/>
      <c r="C1364" s="243"/>
      <c r="D1364" s="119">
        <v>1351</v>
      </c>
      <c r="E1364" s="25" t="str">
        <f>Tp_Non_CHG!X35</f>
        <v>Transition Probability from state 6 to state 1 on day 25 (Non-CHG)</v>
      </c>
      <c r="F1364" s="40">
        <f t="shared" si="212"/>
        <v>0</v>
      </c>
      <c r="G1364" s="156">
        <v>1</v>
      </c>
      <c r="H1364" s="120">
        <f>Tp_Non_CHG!AA35</f>
        <v>0</v>
      </c>
      <c r="I1364" s="40" t="s">
        <v>58</v>
      </c>
      <c r="J1364" s="40">
        <f t="shared" si="209"/>
        <v>0</v>
      </c>
      <c r="K1364" s="40">
        <f t="shared" si="210"/>
        <v>0</v>
      </c>
      <c r="L1364" s="40" t="s">
        <v>58</v>
      </c>
      <c r="M1364" s="50" t="s">
        <v>266</v>
      </c>
      <c r="N1364" s="190"/>
      <c r="O1364" s="40">
        <f t="shared" ca="1" si="215"/>
        <v>0.88754264008912764</v>
      </c>
      <c r="P1364" s="51">
        <f t="shared" si="213"/>
        <v>0</v>
      </c>
      <c r="Q1364" s="51">
        <f t="shared" si="214"/>
        <v>0</v>
      </c>
      <c r="R1364" s="51">
        <f t="shared" si="211"/>
        <v>0</v>
      </c>
      <c r="S1364"/>
      <c r="T1364" s="83"/>
    </row>
    <row r="1365" spans="1:20" ht="16" x14ac:dyDescent="0.2">
      <c r="A1365"/>
      <c r="B1365" s="103"/>
      <c r="C1365" s="243"/>
      <c r="D1365" s="119">
        <v>1352</v>
      </c>
      <c r="E1365" s="25" t="str">
        <f>Tp_Non_CHG!X163</f>
        <v>Transition Probability from state 6 to state 5 on day 25 (Non-CHG)</v>
      </c>
      <c r="F1365" s="40">
        <f t="shared" si="212"/>
        <v>1</v>
      </c>
      <c r="G1365" s="156">
        <v>1</v>
      </c>
      <c r="H1365" s="120">
        <f>Tp_Non_CHG!AA163</f>
        <v>1</v>
      </c>
      <c r="I1365" s="40" t="s">
        <v>58</v>
      </c>
      <c r="J1365" s="40">
        <f>IF(H1365=0,0,_xlfn.NORM.INV(0.025,H1365,R1365))</f>
        <v>0.8040036015459946</v>
      </c>
      <c r="K1365" s="40">
        <f>IF(H1365=0,0,_xlfn.NORM.INV(0.975,H1365,R1365))</f>
        <v>1.1959963984540054</v>
      </c>
      <c r="L1365" s="40" t="s">
        <v>58</v>
      </c>
      <c r="M1365" s="50" t="s">
        <v>266</v>
      </c>
      <c r="N1365" s="190"/>
      <c r="O1365" s="40">
        <f ca="1">RAND()</f>
        <v>0.81071556402562239</v>
      </c>
      <c r="P1365" s="51">
        <f t="shared" si="213"/>
        <v>-1</v>
      </c>
      <c r="Q1365" s="51">
        <f t="shared" si="214"/>
        <v>0</v>
      </c>
      <c r="R1365" s="51">
        <f>assumedSE*H1365</f>
        <v>0.1</v>
      </c>
      <c r="S1365"/>
      <c r="T1365" s="83"/>
    </row>
    <row r="1366" spans="1:20" ht="16" x14ac:dyDescent="0.2">
      <c r="A1366"/>
      <c r="B1366" s="103"/>
      <c r="C1366" s="243"/>
      <c r="D1366" s="119">
        <v>1353</v>
      </c>
      <c r="E1366" s="25" t="str">
        <f>Tp_Non_CHG!X36</f>
        <v>Transition Probability from state 6 to state 1 on day 26 (Non-CHG)</v>
      </c>
      <c r="F1366" s="40">
        <f t="shared" si="212"/>
        <v>0</v>
      </c>
      <c r="G1366" s="156">
        <v>1</v>
      </c>
      <c r="H1366" s="120">
        <f>Tp_Non_CHG!AA36</f>
        <v>0</v>
      </c>
      <c r="I1366" s="40" t="s">
        <v>58</v>
      </c>
      <c r="J1366" s="40">
        <f t="shared" si="209"/>
        <v>0</v>
      </c>
      <c r="K1366" s="40">
        <f t="shared" si="210"/>
        <v>0</v>
      </c>
      <c r="L1366" s="40" t="s">
        <v>58</v>
      </c>
      <c r="M1366" s="50" t="s">
        <v>266</v>
      </c>
      <c r="N1366" s="190"/>
      <c r="O1366" s="40">
        <f t="shared" ca="1" si="215"/>
        <v>0.57597119469989166</v>
      </c>
      <c r="P1366" s="51">
        <f t="shared" si="213"/>
        <v>0</v>
      </c>
      <c r="Q1366" s="51">
        <f t="shared" si="214"/>
        <v>0</v>
      </c>
      <c r="R1366" s="51">
        <f t="shared" si="211"/>
        <v>0</v>
      </c>
      <c r="S1366"/>
      <c r="T1366" s="83"/>
    </row>
    <row r="1367" spans="1:20" ht="16" x14ac:dyDescent="0.2">
      <c r="A1367"/>
      <c r="B1367" s="103"/>
      <c r="C1367" s="243"/>
      <c r="D1367" s="119">
        <v>1354</v>
      </c>
      <c r="E1367" s="25" t="str">
        <f>Tp_Non_CHG!X37</f>
        <v>Transition Probability from state 6 to state 1 on day 27 (Non-CHG)</v>
      </c>
      <c r="F1367" s="40">
        <f t="shared" si="212"/>
        <v>1</v>
      </c>
      <c r="G1367" s="156">
        <v>1</v>
      </c>
      <c r="H1367" s="120">
        <f>Tp_Non_CHG!AA37</f>
        <v>1</v>
      </c>
      <c r="I1367" s="40" t="s">
        <v>58</v>
      </c>
      <c r="J1367" s="40">
        <f t="shared" si="209"/>
        <v>0.8040036015459946</v>
      </c>
      <c r="K1367" s="40">
        <f t="shared" si="210"/>
        <v>1.1959963984540054</v>
      </c>
      <c r="L1367" s="40" t="s">
        <v>58</v>
      </c>
      <c r="M1367" s="50" t="s">
        <v>266</v>
      </c>
      <c r="N1367" s="190"/>
      <c r="O1367" s="40">
        <f t="shared" ca="1" si="215"/>
        <v>0.92783631638965269</v>
      </c>
      <c r="P1367" s="51">
        <f t="shared" si="213"/>
        <v>-1</v>
      </c>
      <c r="Q1367" s="51">
        <f t="shared" si="214"/>
        <v>0</v>
      </c>
      <c r="R1367" s="51">
        <f t="shared" si="211"/>
        <v>0.1</v>
      </c>
      <c r="S1367"/>
      <c r="T1367" s="83"/>
    </row>
    <row r="1368" spans="1:20" ht="16" x14ac:dyDescent="0.2">
      <c r="A1368"/>
      <c r="B1368" s="103"/>
      <c r="C1368" s="243"/>
      <c r="D1368" s="119">
        <v>1355</v>
      </c>
      <c r="E1368" s="25" t="str">
        <f>Tp_Non_CHG!X38</f>
        <v>Transition Probability from state 6 to state 1 on day 28 (Non-CHG)</v>
      </c>
      <c r="F1368" s="40">
        <f t="shared" si="212"/>
        <v>0</v>
      </c>
      <c r="G1368" s="156">
        <v>1</v>
      </c>
      <c r="H1368" s="120">
        <f>Tp_Non_CHG!AA38</f>
        <v>0</v>
      </c>
      <c r="I1368" s="40" t="s">
        <v>58</v>
      </c>
      <c r="J1368" s="40">
        <f t="shared" si="209"/>
        <v>0</v>
      </c>
      <c r="K1368" s="40">
        <f t="shared" si="210"/>
        <v>0</v>
      </c>
      <c r="L1368" s="40" t="s">
        <v>58</v>
      </c>
      <c r="M1368" s="50" t="s">
        <v>266</v>
      </c>
      <c r="N1368" s="190"/>
      <c r="O1368" s="40">
        <f t="shared" ca="1" si="215"/>
        <v>0.43814785465425288</v>
      </c>
      <c r="P1368" s="51">
        <f t="shared" si="213"/>
        <v>0</v>
      </c>
      <c r="Q1368" s="51">
        <f t="shared" si="214"/>
        <v>0</v>
      </c>
      <c r="R1368" s="51">
        <f t="shared" si="211"/>
        <v>0</v>
      </c>
      <c r="S1368"/>
      <c r="T1368" s="83"/>
    </row>
    <row r="1369" spans="1:20" ht="16" x14ac:dyDescent="0.2">
      <c r="A1369"/>
      <c r="B1369" s="103"/>
      <c r="C1369" s="243"/>
      <c r="D1369" s="119">
        <v>1356</v>
      </c>
      <c r="E1369" s="25" t="str">
        <f>Tp_Non_CHG!X39</f>
        <v>Transition Probability from state 6 to state 1 on day 29 (Non-CHG)</v>
      </c>
      <c r="F1369" s="40">
        <f t="shared" si="212"/>
        <v>0</v>
      </c>
      <c r="G1369" s="156">
        <v>1</v>
      </c>
      <c r="H1369" s="120">
        <f>Tp_Non_CHG!AA39</f>
        <v>0</v>
      </c>
      <c r="I1369" s="40" t="s">
        <v>58</v>
      </c>
      <c r="J1369" s="40">
        <f t="shared" si="209"/>
        <v>0</v>
      </c>
      <c r="K1369" s="40">
        <f t="shared" si="210"/>
        <v>0</v>
      </c>
      <c r="L1369" s="40" t="s">
        <v>58</v>
      </c>
      <c r="M1369" s="50" t="s">
        <v>266</v>
      </c>
      <c r="N1369" s="190"/>
      <c r="O1369" s="40">
        <f t="shared" ca="1" si="215"/>
        <v>0.86250852812230816</v>
      </c>
      <c r="P1369" s="51">
        <f t="shared" si="213"/>
        <v>0</v>
      </c>
      <c r="Q1369" s="51">
        <f t="shared" si="214"/>
        <v>0</v>
      </c>
      <c r="R1369" s="51">
        <f t="shared" si="211"/>
        <v>0</v>
      </c>
      <c r="S1369"/>
      <c r="T1369" s="83"/>
    </row>
    <row r="1370" spans="1:20" ht="16" x14ac:dyDescent="0.2">
      <c r="A1370"/>
      <c r="B1370" s="103"/>
      <c r="C1370" s="243"/>
      <c r="D1370" s="119">
        <v>1357</v>
      </c>
      <c r="E1370" s="25" t="str">
        <f>Tp_Non_CHG!X40</f>
        <v>Transition Probability from state 6 to state 1 on day 30 (Non-CHG)</v>
      </c>
      <c r="F1370" s="40">
        <f t="shared" si="212"/>
        <v>0</v>
      </c>
      <c r="G1370" s="156">
        <v>1</v>
      </c>
      <c r="H1370" s="120">
        <f>Tp_Non_CHG!AA40</f>
        <v>0</v>
      </c>
      <c r="I1370" s="40" t="s">
        <v>58</v>
      </c>
      <c r="J1370" s="40">
        <f t="shared" si="209"/>
        <v>0</v>
      </c>
      <c r="K1370" s="40">
        <f t="shared" si="210"/>
        <v>0</v>
      </c>
      <c r="L1370" s="40" t="s">
        <v>58</v>
      </c>
      <c r="M1370" s="50" t="s">
        <v>266</v>
      </c>
      <c r="N1370" s="190"/>
      <c r="O1370" s="40">
        <f t="shared" ca="1" si="215"/>
        <v>0.10514068380124719</v>
      </c>
      <c r="P1370" s="51">
        <f t="shared" si="213"/>
        <v>0</v>
      </c>
      <c r="Q1370" s="51">
        <f t="shared" si="214"/>
        <v>0</v>
      </c>
      <c r="R1370" s="51">
        <f t="shared" si="211"/>
        <v>0</v>
      </c>
      <c r="S1370"/>
      <c r="T1370" s="83"/>
    </row>
    <row r="1371" spans="1:20" ht="16" x14ac:dyDescent="0.2">
      <c r="A1371"/>
      <c r="B1371" s="103"/>
      <c r="C1371" s="243"/>
      <c r="D1371" s="119">
        <v>1358</v>
      </c>
      <c r="E1371" s="25" t="str">
        <f>Tp_Non_CHG!X168</f>
        <v>Transition Probability from state 6 to state 5 on day 30 (Non-CHG)</v>
      </c>
      <c r="F1371" s="40">
        <f t="shared" si="212"/>
        <v>1</v>
      </c>
      <c r="G1371" s="156">
        <v>1</v>
      </c>
      <c r="H1371" s="120">
        <f>Tp_Non_CHG!AA168</f>
        <v>1</v>
      </c>
      <c r="I1371" s="40" t="s">
        <v>58</v>
      </c>
      <c r="J1371" s="40">
        <f>IF(H1371=0,0,_xlfn.NORM.INV(0.025,H1371,R1371))</f>
        <v>0.8040036015459946</v>
      </c>
      <c r="K1371" s="40">
        <f>IF(H1371=0,0,_xlfn.NORM.INV(0.975,H1371,R1371))</f>
        <v>1.1959963984540054</v>
      </c>
      <c r="L1371" s="40" t="s">
        <v>58</v>
      </c>
      <c r="M1371" s="50" t="s">
        <v>266</v>
      </c>
      <c r="N1371" s="190"/>
      <c r="O1371" s="40">
        <f ca="1">RAND()</f>
        <v>0.4955834424933514</v>
      </c>
      <c r="P1371" s="51">
        <f t="shared" si="213"/>
        <v>-1</v>
      </c>
      <c r="Q1371" s="51">
        <f t="shared" si="214"/>
        <v>0</v>
      </c>
      <c r="R1371" s="51">
        <f>assumedSE*H1371</f>
        <v>0.1</v>
      </c>
      <c r="S1371"/>
      <c r="T1371" s="83"/>
    </row>
    <row r="1372" spans="1:20" ht="16" x14ac:dyDescent="0.2">
      <c r="A1372"/>
      <c r="B1372" s="103"/>
      <c r="C1372" s="243"/>
      <c r="D1372" s="119">
        <v>1359</v>
      </c>
      <c r="E1372" s="25" t="str">
        <f>Tp_Non_CHG!D69</f>
        <v>Transition Probability from state 1 to state 2 on day 27 (Non-CHG)</v>
      </c>
      <c r="F1372" s="40">
        <f t="shared" si="212"/>
        <v>0</v>
      </c>
      <c r="G1372" s="156">
        <v>1</v>
      </c>
      <c r="H1372" s="120">
        <f>Tp_Non_CHG!G69</f>
        <v>0</v>
      </c>
      <c r="I1372" s="40" t="s">
        <v>58</v>
      </c>
      <c r="J1372" s="40">
        <f t="shared" ref="J1372:J1423" si="216">IF(H1372=0,0,_xlfn.NORM.INV(0.025,H1372,R1372))</f>
        <v>0</v>
      </c>
      <c r="K1372" s="40">
        <f t="shared" ref="K1372:K1423" si="217">IF(H1372=0,0,_xlfn.NORM.INV(0.975,H1372,R1372))</f>
        <v>0</v>
      </c>
      <c r="L1372" s="40" t="s">
        <v>58</v>
      </c>
      <c r="M1372" s="50" t="s">
        <v>266</v>
      </c>
      <c r="N1372" s="190"/>
      <c r="O1372" s="40">
        <f t="shared" ca="1" si="215"/>
        <v>0.3801225819683528</v>
      </c>
      <c r="P1372" s="51">
        <f t="shared" si="213"/>
        <v>0</v>
      </c>
      <c r="Q1372" s="51">
        <f t="shared" si="214"/>
        <v>0</v>
      </c>
      <c r="R1372" s="51">
        <f t="shared" ref="R1372:R1423" si="218">assumedSE*H1372</f>
        <v>0</v>
      </c>
      <c r="S1372"/>
      <c r="T1372" s="83"/>
    </row>
    <row r="1373" spans="1:20" ht="16" x14ac:dyDescent="0.2">
      <c r="A1373"/>
      <c r="B1373" s="103"/>
      <c r="C1373" s="243"/>
      <c r="D1373" s="119">
        <v>1360</v>
      </c>
      <c r="E1373" s="25" t="str">
        <f>Tp_Non_CHG!I43</f>
        <v>Transition Probability from state 2 to state 2 on day 1 (Non-CHG)</v>
      </c>
      <c r="F1373" s="40">
        <f t="shared" si="212"/>
        <v>0</v>
      </c>
      <c r="G1373" s="156">
        <v>1</v>
      </c>
      <c r="H1373" s="120">
        <f>Tp_Non_CHG!L43</f>
        <v>0</v>
      </c>
      <c r="I1373" s="40" t="s">
        <v>58</v>
      </c>
      <c r="J1373" s="40">
        <f t="shared" si="216"/>
        <v>0</v>
      </c>
      <c r="K1373" s="40">
        <f t="shared" si="217"/>
        <v>0</v>
      </c>
      <c r="L1373" s="40" t="s">
        <v>58</v>
      </c>
      <c r="M1373" s="50" t="s">
        <v>266</v>
      </c>
      <c r="N1373" s="190"/>
      <c r="O1373" s="40">
        <f t="shared" ca="1" si="215"/>
        <v>5.2736377688108127E-2</v>
      </c>
      <c r="P1373" s="51">
        <f t="shared" si="213"/>
        <v>0</v>
      </c>
      <c r="Q1373" s="51">
        <f t="shared" si="214"/>
        <v>0</v>
      </c>
      <c r="R1373" s="51">
        <f t="shared" si="218"/>
        <v>0</v>
      </c>
      <c r="S1373"/>
      <c r="T1373" s="83"/>
    </row>
    <row r="1374" spans="1:20" ht="16" x14ac:dyDescent="0.2">
      <c r="A1374"/>
      <c r="B1374" s="103"/>
      <c r="C1374" s="243"/>
      <c r="D1374" s="119">
        <v>1361</v>
      </c>
      <c r="E1374" s="25" t="str">
        <f>Tp_Non_CHG!I44</f>
        <v>Transition Probability from state 2 to state 2 on day 2 (Non-CHG)</v>
      </c>
      <c r="F1374" s="40">
        <f t="shared" si="212"/>
        <v>0</v>
      </c>
      <c r="G1374" s="156">
        <v>1</v>
      </c>
      <c r="H1374" s="120">
        <f>Tp_Non_CHG!L44</f>
        <v>0</v>
      </c>
      <c r="I1374" s="40" t="s">
        <v>58</v>
      </c>
      <c r="J1374" s="40">
        <f t="shared" si="216"/>
        <v>0</v>
      </c>
      <c r="K1374" s="40">
        <f t="shared" si="217"/>
        <v>0</v>
      </c>
      <c r="L1374" s="40" t="s">
        <v>58</v>
      </c>
      <c r="M1374" s="50" t="s">
        <v>266</v>
      </c>
      <c r="N1374" s="190"/>
      <c r="O1374" s="40">
        <f t="shared" ca="1" si="215"/>
        <v>0.85985901407499599</v>
      </c>
      <c r="P1374" s="51">
        <f t="shared" si="213"/>
        <v>0</v>
      </c>
      <c r="Q1374" s="51">
        <f t="shared" si="214"/>
        <v>0</v>
      </c>
      <c r="R1374" s="51">
        <f t="shared" si="218"/>
        <v>0</v>
      </c>
      <c r="S1374"/>
      <c r="T1374" s="83"/>
    </row>
    <row r="1375" spans="1:20" ht="16" x14ac:dyDescent="0.2">
      <c r="A1375"/>
      <c r="B1375" s="103"/>
      <c r="C1375" s="243"/>
      <c r="D1375" s="119">
        <v>1362</v>
      </c>
      <c r="E1375" s="25" t="str">
        <f>Tp_Non_CHG!I45</f>
        <v>Transition Probability from state 2 to state 2 on day 3 (Non-CHG)</v>
      </c>
      <c r="F1375" s="40">
        <f t="shared" si="212"/>
        <v>0</v>
      </c>
      <c r="G1375" s="156">
        <v>1</v>
      </c>
      <c r="H1375" s="120">
        <f>Tp_Non_CHG!L45</f>
        <v>0</v>
      </c>
      <c r="I1375" s="40" t="s">
        <v>58</v>
      </c>
      <c r="J1375" s="40">
        <f t="shared" si="216"/>
        <v>0</v>
      </c>
      <c r="K1375" s="40">
        <f t="shared" si="217"/>
        <v>0</v>
      </c>
      <c r="L1375" s="40" t="s">
        <v>58</v>
      </c>
      <c r="M1375" s="50" t="s">
        <v>266</v>
      </c>
      <c r="N1375" s="190"/>
      <c r="O1375" s="40">
        <f t="shared" ca="1" si="215"/>
        <v>0.44053460120772003</v>
      </c>
      <c r="P1375" s="51">
        <f t="shared" si="213"/>
        <v>0</v>
      </c>
      <c r="Q1375" s="51">
        <f t="shared" si="214"/>
        <v>0</v>
      </c>
      <c r="R1375" s="51">
        <f t="shared" si="218"/>
        <v>0</v>
      </c>
      <c r="S1375"/>
      <c r="T1375" s="83"/>
    </row>
    <row r="1376" spans="1:20" ht="16" x14ac:dyDescent="0.2">
      <c r="A1376"/>
      <c r="B1376" s="103"/>
      <c r="C1376" s="243"/>
      <c r="D1376" s="119">
        <v>1363</v>
      </c>
      <c r="E1376" s="25" t="str">
        <f>Tp_Non_CHG!I47</f>
        <v>Transition Probability from state 2 to state 2 on day 5 (Non-CHG)</v>
      </c>
      <c r="F1376" s="40">
        <f t="shared" si="212"/>
        <v>0</v>
      </c>
      <c r="G1376" s="156">
        <v>1</v>
      </c>
      <c r="H1376" s="120">
        <f>Tp_Non_CHG!L47</f>
        <v>0</v>
      </c>
      <c r="I1376" s="40" t="s">
        <v>58</v>
      </c>
      <c r="J1376" s="40">
        <f t="shared" si="216"/>
        <v>0</v>
      </c>
      <c r="K1376" s="40">
        <f t="shared" si="217"/>
        <v>0</v>
      </c>
      <c r="L1376" s="40" t="s">
        <v>58</v>
      </c>
      <c r="M1376" s="50" t="s">
        <v>266</v>
      </c>
      <c r="N1376" s="190"/>
      <c r="O1376" s="40">
        <f t="shared" ca="1" si="215"/>
        <v>0.43132822468167031</v>
      </c>
      <c r="P1376" s="51">
        <f t="shared" si="213"/>
        <v>0</v>
      </c>
      <c r="Q1376" s="51">
        <f t="shared" si="214"/>
        <v>0</v>
      </c>
      <c r="R1376" s="51">
        <f t="shared" si="218"/>
        <v>0</v>
      </c>
      <c r="S1376"/>
      <c r="T1376" s="83"/>
    </row>
    <row r="1377" spans="1:20" ht="16" x14ac:dyDescent="0.2">
      <c r="A1377"/>
      <c r="B1377" s="103"/>
      <c r="C1377" s="243"/>
      <c r="D1377" s="119">
        <v>1364</v>
      </c>
      <c r="E1377" s="25" t="str">
        <f>Tp_Non_CHG!I48</f>
        <v>Transition Probability from state 2 to state 2 on day 6 (Non-CHG)</v>
      </c>
      <c r="F1377" s="40">
        <f t="shared" si="212"/>
        <v>0</v>
      </c>
      <c r="G1377" s="156">
        <v>1</v>
      </c>
      <c r="H1377" s="120">
        <f>Tp_Non_CHG!L48</f>
        <v>0</v>
      </c>
      <c r="I1377" s="40" t="s">
        <v>58</v>
      </c>
      <c r="J1377" s="40">
        <f t="shared" si="216"/>
        <v>0</v>
      </c>
      <c r="K1377" s="40">
        <f t="shared" si="217"/>
        <v>0</v>
      </c>
      <c r="L1377" s="40" t="s">
        <v>58</v>
      </c>
      <c r="M1377" s="50" t="s">
        <v>266</v>
      </c>
      <c r="N1377" s="190"/>
      <c r="O1377" s="40">
        <f t="shared" ca="1" si="215"/>
        <v>5.6756335668995406E-2</v>
      </c>
      <c r="P1377" s="51">
        <f t="shared" si="213"/>
        <v>0</v>
      </c>
      <c r="Q1377" s="51">
        <f t="shared" si="214"/>
        <v>0</v>
      </c>
      <c r="R1377" s="51">
        <f t="shared" si="218"/>
        <v>0</v>
      </c>
      <c r="S1377"/>
      <c r="T1377" s="83"/>
    </row>
    <row r="1378" spans="1:20" ht="16" x14ac:dyDescent="0.2">
      <c r="A1378"/>
      <c r="B1378" s="103"/>
      <c r="C1378" s="243"/>
      <c r="D1378" s="119">
        <v>1365</v>
      </c>
      <c r="E1378" s="25" t="str">
        <f>Tp_Non_CHG!I51</f>
        <v>Transition Probability from state 2 to state 2 on day 9 (Non-CHG)</v>
      </c>
      <c r="F1378" s="40">
        <f t="shared" si="212"/>
        <v>0</v>
      </c>
      <c r="G1378" s="156">
        <v>1</v>
      </c>
      <c r="H1378" s="120">
        <f>Tp_Non_CHG!L51</f>
        <v>0</v>
      </c>
      <c r="I1378" s="40" t="s">
        <v>58</v>
      </c>
      <c r="J1378" s="40">
        <f t="shared" si="216"/>
        <v>0</v>
      </c>
      <c r="K1378" s="40">
        <f t="shared" si="217"/>
        <v>0</v>
      </c>
      <c r="L1378" s="40" t="s">
        <v>58</v>
      </c>
      <c r="M1378" s="50" t="s">
        <v>266</v>
      </c>
      <c r="N1378" s="190"/>
      <c r="O1378" s="40">
        <f t="shared" ca="1" si="215"/>
        <v>0.94127791490994894</v>
      </c>
      <c r="P1378" s="51">
        <f t="shared" si="213"/>
        <v>0</v>
      </c>
      <c r="Q1378" s="51">
        <f t="shared" si="214"/>
        <v>0</v>
      </c>
      <c r="R1378" s="51">
        <f t="shared" si="218"/>
        <v>0</v>
      </c>
      <c r="S1378"/>
      <c r="T1378" s="83"/>
    </row>
    <row r="1379" spans="1:20" ht="16" x14ac:dyDescent="0.2">
      <c r="A1379"/>
      <c r="B1379" s="103"/>
      <c r="C1379" s="243"/>
      <c r="D1379" s="119">
        <v>1366</v>
      </c>
      <c r="E1379" s="25" t="str">
        <f>Tp_Non_CHG!I52</f>
        <v>Transition Probability from state 2 to state 2 on day 10 (Non-CHG)</v>
      </c>
      <c r="F1379" s="40">
        <f t="shared" si="212"/>
        <v>0</v>
      </c>
      <c r="G1379" s="156">
        <v>1</v>
      </c>
      <c r="H1379" s="120">
        <f>Tp_Non_CHG!L52</f>
        <v>0</v>
      </c>
      <c r="I1379" s="40" t="s">
        <v>58</v>
      </c>
      <c r="J1379" s="40">
        <f t="shared" si="216"/>
        <v>0</v>
      </c>
      <c r="K1379" s="40">
        <f t="shared" si="217"/>
        <v>0</v>
      </c>
      <c r="L1379" s="40" t="s">
        <v>58</v>
      </c>
      <c r="M1379" s="50" t="s">
        <v>266</v>
      </c>
      <c r="N1379" s="190"/>
      <c r="O1379" s="40">
        <f t="shared" ca="1" si="215"/>
        <v>0.66180134454767314</v>
      </c>
      <c r="P1379" s="51">
        <f t="shared" si="213"/>
        <v>0</v>
      </c>
      <c r="Q1379" s="51">
        <f t="shared" si="214"/>
        <v>0</v>
      </c>
      <c r="R1379" s="51">
        <f t="shared" si="218"/>
        <v>0</v>
      </c>
      <c r="S1379"/>
      <c r="T1379" s="83"/>
    </row>
    <row r="1380" spans="1:20" ht="16" x14ac:dyDescent="0.2">
      <c r="A1380"/>
      <c r="B1380" s="103"/>
      <c r="C1380" s="243"/>
      <c r="D1380" s="119">
        <v>1367</v>
      </c>
      <c r="E1380" s="25" t="str">
        <f>Tp_Non_CHG!I53</f>
        <v>Transition Probability from state 2 to state 2 on day 11 (Non-CHG)</v>
      </c>
      <c r="F1380" s="40">
        <f t="shared" si="212"/>
        <v>0</v>
      </c>
      <c r="G1380" s="156">
        <v>1</v>
      </c>
      <c r="H1380" s="120">
        <f>Tp_Non_CHG!L53</f>
        <v>0</v>
      </c>
      <c r="I1380" s="40" t="s">
        <v>58</v>
      </c>
      <c r="J1380" s="40">
        <f t="shared" si="216"/>
        <v>0</v>
      </c>
      <c r="K1380" s="40">
        <f t="shared" si="217"/>
        <v>0</v>
      </c>
      <c r="L1380" s="40" t="s">
        <v>58</v>
      </c>
      <c r="M1380" s="50" t="s">
        <v>266</v>
      </c>
      <c r="N1380" s="190"/>
      <c r="O1380" s="40">
        <f t="shared" ca="1" si="215"/>
        <v>0.2383994175121491</v>
      </c>
      <c r="P1380" s="51">
        <f t="shared" si="213"/>
        <v>0</v>
      </c>
      <c r="Q1380" s="51">
        <f t="shared" si="214"/>
        <v>0</v>
      </c>
      <c r="R1380" s="51">
        <f t="shared" si="218"/>
        <v>0</v>
      </c>
      <c r="S1380"/>
      <c r="T1380" s="83"/>
    </row>
    <row r="1381" spans="1:20" ht="16" x14ac:dyDescent="0.2">
      <c r="A1381"/>
      <c r="B1381" s="103"/>
      <c r="C1381" s="243"/>
      <c r="D1381" s="119">
        <v>1368</v>
      </c>
      <c r="E1381" s="25" t="str">
        <f>Tp_Non_CHG!I55</f>
        <v>Transition Probability from state 2 to state 2 on day 13 (Non-CHG)</v>
      </c>
      <c r="F1381" s="40">
        <f t="shared" si="212"/>
        <v>0</v>
      </c>
      <c r="G1381" s="156">
        <v>1</v>
      </c>
      <c r="H1381" s="120">
        <f>Tp_Non_CHG!L55</f>
        <v>0</v>
      </c>
      <c r="I1381" s="40" t="s">
        <v>58</v>
      </c>
      <c r="J1381" s="40">
        <f t="shared" si="216"/>
        <v>0</v>
      </c>
      <c r="K1381" s="40">
        <f t="shared" si="217"/>
        <v>0</v>
      </c>
      <c r="L1381" s="40" t="s">
        <v>58</v>
      </c>
      <c r="M1381" s="50" t="s">
        <v>266</v>
      </c>
      <c r="N1381" s="190"/>
      <c r="O1381" s="40">
        <f t="shared" ca="1" si="215"/>
        <v>0.41873883224722352</v>
      </c>
      <c r="P1381" s="51">
        <f t="shared" si="213"/>
        <v>0</v>
      </c>
      <c r="Q1381" s="51">
        <f t="shared" si="214"/>
        <v>0</v>
      </c>
      <c r="R1381" s="51">
        <f t="shared" si="218"/>
        <v>0</v>
      </c>
      <c r="S1381"/>
      <c r="T1381" s="83"/>
    </row>
    <row r="1382" spans="1:20" ht="16" x14ac:dyDescent="0.2">
      <c r="A1382"/>
      <c r="B1382" s="103"/>
      <c r="C1382" s="243"/>
      <c r="D1382" s="119">
        <v>1369</v>
      </c>
      <c r="E1382" s="25" t="str">
        <f>Tp_Non_CHG!I56</f>
        <v>Transition Probability from state 2 to state 2 on day 14 (Non-CHG)</v>
      </c>
      <c r="F1382" s="40">
        <f t="shared" si="212"/>
        <v>0</v>
      </c>
      <c r="G1382" s="156">
        <v>1</v>
      </c>
      <c r="H1382" s="120">
        <f>Tp_Non_CHG!L56</f>
        <v>0</v>
      </c>
      <c r="I1382" s="40" t="s">
        <v>58</v>
      </c>
      <c r="J1382" s="40">
        <f t="shared" si="216"/>
        <v>0</v>
      </c>
      <c r="K1382" s="40">
        <f t="shared" si="217"/>
        <v>0</v>
      </c>
      <c r="L1382" s="40" t="s">
        <v>58</v>
      </c>
      <c r="M1382" s="50" t="s">
        <v>266</v>
      </c>
      <c r="N1382" s="190"/>
      <c r="O1382" s="40">
        <f t="shared" ca="1" si="215"/>
        <v>0.88973089850347886</v>
      </c>
      <c r="P1382" s="51">
        <f t="shared" si="213"/>
        <v>0</v>
      </c>
      <c r="Q1382" s="51">
        <f t="shared" si="214"/>
        <v>0</v>
      </c>
      <c r="R1382" s="51">
        <f t="shared" si="218"/>
        <v>0</v>
      </c>
      <c r="S1382"/>
      <c r="T1382" s="83"/>
    </row>
    <row r="1383" spans="1:20" ht="16" x14ac:dyDescent="0.2">
      <c r="A1383"/>
      <c r="B1383" s="103"/>
      <c r="C1383" s="243"/>
      <c r="D1383" s="119">
        <v>1370</v>
      </c>
      <c r="E1383" s="25" t="str">
        <f>Tp_Non_CHG!I57</f>
        <v>Transition Probability from state 2 to state 2 on day 15 (Non-CHG)</v>
      </c>
      <c r="F1383" s="40">
        <f t="shared" si="212"/>
        <v>0</v>
      </c>
      <c r="G1383" s="156">
        <v>1</v>
      </c>
      <c r="H1383" s="120">
        <f>Tp_Non_CHG!L57</f>
        <v>0</v>
      </c>
      <c r="I1383" s="40" t="s">
        <v>58</v>
      </c>
      <c r="J1383" s="40">
        <f t="shared" si="216"/>
        <v>0</v>
      </c>
      <c r="K1383" s="40">
        <f t="shared" si="217"/>
        <v>0</v>
      </c>
      <c r="L1383" s="40" t="s">
        <v>58</v>
      </c>
      <c r="M1383" s="50" t="s">
        <v>266</v>
      </c>
      <c r="N1383" s="190"/>
      <c r="O1383" s="40">
        <f t="shared" ca="1" si="215"/>
        <v>0.90746353267393298</v>
      </c>
      <c r="P1383" s="51">
        <f t="shared" si="213"/>
        <v>0</v>
      </c>
      <c r="Q1383" s="51">
        <f t="shared" si="214"/>
        <v>0</v>
      </c>
      <c r="R1383" s="51">
        <f t="shared" si="218"/>
        <v>0</v>
      </c>
      <c r="S1383"/>
      <c r="T1383" s="83"/>
    </row>
    <row r="1384" spans="1:20" ht="16" x14ac:dyDescent="0.2">
      <c r="A1384"/>
      <c r="B1384" s="103"/>
      <c r="C1384" s="243"/>
      <c r="D1384" s="119">
        <v>1371</v>
      </c>
      <c r="E1384" s="25" t="str">
        <f>Tp_Non_CHG!I58</f>
        <v>Transition Probability from state 2 to state 2 on day 16 (Non-CHG)</v>
      </c>
      <c r="F1384" s="40">
        <f t="shared" si="212"/>
        <v>0</v>
      </c>
      <c r="G1384" s="156">
        <v>1</v>
      </c>
      <c r="H1384" s="120">
        <f>Tp_Non_CHG!L58</f>
        <v>0</v>
      </c>
      <c r="I1384" s="40" t="s">
        <v>58</v>
      </c>
      <c r="J1384" s="40">
        <f t="shared" si="216"/>
        <v>0</v>
      </c>
      <c r="K1384" s="40">
        <f t="shared" si="217"/>
        <v>0</v>
      </c>
      <c r="L1384" s="40" t="s">
        <v>58</v>
      </c>
      <c r="M1384" s="50" t="s">
        <v>266</v>
      </c>
      <c r="N1384" s="190"/>
      <c r="O1384" s="40">
        <f t="shared" ca="1" si="215"/>
        <v>0.88374702710422481</v>
      </c>
      <c r="P1384" s="51">
        <f t="shared" si="213"/>
        <v>0</v>
      </c>
      <c r="Q1384" s="51">
        <f t="shared" si="214"/>
        <v>0</v>
      </c>
      <c r="R1384" s="51">
        <f t="shared" si="218"/>
        <v>0</v>
      </c>
      <c r="S1384"/>
      <c r="T1384" s="83"/>
    </row>
    <row r="1385" spans="1:20" ht="16" x14ac:dyDescent="0.2">
      <c r="A1385"/>
      <c r="B1385" s="103"/>
      <c r="C1385" s="243"/>
      <c r="D1385" s="119">
        <v>1372</v>
      </c>
      <c r="E1385" s="25" t="str">
        <f>Tp_Non_CHG!I59</f>
        <v>Transition Probability from state 2 to state 2 on day 17 (Non-CHG)</v>
      </c>
      <c r="F1385" s="40">
        <f t="shared" si="212"/>
        <v>0</v>
      </c>
      <c r="G1385" s="156">
        <v>1</v>
      </c>
      <c r="H1385" s="120">
        <f>Tp_Non_CHG!L59</f>
        <v>0</v>
      </c>
      <c r="I1385" s="40" t="s">
        <v>58</v>
      </c>
      <c r="J1385" s="40">
        <f t="shared" si="216"/>
        <v>0</v>
      </c>
      <c r="K1385" s="40">
        <f t="shared" si="217"/>
        <v>0</v>
      </c>
      <c r="L1385" s="40" t="s">
        <v>58</v>
      </c>
      <c r="M1385" s="50" t="s">
        <v>266</v>
      </c>
      <c r="N1385" s="190"/>
      <c r="O1385" s="40">
        <f t="shared" ca="1" si="215"/>
        <v>0.2831406669020935</v>
      </c>
      <c r="P1385" s="51">
        <f t="shared" si="213"/>
        <v>0</v>
      </c>
      <c r="Q1385" s="51">
        <f t="shared" si="214"/>
        <v>0</v>
      </c>
      <c r="R1385" s="51">
        <f t="shared" si="218"/>
        <v>0</v>
      </c>
      <c r="S1385"/>
      <c r="T1385" s="83"/>
    </row>
    <row r="1386" spans="1:20" ht="16" x14ac:dyDescent="0.2">
      <c r="A1386"/>
      <c r="B1386" s="103"/>
      <c r="C1386" s="243"/>
      <c r="D1386" s="119">
        <v>1373</v>
      </c>
      <c r="E1386" s="25" t="str">
        <f>Tp_Non_CHG!I60</f>
        <v>Transition Probability from state 2 to state 2 on day 18 (Non-CHG)</v>
      </c>
      <c r="F1386" s="40">
        <f t="shared" si="212"/>
        <v>0</v>
      </c>
      <c r="G1386" s="156">
        <v>1</v>
      </c>
      <c r="H1386" s="120">
        <f>Tp_Non_CHG!L60</f>
        <v>0</v>
      </c>
      <c r="I1386" s="40" t="s">
        <v>58</v>
      </c>
      <c r="J1386" s="40">
        <f t="shared" si="216"/>
        <v>0</v>
      </c>
      <c r="K1386" s="40">
        <f t="shared" si="217"/>
        <v>0</v>
      </c>
      <c r="L1386" s="40" t="s">
        <v>58</v>
      </c>
      <c r="M1386" s="50" t="s">
        <v>266</v>
      </c>
      <c r="N1386" s="190"/>
      <c r="O1386" s="40">
        <f t="shared" ca="1" si="215"/>
        <v>7.182502545975944E-2</v>
      </c>
      <c r="P1386" s="51">
        <f t="shared" si="213"/>
        <v>0</v>
      </c>
      <c r="Q1386" s="51">
        <f t="shared" si="214"/>
        <v>0</v>
      </c>
      <c r="R1386" s="51">
        <f t="shared" si="218"/>
        <v>0</v>
      </c>
      <c r="S1386"/>
      <c r="T1386" s="83"/>
    </row>
    <row r="1387" spans="1:20" ht="16" x14ac:dyDescent="0.2">
      <c r="A1387"/>
      <c r="B1387" s="103"/>
      <c r="C1387" s="243"/>
      <c r="D1387" s="119">
        <v>1374</v>
      </c>
      <c r="E1387" s="25" t="str">
        <f>Tp_Non_CHG!I62</f>
        <v>Transition Probability from state 2 to state 2 on day 20 (Non-CHG)</v>
      </c>
      <c r="F1387" s="40">
        <f t="shared" si="212"/>
        <v>0</v>
      </c>
      <c r="G1387" s="156">
        <v>1</v>
      </c>
      <c r="H1387" s="120">
        <f>Tp_Non_CHG!L62</f>
        <v>0</v>
      </c>
      <c r="I1387" s="40" t="s">
        <v>58</v>
      </c>
      <c r="J1387" s="40">
        <f t="shared" si="216"/>
        <v>0</v>
      </c>
      <c r="K1387" s="40">
        <f t="shared" si="217"/>
        <v>0</v>
      </c>
      <c r="L1387" s="40" t="s">
        <v>58</v>
      </c>
      <c r="M1387" s="50" t="s">
        <v>266</v>
      </c>
      <c r="N1387" s="190"/>
      <c r="O1387" s="40">
        <f t="shared" ca="1" si="215"/>
        <v>6.243151209199671E-2</v>
      </c>
      <c r="P1387" s="51">
        <f t="shared" si="213"/>
        <v>0</v>
      </c>
      <c r="Q1387" s="51">
        <f t="shared" si="214"/>
        <v>0</v>
      </c>
      <c r="R1387" s="51">
        <f t="shared" si="218"/>
        <v>0</v>
      </c>
      <c r="S1387"/>
      <c r="T1387" s="83"/>
    </row>
    <row r="1388" spans="1:20" ht="16" x14ac:dyDescent="0.2">
      <c r="A1388"/>
      <c r="B1388" s="103"/>
      <c r="C1388" s="243"/>
      <c r="D1388" s="119">
        <v>1375</v>
      </c>
      <c r="E1388" s="25" t="str">
        <f>Tp_Non_CHG!I63</f>
        <v>Transition Probability from state 2 to state 2 on day 21 (Non-CHG)</v>
      </c>
      <c r="F1388" s="40">
        <f t="shared" si="212"/>
        <v>0</v>
      </c>
      <c r="G1388" s="156">
        <v>1</v>
      </c>
      <c r="H1388" s="120">
        <f>Tp_Non_CHG!L63</f>
        <v>0</v>
      </c>
      <c r="I1388" s="40" t="s">
        <v>58</v>
      </c>
      <c r="J1388" s="40">
        <f t="shared" si="216"/>
        <v>0</v>
      </c>
      <c r="K1388" s="40">
        <f t="shared" si="217"/>
        <v>0</v>
      </c>
      <c r="L1388" s="40" t="s">
        <v>58</v>
      </c>
      <c r="M1388" s="50" t="s">
        <v>266</v>
      </c>
      <c r="N1388" s="190"/>
      <c r="O1388" s="40">
        <f t="shared" ca="1" si="215"/>
        <v>6.2164951482520658E-2</v>
      </c>
      <c r="P1388" s="51">
        <f t="shared" si="213"/>
        <v>0</v>
      </c>
      <c r="Q1388" s="51">
        <f t="shared" si="214"/>
        <v>0</v>
      </c>
      <c r="R1388" s="51">
        <f t="shared" si="218"/>
        <v>0</v>
      </c>
      <c r="S1388"/>
      <c r="T1388" s="83"/>
    </row>
    <row r="1389" spans="1:20" ht="16" x14ac:dyDescent="0.2">
      <c r="A1389"/>
      <c r="B1389" s="103"/>
      <c r="C1389" s="243"/>
      <c r="D1389" s="119">
        <v>1376</v>
      </c>
      <c r="E1389" s="25" t="str">
        <f>Tp_Non_CHG!I64</f>
        <v>Transition Probability from state 2 to state 2 on day 22 (Non-CHG)</v>
      </c>
      <c r="F1389" s="40">
        <f t="shared" si="212"/>
        <v>0</v>
      </c>
      <c r="G1389" s="156">
        <v>1</v>
      </c>
      <c r="H1389" s="120">
        <f>Tp_Non_CHG!L64</f>
        <v>0</v>
      </c>
      <c r="I1389" s="40" t="s">
        <v>58</v>
      </c>
      <c r="J1389" s="40">
        <f t="shared" si="216"/>
        <v>0</v>
      </c>
      <c r="K1389" s="40">
        <f t="shared" si="217"/>
        <v>0</v>
      </c>
      <c r="L1389" s="40" t="s">
        <v>58</v>
      </c>
      <c r="M1389" s="50" t="s">
        <v>266</v>
      </c>
      <c r="N1389" s="190"/>
      <c r="O1389" s="40">
        <f t="shared" ca="1" si="215"/>
        <v>0.24743915556428642</v>
      </c>
      <c r="P1389" s="51">
        <f t="shared" si="213"/>
        <v>0</v>
      </c>
      <c r="Q1389" s="51">
        <f t="shared" si="214"/>
        <v>0</v>
      </c>
      <c r="R1389" s="51">
        <f t="shared" si="218"/>
        <v>0</v>
      </c>
      <c r="S1389"/>
      <c r="T1389" s="83"/>
    </row>
    <row r="1390" spans="1:20" ht="16" x14ac:dyDescent="0.2">
      <c r="A1390"/>
      <c r="B1390" s="103"/>
      <c r="C1390" s="243"/>
      <c r="D1390" s="119">
        <v>1377</v>
      </c>
      <c r="E1390" s="25" t="str">
        <f>Tp_Non_CHG!I65</f>
        <v>Transition Probability from state 2 to state 2 on day 23 (Non-CHG)</v>
      </c>
      <c r="F1390" s="40">
        <f t="shared" si="212"/>
        <v>0</v>
      </c>
      <c r="G1390" s="156">
        <v>1</v>
      </c>
      <c r="H1390" s="120">
        <f>Tp_Non_CHG!L65</f>
        <v>0</v>
      </c>
      <c r="I1390" s="40" t="s">
        <v>58</v>
      </c>
      <c r="J1390" s="40">
        <f t="shared" si="216"/>
        <v>0</v>
      </c>
      <c r="K1390" s="40">
        <f t="shared" si="217"/>
        <v>0</v>
      </c>
      <c r="L1390" s="40" t="s">
        <v>58</v>
      </c>
      <c r="M1390" s="50" t="s">
        <v>266</v>
      </c>
      <c r="N1390" s="190"/>
      <c r="O1390" s="40">
        <f t="shared" ca="1" si="215"/>
        <v>0.74836982130238006</v>
      </c>
      <c r="P1390" s="51">
        <f t="shared" si="213"/>
        <v>0</v>
      </c>
      <c r="Q1390" s="51">
        <f t="shared" si="214"/>
        <v>0</v>
      </c>
      <c r="R1390" s="51">
        <f t="shared" si="218"/>
        <v>0</v>
      </c>
      <c r="S1390"/>
      <c r="T1390" s="83"/>
    </row>
    <row r="1391" spans="1:20" ht="16" x14ac:dyDescent="0.2">
      <c r="A1391"/>
      <c r="B1391" s="103"/>
      <c r="C1391" s="243"/>
      <c r="D1391" s="119">
        <v>1378</v>
      </c>
      <c r="E1391" s="25" t="str">
        <f>Tp_Non_CHG!I66</f>
        <v>Transition Probability from state 2 to state 2 on day 24 (Non-CHG)</v>
      </c>
      <c r="F1391" s="40">
        <f t="shared" si="212"/>
        <v>0</v>
      </c>
      <c r="G1391" s="156">
        <v>1</v>
      </c>
      <c r="H1391" s="120">
        <f>Tp_Non_CHG!L66</f>
        <v>0</v>
      </c>
      <c r="I1391" s="40" t="s">
        <v>58</v>
      </c>
      <c r="J1391" s="40">
        <f t="shared" si="216"/>
        <v>0</v>
      </c>
      <c r="K1391" s="40">
        <f t="shared" si="217"/>
        <v>0</v>
      </c>
      <c r="L1391" s="40" t="s">
        <v>58</v>
      </c>
      <c r="M1391" s="50" t="s">
        <v>266</v>
      </c>
      <c r="N1391" s="190"/>
      <c r="O1391" s="40">
        <f t="shared" ca="1" si="215"/>
        <v>0.26441910811592906</v>
      </c>
      <c r="P1391" s="51">
        <f t="shared" si="213"/>
        <v>0</v>
      </c>
      <c r="Q1391" s="51">
        <f t="shared" si="214"/>
        <v>0</v>
      </c>
      <c r="R1391" s="51">
        <f t="shared" si="218"/>
        <v>0</v>
      </c>
      <c r="S1391"/>
      <c r="T1391" s="83"/>
    </row>
    <row r="1392" spans="1:20" ht="16" x14ac:dyDescent="0.2">
      <c r="A1392"/>
      <c r="B1392" s="103"/>
      <c r="C1392" s="243"/>
      <c r="D1392" s="119">
        <v>1379</v>
      </c>
      <c r="E1392" s="25" t="str">
        <f>Tp_Non_CHG!I67</f>
        <v>Transition Probability from state 2 to state 2 on day 25 (Non-CHG)</v>
      </c>
      <c r="F1392" s="40">
        <f t="shared" si="212"/>
        <v>0</v>
      </c>
      <c r="G1392" s="156">
        <v>1</v>
      </c>
      <c r="H1392" s="120">
        <f>Tp_Non_CHG!L67</f>
        <v>0</v>
      </c>
      <c r="I1392" s="40" t="s">
        <v>58</v>
      </c>
      <c r="J1392" s="40">
        <f t="shared" si="216"/>
        <v>0</v>
      </c>
      <c r="K1392" s="40">
        <f t="shared" si="217"/>
        <v>0</v>
      </c>
      <c r="L1392" s="40" t="s">
        <v>58</v>
      </c>
      <c r="M1392" s="50" t="s">
        <v>266</v>
      </c>
      <c r="N1392" s="190"/>
      <c r="O1392" s="40">
        <f t="shared" ca="1" si="215"/>
        <v>0.4084225202152536</v>
      </c>
      <c r="P1392" s="51">
        <f t="shared" si="213"/>
        <v>0</v>
      </c>
      <c r="Q1392" s="51">
        <f t="shared" si="214"/>
        <v>0</v>
      </c>
      <c r="R1392" s="51">
        <f t="shared" si="218"/>
        <v>0</v>
      </c>
      <c r="S1392"/>
      <c r="T1392" s="83"/>
    </row>
    <row r="1393" spans="1:20" ht="16" x14ac:dyDescent="0.2">
      <c r="A1393"/>
      <c r="B1393" s="103"/>
      <c r="C1393" s="243"/>
      <c r="D1393" s="119">
        <v>1380</v>
      </c>
      <c r="E1393" s="25" t="str">
        <f>Tp_Non_CHG!I68</f>
        <v>Transition Probability from state 2 to state 2 on day 26 (Non-CHG)</v>
      </c>
      <c r="F1393" s="40">
        <f t="shared" si="212"/>
        <v>0</v>
      </c>
      <c r="G1393" s="156">
        <v>1</v>
      </c>
      <c r="H1393" s="120">
        <f>Tp_Non_CHG!L68</f>
        <v>0</v>
      </c>
      <c r="I1393" s="40" t="s">
        <v>58</v>
      </c>
      <c r="J1393" s="40">
        <f t="shared" si="216"/>
        <v>0</v>
      </c>
      <c r="K1393" s="40">
        <f t="shared" si="217"/>
        <v>0</v>
      </c>
      <c r="L1393" s="40" t="s">
        <v>58</v>
      </c>
      <c r="M1393" s="50" t="s">
        <v>266</v>
      </c>
      <c r="N1393" s="190"/>
      <c r="O1393" s="40">
        <f t="shared" ca="1" si="215"/>
        <v>0.16783797370349807</v>
      </c>
      <c r="P1393" s="51">
        <f t="shared" si="213"/>
        <v>0</v>
      </c>
      <c r="Q1393" s="51">
        <f t="shared" si="214"/>
        <v>0</v>
      </c>
      <c r="R1393" s="51">
        <f t="shared" si="218"/>
        <v>0</v>
      </c>
      <c r="S1393"/>
      <c r="T1393" s="83"/>
    </row>
    <row r="1394" spans="1:20" ht="16" x14ac:dyDescent="0.2">
      <c r="A1394"/>
      <c r="B1394" s="103"/>
      <c r="C1394" s="243"/>
      <c r="D1394" s="119">
        <v>1381</v>
      </c>
      <c r="E1394" s="25" t="str">
        <f>Tp_Non_CHG!I69</f>
        <v>Transition Probability from state 2 to state 2 on day 27 (Non-CHG)</v>
      </c>
      <c r="F1394" s="40">
        <f t="shared" si="212"/>
        <v>0</v>
      </c>
      <c r="G1394" s="156">
        <v>1</v>
      </c>
      <c r="H1394" s="120">
        <f>Tp_Non_CHG!L69</f>
        <v>0</v>
      </c>
      <c r="I1394" s="40" t="s">
        <v>58</v>
      </c>
      <c r="J1394" s="40">
        <f t="shared" si="216"/>
        <v>0</v>
      </c>
      <c r="K1394" s="40">
        <f t="shared" si="217"/>
        <v>0</v>
      </c>
      <c r="L1394" s="40" t="s">
        <v>58</v>
      </c>
      <c r="M1394" s="50" t="s">
        <v>266</v>
      </c>
      <c r="N1394" s="190"/>
      <c r="O1394" s="40">
        <f t="shared" ref="O1394:O1456" ca="1" si="219">RAND()</f>
        <v>0.25443076006914811</v>
      </c>
      <c r="P1394" s="51">
        <f t="shared" si="213"/>
        <v>0</v>
      </c>
      <c r="Q1394" s="51">
        <f t="shared" si="214"/>
        <v>0</v>
      </c>
      <c r="R1394" s="51">
        <f t="shared" si="218"/>
        <v>0</v>
      </c>
      <c r="S1394"/>
      <c r="T1394" s="83"/>
    </row>
    <row r="1395" spans="1:20" ht="16" x14ac:dyDescent="0.2">
      <c r="A1395"/>
      <c r="B1395" s="103"/>
      <c r="C1395" s="243"/>
      <c r="D1395" s="119">
        <v>1382</v>
      </c>
      <c r="E1395" s="25" t="str">
        <f>Tp_Non_CHG!I70</f>
        <v>Transition Probability from state 2 to state 2 on day 28 (Non-CHG)</v>
      </c>
      <c r="F1395" s="40">
        <f t="shared" si="212"/>
        <v>0</v>
      </c>
      <c r="G1395" s="156">
        <v>1</v>
      </c>
      <c r="H1395" s="120">
        <f>Tp_Non_CHG!L70</f>
        <v>0</v>
      </c>
      <c r="I1395" s="40" t="s">
        <v>58</v>
      </c>
      <c r="J1395" s="40">
        <f t="shared" si="216"/>
        <v>0</v>
      </c>
      <c r="K1395" s="40">
        <f t="shared" si="217"/>
        <v>0</v>
      </c>
      <c r="L1395" s="40" t="s">
        <v>58</v>
      </c>
      <c r="M1395" s="50" t="s">
        <v>266</v>
      </c>
      <c r="N1395" s="190"/>
      <c r="O1395" s="40">
        <f t="shared" ca="1" si="219"/>
        <v>0.40660647476790357</v>
      </c>
      <c r="P1395" s="51">
        <f t="shared" si="213"/>
        <v>0</v>
      </c>
      <c r="Q1395" s="51">
        <f t="shared" si="214"/>
        <v>0</v>
      </c>
      <c r="R1395" s="51">
        <f t="shared" si="218"/>
        <v>0</v>
      </c>
      <c r="S1395"/>
      <c r="T1395" s="83"/>
    </row>
    <row r="1396" spans="1:20" ht="16" x14ac:dyDescent="0.2">
      <c r="A1396"/>
      <c r="B1396" s="103"/>
      <c r="C1396" s="243"/>
      <c r="D1396" s="119">
        <v>1383</v>
      </c>
      <c r="E1396" s="25" t="str">
        <f>Tp_Non_CHG!I71</f>
        <v>Transition Probability from state 2 to state 2 on day 29 (Non-CHG)</v>
      </c>
      <c r="F1396" s="40">
        <f t="shared" si="212"/>
        <v>0</v>
      </c>
      <c r="G1396" s="156">
        <v>1</v>
      </c>
      <c r="H1396" s="120">
        <f>Tp_Non_CHG!L71</f>
        <v>0</v>
      </c>
      <c r="I1396" s="40" t="s">
        <v>58</v>
      </c>
      <c r="J1396" s="40">
        <f t="shared" si="216"/>
        <v>0</v>
      </c>
      <c r="K1396" s="40">
        <f t="shared" si="217"/>
        <v>0</v>
      </c>
      <c r="L1396" s="40" t="s">
        <v>58</v>
      </c>
      <c r="M1396" s="50" t="s">
        <v>266</v>
      </c>
      <c r="N1396" s="190"/>
      <c r="O1396" s="40">
        <f t="shared" ca="1" si="219"/>
        <v>0.88837714680269497</v>
      </c>
      <c r="P1396" s="51">
        <f t="shared" si="213"/>
        <v>0</v>
      </c>
      <c r="Q1396" s="51">
        <f t="shared" si="214"/>
        <v>0</v>
      </c>
      <c r="R1396" s="51">
        <f t="shared" si="218"/>
        <v>0</v>
      </c>
      <c r="S1396"/>
      <c r="T1396" s="83"/>
    </row>
    <row r="1397" spans="1:20" ht="16" x14ac:dyDescent="0.2">
      <c r="A1397"/>
      <c r="B1397" s="103"/>
      <c r="C1397" s="243"/>
      <c r="D1397" s="119">
        <v>1384</v>
      </c>
      <c r="E1397" s="25" t="str">
        <f>Tp_Non_CHG!I72</f>
        <v>Transition Probability from state 2 to state 2 on day 30 (Non-CHG)</v>
      </c>
      <c r="F1397" s="40">
        <f t="shared" si="212"/>
        <v>0</v>
      </c>
      <c r="G1397" s="156">
        <v>1</v>
      </c>
      <c r="H1397" s="120">
        <f>Tp_Non_CHG!L72</f>
        <v>0</v>
      </c>
      <c r="I1397" s="40" t="s">
        <v>58</v>
      </c>
      <c r="J1397" s="40">
        <f t="shared" si="216"/>
        <v>0</v>
      </c>
      <c r="K1397" s="40">
        <f t="shared" si="217"/>
        <v>0</v>
      </c>
      <c r="L1397" s="40" t="s">
        <v>58</v>
      </c>
      <c r="M1397" s="50" t="s">
        <v>266</v>
      </c>
      <c r="N1397" s="190"/>
      <c r="O1397" s="40">
        <f t="shared" ca="1" si="219"/>
        <v>0.63384269850960429</v>
      </c>
      <c r="P1397" s="51">
        <f t="shared" si="213"/>
        <v>0</v>
      </c>
      <c r="Q1397" s="51">
        <f t="shared" si="214"/>
        <v>0</v>
      </c>
      <c r="R1397" s="51">
        <f t="shared" si="218"/>
        <v>0</v>
      </c>
      <c r="S1397"/>
      <c r="T1397" s="83"/>
    </row>
    <row r="1398" spans="1:20" ht="16" x14ac:dyDescent="0.2">
      <c r="A1398"/>
      <c r="B1398" s="103"/>
      <c r="C1398" s="243"/>
      <c r="D1398" s="119">
        <v>1385</v>
      </c>
      <c r="E1398" s="25" t="str">
        <f>Tp_Non_CHG!N43</f>
        <v>Transition Probability from state 3 to state 2 on day 1 (Non-CHG)</v>
      </c>
      <c r="F1398" s="40">
        <f t="shared" si="212"/>
        <v>0</v>
      </c>
      <c r="G1398" s="156">
        <v>1</v>
      </c>
      <c r="H1398" s="120">
        <f>Tp_Non_CHG!Q43</f>
        <v>0</v>
      </c>
      <c r="I1398" s="40" t="s">
        <v>58</v>
      </c>
      <c r="J1398" s="40">
        <f t="shared" si="216"/>
        <v>0</v>
      </c>
      <c r="K1398" s="40">
        <f t="shared" si="217"/>
        <v>0</v>
      </c>
      <c r="L1398" s="40" t="s">
        <v>58</v>
      </c>
      <c r="M1398" s="50" t="s">
        <v>266</v>
      </c>
      <c r="N1398" s="190"/>
      <c r="O1398" s="40">
        <f t="shared" ca="1" si="219"/>
        <v>0.5876312938804471</v>
      </c>
      <c r="P1398" s="51">
        <f t="shared" si="213"/>
        <v>0</v>
      </c>
      <c r="Q1398" s="51">
        <f t="shared" si="214"/>
        <v>0</v>
      </c>
      <c r="R1398" s="51">
        <f t="shared" si="218"/>
        <v>0</v>
      </c>
      <c r="S1398"/>
      <c r="T1398" s="83"/>
    </row>
    <row r="1399" spans="1:20" ht="16" x14ac:dyDescent="0.2">
      <c r="A1399"/>
      <c r="B1399" s="103"/>
      <c r="C1399" s="243"/>
      <c r="D1399" s="119">
        <v>1386</v>
      </c>
      <c r="E1399" s="25" t="str">
        <f>Tp_Non_CHG!N44</f>
        <v>Transition Probability from state 3 to state 2 on day 2 (Non-CHG)</v>
      </c>
      <c r="F1399" s="40">
        <f t="shared" si="212"/>
        <v>0</v>
      </c>
      <c r="G1399" s="156">
        <v>1</v>
      </c>
      <c r="H1399" s="120">
        <f>Tp_Non_CHG!Q44</f>
        <v>0</v>
      </c>
      <c r="I1399" s="40" t="s">
        <v>58</v>
      </c>
      <c r="J1399" s="40">
        <f t="shared" si="216"/>
        <v>0</v>
      </c>
      <c r="K1399" s="40">
        <f t="shared" si="217"/>
        <v>0</v>
      </c>
      <c r="L1399" s="40" t="s">
        <v>58</v>
      </c>
      <c r="M1399" s="50" t="s">
        <v>266</v>
      </c>
      <c r="N1399" s="190"/>
      <c r="O1399" s="40">
        <f t="shared" ca="1" si="219"/>
        <v>0.46527350815968671</v>
      </c>
      <c r="P1399" s="51">
        <f t="shared" si="213"/>
        <v>0</v>
      </c>
      <c r="Q1399" s="51">
        <f t="shared" si="214"/>
        <v>0</v>
      </c>
      <c r="R1399" s="51">
        <f t="shared" si="218"/>
        <v>0</v>
      </c>
      <c r="S1399"/>
      <c r="T1399" s="83"/>
    </row>
    <row r="1400" spans="1:20" ht="16" x14ac:dyDescent="0.2">
      <c r="A1400"/>
      <c r="B1400" s="103"/>
      <c r="C1400" s="243"/>
      <c r="D1400" s="119">
        <v>1387</v>
      </c>
      <c r="E1400" s="25" t="str">
        <f>Tp_Non_CHG!N45</f>
        <v>Transition Probability from state 3 to state 2 on day 3 (Non-CHG)</v>
      </c>
      <c r="F1400" s="40">
        <f t="shared" si="212"/>
        <v>0</v>
      </c>
      <c r="G1400" s="156">
        <v>1</v>
      </c>
      <c r="H1400" s="120">
        <f>Tp_Non_CHG!Q45</f>
        <v>0</v>
      </c>
      <c r="I1400" s="40" t="s">
        <v>58</v>
      </c>
      <c r="J1400" s="40">
        <f t="shared" si="216"/>
        <v>0</v>
      </c>
      <c r="K1400" s="40">
        <f t="shared" si="217"/>
        <v>0</v>
      </c>
      <c r="L1400" s="40" t="s">
        <v>58</v>
      </c>
      <c r="M1400" s="50" t="s">
        <v>266</v>
      </c>
      <c r="N1400" s="190"/>
      <c r="O1400" s="40">
        <f t="shared" ca="1" si="219"/>
        <v>0.53099407244171981</v>
      </c>
      <c r="P1400" s="51">
        <f t="shared" si="213"/>
        <v>0</v>
      </c>
      <c r="Q1400" s="51">
        <f t="shared" si="214"/>
        <v>0</v>
      </c>
      <c r="R1400" s="51">
        <f t="shared" si="218"/>
        <v>0</v>
      </c>
      <c r="S1400"/>
      <c r="T1400" s="83"/>
    </row>
    <row r="1401" spans="1:20" ht="16" x14ac:dyDescent="0.2">
      <c r="A1401"/>
      <c r="B1401" s="103"/>
      <c r="C1401" s="243"/>
      <c r="D1401" s="119">
        <v>1388</v>
      </c>
      <c r="E1401" s="25" t="str">
        <f>Tp_Non_CHG!N46</f>
        <v>Transition Probability from state 3 to state 2 on day 4 (Non-CHG)</v>
      </c>
      <c r="F1401" s="40">
        <f t="shared" si="212"/>
        <v>0</v>
      </c>
      <c r="G1401" s="156">
        <v>1</v>
      </c>
      <c r="H1401" s="120">
        <f>Tp_Non_CHG!Q46</f>
        <v>0</v>
      </c>
      <c r="I1401" s="40" t="s">
        <v>58</v>
      </c>
      <c r="J1401" s="40">
        <f t="shared" si="216"/>
        <v>0</v>
      </c>
      <c r="K1401" s="40">
        <f t="shared" si="217"/>
        <v>0</v>
      </c>
      <c r="L1401" s="40" t="s">
        <v>58</v>
      </c>
      <c r="M1401" s="50" t="s">
        <v>266</v>
      </c>
      <c r="N1401" s="190"/>
      <c r="O1401" s="40">
        <f t="shared" ca="1" si="219"/>
        <v>0.92758720302442654</v>
      </c>
      <c r="P1401" s="51">
        <f t="shared" si="213"/>
        <v>0</v>
      </c>
      <c r="Q1401" s="51">
        <f t="shared" si="214"/>
        <v>0</v>
      </c>
      <c r="R1401" s="51">
        <f t="shared" si="218"/>
        <v>0</v>
      </c>
      <c r="S1401"/>
      <c r="T1401" s="83"/>
    </row>
    <row r="1402" spans="1:20" ht="16" x14ac:dyDescent="0.2">
      <c r="A1402"/>
      <c r="B1402" s="103"/>
      <c r="C1402" s="243"/>
      <c r="D1402" s="119">
        <v>1389</v>
      </c>
      <c r="E1402" s="25" t="str">
        <f>Tp_Non_CHG!N47</f>
        <v>Transition Probability from state 3 to state 2 on day 5 (Non-CHG)</v>
      </c>
      <c r="F1402" s="40">
        <f t="shared" si="212"/>
        <v>0</v>
      </c>
      <c r="G1402" s="156">
        <v>1</v>
      </c>
      <c r="H1402" s="120">
        <f>Tp_Non_CHG!Q47</f>
        <v>0</v>
      </c>
      <c r="I1402" s="40" t="s">
        <v>58</v>
      </c>
      <c r="J1402" s="40">
        <f t="shared" si="216"/>
        <v>0</v>
      </c>
      <c r="K1402" s="40">
        <f t="shared" si="217"/>
        <v>0</v>
      </c>
      <c r="L1402" s="40" t="s">
        <v>58</v>
      </c>
      <c r="M1402" s="50" t="s">
        <v>266</v>
      </c>
      <c r="N1402" s="190"/>
      <c r="O1402" s="40">
        <f t="shared" ca="1" si="219"/>
        <v>0.79788888909811029</v>
      </c>
      <c r="P1402" s="51">
        <f t="shared" si="213"/>
        <v>0</v>
      </c>
      <c r="Q1402" s="51">
        <f t="shared" si="214"/>
        <v>0</v>
      </c>
      <c r="R1402" s="51">
        <f t="shared" si="218"/>
        <v>0</v>
      </c>
      <c r="S1402"/>
      <c r="T1402" s="83"/>
    </row>
    <row r="1403" spans="1:20" ht="16" x14ac:dyDescent="0.2">
      <c r="A1403"/>
      <c r="B1403" s="103"/>
      <c r="C1403" s="243"/>
      <c r="D1403" s="119">
        <v>1390</v>
      </c>
      <c r="E1403" s="25" t="str">
        <f>Tp_Non_CHG!N48</f>
        <v>Transition Probability from state 3 to state 2 on day 6 (Non-CHG)</v>
      </c>
      <c r="F1403" s="40">
        <f t="shared" si="212"/>
        <v>0</v>
      </c>
      <c r="G1403" s="156">
        <v>1</v>
      </c>
      <c r="H1403" s="120">
        <f>Tp_Non_CHG!Q48</f>
        <v>0</v>
      </c>
      <c r="I1403" s="40" t="s">
        <v>58</v>
      </c>
      <c r="J1403" s="40">
        <f t="shared" si="216"/>
        <v>0</v>
      </c>
      <c r="K1403" s="40">
        <f t="shared" si="217"/>
        <v>0</v>
      </c>
      <c r="L1403" s="40" t="s">
        <v>58</v>
      </c>
      <c r="M1403" s="50" t="s">
        <v>266</v>
      </c>
      <c r="N1403" s="190"/>
      <c r="O1403" s="40">
        <f t="shared" ca="1" si="219"/>
        <v>0.76766020397408663</v>
      </c>
      <c r="P1403" s="51">
        <f t="shared" si="213"/>
        <v>0</v>
      </c>
      <c r="Q1403" s="51">
        <f t="shared" si="214"/>
        <v>0</v>
      </c>
      <c r="R1403" s="51">
        <f t="shared" si="218"/>
        <v>0</v>
      </c>
      <c r="S1403"/>
      <c r="T1403" s="83"/>
    </row>
    <row r="1404" spans="1:20" ht="16" x14ac:dyDescent="0.2">
      <c r="A1404"/>
      <c r="B1404" s="103"/>
      <c r="C1404" s="243"/>
      <c r="D1404" s="119">
        <v>1391</v>
      </c>
      <c r="E1404" s="25" t="str">
        <f>Tp_Non_CHG!N49</f>
        <v>Transition Probability from state 3 to state 2 on day 7 (Non-CHG)</v>
      </c>
      <c r="F1404" s="40">
        <f t="shared" si="212"/>
        <v>0</v>
      </c>
      <c r="G1404" s="156">
        <v>1</v>
      </c>
      <c r="H1404" s="120">
        <f>Tp_Non_CHG!Q49</f>
        <v>0</v>
      </c>
      <c r="I1404" s="40" t="s">
        <v>58</v>
      </c>
      <c r="J1404" s="40">
        <f t="shared" si="216"/>
        <v>0</v>
      </c>
      <c r="K1404" s="40">
        <f t="shared" si="217"/>
        <v>0</v>
      </c>
      <c r="L1404" s="40" t="s">
        <v>58</v>
      </c>
      <c r="M1404" s="50" t="s">
        <v>266</v>
      </c>
      <c r="N1404" s="190"/>
      <c r="O1404" s="40">
        <f t="shared" ca="1" si="219"/>
        <v>0.69083965766090827</v>
      </c>
      <c r="P1404" s="51">
        <f t="shared" si="213"/>
        <v>0</v>
      </c>
      <c r="Q1404" s="51">
        <f t="shared" si="214"/>
        <v>0</v>
      </c>
      <c r="R1404" s="51">
        <f t="shared" si="218"/>
        <v>0</v>
      </c>
      <c r="S1404"/>
      <c r="T1404" s="83"/>
    </row>
    <row r="1405" spans="1:20" ht="16" x14ac:dyDescent="0.2">
      <c r="A1405"/>
      <c r="B1405" s="103"/>
      <c r="C1405" s="243"/>
      <c r="D1405" s="119">
        <v>1392</v>
      </c>
      <c r="E1405" s="25" t="str">
        <f>Tp_Non_CHG!N50</f>
        <v>Transition Probability from state 3 to state 2 on day 8 (Non-CHG)</v>
      </c>
      <c r="F1405" s="40">
        <f t="shared" si="212"/>
        <v>0</v>
      </c>
      <c r="G1405" s="156">
        <v>1</v>
      </c>
      <c r="H1405" s="120">
        <f>Tp_Non_CHG!Q50</f>
        <v>0</v>
      </c>
      <c r="I1405" s="40" t="s">
        <v>58</v>
      </c>
      <c r="J1405" s="40">
        <f t="shared" si="216"/>
        <v>0</v>
      </c>
      <c r="K1405" s="40">
        <f t="shared" si="217"/>
        <v>0</v>
      </c>
      <c r="L1405" s="40" t="s">
        <v>58</v>
      </c>
      <c r="M1405" s="50" t="s">
        <v>266</v>
      </c>
      <c r="N1405" s="190"/>
      <c r="O1405" s="40">
        <f t="shared" ca="1" si="219"/>
        <v>0.54882257780580113</v>
      </c>
      <c r="P1405" s="51">
        <f t="shared" si="213"/>
        <v>0</v>
      </c>
      <c r="Q1405" s="51">
        <f t="shared" si="214"/>
        <v>0</v>
      </c>
      <c r="R1405" s="51">
        <f t="shared" si="218"/>
        <v>0</v>
      </c>
      <c r="S1405"/>
      <c r="T1405" s="83"/>
    </row>
    <row r="1406" spans="1:20" ht="16" x14ac:dyDescent="0.2">
      <c r="A1406"/>
      <c r="B1406" s="103"/>
      <c r="C1406" s="243"/>
      <c r="D1406" s="119">
        <v>1393</v>
      </c>
      <c r="E1406" s="25" t="str">
        <f>Tp_Non_CHG!N51</f>
        <v>Transition Probability from state 3 to state 2 on day 9 (Non-CHG)</v>
      </c>
      <c r="F1406" s="40">
        <f t="shared" si="212"/>
        <v>0</v>
      </c>
      <c r="G1406" s="156">
        <v>1</v>
      </c>
      <c r="H1406" s="120">
        <f>Tp_Non_CHG!Q51</f>
        <v>0</v>
      </c>
      <c r="I1406" s="40" t="s">
        <v>58</v>
      </c>
      <c r="J1406" s="40">
        <f t="shared" si="216"/>
        <v>0</v>
      </c>
      <c r="K1406" s="40">
        <f t="shared" si="217"/>
        <v>0</v>
      </c>
      <c r="L1406" s="40" t="s">
        <v>58</v>
      </c>
      <c r="M1406" s="50" t="s">
        <v>266</v>
      </c>
      <c r="N1406" s="190"/>
      <c r="O1406" s="40">
        <f t="shared" ca="1" si="219"/>
        <v>0.54112735884028107</v>
      </c>
      <c r="P1406" s="51">
        <f t="shared" si="213"/>
        <v>0</v>
      </c>
      <c r="Q1406" s="51">
        <f t="shared" si="214"/>
        <v>0</v>
      </c>
      <c r="R1406" s="51">
        <f t="shared" si="218"/>
        <v>0</v>
      </c>
      <c r="S1406"/>
      <c r="T1406" s="83"/>
    </row>
    <row r="1407" spans="1:20" ht="16" x14ac:dyDescent="0.2">
      <c r="A1407"/>
      <c r="B1407" s="103"/>
      <c r="C1407" s="243"/>
      <c r="D1407" s="119">
        <v>1394</v>
      </c>
      <c r="E1407" s="25" t="str">
        <f>Tp_Non_CHG!N52</f>
        <v>Transition Probability from state 3 to state 2 on day 10 (Non-CHG)</v>
      </c>
      <c r="F1407" s="40">
        <f t="shared" si="212"/>
        <v>0</v>
      </c>
      <c r="G1407" s="156">
        <v>1</v>
      </c>
      <c r="H1407" s="120">
        <f>Tp_Non_CHG!Q52</f>
        <v>0</v>
      </c>
      <c r="I1407" s="40" t="s">
        <v>58</v>
      </c>
      <c r="J1407" s="40">
        <f t="shared" si="216"/>
        <v>0</v>
      </c>
      <c r="K1407" s="40">
        <f t="shared" si="217"/>
        <v>0</v>
      </c>
      <c r="L1407" s="40" t="s">
        <v>58</v>
      </c>
      <c r="M1407" s="50" t="s">
        <v>266</v>
      </c>
      <c r="N1407" s="190"/>
      <c r="O1407" s="40">
        <f t="shared" ca="1" si="219"/>
        <v>0.69945293942695597</v>
      </c>
      <c r="P1407" s="51">
        <f t="shared" si="213"/>
        <v>0</v>
      </c>
      <c r="Q1407" s="51">
        <f t="shared" si="214"/>
        <v>0</v>
      </c>
      <c r="R1407" s="51">
        <f t="shared" si="218"/>
        <v>0</v>
      </c>
      <c r="S1407"/>
      <c r="T1407" s="83"/>
    </row>
    <row r="1408" spans="1:20" ht="16" x14ac:dyDescent="0.2">
      <c r="A1408"/>
      <c r="B1408" s="103"/>
      <c r="C1408" s="243"/>
      <c r="D1408" s="119">
        <v>1395</v>
      </c>
      <c r="E1408" s="25" t="str">
        <f>Tp_Non_CHG!N53</f>
        <v>Transition Probability from state 3 to state 2 on day 11 (Non-CHG)</v>
      </c>
      <c r="F1408" s="40">
        <f t="shared" si="212"/>
        <v>0</v>
      </c>
      <c r="G1408" s="156">
        <v>1</v>
      </c>
      <c r="H1408" s="120">
        <f>Tp_Non_CHG!Q53</f>
        <v>0</v>
      </c>
      <c r="I1408" s="40" t="s">
        <v>58</v>
      </c>
      <c r="J1408" s="40">
        <f t="shared" si="216"/>
        <v>0</v>
      </c>
      <c r="K1408" s="40">
        <f t="shared" si="217"/>
        <v>0</v>
      </c>
      <c r="L1408" s="40" t="s">
        <v>58</v>
      </c>
      <c r="M1408" s="50" t="s">
        <v>266</v>
      </c>
      <c r="N1408" s="190"/>
      <c r="O1408" s="40">
        <f t="shared" ca="1" si="219"/>
        <v>0.90233919582638222</v>
      </c>
      <c r="P1408" s="51">
        <f t="shared" si="213"/>
        <v>0</v>
      </c>
      <c r="Q1408" s="51">
        <f t="shared" si="214"/>
        <v>0</v>
      </c>
      <c r="R1408" s="51">
        <f t="shared" si="218"/>
        <v>0</v>
      </c>
      <c r="S1408"/>
      <c r="T1408" s="83"/>
    </row>
    <row r="1409" spans="1:20" ht="16" x14ac:dyDescent="0.2">
      <c r="A1409"/>
      <c r="B1409" s="103"/>
      <c r="C1409" s="243"/>
      <c r="D1409" s="119">
        <v>1396</v>
      </c>
      <c r="E1409" s="25" t="str">
        <f>Tp_Non_CHG!N54</f>
        <v>Transition Probability from state 3 to state 2 on day 12 (Non-CHG)</v>
      </c>
      <c r="F1409" s="40">
        <f t="shared" si="212"/>
        <v>0</v>
      </c>
      <c r="G1409" s="156">
        <v>1</v>
      </c>
      <c r="H1409" s="120">
        <f>Tp_Non_CHG!Q54</f>
        <v>0</v>
      </c>
      <c r="I1409" s="40" t="s">
        <v>58</v>
      </c>
      <c r="J1409" s="40">
        <f t="shared" si="216"/>
        <v>0</v>
      </c>
      <c r="K1409" s="40">
        <f t="shared" si="217"/>
        <v>0</v>
      </c>
      <c r="L1409" s="40" t="s">
        <v>58</v>
      </c>
      <c r="M1409" s="50" t="s">
        <v>266</v>
      </c>
      <c r="N1409" s="190"/>
      <c r="O1409" s="40">
        <f t="shared" ca="1" si="219"/>
        <v>0.25882242842006564</v>
      </c>
      <c r="P1409" s="51">
        <f t="shared" si="213"/>
        <v>0</v>
      </c>
      <c r="Q1409" s="51">
        <f t="shared" si="214"/>
        <v>0</v>
      </c>
      <c r="R1409" s="51">
        <f t="shared" si="218"/>
        <v>0</v>
      </c>
      <c r="S1409"/>
      <c r="T1409" s="83"/>
    </row>
    <row r="1410" spans="1:20" ht="16" x14ac:dyDescent="0.2">
      <c r="A1410"/>
      <c r="B1410" s="103"/>
      <c r="C1410" s="243"/>
      <c r="D1410" s="119">
        <v>1397</v>
      </c>
      <c r="E1410" s="25" t="str">
        <f>Tp_Non_CHG!N55</f>
        <v>Transition Probability from state 3 to state 2 on day 13 (Non-CHG)</v>
      </c>
      <c r="F1410" s="40">
        <f t="shared" si="212"/>
        <v>0</v>
      </c>
      <c r="G1410" s="156">
        <v>1</v>
      </c>
      <c r="H1410" s="120">
        <f>Tp_Non_CHG!Q55</f>
        <v>0</v>
      </c>
      <c r="I1410" s="40" t="s">
        <v>58</v>
      </c>
      <c r="J1410" s="40">
        <f t="shared" si="216"/>
        <v>0</v>
      </c>
      <c r="K1410" s="40">
        <f t="shared" si="217"/>
        <v>0</v>
      </c>
      <c r="L1410" s="40" t="s">
        <v>58</v>
      </c>
      <c r="M1410" s="50" t="s">
        <v>266</v>
      </c>
      <c r="N1410" s="190"/>
      <c r="O1410" s="40">
        <f t="shared" ca="1" si="219"/>
        <v>0.71499158886145409</v>
      </c>
      <c r="P1410" s="51">
        <f t="shared" si="213"/>
        <v>0</v>
      </c>
      <c r="Q1410" s="51">
        <f t="shared" si="214"/>
        <v>0</v>
      </c>
      <c r="R1410" s="51">
        <f t="shared" si="218"/>
        <v>0</v>
      </c>
      <c r="S1410"/>
      <c r="T1410" s="83"/>
    </row>
    <row r="1411" spans="1:20" ht="16" x14ac:dyDescent="0.2">
      <c r="A1411"/>
      <c r="B1411" s="103"/>
      <c r="C1411" s="243"/>
      <c r="D1411" s="119">
        <v>1398</v>
      </c>
      <c r="E1411" s="25" t="str">
        <f>Tp_Non_CHG!N56</f>
        <v>Transition Probability from state 3 to state 2 on day 14 (Non-CHG)</v>
      </c>
      <c r="F1411" s="40">
        <f t="shared" si="212"/>
        <v>0</v>
      </c>
      <c r="G1411" s="156">
        <v>1</v>
      </c>
      <c r="H1411" s="120">
        <f>Tp_Non_CHG!Q56</f>
        <v>0</v>
      </c>
      <c r="I1411" s="40" t="s">
        <v>58</v>
      </c>
      <c r="J1411" s="40">
        <f t="shared" si="216"/>
        <v>0</v>
      </c>
      <c r="K1411" s="40">
        <f t="shared" si="217"/>
        <v>0</v>
      </c>
      <c r="L1411" s="40" t="s">
        <v>58</v>
      </c>
      <c r="M1411" s="50" t="s">
        <v>266</v>
      </c>
      <c r="N1411" s="190"/>
      <c r="O1411" s="40">
        <f t="shared" ca="1" si="219"/>
        <v>0.11182438064976907</v>
      </c>
      <c r="P1411" s="51">
        <f t="shared" si="213"/>
        <v>0</v>
      </c>
      <c r="Q1411" s="51">
        <f t="shared" si="214"/>
        <v>0</v>
      </c>
      <c r="R1411" s="51">
        <f t="shared" si="218"/>
        <v>0</v>
      </c>
      <c r="S1411"/>
      <c r="T1411" s="83"/>
    </row>
    <row r="1412" spans="1:20" ht="16" x14ac:dyDescent="0.2">
      <c r="A1412"/>
      <c r="B1412" s="103"/>
      <c r="C1412" s="243"/>
      <c r="D1412" s="119">
        <v>1399</v>
      </c>
      <c r="E1412" s="25" t="str">
        <f>Tp_Non_CHG!N57</f>
        <v>Transition Probability from state 3 to state 2 on day 15 (Non-CHG)</v>
      </c>
      <c r="F1412" s="40">
        <f t="shared" si="212"/>
        <v>0</v>
      </c>
      <c r="G1412" s="156">
        <v>1</v>
      </c>
      <c r="H1412" s="120">
        <f>Tp_Non_CHG!Q57</f>
        <v>0</v>
      </c>
      <c r="I1412" s="40" t="s">
        <v>58</v>
      </c>
      <c r="J1412" s="40">
        <f t="shared" si="216"/>
        <v>0</v>
      </c>
      <c r="K1412" s="40">
        <f t="shared" si="217"/>
        <v>0</v>
      </c>
      <c r="L1412" s="40" t="s">
        <v>58</v>
      </c>
      <c r="M1412" s="50" t="s">
        <v>266</v>
      </c>
      <c r="N1412" s="190"/>
      <c r="O1412" s="40">
        <f t="shared" ca="1" si="219"/>
        <v>0.97962150459721242</v>
      </c>
      <c r="P1412" s="51">
        <f t="shared" si="213"/>
        <v>0</v>
      </c>
      <c r="Q1412" s="51">
        <f t="shared" si="214"/>
        <v>0</v>
      </c>
      <c r="R1412" s="51">
        <f t="shared" si="218"/>
        <v>0</v>
      </c>
      <c r="S1412"/>
      <c r="T1412" s="83"/>
    </row>
    <row r="1413" spans="1:20" ht="16" x14ac:dyDescent="0.2">
      <c r="A1413"/>
      <c r="B1413" s="103"/>
      <c r="C1413" s="243"/>
      <c r="D1413" s="119">
        <v>1400</v>
      </c>
      <c r="E1413" s="25" t="str">
        <f>Tp_Non_CHG!N58</f>
        <v>Transition Probability from state 3 to state 2 on day 16 (Non-CHG)</v>
      </c>
      <c r="F1413" s="40">
        <f t="shared" si="212"/>
        <v>0</v>
      </c>
      <c r="G1413" s="156">
        <v>1</v>
      </c>
      <c r="H1413" s="120">
        <f>Tp_Non_CHG!Q58</f>
        <v>0</v>
      </c>
      <c r="I1413" s="40" t="s">
        <v>58</v>
      </c>
      <c r="J1413" s="40">
        <f t="shared" si="216"/>
        <v>0</v>
      </c>
      <c r="K1413" s="40">
        <f t="shared" si="217"/>
        <v>0</v>
      </c>
      <c r="L1413" s="40" t="s">
        <v>58</v>
      </c>
      <c r="M1413" s="50" t="s">
        <v>266</v>
      </c>
      <c r="N1413" s="190"/>
      <c r="O1413" s="40">
        <f t="shared" ca="1" si="219"/>
        <v>0.1981344041098797</v>
      </c>
      <c r="P1413" s="51">
        <f t="shared" si="213"/>
        <v>0</v>
      </c>
      <c r="Q1413" s="51">
        <f t="shared" si="214"/>
        <v>0</v>
      </c>
      <c r="R1413" s="51">
        <f t="shared" si="218"/>
        <v>0</v>
      </c>
      <c r="S1413"/>
      <c r="T1413" s="83"/>
    </row>
    <row r="1414" spans="1:20" ht="16" x14ac:dyDescent="0.2">
      <c r="A1414"/>
      <c r="B1414" s="103"/>
      <c r="C1414" s="243"/>
      <c r="D1414" s="119">
        <v>1401</v>
      </c>
      <c r="E1414" s="25" t="str">
        <f>Tp_Non_CHG!N59</f>
        <v>Transition Probability from state 3 to state 2 on day 17 (Non-CHG)</v>
      </c>
      <c r="F1414" s="40">
        <f t="shared" si="212"/>
        <v>0</v>
      </c>
      <c r="G1414" s="156">
        <v>1</v>
      </c>
      <c r="H1414" s="120">
        <f>Tp_Non_CHG!Q59</f>
        <v>0</v>
      </c>
      <c r="I1414" s="40" t="s">
        <v>58</v>
      </c>
      <c r="J1414" s="40">
        <f t="shared" si="216"/>
        <v>0</v>
      </c>
      <c r="K1414" s="40">
        <f t="shared" si="217"/>
        <v>0</v>
      </c>
      <c r="L1414" s="40" t="s">
        <v>58</v>
      </c>
      <c r="M1414" s="50" t="s">
        <v>266</v>
      </c>
      <c r="N1414" s="190"/>
      <c r="O1414" s="40">
        <f t="shared" ca="1" si="219"/>
        <v>0.18019089692705748</v>
      </c>
      <c r="P1414" s="51">
        <f t="shared" si="213"/>
        <v>0</v>
      </c>
      <c r="Q1414" s="51">
        <f t="shared" si="214"/>
        <v>0</v>
      </c>
      <c r="R1414" s="51">
        <f t="shared" si="218"/>
        <v>0</v>
      </c>
      <c r="S1414"/>
      <c r="T1414" s="83"/>
    </row>
    <row r="1415" spans="1:20" ht="16" x14ac:dyDescent="0.2">
      <c r="A1415"/>
      <c r="B1415" s="103"/>
      <c r="C1415" s="243"/>
      <c r="D1415" s="119">
        <v>1402</v>
      </c>
      <c r="E1415" s="25" t="str">
        <f>Tp_Non_CHG!N60</f>
        <v>Transition Probability from state 3 to state 2 on day 18 (Non-CHG)</v>
      </c>
      <c r="F1415" s="40">
        <f t="shared" si="212"/>
        <v>0</v>
      </c>
      <c r="G1415" s="156">
        <v>1</v>
      </c>
      <c r="H1415" s="120">
        <f>Tp_Non_CHG!Q60</f>
        <v>0</v>
      </c>
      <c r="I1415" s="40" t="s">
        <v>58</v>
      </c>
      <c r="J1415" s="40">
        <f t="shared" si="216"/>
        <v>0</v>
      </c>
      <c r="K1415" s="40">
        <f t="shared" si="217"/>
        <v>0</v>
      </c>
      <c r="L1415" s="40" t="s">
        <v>58</v>
      </c>
      <c r="M1415" s="50" t="s">
        <v>266</v>
      </c>
      <c r="N1415" s="190"/>
      <c r="O1415" s="40">
        <f t="shared" ca="1" si="219"/>
        <v>0.66878420198078015</v>
      </c>
      <c r="P1415" s="51">
        <f t="shared" si="213"/>
        <v>0</v>
      </c>
      <c r="Q1415" s="51">
        <f t="shared" si="214"/>
        <v>0</v>
      </c>
      <c r="R1415" s="51">
        <f t="shared" si="218"/>
        <v>0</v>
      </c>
      <c r="S1415"/>
      <c r="T1415" s="83"/>
    </row>
    <row r="1416" spans="1:20" ht="16" x14ac:dyDescent="0.2">
      <c r="A1416"/>
      <c r="B1416" s="103"/>
      <c r="C1416" s="243"/>
      <c r="D1416" s="119">
        <v>1403</v>
      </c>
      <c r="E1416" s="25" t="str">
        <f>Tp_Non_CHG!N61</f>
        <v>Transition Probability from state 3 to state 2 on day 19 (Non-CHG)</v>
      </c>
      <c r="F1416" s="40">
        <f t="shared" si="212"/>
        <v>0</v>
      </c>
      <c r="G1416" s="156">
        <v>1</v>
      </c>
      <c r="H1416" s="120">
        <f>Tp_Non_CHG!Q61</f>
        <v>0</v>
      </c>
      <c r="I1416" s="40" t="s">
        <v>58</v>
      </c>
      <c r="J1416" s="40">
        <f t="shared" si="216"/>
        <v>0</v>
      </c>
      <c r="K1416" s="40">
        <f t="shared" si="217"/>
        <v>0</v>
      </c>
      <c r="L1416" s="40" t="s">
        <v>58</v>
      </c>
      <c r="M1416" s="50" t="s">
        <v>266</v>
      </c>
      <c r="N1416" s="190"/>
      <c r="O1416" s="40">
        <f t="shared" ca="1" si="219"/>
        <v>0.91310982414938391</v>
      </c>
      <c r="P1416" s="51">
        <f t="shared" si="213"/>
        <v>0</v>
      </c>
      <c r="Q1416" s="51">
        <f t="shared" si="214"/>
        <v>0</v>
      </c>
      <c r="R1416" s="51">
        <f t="shared" si="218"/>
        <v>0</v>
      </c>
      <c r="S1416"/>
      <c r="T1416" s="83"/>
    </row>
    <row r="1417" spans="1:20" ht="16" x14ac:dyDescent="0.2">
      <c r="A1417"/>
      <c r="B1417" s="103"/>
      <c r="C1417" s="243"/>
      <c r="D1417" s="119">
        <v>1404</v>
      </c>
      <c r="E1417" s="25" t="str">
        <f>Tp_Non_CHG!N62</f>
        <v>Transition Probability from state 3 to state 2 on day 20 (Non-CHG)</v>
      </c>
      <c r="F1417" s="40">
        <f t="shared" si="212"/>
        <v>0</v>
      </c>
      <c r="G1417" s="156">
        <v>1</v>
      </c>
      <c r="H1417" s="120">
        <f>Tp_Non_CHG!Q62</f>
        <v>0</v>
      </c>
      <c r="I1417" s="40" t="s">
        <v>58</v>
      </c>
      <c r="J1417" s="40">
        <f t="shared" si="216"/>
        <v>0</v>
      </c>
      <c r="K1417" s="40">
        <f t="shared" si="217"/>
        <v>0</v>
      </c>
      <c r="L1417" s="40" t="s">
        <v>58</v>
      </c>
      <c r="M1417" s="50" t="s">
        <v>266</v>
      </c>
      <c r="N1417" s="190"/>
      <c r="O1417" s="40">
        <f t="shared" ca="1" si="219"/>
        <v>0.7628429319494352</v>
      </c>
      <c r="P1417" s="51">
        <f t="shared" si="213"/>
        <v>0</v>
      </c>
      <c r="Q1417" s="51">
        <f t="shared" si="214"/>
        <v>0</v>
      </c>
      <c r="R1417" s="51">
        <f t="shared" si="218"/>
        <v>0</v>
      </c>
      <c r="S1417"/>
      <c r="T1417" s="83"/>
    </row>
    <row r="1418" spans="1:20" ht="16" x14ac:dyDescent="0.2">
      <c r="A1418"/>
      <c r="B1418" s="103"/>
      <c r="C1418" s="243"/>
      <c r="D1418" s="119">
        <v>1405</v>
      </c>
      <c r="E1418" s="25" t="str">
        <f>Tp_Non_CHG!N63</f>
        <v>Transition Probability from state 3 to state 2 on day 21 (Non-CHG)</v>
      </c>
      <c r="F1418" s="40">
        <f t="shared" si="212"/>
        <v>0</v>
      </c>
      <c r="G1418" s="156">
        <v>1</v>
      </c>
      <c r="H1418" s="120">
        <f>Tp_Non_CHG!Q63</f>
        <v>0</v>
      </c>
      <c r="I1418" s="40" t="s">
        <v>58</v>
      </c>
      <c r="J1418" s="40">
        <f t="shared" si="216"/>
        <v>0</v>
      </c>
      <c r="K1418" s="40">
        <f t="shared" si="217"/>
        <v>0</v>
      </c>
      <c r="L1418" s="40" t="s">
        <v>58</v>
      </c>
      <c r="M1418" s="50" t="s">
        <v>266</v>
      </c>
      <c r="N1418" s="190"/>
      <c r="O1418" s="40">
        <f t="shared" ca="1" si="219"/>
        <v>0.27486990916179377</v>
      </c>
      <c r="P1418" s="51">
        <f t="shared" si="213"/>
        <v>0</v>
      </c>
      <c r="Q1418" s="51">
        <f t="shared" si="214"/>
        <v>0</v>
      </c>
      <c r="R1418" s="51">
        <f t="shared" si="218"/>
        <v>0</v>
      </c>
      <c r="S1418"/>
      <c r="T1418" s="83"/>
    </row>
    <row r="1419" spans="1:20" ht="16" x14ac:dyDescent="0.2">
      <c r="A1419"/>
      <c r="B1419" s="103"/>
      <c r="C1419" s="243"/>
      <c r="D1419" s="119">
        <v>1406</v>
      </c>
      <c r="E1419" s="25" t="str">
        <f>Tp_Non_CHG!N64</f>
        <v>Transition Probability from state 3 to state 2 on day 22 (Non-CHG)</v>
      </c>
      <c r="F1419" s="40">
        <f t="shared" si="212"/>
        <v>0</v>
      </c>
      <c r="G1419" s="156">
        <v>1</v>
      </c>
      <c r="H1419" s="120">
        <f>Tp_Non_CHG!Q64</f>
        <v>0</v>
      </c>
      <c r="I1419" s="40" t="s">
        <v>58</v>
      </c>
      <c r="J1419" s="40">
        <f t="shared" si="216"/>
        <v>0</v>
      </c>
      <c r="K1419" s="40">
        <f t="shared" si="217"/>
        <v>0</v>
      </c>
      <c r="L1419" s="40" t="s">
        <v>58</v>
      </c>
      <c r="M1419" s="50" t="s">
        <v>266</v>
      </c>
      <c r="N1419" s="190"/>
      <c r="O1419" s="40">
        <f t="shared" ca="1" si="219"/>
        <v>0.41047940389352533</v>
      </c>
      <c r="P1419" s="51">
        <f t="shared" si="213"/>
        <v>0</v>
      </c>
      <c r="Q1419" s="51">
        <f t="shared" si="214"/>
        <v>0</v>
      </c>
      <c r="R1419" s="51">
        <f t="shared" si="218"/>
        <v>0</v>
      </c>
      <c r="S1419"/>
      <c r="T1419" s="83"/>
    </row>
    <row r="1420" spans="1:20" ht="16" x14ac:dyDescent="0.2">
      <c r="A1420"/>
      <c r="B1420" s="103"/>
      <c r="C1420" s="243"/>
      <c r="D1420" s="119">
        <v>1407</v>
      </c>
      <c r="E1420" s="25" t="str">
        <f>Tp_Non_CHG!N65</f>
        <v>Transition Probability from state 3 to state 2 on day 23 (Non-CHG)</v>
      </c>
      <c r="F1420" s="40">
        <f t="shared" si="212"/>
        <v>0</v>
      </c>
      <c r="G1420" s="156">
        <v>1</v>
      </c>
      <c r="H1420" s="120">
        <f>Tp_Non_CHG!Q65</f>
        <v>0</v>
      </c>
      <c r="I1420" s="40" t="s">
        <v>58</v>
      </c>
      <c r="J1420" s="40">
        <f t="shared" si="216"/>
        <v>0</v>
      </c>
      <c r="K1420" s="40">
        <f t="shared" si="217"/>
        <v>0</v>
      </c>
      <c r="L1420" s="40" t="s">
        <v>58</v>
      </c>
      <c r="M1420" s="50" t="s">
        <v>266</v>
      </c>
      <c r="N1420" s="190"/>
      <c r="O1420" s="40">
        <f t="shared" ca="1" si="219"/>
        <v>0.19098417643031573</v>
      </c>
      <c r="P1420" s="51">
        <f t="shared" si="213"/>
        <v>0</v>
      </c>
      <c r="Q1420" s="51">
        <f t="shared" si="214"/>
        <v>0</v>
      </c>
      <c r="R1420" s="51">
        <f t="shared" si="218"/>
        <v>0</v>
      </c>
      <c r="S1420"/>
      <c r="T1420" s="83"/>
    </row>
    <row r="1421" spans="1:20" ht="16" x14ac:dyDescent="0.2">
      <c r="A1421"/>
      <c r="B1421" s="103"/>
      <c r="C1421" s="243"/>
      <c r="D1421" s="119">
        <v>1408</v>
      </c>
      <c r="E1421" s="25" t="str">
        <f>Tp_Non_CHG!N66</f>
        <v>Transition Probability from state 3 to state 2 on day 24 (Non-CHG)</v>
      </c>
      <c r="F1421" s="40">
        <f t="shared" si="212"/>
        <v>0</v>
      </c>
      <c r="G1421" s="156">
        <v>1</v>
      </c>
      <c r="H1421" s="120">
        <f>Tp_Non_CHG!Q66</f>
        <v>0</v>
      </c>
      <c r="I1421" s="40" t="s">
        <v>58</v>
      </c>
      <c r="J1421" s="40">
        <f t="shared" si="216"/>
        <v>0</v>
      </c>
      <c r="K1421" s="40">
        <f t="shared" si="217"/>
        <v>0</v>
      </c>
      <c r="L1421" s="40" t="s">
        <v>58</v>
      </c>
      <c r="M1421" s="50" t="s">
        <v>266</v>
      </c>
      <c r="N1421" s="190"/>
      <c r="O1421" s="40">
        <f t="shared" ca="1" si="219"/>
        <v>0.36272234281599491</v>
      </c>
      <c r="P1421" s="51">
        <f t="shared" si="213"/>
        <v>0</v>
      </c>
      <c r="Q1421" s="51">
        <f t="shared" si="214"/>
        <v>0</v>
      </c>
      <c r="R1421" s="51">
        <f t="shared" si="218"/>
        <v>0</v>
      </c>
      <c r="S1421"/>
      <c r="T1421" s="83"/>
    </row>
    <row r="1422" spans="1:20" ht="16" x14ac:dyDescent="0.2">
      <c r="A1422"/>
      <c r="B1422" s="103"/>
      <c r="C1422" s="243"/>
      <c r="D1422" s="119">
        <v>1409</v>
      </c>
      <c r="E1422" s="25" t="str">
        <f>Tp_Non_CHG!N67</f>
        <v>Transition Probability from state 3 to state 2 on day 25 (Non-CHG)</v>
      </c>
      <c r="F1422" s="40">
        <f t="shared" si="212"/>
        <v>0</v>
      </c>
      <c r="G1422" s="156">
        <v>1</v>
      </c>
      <c r="H1422" s="120">
        <f>Tp_Non_CHG!Q67</f>
        <v>0</v>
      </c>
      <c r="I1422" s="40" t="s">
        <v>58</v>
      </c>
      <c r="J1422" s="40">
        <f t="shared" si="216"/>
        <v>0</v>
      </c>
      <c r="K1422" s="40">
        <f t="shared" si="217"/>
        <v>0</v>
      </c>
      <c r="L1422" s="40" t="s">
        <v>58</v>
      </c>
      <c r="M1422" s="50" t="s">
        <v>266</v>
      </c>
      <c r="N1422" s="190"/>
      <c r="O1422" s="40">
        <f t="shared" ca="1" si="219"/>
        <v>0.7989297475304763</v>
      </c>
      <c r="P1422" s="51">
        <f t="shared" si="213"/>
        <v>0</v>
      </c>
      <c r="Q1422" s="51">
        <f t="shared" si="214"/>
        <v>0</v>
      </c>
      <c r="R1422" s="51">
        <f t="shared" si="218"/>
        <v>0</v>
      </c>
      <c r="S1422"/>
      <c r="T1422" s="83"/>
    </row>
    <row r="1423" spans="1:20" ht="16" x14ac:dyDescent="0.2">
      <c r="A1423"/>
      <c r="B1423" s="103"/>
      <c r="C1423" s="243"/>
      <c r="D1423" s="119">
        <v>1410</v>
      </c>
      <c r="E1423" s="25" t="str">
        <f>Tp_Non_CHG!N68</f>
        <v>Transition Probability from state 3 to state 2 on day 26 (Non-CHG)</v>
      </c>
      <c r="F1423" s="40">
        <f t="shared" si="212"/>
        <v>0</v>
      </c>
      <c r="G1423" s="156">
        <v>1</v>
      </c>
      <c r="H1423" s="120">
        <f>Tp_Non_CHG!Q68</f>
        <v>0</v>
      </c>
      <c r="I1423" s="40" t="s">
        <v>58</v>
      </c>
      <c r="J1423" s="40">
        <f t="shared" si="216"/>
        <v>0</v>
      </c>
      <c r="K1423" s="40">
        <f t="shared" si="217"/>
        <v>0</v>
      </c>
      <c r="L1423" s="40" t="s">
        <v>58</v>
      </c>
      <c r="M1423" s="50" t="s">
        <v>266</v>
      </c>
      <c r="N1423" s="190"/>
      <c r="O1423" s="40">
        <f t="shared" ca="1" si="219"/>
        <v>1.9476357189467275E-2</v>
      </c>
      <c r="P1423" s="51">
        <f t="shared" si="213"/>
        <v>0</v>
      </c>
      <c r="Q1423" s="51">
        <f t="shared" si="214"/>
        <v>0</v>
      </c>
      <c r="R1423" s="51">
        <f t="shared" si="218"/>
        <v>0</v>
      </c>
      <c r="S1423"/>
      <c r="T1423" s="83"/>
    </row>
    <row r="1424" spans="1:20" ht="16" x14ac:dyDescent="0.2">
      <c r="A1424"/>
      <c r="B1424" s="103"/>
      <c r="C1424" s="243"/>
      <c r="D1424" s="119">
        <v>1411</v>
      </c>
      <c r="E1424" s="25" t="str">
        <f>Tp_Non_CHG!N69</f>
        <v>Transition Probability from state 3 to state 2 on day 27 (Non-CHG)</v>
      </c>
      <c r="F1424" s="40">
        <f t="shared" ref="F1424:F1487" si="220">IFERROR(CHOOSE(G1424,H1424,J1424,K1424,N1424),0)</f>
        <v>0</v>
      </c>
      <c r="G1424" s="156">
        <v>1</v>
      </c>
      <c r="H1424" s="120">
        <f>Tp_Non_CHG!Q69</f>
        <v>0</v>
      </c>
      <c r="I1424" s="40" t="s">
        <v>58</v>
      </c>
      <c r="J1424" s="40">
        <f t="shared" ref="J1424:J1486" si="221">IF(H1424=0,0,_xlfn.NORM.INV(0.025,H1424,R1424))</f>
        <v>0</v>
      </c>
      <c r="K1424" s="40">
        <f t="shared" ref="K1424:K1486" si="222">IF(H1424=0,0,_xlfn.NORM.INV(0.975,H1424,R1424))</f>
        <v>0</v>
      </c>
      <c r="L1424" s="40" t="s">
        <v>58</v>
      </c>
      <c r="M1424" s="50" t="s">
        <v>266</v>
      </c>
      <c r="N1424" s="190"/>
      <c r="O1424" s="40">
        <f t="shared" ca="1" si="219"/>
        <v>0.66178911580589983</v>
      </c>
      <c r="P1424" s="51">
        <f t="shared" si="213"/>
        <v>0</v>
      </c>
      <c r="Q1424" s="51">
        <f t="shared" si="214"/>
        <v>0</v>
      </c>
      <c r="R1424" s="51">
        <f t="shared" ref="R1424:R1486" si="223">assumedSE*H1424</f>
        <v>0</v>
      </c>
      <c r="S1424"/>
      <c r="T1424" s="83"/>
    </row>
    <row r="1425" spans="1:20" ht="16" x14ac:dyDescent="0.2">
      <c r="A1425"/>
      <c r="B1425" s="103"/>
      <c r="C1425" s="243"/>
      <c r="D1425" s="119">
        <v>1412</v>
      </c>
      <c r="E1425" s="25" t="str">
        <f>Tp_Non_CHG!N70</f>
        <v>Transition Probability from state 3 to state 2 on day 28 (Non-CHG)</v>
      </c>
      <c r="F1425" s="40">
        <f t="shared" si="220"/>
        <v>0</v>
      </c>
      <c r="G1425" s="156">
        <v>1</v>
      </c>
      <c r="H1425" s="120">
        <f>Tp_Non_CHG!Q70</f>
        <v>0</v>
      </c>
      <c r="I1425" s="40" t="s">
        <v>58</v>
      </c>
      <c r="J1425" s="40">
        <f t="shared" si="221"/>
        <v>0</v>
      </c>
      <c r="K1425" s="40">
        <f t="shared" si="222"/>
        <v>0</v>
      </c>
      <c r="L1425" s="40" t="s">
        <v>58</v>
      </c>
      <c r="M1425" s="50" t="s">
        <v>266</v>
      </c>
      <c r="N1425" s="190"/>
      <c r="O1425" s="40">
        <f t="shared" ca="1" si="219"/>
        <v>0.4209778275454179</v>
      </c>
      <c r="P1425" s="51">
        <f t="shared" ref="P1425:P1488" si="224">IFERROR(H1425*((H1425*(1-H1425)/(R1425^2))-1),0)</f>
        <v>0</v>
      </c>
      <c r="Q1425" s="51">
        <f t="shared" ref="Q1425:Q1488" si="225">IFERROR((1-H1425)*((H1425*(1-H1425))/(R1425^2)-1),0)</f>
        <v>0</v>
      </c>
      <c r="R1425" s="51">
        <f t="shared" si="223"/>
        <v>0</v>
      </c>
      <c r="S1425"/>
      <c r="T1425" s="83"/>
    </row>
    <row r="1426" spans="1:20" ht="16" x14ac:dyDescent="0.2">
      <c r="A1426"/>
      <c r="B1426" s="103"/>
      <c r="C1426" s="243"/>
      <c r="D1426" s="119">
        <v>1413</v>
      </c>
      <c r="E1426" s="25" t="str">
        <f>Tp_Non_CHG!N71</f>
        <v>Transition Probability from state 3 to state 2 on day 29 (Non-CHG)</v>
      </c>
      <c r="F1426" s="40">
        <f t="shared" si="220"/>
        <v>0</v>
      </c>
      <c r="G1426" s="156">
        <v>1</v>
      </c>
      <c r="H1426" s="120">
        <f>Tp_Non_CHG!Q71</f>
        <v>0</v>
      </c>
      <c r="I1426" s="40" t="s">
        <v>58</v>
      </c>
      <c r="J1426" s="40">
        <f t="shared" si="221"/>
        <v>0</v>
      </c>
      <c r="K1426" s="40">
        <f t="shared" si="222"/>
        <v>0</v>
      </c>
      <c r="L1426" s="40" t="s">
        <v>58</v>
      </c>
      <c r="M1426" s="50" t="s">
        <v>266</v>
      </c>
      <c r="N1426" s="190"/>
      <c r="O1426" s="40">
        <f t="shared" ca="1" si="219"/>
        <v>0.33947573563316302</v>
      </c>
      <c r="P1426" s="51">
        <f t="shared" si="224"/>
        <v>0</v>
      </c>
      <c r="Q1426" s="51">
        <f t="shared" si="225"/>
        <v>0</v>
      </c>
      <c r="R1426" s="51">
        <f t="shared" si="223"/>
        <v>0</v>
      </c>
      <c r="S1426"/>
      <c r="T1426" s="83"/>
    </row>
    <row r="1427" spans="1:20" ht="16" x14ac:dyDescent="0.2">
      <c r="A1427"/>
      <c r="B1427" s="103"/>
      <c r="C1427" s="243"/>
      <c r="D1427" s="119">
        <v>1414</v>
      </c>
      <c r="E1427" s="25" t="str">
        <f>Tp_Non_CHG!N72</f>
        <v>Transition Probability from state 3 to state 2 on day 30 (Non-CHG)</v>
      </c>
      <c r="F1427" s="40">
        <f t="shared" si="220"/>
        <v>0</v>
      </c>
      <c r="G1427" s="156">
        <v>1</v>
      </c>
      <c r="H1427" s="120">
        <f>Tp_Non_CHG!Q72</f>
        <v>0</v>
      </c>
      <c r="I1427" s="40" t="s">
        <v>58</v>
      </c>
      <c r="J1427" s="40">
        <f t="shared" si="221"/>
        <v>0</v>
      </c>
      <c r="K1427" s="40">
        <f t="shared" si="222"/>
        <v>0</v>
      </c>
      <c r="L1427" s="40" t="s">
        <v>58</v>
      </c>
      <c r="M1427" s="50" t="s">
        <v>266</v>
      </c>
      <c r="N1427" s="190"/>
      <c r="O1427" s="40">
        <f t="shared" ca="1" si="219"/>
        <v>0.59191591332956051</v>
      </c>
      <c r="P1427" s="51">
        <f t="shared" si="224"/>
        <v>0</v>
      </c>
      <c r="Q1427" s="51">
        <f t="shared" si="225"/>
        <v>0</v>
      </c>
      <c r="R1427" s="51">
        <f t="shared" si="223"/>
        <v>0</v>
      </c>
      <c r="S1427"/>
      <c r="T1427" s="83"/>
    </row>
    <row r="1428" spans="1:20" ht="16" x14ac:dyDescent="0.2">
      <c r="A1428"/>
      <c r="B1428" s="103"/>
      <c r="C1428" s="243"/>
      <c r="D1428" s="119">
        <v>1415</v>
      </c>
      <c r="E1428" s="25" t="str">
        <f>Tp_Non_CHG!S43</f>
        <v>Transition Probability from state 4 to state 2 on day 1 (Non-CHG)</v>
      </c>
      <c r="F1428" s="40">
        <f t="shared" si="220"/>
        <v>0</v>
      </c>
      <c r="G1428" s="156">
        <v>1</v>
      </c>
      <c r="H1428" s="120">
        <f>Tp_Non_CHG!V43</f>
        <v>0</v>
      </c>
      <c r="I1428" s="40" t="s">
        <v>58</v>
      </c>
      <c r="J1428" s="40">
        <f t="shared" si="221"/>
        <v>0</v>
      </c>
      <c r="K1428" s="40">
        <f t="shared" si="222"/>
        <v>0</v>
      </c>
      <c r="L1428" s="40" t="s">
        <v>58</v>
      </c>
      <c r="M1428" s="50" t="s">
        <v>266</v>
      </c>
      <c r="N1428" s="190"/>
      <c r="O1428" s="40">
        <f t="shared" ca="1" si="219"/>
        <v>0.22440037840196103</v>
      </c>
      <c r="P1428" s="51">
        <f t="shared" si="224"/>
        <v>0</v>
      </c>
      <c r="Q1428" s="51">
        <f t="shared" si="225"/>
        <v>0</v>
      </c>
      <c r="R1428" s="51">
        <f t="shared" si="223"/>
        <v>0</v>
      </c>
      <c r="S1428"/>
      <c r="T1428" s="83"/>
    </row>
    <row r="1429" spans="1:20" ht="16" x14ac:dyDescent="0.2">
      <c r="A1429"/>
      <c r="B1429" s="103"/>
      <c r="C1429" s="243"/>
      <c r="D1429" s="119">
        <v>1416</v>
      </c>
      <c r="E1429" s="25" t="str">
        <f>Tp_Non_CHG!S44</f>
        <v>Transition Probability from state 4 to state 2 on day 2 (Non-CHG)</v>
      </c>
      <c r="F1429" s="40">
        <f t="shared" si="220"/>
        <v>0</v>
      </c>
      <c r="G1429" s="156">
        <v>1</v>
      </c>
      <c r="H1429" s="120">
        <f>Tp_Non_CHG!V44</f>
        <v>0</v>
      </c>
      <c r="I1429" s="40" t="s">
        <v>58</v>
      </c>
      <c r="J1429" s="40">
        <f t="shared" si="221"/>
        <v>0</v>
      </c>
      <c r="K1429" s="40">
        <f t="shared" si="222"/>
        <v>0</v>
      </c>
      <c r="L1429" s="40" t="s">
        <v>58</v>
      </c>
      <c r="M1429" s="50" t="s">
        <v>266</v>
      </c>
      <c r="N1429" s="190"/>
      <c r="O1429" s="40">
        <f t="shared" ca="1" si="219"/>
        <v>0.99841706993081369</v>
      </c>
      <c r="P1429" s="51">
        <f t="shared" si="224"/>
        <v>0</v>
      </c>
      <c r="Q1429" s="51">
        <f t="shared" si="225"/>
        <v>0</v>
      </c>
      <c r="R1429" s="51">
        <f t="shared" si="223"/>
        <v>0</v>
      </c>
      <c r="S1429"/>
      <c r="T1429" s="83"/>
    </row>
    <row r="1430" spans="1:20" ht="16" x14ac:dyDescent="0.2">
      <c r="A1430"/>
      <c r="B1430" s="103"/>
      <c r="C1430" s="243"/>
      <c r="D1430" s="119">
        <v>1417</v>
      </c>
      <c r="E1430" s="25" t="str">
        <f>Tp_Non_CHG!S45</f>
        <v>Transition Probability from state 4 to state 2 on day 3 (Non-CHG)</v>
      </c>
      <c r="F1430" s="40">
        <f t="shared" si="220"/>
        <v>0</v>
      </c>
      <c r="G1430" s="156">
        <v>1</v>
      </c>
      <c r="H1430" s="120">
        <f>Tp_Non_CHG!V45</f>
        <v>0</v>
      </c>
      <c r="I1430" s="40" t="s">
        <v>58</v>
      </c>
      <c r="J1430" s="40">
        <f t="shared" si="221"/>
        <v>0</v>
      </c>
      <c r="K1430" s="40">
        <f t="shared" si="222"/>
        <v>0</v>
      </c>
      <c r="L1430" s="40" t="s">
        <v>58</v>
      </c>
      <c r="M1430" s="50" t="s">
        <v>266</v>
      </c>
      <c r="N1430" s="190"/>
      <c r="O1430" s="40">
        <f t="shared" ca="1" si="219"/>
        <v>0.71606630000996341</v>
      </c>
      <c r="P1430" s="51">
        <f t="shared" si="224"/>
        <v>0</v>
      </c>
      <c r="Q1430" s="51">
        <f t="shared" si="225"/>
        <v>0</v>
      </c>
      <c r="R1430" s="51">
        <f t="shared" si="223"/>
        <v>0</v>
      </c>
      <c r="S1430"/>
      <c r="T1430" s="83"/>
    </row>
    <row r="1431" spans="1:20" ht="16" x14ac:dyDescent="0.2">
      <c r="A1431"/>
      <c r="B1431" s="103"/>
      <c r="C1431" s="243"/>
      <c r="D1431" s="119">
        <v>1418</v>
      </c>
      <c r="E1431" s="25" t="str">
        <f>Tp_Non_CHG!S46</f>
        <v>Transition Probability from state 4 to state 2 on day 4 (Non-CHG)</v>
      </c>
      <c r="F1431" s="40">
        <f t="shared" si="220"/>
        <v>0</v>
      </c>
      <c r="G1431" s="156">
        <v>1</v>
      </c>
      <c r="H1431" s="120">
        <f>Tp_Non_CHG!V46</f>
        <v>0</v>
      </c>
      <c r="I1431" s="40" t="s">
        <v>58</v>
      </c>
      <c r="J1431" s="40">
        <f t="shared" si="221"/>
        <v>0</v>
      </c>
      <c r="K1431" s="40">
        <f t="shared" si="222"/>
        <v>0</v>
      </c>
      <c r="L1431" s="40" t="s">
        <v>58</v>
      </c>
      <c r="M1431" s="50" t="s">
        <v>266</v>
      </c>
      <c r="N1431" s="190"/>
      <c r="O1431" s="40">
        <f t="shared" ca="1" si="219"/>
        <v>0.30868501210666499</v>
      </c>
      <c r="P1431" s="51">
        <f t="shared" si="224"/>
        <v>0</v>
      </c>
      <c r="Q1431" s="51">
        <f t="shared" si="225"/>
        <v>0</v>
      </c>
      <c r="R1431" s="51">
        <f t="shared" si="223"/>
        <v>0</v>
      </c>
      <c r="S1431"/>
      <c r="T1431" s="83"/>
    </row>
    <row r="1432" spans="1:20" ht="16" x14ac:dyDescent="0.2">
      <c r="A1432"/>
      <c r="B1432" s="103"/>
      <c r="C1432" s="243"/>
      <c r="D1432" s="119">
        <v>1419</v>
      </c>
      <c r="E1432" s="25" t="str">
        <f>Tp_Non_CHG!S47</f>
        <v>Transition Probability from state 4 to state 2 on day 5 (Non-CHG)</v>
      </c>
      <c r="F1432" s="40">
        <f t="shared" si="220"/>
        <v>0</v>
      </c>
      <c r="G1432" s="156">
        <v>1</v>
      </c>
      <c r="H1432" s="120">
        <f>Tp_Non_CHG!V47</f>
        <v>0</v>
      </c>
      <c r="I1432" s="40" t="s">
        <v>58</v>
      </c>
      <c r="J1432" s="40">
        <f t="shared" si="221"/>
        <v>0</v>
      </c>
      <c r="K1432" s="40">
        <f t="shared" si="222"/>
        <v>0</v>
      </c>
      <c r="L1432" s="40" t="s">
        <v>58</v>
      </c>
      <c r="M1432" s="50" t="s">
        <v>266</v>
      </c>
      <c r="N1432" s="190"/>
      <c r="O1432" s="40">
        <f t="shared" ca="1" si="219"/>
        <v>6.1084578751541052E-2</v>
      </c>
      <c r="P1432" s="51">
        <f t="shared" si="224"/>
        <v>0</v>
      </c>
      <c r="Q1432" s="51">
        <f t="shared" si="225"/>
        <v>0</v>
      </c>
      <c r="R1432" s="51">
        <f t="shared" si="223"/>
        <v>0</v>
      </c>
      <c r="S1432"/>
      <c r="T1432" s="83"/>
    </row>
    <row r="1433" spans="1:20" ht="16" x14ac:dyDescent="0.2">
      <c r="A1433"/>
      <c r="B1433" s="103"/>
      <c r="C1433" s="243"/>
      <c r="D1433" s="119">
        <v>1420</v>
      </c>
      <c r="E1433" s="25" t="str">
        <f>Tp_Non_CHG!S48</f>
        <v>Transition Probability from state 4 to state 2 on day 6 (Non-CHG)</v>
      </c>
      <c r="F1433" s="40">
        <f t="shared" si="220"/>
        <v>0</v>
      </c>
      <c r="G1433" s="156">
        <v>1</v>
      </c>
      <c r="H1433" s="120">
        <f>Tp_Non_CHG!V48</f>
        <v>0</v>
      </c>
      <c r="I1433" s="40" t="s">
        <v>58</v>
      </c>
      <c r="J1433" s="40">
        <f t="shared" si="221"/>
        <v>0</v>
      </c>
      <c r="K1433" s="40">
        <f t="shared" si="222"/>
        <v>0</v>
      </c>
      <c r="L1433" s="40" t="s">
        <v>58</v>
      </c>
      <c r="M1433" s="50" t="s">
        <v>266</v>
      </c>
      <c r="N1433" s="190"/>
      <c r="O1433" s="40">
        <f t="shared" ca="1" si="219"/>
        <v>0.26131616207447406</v>
      </c>
      <c r="P1433" s="51">
        <f t="shared" si="224"/>
        <v>0</v>
      </c>
      <c r="Q1433" s="51">
        <f t="shared" si="225"/>
        <v>0</v>
      </c>
      <c r="R1433" s="51">
        <f t="shared" si="223"/>
        <v>0</v>
      </c>
      <c r="S1433"/>
      <c r="T1433" s="83"/>
    </row>
    <row r="1434" spans="1:20" ht="16" x14ac:dyDescent="0.2">
      <c r="A1434"/>
      <c r="B1434" s="103"/>
      <c r="C1434" s="243"/>
      <c r="D1434" s="119">
        <v>1421</v>
      </c>
      <c r="E1434" s="25" t="str">
        <f>Tp_Non_CHG!S49</f>
        <v>Transition Probability from state 4 to state 2 on day 7 (Non-CHG)</v>
      </c>
      <c r="F1434" s="40">
        <f t="shared" si="220"/>
        <v>0</v>
      </c>
      <c r="G1434" s="156">
        <v>1</v>
      </c>
      <c r="H1434" s="120">
        <f>Tp_Non_CHG!V49</f>
        <v>0</v>
      </c>
      <c r="I1434" s="40" t="s">
        <v>58</v>
      </c>
      <c r="J1434" s="40">
        <f t="shared" si="221"/>
        <v>0</v>
      </c>
      <c r="K1434" s="40">
        <f t="shared" si="222"/>
        <v>0</v>
      </c>
      <c r="L1434" s="40" t="s">
        <v>58</v>
      </c>
      <c r="M1434" s="50" t="s">
        <v>266</v>
      </c>
      <c r="N1434" s="190"/>
      <c r="O1434" s="40">
        <f t="shared" ca="1" si="219"/>
        <v>0.84305454936561541</v>
      </c>
      <c r="P1434" s="51">
        <f t="shared" si="224"/>
        <v>0</v>
      </c>
      <c r="Q1434" s="51">
        <f t="shared" si="225"/>
        <v>0</v>
      </c>
      <c r="R1434" s="51">
        <f t="shared" si="223"/>
        <v>0</v>
      </c>
      <c r="S1434"/>
      <c r="T1434" s="83"/>
    </row>
    <row r="1435" spans="1:20" ht="16" x14ac:dyDescent="0.2">
      <c r="A1435"/>
      <c r="B1435" s="103"/>
      <c r="C1435" s="243"/>
      <c r="D1435" s="119">
        <v>1422</v>
      </c>
      <c r="E1435" s="25" t="str">
        <f>Tp_Non_CHG!S50</f>
        <v>Transition Probability from state 4 to state 2 on day 8 (Non-CHG)</v>
      </c>
      <c r="F1435" s="40">
        <f t="shared" si="220"/>
        <v>0</v>
      </c>
      <c r="G1435" s="156">
        <v>1</v>
      </c>
      <c r="H1435" s="120">
        <f>Tp_Non_CHG!V50</f>
        <v>0</v>
      </c>
      <c r="I1435" s="40" t="s">
        <v>58</v>
      </c>
      <c r="J1435" s="40">
        <f t="shared" si="221"/>
        <v>0</v>
      </c>
      <c r="K1435" s="40">
        <f t="shared" si="222"/>
        <v>0</v>
      </c>
      <c r="L1435" s="40" t="s">
        <v>58</v>
      </c>
      <c r="M1435" s="50" t="s">
        <v>266</v>
      </c>
      <c r="N1435" s="190"/>
      <c r="O1435" s="40">
        <f t="shared" ca="1" si="219"/>
        <v>0.66751356503962511</v>
      </c>
      <c r="P1435" s="51">
        <f t="shared" si="224"/>
        <v>0</v>
      </c>
      <c r="Q1435" s="51">
        <f t="shared" si="225"/>
        <v>0</v>
      </c>
      <c r="R1435" s="51">
        <f t="shared" si="223"/>
        <v>0</v>
      </c>
      <c r="S1435"/>
      <c r="T1435" s="83"/>
    </row>
    <row r="1436" spans="1:20" ht="16" x14ac:dyDescent="0.2">
      <c r="A1436"/>
      <c r="B1436" s="103"/>
      <c r="C1436" s="243"/>
      <c r="D1436" s="119">
        <v>1423</v>
      </c>
      <c r="E1436" s="25" t="str">
        <f>Tp_Non_CHG!S51</f>
        <v>Transition Probability from state 4 to state 2 on day 9 (Non-CHG)</v>
      </c>
      <c r="F1436" s="40">
        <f t="shared" si="220"/>
        <v>0</v>
      </c>
      <c r="G1436" s="156">
        <v>1</v>
      </c>
      <c r="H1436" s="120">
        <f>Tp_Non_CHG!V51</f>
        <v>0</v>
      </c>
      <c r="I1436" s="40" t="s">
        <v>58</v>
      </c>
      <c r="J1436" s="40">
        <f t="shared" si="221"/>
        <v>0</v>
      </c>
      <c r="K1436" s="40">
        <f t="shared" si="222"/>
        <v>0</v>
      </c>
      <c r="L1436" s="40" t="s">
        <v>58</v>
      </c>
      <c r="M1436" s="50" t="s">
        <v>266</v>
      </c>
      <c r="N1436" s="190"/>
      <c r="O1436" s="40">
        <f t="shared" ca="1" si="219"/>
        <v>0.44154022937845927</v>
      </c>
      <c r="P1436" s="51">
        <f t="shared" si="224"/>
        <v>0</v>
      </c>
      <c r="Q1436" s="51">
        <f t="shared" si="225"/>
        <v>0</v>
      </c>
      <c r="R1436" s="51">
        <f t="shared" si="223"/>
        <v>0</v>
      </c>
      <c r="S1436"/>
      <c r="T1436" s="83"/>
    </row>
    <row r="1437" spans="1:20" ht="16" x14ac:dyDescent="0.2">
      <c r="A1437"/>
      <c r="B1437" s="103"/>
      <c r="C1437" s="243"/>
      <c r="D1437" s="119">
        <v>1424</v>
      </c>
      <c r="E1437" s="25" t="str">
        <f>Tp_Non_CHG!S52</f>
        <v>Transition Probability from state 4 to state 2 on day 10 (Non-CHG)</v>
      </c>
      <c r="F1437" s="40">
        <f t="shared" si="220"/>
        <v>0</v>
      </c>
      <c r="G1437" s="156">
        <v>1</v>
      </c>
      <c r="H1437" s="120">
        <f>Tp_Non_CHG!V52</f>
        <v>0</v>
      </c>
      <c r="I1437" s="40" t="s">
        <v>58</v>
      </c>
      <c r="J1437" s="40">
        <f t="shared" si="221"/>
        <v>0</v>
      </c>
      <c r="K1437" s="40">
        <f t="shared" si="222"/>
        <v>0</v>
      </c>
      <c r="L1437" s="40" t="s">
        <v>58</v>
      </c>
      <c r="M1437" s="50" t="s">
        <v>266</v>
      </c>
      <c r="N1437" s="190"/>
      <c r="O1437" s="40">
        <f t="shared" ca="1" si="219"/>
        <v>0.89008406338122448</v>
      </c>
      <c r="P1437" s="51">
        <f t="shared" si="224"/>
        <v>0</v>
      </c>
      <c r="Q1437" s="51">
        <f t="shared" si="225"/>
        <v>0</v>
      </c>
      <c r="R1437" s="51">
        <f t="shared" si="223"/>
        <v>0</v>
      </c>
      <c r="S1437"/>
      <c r="T1437" s="83"/>
    </row>
    <row r="1438" spans="1:20" ht="16" x14ac:dyDescent="0.2">
      <c r="A1438"/>
      <c r="B1438" s="103"/>
      <c r="C1438" s="243"/>
      <c r="D1438" s="119">
        <v>1425</v>
      </c>
      <c r="E1438" s="25" t="str">
        <f>Tp_Non_CHG!S53</f>
        <v>Transition Probability from state 4 to state 2 on day 11 (Non-CHG)</v>
      </c>
      <c r="F1438" s="40">
        <f t="shared" si="220"/>
        <v>0</v>
      </c>
      <c r="G1438" s="156">
        <v>1</v>
      </c>
      <c r="H1438" s="120">
        <f>Tp_Non_CHG!V53</f>
        <v>0</v>
      </c>
      <c r="I1438" s="40" t="s">
        <v>58</v>
      </c>
      <c r="J1438" s="40">
        <f t="shared" si="221"/>
        <v>0</v>
      </c>
      <c r="K1438" s="40">
        <f t="shared" si="222"/>
        <v>0</v>
      </c>
      <c r="L1438" s="40" t="s">
        <v>58</v>
      </c>
      <c r="M1438" s="50" t="s">
        <v>266</v>
      </c>
      <c r="N1438" s="190"/>
      <c r="O1438" s="40">
        <f t="shared" ca="1" si="219"/>
        <v>0.54764615220380108</v>
      </c>
      <c r="P1438" s="51">
        <f t="shared" si="224"/>
        <v>0</v>
      </c>
      <c r="Q1438" s="51">
        <f t="shared" si="225"/>
        <v>0</v>
      </c>
      <c r="R1438" s="51">
        <f t="shared" si="223"/>
        <v>0</v>
      </c>
      <c r="S1438"/>
      <c r="T1438" s="83"/>
    </row>
    <row r="1439" spans="1:20" ht="16" x14ac:dyDescent="0.2">
      <c r="A1439"/>
      <c r="B1439" s="103"/>
      <c r="C1439" s="243"/>
      <c r="D1439" s="119">
        <v>1426</v>
      </c>
      <c r="E1439" s="25" t="str">
        <f>Tp_Non_CHG!S54</f>
        <v>Transition Probability from state 4 to state 2 on day 12 (Non-CHG)</v>
      </c>
      <c r="F1439" s="40">
        <f t="shared" si="220"/>
        <v>0</v>
      </c>
      <c r="G1439" s="156">
        <v>1</v>
      </c>
      <c r="H1439" s="120">
        <f>Tp_Non_CHG!V54</f>
        <v>0</v>
      </c>
      <c r="I1439" s="40" t="s">
        <v>58</v>
      </c>
      <c r="J1439" s="40">
        <f t="shared" si="221"/>
        <v>0</v>
      </c>
      <c r="K1439" s="40">
        <f t="shared" si="222"/>
        <v>0</v>
      </c>
      <c r="L1439" s="40" t="s">
        <v>58</v>
      </c>
      <c r="M1439" s="50" t="s">
        <v>266</v>
      </c>
      <c r="N1439" s="190"/>
      <c r="O1439" s="40">
        <f t="shared" ca="1" si="219"/>
        <v>0.82594820841098371</v>
      </c>
      <c r="P1439" s="51">
        <f t="shared" si="224"/>
        <v>0</v>
      </c>
      <c r="Q1439" s="51">
        <f t="shared" si="225"/>
        <v>0</v>
      </c>
      <c r="R1439" s="51">
        <f t="shared" si="223"/>
        <v>0</v>
      </c>
      <c r="S1439"/>
      <c r="T1439" s="83"/>
    </row>
    <row r="1440" spans="1:20" ht="16" x14ac:dyDescent="0.2">
      <c r="A1440"/>
      <c r="B1440" s="103"/>
      <c r="C1440" s="243"/>
      <c r="D1440" s="119">
        <v>1427</v>
      </c>
      <c r="E1440" s="25" t="str">
        <f>Tp_Non_CHG!S56</f>
        <v>Transition Probability from state 4 to state 2 on day 14 (Non-CHG)</v>
      </c>
      <c r="F1440" s="40">
        <f t="shared" si="220"/>
        <v>0</v>
      </c>
      <c r="G1440" s="156">
        <v>1</v>
      </c>
      <c r="H1440" s="120">
        <f>Tp_Non_CHG!V56</f>
        <v>0</v>
      </c>
      <c r="I1440" s="40" t="s">
        <v>58</v>
      </c>
      <c r="J1440" s="40">
        <f t="shared" si="221"/>
        <v>0</v>
      </c>
      <c r="K1440" s="40">
        <f t="shared" si="222"/>
        <v>0</v>
      </c>
      <c r="L1440" s="40" t="s">
        <v>58</v>
      </c>
      <c r="M1440" s="50" t="s">
        <v>266</v>
      </c>
      <c r="N1440" s="190"/>
      <c r="O1440" s="40">
        <f t="shared" ca="1" si="219"/>
        <v>0.21903501868386677</v>
      </c>
      <c r="P1440" s="51">
        <f t="shared" si="224"/>
        <v>0</v>
      </c>
      <c r="Q1440" s="51">
        <f t="shared" si="225"/>
        <v>0</v>
      </c>
      <c r="R1440" s="51">
        <f t="shared" si="223"/>
        <v>0</v>
      </c>
      <c r="S1440"/>
      <c r="T1440" s="83"/>
    </row>
    <row r="1441" spans="1:20" ht="16" x14ac:dyDescent="0.2">
      <c r="A1441"/>
      <c r="B1441" s="103"/>
      <c r="C1441" s="243"/>
      <c r="D1441" s="119">
        <v>1428</v>
      </c>
      <c r="E1441" s="25" t="str">
        <f>Tp_Non_CHG!S57</f>
        <v>Transition Probability from state 4 to state 2 on day 15 (Non-CHG)</v>
      </c>
      <c r="F1441" s="40">
        <f t="shared" si="220"/>
        <v>0</v>
      </c>
      <c r="G1441" s="156">
        <v>1</v>
      </c>
      <c r="H1441" s="120">
        <f>Tp_Non_CHG!V57</f>
        <v>0</v>
      </c>
      <c r="I1441" s="40" t="s">
        <v>58</v>
      </c>
      <c r="J1441" s="40">
        <f t="shared" si="221"/>
        <v>0</v>
      </c>
      <c r="K1441" s="40">
        <f t="shared" si="222"/>
        <v>0</v>
      </c>
      <c r="L1441" s="40" t="s">
        <v>58</v>
      </c>
      <c r="M1441" s="50" t="s">
        <v>266</v>
      </c>
      <c r="N1441" s="190"/>
      <c r="O1441" s="40">
        <f t="shared" ca="1" si="219"/>
        <v>0.55416258346547365</v>
      </c>
      <c r="P1441" s="51">
        <f t="shared" si="224"/>
        <v>0</v>
      </c>
      <c r="Q1441" s="51">
        <f t="shared" si="225"/>
        <v>0</v>
      </c>
      <c r="R1441" s="51">
        <f t="shared" si="223"/>
        <v>0</v>
      </c>
      <c r="S1441"/>
      <c r="T1441" s="83"/>
    </row>
    <row r="1442" spans="1:20" ht="16" x14ac:dyDescent="0.2">
      <c r="A1442"/>
      <c r="B1442" s="103"/>
      <c r="C1442" s="243"/>
      <c r="D1442" s="119">
        <v>1429</v>
      </c>
      <c r="E1442" s="25" t="str">
        <f>Tp_Non_CHG!S58</f>
        <v>Transition Probability from state 4 to state 2 on day 16 (Non-CHG)</v>
      </c>
      <c r="F1442" s="40">
        <f t="shared" si="220"/>
        <v>0</v>
      </c>
      <c r="G1442" s="156">
        <v>1</v>
      </c>
      <c r="H1442" s="120">
        <f>Tp_Non_CHG!V58</f>
        <v>0</v>
      </c>
      <c r="I1442" s="40" t="s">
        <v>58</v>
      </c>
      <c r="J1442" s="40">
        <f t="shared" si="221"/>
        <v>0</v>
      </c>
      <c r="K1442" s="40">
        <f t="shared" si="222"/>
        <v>0</v>
      </c>
      <c r="L1442" s="40" t="s">
        <v>58</v>
      </c>
      <c r="M1442" s="50" t="s">
        <v>266</v>
      </c>
      <c r="N1442" s="190"/>
      <c r="O1442" s="40">
        <f t="shared" ca="1" si="219"/>
        <v>0.66593015472197048</v>
      </c>
      <c r="P1442" s="51">
        <f t="shared" si="224"/>
        <v>0</v>
      </c>
      <c r="Q1442" s="51">
        <f t="shared" si="225"/>
        <v>0</v>
      </c>
      <c r="R1442" s="51">
        <f t="shared" si="223"/>
        <v>0</v>
      </c>
      <c r="S1442"/>
      <c r="T1442" s="83"/>
    </row>
    <row r="1443" spans="1:20" ht="16" x14ac:dyDescent="0.2">
      <c r="A1443"/>
      <c r="B1443" s="103"/>
      <c r="C1443" s="243"/>
      <c r="D1443" s="119">
        <v>1430</v>
      </c>
      <c r="E1443" s="25" t="str">
        <f>Tp_Non_CHG!S59</f>
        <v>Transition Probability from state 4 to state 2 on day 17 (Non-CHG)</v>
      </c>
      <c r="F1443" s="40">
        <f t="shared" si="220"/>
        <v>0</v>
      </c>
      <c r="G1443" s="156">
        <v>1</v>
      </c>
      <c r="H1443" s="120">
        <f>Tp_Non_CHG!V59</f>
        <v>0</v>
      </c>
      <c r="I1443" s="40" t="s">
        <v>58</v>
      </c>
      <c r="J1443" s="40">
        <f t="shared" si="221"/>
        <v>0</v>
      </c>
      <c r="K1443" s="40">
        <f t="shared" si="222"/>
        <v>0</v>
      </c>
      <c r="L1443" s="40" t="s">
        <v>58</v>
      </c>
      <c r="M1443" s="50" t="s">
        <v>266</v>
      </c>
      <c r="N1443" s="190"/>
      <c r="O1443" s="40">
        <f t="shared" ca="1" si="219"/>
        <v>0.41351565264217816</v>
      </c>
      <c r="P1443" s="51">
        <f t="shared" si="224"/>
        <v>0</v>
      </c>
      <c r="Q1443" s="51">
        <f t="shared" si="225"/>
        <v>0</v>
      </c>
      <c r="R1443" s="51">
        <f t="shared" si="223"/>
        <v>0</v>
      </c>
      <c r="S1443"/>
      <c r="T1443" s="83"/>
    </row>
    <row r="1444" spans="1:20" ht="16" x14ac:dyDescent="0.2">
      <c r="A1444"/>
      <c r="B1444" s="103"/>
      <c r="C1444" s="243"/>
      <c r="D1444" s="119">
        <v>1431</v>
      </c>
      <c r="E1444" s="25" t="str">
        <f>Tp_Non_CHG!S60</f>
        <v>Transition Probability from state 4 to state 2 on day 18 (Non-CHG)</v>
      </c>
      <c r="F1444" s="40">
        <f t="shared" si="220"/>
        <v>0</v>
      </c>
      <c r="G1444" s="156">
        <v>1</v>
      </c>
      <c r="H1444" s="120">
        <f>Tp_Non_CHG!V60</f>
        <v>0</v>
      </c>
      <c r="I1444" s="40" t="s">
        <v>58</v>
      </c>
      <c r="J1444" s="40">
        <f t="shared" si="221"/>
        <v>0</v>
      </c>
      <c r="K1444" s="40">
        <f t="shared" si="222"/>
        <v>0</v>
      </c>
      <c r="L1444" s="40" t="s">
        <v>58</v>
      </c>
      <c r="M1444" s="50" t="s">
        <v>266</v>
      </c>
      <c r="N1444" s="190"/>
      <c r="O1444" s="40">
        <f t="shared" ca="1" si="219"/>
        <v>0.8638783904842775</v>
      </c>
      <c r="P1444" s="51">
        <f t="shared" si="224"/>
        <v>0</v>
      </c>
      <c r="Q1444" s="51">
        <f t="shared" si="225"/>
        <v>0</v>
      </c>
      <c r="R1444" s="51">
        <f t="shared" si="223"/>
        <v>0</v>
      </c>
      <c r="S1444"/>
      <c r="T1444" s="83"/>
    </row>
    <row r="1445" spans="1:20" ht="16" x14ac:dyDescent="0.2">
      <c r="A1445"/>
      <c r="B1445" s="103"/>
      <c r="C1445" s="243"/>
      <c r="D1445" s="119">
        <v>1432</v>
      </c>
      <c r="E1445" s="25" t="str">
        <f>Tp_Non_CHG!S61</f>
        <v>Transition Probability from state 4 to state 2 on day 19 (Non-CHG)</v>
      </c>
      <c r="F1445" s="40">
        <f t="shared" si="220"/>
        <v>0</v>
      </c>
      <c r="G1445" s="156">
        <v>1</v>
      </c>
      <c r="H1445" s="120">
        <f>Tp_Non_CHG!V61</f>
        <v>0</v>
      </c>
      <c r="I1445" s="40" t="s">
        <v>58</v>
      </c>
      <c r="J1445" s="40">
        <f t="shared" si="221"/>
        <v>0</v>
      </c>
      <c r="K1445" s="40">
        <f t="shared" si="222"/>
        <v>0</v>
      </c>
      <c r="L1445" s="40" t="s">
        <v>58</v>
      </c>
      <c r="M1445" s="50" t="s">
        <v>266</v>
      </c>
      <c r="N1445" s="190"/>
      <c r="O1445" s="40">
        <f t="shared" ca="1" si="219"/>
        <v>0.11419690106329405</v>
      </c>
      <c r="P1445" s="51">
        <f t="shared" si="224"/>
        <v>0</v>
      </c>
      <c r="Q1445" s="51">
        <f t="shared" si="225"/>
        <v>0</v>
      </c>
      <c r="R1445" s="51">
        <f t="shared" si="223"/>
        <v>0</v>
      </c>
      <c r="S1445"/>
      <c r="T1445" s="83"/>
    </row>
    <row r="1446" spans="1:20" ht="16" x14ac:dyDescent="0.2">
      <c r="A1446"/>
      <c r="B1446" s="103"/>
      <c r="C1446" s="243"/>
      <c r="D1446" s="119">
        <v>1433</v>
      </c>
      <c r="E1446" s="25" t="str">
        <f>Tp_Non_CHG!S62</f>
        <v>Transition Probability from state 4 to state 2 on day 20 (Non-CHG)</v>
      </c>
      <c r="F1446" s="40">
        <f t="shared" si="220"/>
        <v>0</v>
      </c>
      <c r="G1446" s="156">
        <v>1</v>
      </c>
      <c r="H1446" s="120">
        <f>Tp_Non_CHG!V62</f>
        <v>0</v>
      </c>
      <c r="I1446" s="40" t="s">
        <v>58</v>
      </c>
      <c r="J1446" s="40">
        <f t="shared" si="221"/>
        <v>0</v>
      </c>
      <c r="K1446" s="40">
        <f t="shared" si="222"/>
        <v>0</v>
      </c>
      <c r="L1446" s="40" t="s">
        <v>58</v>
      </c>
      <c r="M1446" s="50" t="s">
        <v>266</v>
      </c>
      <c r="N1446" s="190"/>
      <c r="O1446" s="40">
        <f t="shared" ca="1" si="219"/>
        <v>0.62288644666878223</v>
      </c>
      <c r="P1446" s="51">
        <f t="shared" si="224"/>
        <v>0</v>
      </c>
      <c r="Q1446" s="51">
        <f t="shared" si="225"/>
        <v>0</v>
      </c>
      <c r="R1446" s="51">
        <f t="shared" si="223"/>
        <v>0</v>
      </c>
      <c r="S1446"/>
      <c r="T1446" s="83"/>
    </row>
    <row r="1447" spans="1:20" ht="16" x14ac:dyDescent="0.2">
      <c r="A1447"/>
      <c r="B1447" s="103"/>
      <c r="C1447" s="243"/>
      <c r="D1447" s="119">
        <v>1434</v>
      </c>
      <c r="E1447" s="25" t="str">
        <f>Tp_Non_CHG!S63</f>
        <v>Transition Probability from state 4 to state 2 on day 21 (Non-CHG)</v>
      </c>
      <c r="F1447" s="40">
        <f t="shared" si="220"/>
        <v>0</v>
      </c>
      <c r="G1447" s="156">
        <v>1</v>
      </c>
      <c r="H1447" s="120">
        <f>Tp_Non_CHG!V63</f>
        <v>0</v>
      </c>
      <c r="I1447" s="40" t="s">
        <v>58</v>
      </c>
      <c r="J1447" s="40">
        <f t="shared" si="221"/>
        <v>0</v>
      </c>
      <c r="K1447" s="40">
        <f t="shared" si="222"/>
        <v>0</v>
      </c>
      <c r="L1447" s="40" t="s">
        <v>58</v>
      </c>
      <c r="M1447" s="50" t="s">
        <v>266</v>
      </c>
      <c r="N1447" s="190"/>
      <c r="O1447" s="40">
        <f t="shared" ca="1" si="219"/>
        <v>0.46087280584307744</v>
      </c>
      <c r="P1447" s="51">
        <f t="shared" si="224"/>
        <v>0</v>
      </c>
      <c r="Q1447" s="51">
        <f t="shared" si="225"/>
        <v>0</v>
      </c>
      <c r="R1447" s="51">
        <f t="shared" si="223"/>
        <v>0</v>
      </c>
      <c r="S1447"/>
      <c r="T1447" s="83"/>
    </row>
    <row r="1448" spans="1:20" ht="16" x14ac:dyDescent="0.2">
      <c r="A1448"/>
      <c r="B1448" s="103"/>
      <c r="C1448" s="243"/>
      <c r="D1448" s="119">
        <v>1435</v>
      </c>
      <c r="E1448" s="25" t="str">
        <f>Tp_Non_CHG!S64</f>
        <v>Transition Probability from state 4 to state 2 on day 22 (Non-CHG)</v>
      </c>
      <c r="F1448" s="40">
        <f t="shared" si="220"/>
        <v>0</v>
      </c>
      <c r="G1448" s="156">
        <v>1</v>
      </c>
      <c r="H1448" s="120">
        <f>Tp_Non_CHG!V64</f>
        <v>0</v>
      </c>
      <c r="I1448" s="40" t="s">
        <v>58</v>
      </c>
      <c r="J1448" s="40">
        <f t="shared" si="221"/>
        <v>0</v>
      </c>
      <c r="K1448" s="40">
        <f t="shared" si="222"/>
        <v>0</v>
      </c>
      <c r="L1448" s="40" t="s">
        <v>58</v>
      </c>
      <c r="M1448" s="50" t="s">
        <v>266</v>
      </c>
      <c r="N1448" s="190"/>
      <c r="O1448" s="40">
        <f t="shared" ca="1" si="219"/>
        <v>0.32207546862669778</v>
      </c>
      <c r="P1448" s="51">
        <f t="shared" si="224"/>
        <v>0</v>
      </c>
      <c r="Q1448" s="51">
        <f t="shared" si="225"/>
        <v>0</v>
      </c>
      <c r="R1448" s="51">
        <f t="shared" si="223"/>
        <v>0</v>
      </c>
      <c r="S1448"/>
      <c r="T1448" s="83"/>
    </row>
    <row r="1449" spans="1:20" ht="16" x14ac:dyDescent="0.2">
      <c r="A1449"/>
      <c r="B1449" s="103"/>
      <c r="C1449" s="243"/>
      <c r="D1449" s="119">
        <v>1436</v>
      </c>
      <c r="E1449" s="25" t="str">
        <f>Tp_Non_CHG!S65</f>
        <v>Transition Probability from state 4 to state 2 on day 23 (Non-CHG)</v>
      </c>
      <c r="F1449" s="40">
        <f t="shared" si="220"/>
        <v>0</v>
      </c>
      <c r="G1449" s="156">
        <v>1</v>
      </c>
      <c r="H1449" s="120">
        <f>Tp_Non_CHG!V65</f>
        <v>0</v>
      </c>
      <c r="I1449" s="40" t="s">
        <v>58</v>
      </c>
      <c r="J1449" s="40">
        <f t="shared" si="221"/>
        <v>0</v>
      </c>
      <c r="K1449" s="40">
        <f t="shared" si="222"/>
        <v>0</v>
      </c>
      <c r="L1449" s="40" t="s">
        <v>58</v>
      </c>
      <c r="M1449" s="50" t="s">
        <v>266</v>
      </c>
      <c r="N1449" s="190"/>
      <c r="O1449" s="40">
        <f t="shared" ca="1" si="219"/>
        <v>0.51147998505397818</v>
      </c>
      <c r="P1449" s="51">
        <f t="shared" si="224"/>
        <v>0</v>
      </c>
      <c r="Q1449" s="51">
        <f t="shared" si="225"/>
        <v>0</v>
      </c>
      <c r="R1449" s="51">
        <f t="shared" si="223"/>
        <v>0</v>
      </c>
      <c r="S1449"/>
      <c r="T1449" s="83"/>
    </row>
    <row r="1450" spans="1:20" ht="16" x14ac:dyDescent="0.2">
      <c r="A1450"/>
      <c r="B1450" s="103"/>
      <c r="C1450" s="243"/>
      <c r="D1450" s="119">
        <v>1437</v>
      </c>
      <c r="E1450" s="25" t="str">
        <f>Tp_Non_CHG!S66</f>
        <v>Transition Probability from state 4 to state 2 on day 24 (Non-CHG)</v>
      </c>
      <c r="F1450" s="40">
        <f t="shared" si="220"/>
        <v>0</v>
      </c>
      <c r="G1450" s="156">
        <v>1</v>
      </c>
      <c r="H1450" s="120">
        <f>Tp_Non_CHG!V66</f>
        <v>0</v>
      </c>
      <c r="I1450" s="40" t="s">
        <v>58</v>
      </c>
      <c r="J1450" s="40">
        <f t="shared" si="221"/>
        <v>0</v>
      </c>
      <c r="K1450" s="40">
        <f t="shared" si="222"/>
        <v>0</v>
      </c>
      <c r="L1450" s="40" t="s">
        <v>58</v>
      </c>
      <c r="M1450" s="50" t="s">
        <v>266</v>
      </c>
      <c r="N1450" s="190"/>
      <c r="O1450" s="40">
        <f t="shared" ca="1" si="219"/>
        <v>0.15161768215451421</v>
      </c>
      <c r="P1450" s="51">
        <f t="shared" si="224"/>
        <v>0</v>
      </c>
      <c r="Q1450" s="51">
        <f t="shared" si="225"/>
        <v>0</v>
      </c>
      <c r="R1450" s="51">
        <f t="shared" si="223"/>
        <v>0</v>
      </c>
      <c r="S1450"/>
      <c r="T1450" s="83"/>
    </row>
    <row r="1451" spans="1:20" ht="16" x14ac:dyDescent="0.2">
      <c r="A1451"/>
      <c r="B1451" s="103"/>
      <c r="C1451" s="243"/>
      <c r="D1451" s="119">
        <v>1438</v>
      </c>
      <c r="E1451" s="25" t="str">
        <f>Tp_Non_CHG!S67</f>
        <v>Transition Probability from state 4 to state 2 on day 25 (Non-CHG)</v>
      </c>
      <c r="F1451" s="40">
        <f t="shared" si="220"/>
        <v>0</v>
      </c>
      <c r="G1451" s="156">
        <v>1</v>
      </c>
      <c r="H1451" s="120">
        <f>Tp_Non_CHG!V67</f>
        <v>0</v>
      </c>
      <c r="I1451" s="40" t="s">
        <v>58</v>
      </c>
      <c r="J1451" s="40">
        <f t="shared" si="221"/>
        <v>0</v>
      </c>
      <c r="K1451" s="40">
        <f t="shared" si="222"/>
        <v>0</v>
      </c>
      <c r="L1451" s="40" t="s">
        <v>58</v>
      </c>
      <c r="M1451" s="50" t="s">
        <v>266</v>
      </c>
      <c r="N1451" s="190"/>
      <c r="O1451" s="40">
        <f t="shared" ca="1" si="219"/>
        <v>0.54450283298507873</v>
      </c>
      <c r="P1451" s="51">
        <f t="shared" si="224"/>
        <v>0</v>
      </c>
      <c r="Q1451" s="51">
        <f t="shared" si="225"/>
        <v>0</v>
      </c>
      <c r="R1451" s="51">
        <f t="shared" si="223"/>
        <v>0</v>
      </c>
      <c r="S1451"/>
      <c r="T1451" s="83"/>
    </row>
    <row r="1452" spans="1:20" ht="16" x14ac:dyDescent="0.2">
      <c r="A1452"/>
      <c r="B1452" s="103"/>
      <c r="C1452" s="243"/>
      <c r="D1452" s="119">
        <v>1439</v>
      </c>
      <c r="E1452" s="25" t="str">
        <f>Tp_Non_CHG!S68</f>
        <v>Transition Probability from state 4 to state 2 on day 26 (Non-CHG)</v>
      </c>
      <c r="F1452" s="40">
        <f t="shared" si="220"/>
        <v>0</v>
      </c>
      <c r="G1452" s="156">
        <v>1</v>
      </c>
      <c r="H1452" s="120">
        <f>Tp_Non_CHG!V68</f>
        <v>0</v>
      </c>
      <c r="I1452" s="40" t="s">
        <v>58</v>
      </c>
      <c r="J1452" s="40">
        <f t="shared" si="221"/>
        <v>0</v>
      </c>
      <c r="K1452" s="40">
        <f t="shared" si="222"/>
        <v>0</v>
      </c>
      <c r="L1452" s="40" t="s">
        <v>58</v>
      </c>
      <c r="M1452" s="50" t="s">
        <v>266</v>
      </c>
      <c r="N1452" s="190"/>
      <c r="O1452" s="40">
        <f t="shared" ca="1" si="219"/>
        <v>0.60906888395050407</v>
      </c>
      <c r="P1452" s="51">
        <f t="shared" si="224"/>
        <v>0</v>
      </c>
      <c r="Q1452" s="51">
        <f t="shared" si="225"/>
        <v>0</v>
      </c>
      <c r="R1452" s="51">
        <f t="shared" si="223"/>
        <v>0</v>
      </c>
      <c r="S1452"/>
      <c r="T1452" s="83"/>
    </row>
    <row r="1453" spans="1:20" ht="16" x14ac:dyDescent="0.2">
      <c r="A1453"/>
      <c r="B1453" s="103"/>
      <c r="C1453" s="243"/>
      <c r="D1453" s="119">
        <v>1440</v>
      </c>
      <c r="E1453" s="25" t="str">
        <f>Tp_Non_CHG!S69</f>
        <v>Transition Probability from state 4 to state 2 on day 27 (Non-CHG)</v>
      </c>
      <c r="F1453" s="40">
        <f t="shared" si="220"/>
        <v>0</v>
      </c>
      <c r="G1453" s="156">
        <v>1</v>
      </c>
      <c r="H1453" s="120">
        <f>Tp_Non_CHG!V69</f>
        <v>0</v>
      </c>
      <c r="I1453" s="40" t="s">
        <v>58</v>
      </c>
      <c r="J1453" s="40">
        <f t="shared" si="221"/>
        <v>0</v>
      </c>
      <c r="K1453" s="40">
        <f t="shared" si="222"/>
        <v>0</v>
      </c>
      <c r="L1453" s="40" t="s">
        <v>58</v>
      </c>
      <c r="M1453" s="50" t="s">
        <v>266</v>
      </c>
      <c r="N1453" s="190"/>
      <c r="O1453" s="40">
        <f t="shared" ca="1" si="219"/>
        <v>0.75963740231210886</v>
      </c>
      <c r="P1453" s="51">
        <f t="shared" si="224"/>
        <v>0</v>
      </c>
      <c r="Q1453" s="51">
        <f t="shared" si="225"/>
        <v>0</v>
      </c>
      <c r="R1453" s="51">
        <f t="shared" si="223"/>
        <v>0</v>
      </c>
      <c r="S1453"/>
      <c r="T1453" s="83"/>
    </row>
    <row r="1454" spans="1:20" ht="16" x14ac:dyDescent="0.2">
      <c r="A1454"/>
      <c r="B1454" s="103"/>
      <c r="C1454" s="243"/>
      <c r="D1454" s="119">
        <v>1441</v>
      </c>
      <c r="E1454" s="25" t="str">
        <f>Tp_Non_CHG!S70</f>
        <v>Transition Probability from state 4 to state 2 on day 28 (Non-CHG)</v>
      </c>
      <c r="F1454" s="40">
        <f t="shared" si="220"/>
        <v>0</v>
      </c>
      <c r="G1454" s="156">
        <v>1</v>
      </c>
      <c r="H1454" s="120">
        <f>Tp_Non_CHG!V70</f>
        <v>0</v>
      </c>
      <c r="I1454" s="40" t="s">
        <v>58</v>
      </c>
      <c r="J1454" s="40">
        <f t="shared" si="221"/>
        <v>0</v>
      </c>
      <c r="K1454" s="40">
        <f t="shared" si="222"/>
        <v>0</v>
      </c>
      <c r="L1454" s="40" t="s">
        <v>58</v>
      </c>
      <c r="M1454" s="50" t="s">
        <v>266</v>
      </c>
      <c r="N1454" s="190"/>
      <c r="O1454" s="40">
        <f t="shared" ca="1" si="219"/>
        <v>0.63631486673002069</v>
      </c>
      <c r="P1454" s="51">
        <f t="shared" si="224"/>
        <v>0</v>
      </c>
      <c r="Q1454" s="51">
        <f t="shared" si="225"/>
        <v>0</v>
      </c>
      <c r="R1454" s="51">
        <f t="shared" si="223"/>
        <v>0</v>
      </c>
      <c r="S1454"/>
      <c r="T1454" s="83"/>
    </row>
    <row r="1455" spans="1:20" ht="16" x14ac:dyDescent="0.2">
      <c r="A1455"/>
      <c r="B1455" s="103"/>
      <c r="C1455" s="243"/>
      <c r="D1455" s="119">
        <v>1442</v>
      </c>
      <c r="E1455" s="25" t="str">
        <f>Tp_Non_CHG!S71</f>
        <v>Transition Probability from state 4 to state 2 on day 29 (Non-CHG)</v>
      </c>
      <c r="F1455" s="40">
        <f t="shared" si="220"/>
        <v>0</v>
      </c>
      <c r="G1455" s="156">
        <v>1</v>
      </c>
      <c r="H1455" s="120">
        <f>Tp_Non_CHG!V71</f>
        <v>0</v>
      </c>
      <c r="I1455" s="40" t="s">
        <v>58</v>
      </c>
      <c r="J1455" s="40">
        <f t="shared" si="221"/>
        <v>0</v>
      </c>
      <c r="K1455" s="40">
        <f t="shared" si="222"/>
        <v>0</v>
      </c>
      <c r="L1455" s="40" t="s">
        <v>58</v>
      </c>
      <c r="M1455" s="50" t="s">
        <v>266</v>
      </c>
      <c r="N1455" s="190"/>
      <c r="O1455" s="40">
        <f t="shared" ca="1" si="219"/>
        <v>0.53736224252035203</v>
      </c>
      <c r="P1455" s="51">
        <f t="shared" si="224"/>
        <v>0</v>
      </c>
      <c r="Q1455" s="51">
        <f t="shared" si="225"/>
        <v>0</v>
      </c>
      <c r="R1455" s="51">
        <f t="shared" si="223"/>
        <v>0</v>
      </c>
      <c r="S1455"/>
      <c r="T1455" s="83"/>
    </row>
    <row r="1456" spans="1:20" ht="16" x14ac:dyDescent="0.2">
      <c r="A1456"/>
      <c r="B1456" s="103"/>
      <c r="C1456" s="243"/>
      <c r="D1456" s="119">
        <v>1443</v>
      </c>
      <c r="E1456" s="25" t="str">
        <f>Tp_Non_CHG!S72</f>
        <v>Transition Probability from state 4 to state 2 on day 30 (Non-CHG)</v>
      </c>
      <c r="F1456" s="40">
        <f t="shared" si="220"/>
        <v>0</v>
      </c>
      <c r="G1456" s="156">
        <v>1</v>
      </c>
      <c r="H1456" s="120">
        <f>Tp_Non_CHG!V72</f>
        <v>0</v>
      </c>
      <c r="I1456" s="40" t="s">
        <v>58</v>
      </c>
      <c r="J1456" s="40">
        <f t="shared" si="221"/>
        <v>0</v>
      </c>
      <c r="K1456" s="40">
        <f t="shared" si="222"/>
        <v>0</v>
      </c>
      <c r="L1456" s="40" t="s">
        <v>58</v>
      </c>
      <c r="M1456" s="50" t="s">
        <v>266</v>
      </c>
      <c r="N1456" s="190"/>
      <c r="O1456" s="40">
        <f t="shared" ca="1" si="219"/>
        <v>0.91982506521156482</v>
      </c>
      <c r="P1456" s="51">
        <f t="shared" si="224"/>
        <v>0</v>
      </c>
      <c r="Q1456" s="51">
        <f t="shared" si="225"/>
        <v>0</v>
      </c>
      <c r="R1456" s="51">
        <f t="shared" si="223"/>
        <v>0</v>
      </c>
      <c r="S1456"/>
      <c r="T1456" s="83"/>
    </row>
    <row r="1457" spans="1:20" ht="16" x14ac:dyDescent="0.2">
      <c r="A1457"/>
      <c r="B1457" s="103"/>
      <c r="C1457" s="243"/>
      <c r="D1457" s="119">
        <v>1444</v>
      </c>
      <c r="E1457" s="25" t="str">
        <f>Tp_Non_CHG!X43</f>
        <v>Transition Probability from state 6 to state 2 on day 1 (Non-CHG)</v>
      </c>
      <c r="F1457" s="40">
        <f t="shared" si="220"/>
        <v>0</v>
      </c>
      <c r="G1457" s="156">
        <v>1</v>
      </c>
      <c r="H1457" s="120">
        <f>Tp_Non_CHG!AA43</f>
        <v>0</v>
      </c>
      <c r="I1457" s="40" t="s">
        <v>58</v>
      </c>
      <c r="J1457" s="40">
        <f t="shared" si="221"/>
        <v>0</v>
      </c>
      <c r="K1457" s="40">
        <f t="shared" si="222"/>
        <v>0</v>
      </c>
      <c r="L1457" s="40" t="s">
        <v>58</v>
      </c>
      <c r="M1457" s="50" t="s">
        <v>266</v>
      </c>
      <c r="N1457" s="190"/>
      <c r="O1457" s="40">
        <f t="shared" ref="O1457:O1515" ca="1" si="226">RAND()</f>
        <v>7.7651086409357584E-2</v>
      </c>
      <c r="P1457" s="51">
        <f t="shared" si="224"/>
        <v>0</v>
      </c>
      <c r="Q1457" s="51">
        <f t="shared" si="225"/>
        <v>0</v>
      </c>
      <c r="R1457" s="51">
        <f t="shared" si="223"/>
        <v>0</v>
      </c>
      <c r="S1457"/>
      <c r="T1457" s="83"/>
    </row>
    <row r="1458" spans="1:20" ht="16" x14ac:dyDescent="0.2">
      <c r="A1458"/>
      <c r="B1458" s="103"/>
      <c r="C1458" s="243"/>
      <c r="D1458" s="119">
        <v>1445</v>
      </c>
      <c r="E1458" s="25" t="str">
        <f>Tp_Non_CHG!X44</f>
        <v>Transition Probability from state 6 to state 2 on day 2 (Non-CHG)</v>
      </c>
      <c r="F1458" s="40">
        <f t="shared" si="220"/>
        <v>0</v>
      </c>
      <c r="G1458" s="156">
        <v>1</v>
      </c>
      <c r="H1458" s="120">
        <f>Tp_Non_CHG!AA44</f>
        <v>0</v>
      </c>
      <c r="I1458" s="40" t="s">
        <v>58</v>
      </c>
      <c r="J1458" s="40">
        <f t="shared" si="221"/>
        <v>0</v>
      </c>
      <c r="K1458" s="40">
        <f t="shared" si="222"/>
        <v>0</v>
      </c>
      <c r="L1458" s="40" t="s">
        <v>58</v>
      </c>
      <c r="M1458" s="50" t="s">
        <v>266</v>
      </c>
      <c r="N1458" s="190"/>
      <c r="O1458" s="40">
        <f t="shared" ca="1" si="226"/>
        <v>0.44452283194065989</v>
      </c>
      <c r="P1458" s="51">
        <f t="shared" si="224"/>
        <v>0</v>
      </c>
      <c r="Q1458" s="51">
        <f t="shared" si="225"/>
        <v>0</v>
      </c>
      <c r="R1458" s="51">
        <f t="shared" si="223"/>
        <v>0</v>
      </c>
      <c r="S1458"/>
      <c r="T1458" s="83"/>
    </row>
    <row r="1459" spans="1:20" ht="16" x14ac:dyDescent="0.2">
      <c r="A1459"/>
      <c r="B1459" s="103"/>
      <c r="C1459" s="243"/>
      <c r="D1459" s="119">
        <v>1446</v>
      </c>
      <c r="E1459" s="25" t="str">
        <f>Tp_Non_CHG!X45</f>
        <v>Transition Probability from state 6 to state 2 on day 3 (Non-CHG)</v>
      </c>
      <c r="F1459" s="40">
        <f t="shared" si="220"/>
        <v>0</v>
      </c>
      <c r="G1459" s="156">
        <v>1</v>
      </c>
      <c r="H1459" s="120">
        <f>Tp_Non_CHG!AA45</f>
        <v>0</v>
      </c>
      <c r="I1459" s="40" t="s">
        <v>58</v>
      </c>
      <c r="J1459" s="40">
        <f t="shared" si="221"/>
        <v>0</v>
      </c>
      <c r="K1459" s="40">
        <f t="shared" si="222"/>
        <v>0</v>
      </c>
      <c r="L1459" s="40" t="s">
        <v>58</v>
      </c>
      <c r="M1459" s="50" t="s">
        <v>266</v>
      </c>
      <c r="N1459" s="190"/>
      <c r="O1459" s="40">
        <f t="shared" ca="1" si="226"/>
        <v>0.85344133247579967</v>
      </c>
      <c r="P1459" s="51">
        <f t="shared" si="224"/>
        <v>0</v>
      </c>
      <c r="Q1459" s="51">
        <f t="shared" si="225"/>
        <v>0</v>
      </c>
      <c r="R1459" s="51">
        <f t="shared" si="223"/>
        <v>0</v>
      </c>
      <c r="S1459"/>
      <c r="T1459" s="83"/>
    </row>
    <row r="1460" spans="1:20" ht="16" x14ac:dyDescent="0.2">
      <c r="A1460"/>
      <c r="B1460" s="103"/>
      <c r="C1460" s="243"/>
      <c r="D1460" s="119">
        <v>1447</v>
      </c>
      <c r="E1460" s="25" t="str">
        <f>Tp_Non_CHG!X46</f>
        <v>Transition Probability from state 6 to state 2 on day 4 (Non-CHG)</v>
      </c>
      <c r="F1460" s="40">
        <f t="shared" si="220"/>
        <v>0</v>
      </c>
      <c r="G1460" s="156">
        <v>1</v>
      </c>
      <c r="H1460" s="120">
        <f>Tp_Non_CHG!AA46</f>
        <v>0</v>
      </c>
      <c r="I1460" s="40" t="s">
        <v>58</v>
      </c>
      <c r="J1460" s="40">
        <f t="shared" si="221"/>
        <v>0</v>
      </c>
      <c r="K1460" s="40">
        <f t="shared" si="222"/>
        <v>0</v>
      </c>
      <c r="L1460" s="40" t="s">
        <v>58</v>
      </c>
      <c r="M1460" s="50" t="s">
        <v>266</v>
      </c>
      <c r="N1460" s="190"/>
      <c r="O1460" s="40">
        <f t="shared" ca="1" si="226"/>
        <v>0.82118012780026028</v>
      </c>
      <c r="P1460" s="51">
        <f t="shared" si="224"/>
        <v>0</v>
      </c>
      <c r="Q1460" s="51">
        <f t="shared" si="225"/>
        <v>0</v>
      </c>
      <c r="R1460" s="51">
        <f t="shared" si="223"/>
        <v>0</v>
      </c>
      <c r="S1460"/>
      <c r="T1460" s="83"/>
    </row>
    <row r="1461" spans="1:20" ht="16" x14ac:dyDescent="0.2">
      <c r="A1461"/>
      <c r="B1461" s="103"/>
      <c r="C1461" s="243"/>
      <c r="D1461" s="119">
        <v>1448</v>
      </c>
      <c r="E1461" s="25" t="str">
        <f>Tp_Non_CHG!X47</f>
        <v>Transition Probability from state 6 to state 2 on day 5 (Non-CHG)</v>
      </c>
      <c r="F1461" s="40">
        <f t="shared" si="220"/>
        <v>0</v>
      </c>
      <c r="G1461" s="156">
        <v>1</v>
      </c>
      <c r="H1461" s="120">
        <f>Tp_Non_CHG!AA47</f>
        <v>0</v>
      </c>
      <c r="I1461" s="40" t="s">
        <v>58</v>
      </c>
      <c r="J1461" s="40">
        <f t="shared" si="221"/>
        <v>0</v>
      </c>
      <c r="K1461" s="40">
        <f t="shared" si="222"/>
        <v>0</v>
      </c>
      <c r="L1461" s="40" t="s">
        <v>58</v>
      </c>
      <c r="M1461" s="50" t="s">
        <v>266</v>
      </c>
      <c r="N1461" s="190"/>
      <c r="O1461" s="40">
        <f t="shared" ca="1" si="226"/>
        <v>0.7047718195345255</v>
      </c>
      <c r="P1461" s="51">
        <f t="shared" si="224"/>
        <v>0</v>
      </c>
      <c r="Q1461" s="51">
        <f t="shared" si="225"/>
        <v>0</v>
      </c>
      <c r="R1461" s="51">
        <f t="shared" si="223"/>
        <v>0</v>
      </c>
      <c r="S1461"/>
      <c r="T1461" s="83"/>
    </row>
    <row r="1462" spans="1:20" ht="16" x14ac:dyDescent="0.2">
      <c r="A1462"/>
      <c r="B1462" s="103"/>
      <c r="C1462" s="243"/>
      <c r="D1462" s="119">
        <v>1449</v>
      </c>
      <c r="E1462" s="25" t="str">
        <f>Tp_Non_CHG!X48</f>
        <v>Transition Probability from state 6 to state 2 on day 6 (Non-CHG)</v>
      </c>
      <c r="F1462" s="40">
        <f t="shared" si="220"/>
        <v>0</v>
      </c>
      <c r="G1462" s="156">
        <v>1</v>
      </c>
      <c r="H1462" s="120">
        <f>Tp_Non_CHG!AA48</f>
        <v>0</v>
      </c>
      <c r="I1462" s="40" t="s">
        <v>58</v>
      </c>
      <c r="J1462" s="40">
        <f t="shared" si="221"/>
        <v>0</v>
      </c>
      <c r="K1462" s="40">
        <f t="shared" si="222"/>
        <v>0</v>
      </c>
      <c r="L1462" s="40" t="s">
        <v>58</v>
      </c>
      <c r="M1462" s="50" t="s">
        <v>266</v>
      </c>
      <c r="N1462" s="190"/>
      <c r="O1462" s="40">
        <f t="shared" ca="1" si="226"/>
        <v>0.16958597999536729</v>
      </c>
      <c r="P1462" s="51">
        <f t="shared" si="224"/>
        <v>0</v>
      </c>
      <c r="Q1462" s="51">
        <f t="shared" si="225"/>
        <v>0</v>
      </c>
      <c r="R1462" s="51">
        <f t="shared" si="223"/>
        <v>0</v>
      </c>
      <c r="S1462"/>
      <c r="T1462" s="83"/>
    </row>
    <row r="1463" spans="1:20" ht="16" x14ac:dyDescent="0.2">
      <c r="A1463"/>
      <c r="B1463" s="103"/>
      <c r="C1463" s="243"/>
      <c r="D1463" s="119">
        <v>1450</v>
      </c>
      <c r="E1463" s="25" t="str">
        <f>Tp_Non_CHG!X49</f>
        <v>Transition Probability from state 6 to state 2 on day 7 (Non-CHG)</v>
      </c>
      <c r="F1463" s="40">
        <f t="shared" si="220"/>
        <v>0</v>
      </c>
      <c r="G1463" s="156">
        <v>1</v>
      </c>
      <c r="H1463" s="120">
        <f>Tp_Non_CHG!AA49</f>
        <v>0</v>
      </c>
      <c r="I1463" s="40" t="s">
        <v>58</v>
      </c>
      <c r="J1463" s="40">
        <f t="shared" si="221"/>
        <v>0</v>
      </c>
      <c r="K1463" s="40">
        <f t="shared" si="222"/>
        <v>0</v>
      </c>
      <c r="L1463" s="40" t="s">
        <v>58</v>
      </c>
      <c r="M1463" s="50" t="s">
        <v>266</v>
      </c>
      <c r="N1463" s="190"/>
      <c r="O1463" s="40">
        <f t="shared" ca="1" si="226"/>
        <v>0.78321242355646714</v>
      </c>
      <c r="P1463" s="51">
        <f t="shared" si="224"/>
        <v>0</v>
      </c>
      <c r="Q1463" s="51">
        <f t="shared" si="225"/>
        <v>0</v>
      </c>
      <c r="R1463" s="51">
        <f t="shared" si="223"/>
        <v>0</v>
      </c>
      <c r="S1463"/>
      <c r="T1463" s="83"/>
    </row>
    <row r="1464" spans="1:20" ht="16" x14ac:dyDescent="0.2">
      <c r="A1464"/>
      <c r="B1464" s="103"/>
      <c r="C1464" s="243"/>
      <c r="D1464" s="119">
        <v>1451</v>
      </c>
      <c r="E1464" s="25" t="str">
        <f>Tp_Non_CHG!X50</f>
        <v>Transition Probability from state 6 to state 2 on day 8 (Non-CHG)</v>
      </c>
      <c r="F1464" s="40">
        <f t="shared" si="220"/>
        <v>0</v>
      </c>
      <c r="G1464" s="156">
        <v>1</v>
      </c>
      <c r="H1464" s="120">
        <f>Tp_Non_CHG!AA50</f>
        <v>0</v>
      </c>
      <c r="I1464" s="40" t="s">
        <v>58</v>
      </c>
      <c r="J1464" s="40">
        <f t="shared" si="221"/>
        <v>0</v>
      </c>
      <c r="K1464" s="40">
        <f t="shared" si="222"/>
        <v>0</v>
      </c>
      <c r="L1464" s="40" t="s">
        <v>58</v>
      </c>
      <c r="M1464" s="50" t="s">
        <v>266</v>
      </c>
      <c r="N1464" s="190"/>
      <c r="O1464" s="40">
        <f t="shared" ca="1" si="226"/>
        <v>4.3474120524202964E-2</v>
      </c>
      <c r="P1464" s="51">
        <f t="shared" si="224"/>
        <v>0</v>
      </c>
      <c r="Q1464" s="51">
        <f t="shared" si="225"/>
        <v>0</v>
      </c>
      <c r="R1464" s="51">
        <f t="shared" si="223"/>
        <v>0</v>
      </c>
      <c r="S1464"/>
      <c r="T1464" s="83"/>
    </row>
    <row r="1465" spans="1:20" ht="16" x14ac:dyDescent="0.2">
      <c r="A1465"/>
      <c r="B1465" s="103"/>
      <c r="C1465" s="243"/>
      <c r="D1465" s="119">
        <v>1452</v>
      </c>
      <c r="E1465" s="25" t="str">
        <f>Tp_Non_CHG!X51</f>
        <v>Transition Probability from state 6 to state 2 on day 9 (Non-CHG)</v>
      </c>
      <c r="F1465" s="40">
        <f t="shared" si="220"/>
        <v>0</v>
      </c>
      <c r="G1465" s="156">
        <v>1</v>
      </c>
      <c r="H1465" s="120">
        <f>Tp_Non_CHG!AA51</f>
        <v>0</v>
      </c>
      <c r="I1465" s="40" t="s">
        <v>58</v>
      </c>
      <c r="J1465" s="40">
        <f t="shared" si="221"/>
        <v>0</v>
      </c>
      <c r="K1465" s="40">
        <f t="shared" si="222"/>
        <v>0</v>
      </c>
      <c r="L1465" s="40" t="s">
        <v>58</v>
      </c>
      <c r="M1465" s="50" t="s">
        <v>266</v>
      </c>
      <c r="N1465" s="190"/>
      <c r="O1465" s="40">
        <f t="shared" ca="1" si="226"/>
        <v>0.87390699937284655</v>
      </c>
      <c r="P1465" s="51">
        <f t="shared" si="224"/>
        <v>0</v>
      </c>
      <c r="Q1465" s="51">
        <f t="shared" si="225"/>
        <v>0</v>
      </c>
      <c r="R1465" s="51">
        <f t="shared" si="223"/>
        <v>0</v>
      </c>
      <c r="S1465"/>
      <c r="T1465" s="83"/>
    </row>
    <row r="1466" spans="1:20" ht="16" x14ac:dyDescent="0.2">
      <c r="A1466"/>
      <c r="B1466" s="103"/>
      <c r="C1466" s="243"/>
      <c r="D1466" s="119">
        <v>1453</v>
      </c>
      <c r="E1466" s="25" t="str">
        <f>Tp_Non_CHG!X52</f>
        <v>Transition Probability from state 6 to state 2 on day 10 (Non-CHG)</v>
      </c>
      <c r="F1466" s="40">
        <f t="shared" si="220"/>
        <v>0</v>
      </c>
      <c r="G1466" s="156">
        <v>1</v>
      </c>
      <c r="H1466" s="120">
        <f>Tp_Non_CHG!AA52</f>
        <v>0</v>
      </c>
      <c r="I1466" s="40" t="s">
        <v>58</v>
      </c>
      <c r="J1466" s="40">
        <f t="shared" si="221"/>
        <v>0</v>
      </c>
      <c r="K1466" s="40">
        <f t="shared" si="222"/>
        <v>0</v>
      </c>
      <c r="L1466" s="40" t="s">
        <v>58</v>
      </c>
      <c r="M1466" s="50" t="s">
        <v>266</v>
      </c>
      <c r="N1466" s="190"/>
      <c r="O1466" s="40">
        <f t="shared" ca="1" si="226"/>
        <v>0.71038409370170963</v>
      </c>
      <c r="P1466" s="51">
        <f t="shared" si="224"/>
        <v>0</v>
      </c>
      <c r="Q1466" s="51">
        <f t="shared" si="225"/>
        <v>0</v>
      </c>
      <c r="R1466" s="51">
        <f t="shared" si="223"/>
        <v>0</v>
      </c>
      <c r="S1466"/>
      <c r="T1466" s="83"/>
    </row>
    <row r="1467" spans="1:20" ht="16" x14ac:dyDescent="0.2">
      <c r="A1467"/>
      <c r="B1467" s="103"/>
      <c r="C1467" s="243"/>
      <c r="D1467" s="119">
        <v>1454</v>
      </c>
      <c r="E1467" s="25" t="str">
        <f>Tp_Non_CHG!X53</f>
        <v>Transition Probability from state 6 to state 2 on day 11 (Non-CHG)</v>
      </c>
      <c r="F1467" s="40">
        <f t="shared" si="220"/>
        <v>0</v>
      </c>
      <c r="G1467" s="156">
        <v>1</v>
      </c>
      <c r="H1467" s="120">
        <f>Tp_Non_CHG!AA53</f>
        <v>0</v>
      </c>
      <c r="I1467" s="40" t="s">
        <v>58</v>
      </c>
      <c r="J1467" s="40">
        <f t="shared" si="221"/>
        <v>0</v>
      </c>
      <c r="K1467" s="40">
        <f t="shared" si="222"/>
        <v>0</v>
      </c>
      <c r="L1467" s="40" t="s">
        <v>58</v>
      </c>
      <c r="M1467" s="50" t="s">
        <v>266</v>
      </c>
      <c r="N1467" s="190"/>
      <c r="O1467" s="40">
        <f t="shared" ca="1" si="226"/>
        <v>0.83127390410011015</v>
      </c>
      <c r="P1467" s="51">
        <f t="shared" si="224"/>
        <v>0</v>
      </c>
      <c r="Q1467" s="51">
        <f t="shared" si="225"/>
        <v>0</v>
      </c>
      <c r="R1467" s="51">
        <f t="shared" si="223"/>
        <v>0</v>
      </c>
      <c r="S1467"/>
      <c r="T1467" s="83"/>
    </row>
    <row r="1468" spans="1:20" ht="16" x14ac:dyDescent="0.2">
      <c r="A1468"/>
      <c r="B1468" s="103"/>
      <c r="C1468" s="243"/>
      <c r="D1468" s="119">
        <v>1455</v>
      </c>
      <c r="E1468" s="25" t="str">
        <f>Tp_Non_CHG!X54</f>
        <v>Transition Probability from state 6 to state 2 on day 12 (Non-CHG)</v>
      </c>
      <c r="F1468" s="40">
        <f t="shared" si="220"/>
        <v>0</v>
      </c>
      <c r="G1468" s="156">
        <v>1</v>
      </c>
      <c r="H1468" s="120">
        <f>Tp_Non_CHG!AA54</f>
        <v>0</v>
      </c>
      <c r="I1468" s="40" t="s">
        <v>58</v>
      </c>
      <c r="J1468" s="40">
        <f t="shared" si="221"/>
        <v>0</v>
      </c>
      <c r="K1468" s="40">
        <f t="shared" si="222"/>
        <v>0</v>
      </c>
      <c r="L1468" s="40" t="s">
        <v>58</v>
      </c>
      <c r="M1468" s="50" t="s">
        <v>266</v>
      </c>
      <c r="N1468" s="190"/>
      <c r="O1468" s="40">
        <f t="shared" ca="1" si="226"/>
        <v>0.34568924368683107</v>
      </c>
      <c r="P1468" s="51">
        <f t="shared" si="224"/>
        <v>0</v>
      </c>
      <c r="Q1468" s="51">
        <f t="shared" si="225"/>
        <v>0</v>
      </c>
      <c r="R1468" s="51">
        <f t="shared" si="223"/>
        <v>0</v>
      </c>
      <c r="S1468"/>
      <c r="T1468" s="83"/>
    </row>
    <row r="1469" spans="1:20" ht="16" x14ac:dyDescent="0.2">
      <c r="A1469"/>
      <c r="B1469" s="103"/>
      <c r="C1469" s="243"/>
      <c r="D1469" s="119">
        <v>1456</v>
      </c>
      <c r="E1469" s="25" t="str">
        <f>Tp_Non_CHG!X55</f>
        <v>Transition Probability from state 6 to state 2 on day 13 (Non-CHG)</v>
      </c>
      <c r="F1469" s="40">
        <f t="shared" si="220"/>
        <v>0</v>
      </c>
      <c r="G1469" s="156">
        <v>1</v>
      </c>
      <c r="H1469" s="120">
        <f>Tp_Non_CHG!AA55</f>
        <v>0</v>
      </c>
      <c r="I1469" s="40" t="s">
        <v>58</v>
      </c>
      <c r="J1469" s="40">
        <f t="shared" si="221"/>
        <v>0</v>
      </c>
      <c r="K1469" s="40">
        <f t="shared" si="222"/>
        <v>0</v>
      </c>
      <c r="L1469" s="40" t="s">
        <v>58</v>
      </c>
      <c r="M1469" s="50" t="s">
        <v>266</v>
      </c>
      <c r="N1469" s="190"/>
      <c r="O1469" s="40">
        <f t="shared" ca="1" si="226"/>
        <v>0.24446518591325994</v>
      </c>
      <c r="P1469" s="51">
        <f t="shared" si="224"/>
        <v>0</v>
      </c>
      <c r="Q1469" s="51">
        <f t="shared" si="225"/>
        <v>0</v>
      </c>
      <c r="R1469" s="51">
        <f t="shared" si="223"/>
        <v>0</v>
      </c>
      <c r="S1469"/>
      <c r="T1469" s="83"/>
    </row>
    <row r="1470" spans="1:20" ht="16" x14ac:dyDescent="0.2">
      <c r="A1470"/>
      <c r="B1470" s="103"/>
      <c r="C1470" s="243"/>
      <c r="D1470" s="119">
        <v>1457</v>
      </c>
      <c r="E1470" s="25" t="str">
        <f>Tp_Non_CHG!X56</f>
        <v>Transition Probability from state 6 to state 2 on day 14 (Non-CHG)</v>
      </c>
      <c r="F1470" s="40">
        <f t="shared" si="220"/>
        <v>0</v>
      </c>
      <c r="G1470" s="156">
        <v>1</v>
      </c>
      <c r="H1470" s="120">
        <f>Tp_Non_CHG!AA56</f>
        <v>0</v>
      </c>
      <c r="I1470" s="40" t="s">
        <v>58</v>
      </c>
      <c r="J1470" s="40">
        <f t="shared" si="221"/>
        <v>0</v>
      </c>
      <c r="K1470" s="40">
        <f t="shared" si="222"/>
        <v>0</v>
      </c>
      <c r="L1470" s="40" t="s">
        <v>58</v>
      </c>
      <c r="M1470" s="50" t="s">
        <v>266</v>
      </c>
      <c r="N1470" s="190"/>
      <c r="O1470" s="40">
        <f t="shared" ca="1" si="226"/>
        <v>0.65466046863686733</v>
      </c>
      <c r="P1470" s="51">
        <f t="shared" si="224"/>
        <v>0</v>
      </c>
      <c r="Q1470" s="51">
        <f t="shared" si="225"/>
        <v>0</v>
      </c>
      <c r="R1470" s="51">
        <f t="shared" si="223"/>
        <v>0</v>
      </c>
      <c r="S1470"/>
      <c r="T1470" s="83"/>
    </row>
    <row r="1471" spans="1:20" ht="16" x14ac:dyDescent="0.2">
      <c r="A1471"/>
      <c r="B1471" s="103"/>
      <c r="C1471" s="243"/>
      <c r="D1471" s="119">
        <v>1458</v>
      </c>
      <c r="E1471" s="25" t="str">
        <f>Tp_Non_CHG!X57</f>
        <v>Transition Probability from state 6 to state 2 on day 15 (Non-CHG)</v>
      </c>
      <c r="F1471" s="40">
        <f t="shared" si="220"/>
        <v>0</v>
      </c>
      <c r="G1471" s="156">
        <v>1</v>
      </c>
      <c r="H1471" s="120">
        <f>Tp_Non_CHG!AA57</f>
        <v>0</v>
      </c>
      <c r="I1471" s="40" t="s">
        <v>58</v>
      </c>
      <c r="J1471" s="40">
        <f t="shared" si="221"/>
        <v>0</v>
      </c>
      <c r="K1471" s="40">
        <f t="shared" si="222"/>
        <v>0</v>
      </c>
      <c r="L1471" s="40" t="s">
        <v>58</v>
      </c>
      <c r="M1471" s="50" t="s">
        <v>266</v>
      </c>
      <c r="N1471" s="190"/>
      <c r="O1471" s="40">
        <f t="shared" ca="1" si="226"/>
        <v>0.91483487390096085</v>
      </c>
      <c r="P1471" s="51">
        <f t="shared" si="224"/>
        <v>0</v>
      </c>
      <c r="Q1471" s="51">
        <f t="shared" si="225"/>
        <v>0</v>
      </c>
      <c r="R1471" s="51">
        <f t="shared" si="223"/>
        <v>0</v>
      </c>
      <c r="S1471"/>
      <c r="T1471" s="83"/>
    </row>
    <row r="1472" spans="1:20" ht="16" x14ac:dyDescent="0.2">
      <c r="A1472"/>
      <c r="B1472" s="103"/>
      <c r="C1472" s="243"/>
      <c r="D1472" s="119">
        <v>1459</v>
      </c>
      <c r="E1472" s="25" t="str">
        <f>Tp_Non_CHG!X58</f>
        <v>Transition Probability from state 6 to state 2 on day 16 (Non-CHG)</v>
      </c>
      <c r="F1472" s="40">
        <f t="shared" si="220"/>
        <v>0</v>
      </c>
      <c r="G1472" s="156">
        <v>1</v>
      </c>
      <c r="H1472" s="120">
        <f>Tp_Non_CHG!AA58</f>
        <v>0</v>
      </c>
      <c r="I1472" s="40" t="s">
        <v>58</v>
      </c>
      <c r="J1472" s="40">
        <f t="shared" si="221"/>
        <v>0</v>
      </c>
      <c r="K1472" s="40">
        <f t="shared" si="222"/>
        <v>0</v>
      </c>
      <c r="L1472" s="40" t="s">
        <v>58</v>
      </c>
      <c r="M1472" s="50" t="s">
        <v>266</v>
      </c>
      <c r="N1472" s="190"/>
      <c r="O1472" s="40">
        <f t="shared" ca="1" si="226"/>
        <v>6.0168422822788337E-2</v>
      </c>
      <c r="P1472" s="51">
        <f t="shared" si="224"/>
        <v>0</v>
      </c>
      <c r="Q1472" s="51">
        <f t="shared" si="225"/>
        <v>0</v>
      </c>
      <c r="R1472" s="51">
        <f t="shared" si="223"/>
        <v>0</v>
      </c>
      <c r="S1472"/>
      <c r="T1472" s="83"/>
    </row>
    <row r="1473" spans="1:20" ht="16" x14ac:dyDescent="0.2">
      <c r="A1473"/>
      <c r="B1473" s="103"/>
      <c r="C1473" s="243"/>
      <c r="D1473" s="119">
        <v>1460</v>
      </c>
      <c r="E1473" s="25" t="str">
        <f>Tp_Non_CHG!X59</f>
        <v>Transition Probability from state 6 to state 2 on day 17 (Non-CHG)</v>
      </c>
      <c r="F1473" s="40">
        <f t="shared" si="220"/>
        <v>0</v>
      </c>
      <c r="G1473" s="156">
        <v>1</v>
      </c>
      <c r="H1473" s="120">
        <f>Tp_Non_CHG!AA59</f>
        <v>0</v>
      </c>
      <c r="I1473" s="40" t="s">
        <v>58</v>
      </c>
      <c r="J1473" s="40">
        <f t="shared" si="221"/>
        <v>0</v>
      </c>
      <c r="K1473" s="40">
        <f t="shared" si="222"/>
        <v>0</v>
      </c>
      <c r="L1473" s="40" t="s">
        <v>58</v>
      </c>
      <c r="M1473" s="50" t="s">
        <v>266</v>
      </c>
      <c r="N1473" s="190"/>
      <c r="O1473" s="40">
        <f t="shared" ca="1" si="226"/>
        <v>0.49876437751782154</v>
      </c>
      <c r="P1473" s="51">
        <f t="shared" si="224"/>
        <v>0</v>
      </c>
      <c r="Q1473" s="51">
        <f t="shared" si="225"/>
        <v>0</v>
      </c>
      <c r="R1473" s="51">
        <f t="shared" si="223"/>
        <v>0</v>
      </c>
      <c r="S1473"/>
      <c r="T1473" s="83"/>
    </row>
    <row r="1474" spans="1:20" ht="16" x14ac:dyDescent="0.2">
      <c r="A1474"/>
      <c r="B1474" s="103"/>
      <c r="C1474" s="243"/>
      <c r="D1474" s="119">
        <v>1461</v>
      </c>
      <c r="E1474" s="25" t="str">
        <f>Tp_Non_CHG!X60</f>
        <v>Transition Probability from state 6 to state 2 on day 18 (Non-CHG)</v>
      </c>
      <c r="F1474" s="40">
        <f t="shared" si="220"/>
        <v>0</v>
      </c>
      <c r="G1474" s="156">
        <v>1</v>
      </c>
      <c r="H1474" s="120">
        <f>Tp_Non_CHG!AA60</f>
        <v>0</v>
      </c>
      <c r="I1474" s="40" t="s">
        <v>58</v>
      </c>
      <c r="J1474" s="40">
        <f t="shared" si="221"/>
        <v>0</v>
      </c>
      <c r="K1474" s="40">
        <f t="shared" si="222"/>
        <v>0</v>
      </c>
      <c r="L1474" s="40" t="s">
        <v>58</v>
      </c>
      <c r="M1474" s="50" t="s">
        <v>266</v>
      </c>
      <c r="N1474" s="190"/>
      <c r="O1474" s="40">
        <f t="shared" ca="1" si="226"/>
        <v>0.94547472841148494</v>
      </c>
      <c r="P1474" s="51">
        <f t="shared" si="224"/>
        <v>0</v>
      </c>
      <c r="Q1474" s="51">
        <f t="shared" si="225"/>
        <v>0</v>
      </c>
      <c r="R1474" s="51">
        <f t="shared" si="223"/>
        <v>0</v>
      </c>
      <c r="S1474"/>
      <c r="T1474" s="83"/>
    </row>
    <row r="1475" spans="1:20" ht="16" x14ac:dyDescent="0.2">
      <c r="A1475"/>
      <c r="B1475" s="103"/>
      <c r="C1475" s="243"/>
      <c r="D1475" s="119">
        <v>1462</v>
      </c>
      <c r="E1475" s="25" t="str">
        <f>Tp_Non_CHG!X61</f>
        <v>Transition Probability from state 6 to state 2 on day 19 (Non-CHG)</v>
      </c>
      <c r="F1475" s="40">
        <f t="shared" si="220"/>
        <v>0</v>
      </c>
      <c r="G1475" s="156">
        <v>1</v>
      </c>
      <c r="H1475" s="120">
        <f>Tp_Non_CHG!AA61</f>
        <v>0</v>
      </c>
      <c r="I1475" s="40" t="s">
        <v>58</v>
      </c>
      <c r="J1475" s="40">
        <f t="shared" si="221"/>
        <v>0</v>
      </c>
      <c r="K1475" s="40">
        <f t="shared" si="222"/>
        <v>0</v>
      </c>
      <c r="L1475" s="40" t="s">
        <v>58</v>
      </c>
      <c r="M1475" s="50" t="s">
        <v>266</v>
      </c>
      <c r="N1475" s="190"/>
      <c r="O1475" s="40">
        <f t="shared" ca="1" si="226"/>
        <v>0.40893573906060865</v>
      </c>
      <c r="P1475" s="51">
        <f t="shared" si="224"/>
        <v>0</v>
      </c>
      <c r="Q1475" s="51">
        <f t="shared" si="225"/>
        <v>0</v>
      </c>
      <c r="R1475" s="51">
        <f t="shared" si="223"/>
        <v>0</v>
      </c>
      <c r="S1475"/>
      <c r="T1475" s="83"/>
    </row>
    <row r="1476" spans="1:20" ht="16" x14ac:dyDescent="0.2">
      <c r="A1476"/>
      <c r="B1476" s="103"/>
      <c r="C1476" s="243"/>
      <c r="D1476" s="119">
        <v>1463</v>
      </c>
      <c r="E1476" s="25" t="str">
        <f>Tp_Non_CHG!X62</f>
        <v>Transition Probability from state 6 to state 2 on day 20 (Non-CHG)</v>
      </c>
      <c r="F1476" s="40">
        <f t="shared" si="220"/>
        <v>0</v>
      </c>
      <c r="G1476" s="156">
        <v>1</v>
      </c>
      <c r="H1476" s="120">
        <f>Tp_Non_CHG!AA62</f>
        <v>0</v>
      </c>
      <c r="I1476" s="40" t="s">
        <v>58</v>
      </c>
      <c r="J1476" s="40">
        <f t="shared" si="221"/>
        <v>0</v>
      </c>
      <c r="K1476" s="40">
        <f t="shared" si="222"/>
        <v>0</v>
      </c>
      <c r="L1476" s="40" t="s">
        <v>58</v>
      </c>
      <c r="M1476" s="50" t="s">
        <v>266</v>
      </c>
      <c r="N1476" s="190"/>
      <c r="O1476" s="40">
        <f t="shared" ca="1" si="226"/>
        <v>0.54687316775306571</v>
      </c>
      <c r="P1476" s="51">
        <f t="shared" si="224"/>
        <v>0</v>
      </c>
      <c r="Q1476" s="51">
        <f t="shared" si="225"/>
        <v>0</v>
      </c>
      <c r="R1476" s="51">
        <f t="shared" si="223"/>
        <v>0</v>
      </c>
      <c r="S1476"/>
      <c r="T1476" s="83"/>
    </row>
    <row r="1477" spans="1:20" ht="16" x14ac:dyDescent="0.2">
      <c r="A1477"/>
      <c r="B1477" s="103"/>
      <c r="C1477" s="243"/>
      <c r="D1477" s="119">
        <v>1464</v>
      </c>
      <c r="E1477" s="25" t="str">
        <f>Tp_Non_CHG!X63</f>
        <v>Transition Probability from state 6 to state 2 on day 21 (Non-CHG)</v>
      </c>
      <c r="F1477" s="40">
        <f t="shared" si="220"/>
        <v>0</v>
      </c>
      <c r="G1477" s="156">
        <v>1</v>
      </c>
      <c r="H1477" s="120">
        <f>Tp_Non_CHG!AA63</f>
        <v>0</v>
      </c>
      <c r="I1477" s="40" t="s">
        <v>58</v>
      </c>
      <c r="J1477" s="40">
        <f t="shared" si="221"/>
        <v>0</v>
      </c>
      <c r="K1477" s="40">
        <f t="shared" si="222"/>
        <v>0</v>
      </c>
      <c r="L1477" s="40" t="s">
        <v>58</v>
      </c>
      <c r="M1477" s="50" t="s">
        <v>266</v>
      </c>
      <c r="N1477" s="190"/>
      <c r="O1477" s="40">
        <f t="shared" ca="1" si="226"/>
        <v>1.9916216666142073E-2</v>
      </c>
      <c r="P1477" s="51">
        <f t="shared" si="224"/>
        <v>0</v>
      </c>
      <c r="Q1477" s="51">
        <f t="shared" si="225"/>
        <v>0</v>
      </c>
      <c r="R1477" s="51">
        <f t="shared" si="223"/>
        <v>0</v>
      </c>
      <c r="S1477"/>
      <c r="T1477" s="83"/>
    </row>
    <row r="1478" spans="1:20" ht="16" x14ac:dyDescent="0.2">
      <c r="A1478"/>
      <c r="B1478" s="103"/>
      <c r="C1478" s="243"/>
      <c r="D1478" s="119">
        <v>1465</v>
      </c>
      <c r="E1478" s="25" t="str">
        <f>Tp_Non_CHG!X64</f>
        <v>Transition Probability from state 6 to state 2 on day 22 (Non-CHG)</v>
      </c>
      <c r="F1478" s="40">
        <f t="shared" si="220"/>
        <v>0</v>
      </c>
      <c r="G1478" s="156">
        <v>1</v>
      </c>
      <c r="H1478" s="120">
        <f>Tp_Non_CHG!AA64</f>
        <v>0</v>
      </c>
      <c r="I1478" s="40" t="s">
        <v>58</v>
      </c>
      <c r="J1478" s="40">
        <f t="shared" si="221"/>
        <v>0</v>
      </c>
      <c r="K1478" s="40">
        <f t="shared" si="222"/>
        <v>0</v>
      </c>
      <c r="L1478" s="40" t="s">
        <v>58</v>
      </c>
      <c r="M1478" s="50" t="s">
        <v>266</v>
      </c>
      <c r="N1478" s="190"/>
      <c r="O1478" s="40">
        <f t="shared" ca="1" si="226"/>
        <v>0.4500881512364292</v>
      </c>
      <c r="P1478" s="51">
        <f t="shared" si="224"/>
        <v>0</v>
      </c>
      <c r="Q1478" s="51">
        <f t="shared" si="225"/>
        <v>0</v>
      </c>
      <c r="R1478" s="51">
        <f t="shared" si="223"/>
        <v>0</v>
      </c>
      <c r="S1478"/>
      <c r="T1478" s="83"/>
    </row>
    <row r="1479" spans="1:20" ht="16" x14ac:dyDescent="0.2">
      <c r="A1479"/>
      <c r="B1479" s="103"/>
      <c r="C1479" s="243"/>
      <c r="D1479" s="119">
        <v>1466</v>
      </c>
      <c r="E1479" s="25" t="str">
        <f>Tp_Non_CHG!X65</f>
        <v>Transition Probability from state 6 to state 2 on day 23 (Non-CHG)</v>
      </c>
      <c r="F1479" s="40">
        <f t="shared" si="220"/>
        <v>0</v>
      </c>
      <c r="G1479" s="156">
        <v>1</v>
      </c>
      <c r="H1479" s="120">
        <f>Tp_Non_CHG!AA65</f>
        <v>0</v>
      </c>
      <c r="I1479" s="40" t="s">
        <v>58</v>
      </c>
      <c r="J1479" s="40">
        <f t="shared" si="221"/>
        <v>0</v>
      </c>
      <c r="K1479" s="40">
        <f t="shared" si="222"/>
        <v>0</v>
      </c>
      <c r="L1479" s="40" t="s">
        <v>58</v>
      </c>
      <c r="M1479" s="50" t="s">
        <v>266</v>
      </c>
      <c r="N1479" s="190"/>
      <c r="O1479" s="40">
        <f t="shared" ca="1" si="226"/>
        <v>0.27592029479405722</v>
      </c>
      <c r="P1479" s="51">
        <f t="shared" si="224"/>
        <v>0</v>
      </c>
      <c r="Q1479" s="51">
        <f t="shared" si="225"/>
        <v>0</v>
      </c>
      <c r="R1479" s="51">
        <f t="shared" si="223"/>
        <v>0</v>
      </c>
      <c r="S1479"/>
      <c r="T1479" s="83"/>
    </row>
    <row r="1480" spans="1:20" ht="16" x14ac:dyDescent="0.2">
      <c r="A1480"/>
      <c r="B1480" s="103"/>
      <c r="C1480" s="243"/>
      <c r="D1480" s="119">
        <v>1467</v>
      </c>
      <c r="E1480" s="25" t="str">
        <f>Tp_Non_CHG!X66</f>
        <v>Transition Probability from state 6 to state 2 on day 24 (Non-CHG)</v>
      </c>
      <c r="F1480" s="40">
        <f t="shared" si="220"/>
        <v>0</v>
      </c>
      <c r="G1480" s="156">
        <v>1</v>
      </c>
      <c r="H1480" s="120">
        <f>Tp_Non_CHG!AA66</f>
        <v>0</v>
      </c>
      <c r="I1480" s="40" t="s">
        <v>58</v>
      </c>
      <c r="J1480" s="40">
        <f t="shared" si="221"/>
        <v>0</v>
      </c>
      <c r="K1480" s="40">
        <f t="shared" si="222"/>
        <v>0</v>
      </c>
      <c r="L1480" s="40" t="s">
        <v>58</v>
      </c>
      <c r="M1480" s="50" t="s">
        <v>266</v>
      </c>
      <c r="N1480" s="190"/>
      <c r="O1480" s="40">
        <f t="shared" ca="1" si="226"/>
        <v>0.76601352714301418</v>
      </c>
      <c r="P1480" s="51">
        <f t="shared" si="224"/>
        <v>0</v>
      </c>
      <c r="Q1480" s="51">
        <f t="shared" si="225"/>
        <v>0</v>
      </c>
      <c r="R1480" s="51">
        <f t="shared" si="223"/>
        <v>0</v>
      </c>
      <c r="S1480"/>
      <c r="T1480" s="83"/>
    </row>
    <row r="1481" spans="1:20" ht="16" x14ac:dyDescent="0.2">
      <c r="A1481"/>
      <c r="B1481" s="103"/>
      <c r="C1481" s="243"/>
      <c r="D1481" s="119">
        <v>1468</v>
      </c>
      <c r="E1481" s="25" t="str">
        <f>Tp_Non_CHG!X67</f>
        <v>Transition Probability from state 6 to state 2 on day 25 (Non-CHG)</v>
      </c>
      <c r="F1481" s="40">
        <f t="shared" si="220"/>
        <v>0</v>
      </c>
      <c r="G1481" s="156">
        <v>1</v>
      </c>
      <c r="H1481" s="120">
        <f>Tp_Non_CHG!AA67</f>
        <v>0</v>
      </c>
      <c r="I1481" s="40" t="s">
        <v>58</v>
      </c>
      <c r="J1481" s="40">
        <f t="shared" si="221"/>
        <v>0</v>
      </c>
      <c r="K1481" s="40">
        <f t="shared" si="222"/>
        <v>0</v>
      </c>
      <c r="L1481" s="40" t="s">
        <v>58</v>
      </c>
      <c r="M1481" s="50" t="s">
        <v>266</v>
      </c>
      <c r="N1481" s="190"/>
      <c r="O1481" s="40">
        <f t="shared" ca="1" si="226"/>
        <v>0.75735415908124581</v>
      </c>
      <c r="P1481" s="51">
        <f t="shared" si="224"/>
        <v>0</v>
      </c>
      <c r="Q1481" s="51">
        <f t="shared" si="225"/>
        <v>0</v>
      </c>
      <c r="R1481" s="51">
        <f t="shared" si="223"/>
        <v>0</v>
      </c>
      <c r="S1481"/>
      <c r="T1481" s="83"/>
    </row>
    <row r="1482" spans="1:20" ht="16" x14ac:dyDescent="0.2">
      <c r="A1482"/>
      <c r="B1482" s="103"/>
      <c r="C1482" s="243"/>
      <c r="D1482" s="119">
        <v>1469</v>
      </c>
      <c r="E1482" s="25" t="str">
        <f>Tp_Non_CHG!X68</f>
        <v>Transition Probability from state 6 to state 2 on day 26 (Non-CHG)</v>
      </c>
      <c r="F1482" s="40">
        <f t="shared" si="220"/>
        <v>0</v>
      </c>
      <c r="G1482" s="156">
        <v>1</v>
      </c>
      <c r="H1482" s="120">
        <f>Tp_Non_CHG!AA68</f>
        <v>0</v>
      </c>
      <c r="I1482" s="40" t="s">
        <v>58</v>
      </c>
      <c r="J1482" s="40">
        <f t="shared" si="221"/>
        <v>0</v>
      </c>
      <c r="K1482" s="40">
        <f t="shared" si="222"/>
        <v>0</v>
      </c>
      <c r="L1482" s="40" t="s">
        <v>58</v>
      </c>
      <c r="M1482" s="50" t="s">
        <v>266</v>
      </c>
      <c r="N1482" s="190"/>
      <c r="O1482" s="40">
        <f t="shared" ca="1" si="226"/>
        <v>2.9244319520856155E-2</v>
      </c>
      <c r="P1482" s="51">
        <f t="shared" si="224"/>
        <v>0</v>
      </c>
      <c r="Q1482" s="51">
        <f t="shared" si="225"/>
        <v>0</v>
      </c>
      <c r="R1482" s="51">
        <f t="shared" si="223"/>
        <v>0</v>
      </c>
      <c r="S1482"/>
      <c r="T1482" s="83"/>
    </row>
    <row r="1483" spans="1:20" ht="16" x14ac:dyDescent="0.2">
      <c r="A1483"/>
      <c r="B1483" s="103"/>
      <c r="C1483" s="243"/>
      <c r="D1483" s="119">
        <v>1470</v>
      </c>
      <c r="E1483" s="25" t="str">
        <f>Tp_Non_CHG!X69</f>
        <v>Transition Probability from state 6 to state 2 on day 27 (Non-CHG)</v>
      </c>
      <c r="F1483" s="40">
        <f t="shared" si="220"/>
        <v>0</v>
      </c>
      <c r="G1483" s="156">
        <v>1</v>
      </c>
      <c r="H1483" s="120">
        <f>Tp_Non_CHG!AA69</f>
        <v>0</v>
      </c>
      <c r="I1483" s="40" t="s">
        <v>58</v>
      </c>
      <c r="J1483" s="40">
        <f t="shared" si="221"/>
        <v>0</v>
      </c>
      <c r="K1483" s="40">
        <f t="shared" si="222"/>
        <v>0</v>
      </c>
      <c r="L1483" s="40" t="s">
        <v>58</v>
      </c>
      <c r="M1483" s="50" t="s">
        <v>266</v>
      </c>
      <c r="N1483" s="190"/>
      <c r="O1483" s="40">
        <f t="shared" ca="1" si="226"/>
        <v>0.46973245091738891</v>
      </c>
      <c r="P1483" s="51">
        <f t="shared" si="224"/>
        <v>0</v>
      </c>
      <c r="Q1483" s="51">
        <f t="shared" si="225"/>
        <v>0</v>
      </c>
      <c r="R1483" s="51">
        <f t="shared" si="223"/>
        <v>0</v>
      </c>
      <c r="S1483"/>
      <c r="T1483" s="83"/>
    </row>
    <row r="1484" spans="1:20" ht="16" x14ac:dyDescent="0.2">
      <c r="A1484"/>
      <c r="B1484" s="103"/>
      <c r="C1484" s="243"/>
      <c r="D1484" s="119">
        <v>1471</v>
      </c>
      <c r="E1484" s="25" t="str">
        <f>Tp_Non_CHG!X70</f>
        <v>Transition Probability from state 6 to state 2 on day 28 (Non-CHG)</v>
      </c>
      <c r="F1484" s="40">
        <f t="shared" si="220"/>
        <v>0</v>
      </c>
      <c r="G1484" s="156">
        <v>1</v>
      </c>
      <c r="H1484" s="120">
        <f>Tp_Non_CHG!AA70</f>
        <v>0</v>
      </c>
      <c r="I1484" s="40" t="s">
        <v>58</v>
      </c>
      <c r="J1484" s="40">
        <f t="shared" si="221"/>
        <v>0</v>
      </c>
      <c r="K1484" s="40">
        <f t="shared" si="222"/>
        <v>0</v>
      </c>
      <c r="L1484" s="40" t="s">
        <v>58</v>
      </c>
      <c r="M1484" s="50" t="s">
        <v>266</v>
      </c>
      <c r="N1484" s="190"/>
      <c r="O1484" s="40">
        <f t="shared" ca="1" si="226"/>
        <v>0.45414334230517683</v>
      </c>
      <c r="P1484" s="51">
        <f t="shared" si="224"/>
        <v>0</v>
      </c>
      <c r="Q1484" s="51">
        <f t="shared" si="225"/>
        <v>0</v>
      </c>
      <c r="R1484" s="51">
        <f t="shared" si="223"/>
        <v>0</v>
      </c>
      <c r="S1484"/>
      <c r="T1484" s="83"/>
    </row>
    <row r="1485" spans="1:20" ht="16" x14ac:dyDescent="0.2">
      <c r="A1485"/>
      <c r="B1485" s="103"/>
      <c r="C1485" s="243"/>
      <c r="D1485" s="119">
        <v>1472</v>
      </c>
      <c r="E1485" s="25" t="str">
        <f>Tp_Non_CHG!X71</f>
        <v>Transition Probability from state 6 to state 2 on day 29 (Non-CHG)</v>
      </c>
      <c r="F1485" s="40">
        <f t="shared" si="220"/>
        <v>0</v>
      </c>
      <c r="G1485" s="156">
        <v>1</v>
      </c>
      <c r="H1485" s="120">
        <f>Tp_Non_CHG!AA71</f>
        <v>0</v>
      </c>
      <c r="I1485" s="40" t="s">
        <v>58</v>
      </c>
      <c r="J1485" s="40">
        <f t="shared" si="221"/>
        <v>0</v>
      </c>
      <c r="K1485" s="40">
        <f t="shared" si="222"/>
        <v>0</v>
      </c>
      <c r="L1485" s="40" t="s">
        <v>58</v>
      </c>
      <c r="M1485" s="50" t="s">
        <v>266</v>
      </c>
      <c r="N1485" s="190"/>
      <c r="O1485" s="40">
        <f t="shared" ca="1" si="226"/>
        <v>0.60258351984494773</v>
      </c>
      <c r="P1485" s="51">
        <f t="shared" si="224"/>
        <v>0</v>
      </c>
      <c r="Q1485" s="51">
        <f t="shared" si="225"/>
        <v>0</v>
      </c>
      <c r="R1485" s="51">
        <f t="shared" si="223"/>
        <v>0</v>
      </c>
      <c r="S1485"/>
      <c r="T1485" s="83"/>
    </row>
    <row r="1486" spans="1:20" ht="16" x14ac:dyDescent="0.2">
      <c r="A1486"/>
      <c r="B1486" s="103"/>
      <c r="C1486" s="243"/>
      <c r="D1486" s="119">
        <v>1473</v>
      </c>
      <c r="E1486" s="25" t="str">
        <f>Tp_Non_CHG!X72</f>
        <v>Transition Probability from state 6 to state 2 on day 30 (Non-CHG)</v>
      </c>
      <c r="F1486" s="40">
        <f t="shared" si="220"/>
        <v>0</v>
      </c>
      <c r="G1486" s="156">
        <v>1</v>
      </c>
      <c r="H1486" s="120">
        <f>Tp_Non_CHG!AA72</f>
        <v>0</v>
      </c>
      <c r="I1486" s="40" t="s">
        <v>58</v>
      </c>
      <c r="J1486" s="40">
        <f t="shared" si="221"/>
        <v>0</v>
      </c>
      <c r="K1486" s="40">
        <f t="shared" si="222"/>
        <v>0</v>
      </c>
      <c r="L1486" s="40" t="s">
        <v>58</v>
      </c>
      <c r="M1486" s="50" t="s">
        <v>266</v>
      </c>
      <c r="N1486" s="190"/>
      <c r="O1486" s="40">
        <f t="shared" ca="1" si="226"/>
        <v>0.96667075029147886</v>
      </c>
      <c r="P1486" s="51">
        <f t="shared" si="224"/>
        <v>0</v>
      </c>
      <c r="Q1486" s="51">
        <f t="shared" si="225"/>
        <v>0</v>
      </c>
      <c r="R1486" s="51">
        <f t="shared" si="223"/>
        <v>0</v>
      </c>
      <c r="S1486"/>
      <c r="T1486" s="83"/>
    </row>
    <row r="1487" spans="1:20" ht="16" x14ac:dyDescent="0.2">
      <c r="A1487"/>
      <c r="B1487" s="103"/>
      <c r="C1487" s="243"/>
      <c r="D1487" s="119">
        <v>1474</v>
      </c>
      <c r="E1487" s="25" t="str">
        <f>Tp_Non_CHG!D75</f>
        <v>Transition Probability from state 1 to state 3 on day 1 (Non-CHG)</v>
      </c>
      <c r="F1487" s="40">
        <f t="shared" si="220"/>
        <v>0</v>
      </c>
      <c r="G1487" s="156">
        <v>1</v>
      </c>
      <c r="H1487" s="120">
        <f>Tp_Non_CHG!G75</f>
        <v>0</v>
      </c>
      <c r="I1487" s="40" t="s">
        <v>58</v>
      </c>
      <c r="J1487" s="40">
        <f t="shared" ref="J1487:J1545" si="227">IF(H1487=0,0,_xlfn.NORM.INV(0.025,H1487,R1487))</f>
        <v>0</v>
      </c>
      <c r="K1487" s="40">
        <f t="shared" ref="K1487:K1545" si="228">IF(H1487=0,0,_xlfn.NORM.INV(0.975,H1487,R1487))</f>
        <v>0</v>
      </c>
      <c r="L1487" s="40" t="s">
        <v>58</v>
      </c>
      <c r="M1487" s="50" t="s">
        <v>266</v>
      </c>
      <c r="N1487" s="190"/>
      <c r="O1487" s="40">
        <f t="shared" ca="1" si="226"/>
        <v>0.4397922529272007</v>
      </c>
      <c r="P1487" s="51">
        <f t="shared" si="224"/>
        <v>0</v>
      </c>
      <c r="Q1487" s="51">
        <f t="shared" si="225"/>
        <v>0</v>
      </c>
      <c r="R1487" s="51">
        <f t="shared" ref="R1487:R1545" si="229">assumedSE*H1487</f>
        <v>0</v>
      </c>
      <c r="S1487"/>
      <c r="T1487" s="83"/>
    </row>
    <row r="1488" spans="1:20" ht="16" x14ac:dyDescent="0.2">
      <c r="A1488"/>
      <c r="B1488" s="103"/>
      <c r="C1488" s="243"/>
      <c r="D1488" s="119">
        <v>1475</v>
      </c>
      <c r="E1488" s="25" t="str">
        <f>Tp_Non_CHG!D76</f>
        <v>Transition Probability from state 1 to state 3 on day 2 (Non-CHG)</v>
      </c>
      <c r="F1488" s="40">
        <f t="shared" ref="F1488:F1551" si="230">IFERROR(CHOOSE(G1488,H1488,J1488,K1488,N1488),0)</f>
        <v>0</v>
      </c>
      <c r="G1488" s="156">
        <v>1</v>
      </c>
      <c r="H1488" s="120">
        <f>Tp_Non_CHG!G76</f>
        <v>0</v>
      </c>
      <c r="I1488" s="40" t="s">
        <v>58</v>
      </c>
      <c r="J1488" s="40">
        <f t="shared" si="227"/>
        <v>0</v>
      </c>
      <c r="K1488" s="40">
        <f t="shared" si="228"/>
        <v>0</v>
      </c>
      <c r="L1488" s="40" t="s">
        <v>58</v>
      </c>
      <c r="M1488" s="50" t="s">
        <v>266</v>
      </c>
      <c r="N1488" s="190"/>
      <c r="O1488" s="40">
        <f t="shared" ca="1" si="226"/>
        <v>0.75646852388540309</v>
      </c>
      <c r="P1488" s="51">
        <f t="shared" si="224"/>
        <v>0</v>
      </c>
      <c r="Q1488" s="51">
        <f t="shared" si="225"/>
        <v>0</v>
      </c>
      <c r="R1488" s="51">
        <f t="shared" si="229"/>
        <v>0</v>
      </c>
      <c r="S1488"/>
      <c r="T1488" s="83"/>
    </row>
    <row r="1489" spans="1:20" ht="16" x14ac:dyDescent="0.2">
      <c r="A1489"/>
      <c r="B1489" s="103"/>
      <c r="C1489" s="243"/>
      <c r="D1489" s="119">
        <v>1476</v>
      </c>
      <c r="E1489" s="25" t="str">
        <f>Tp_Non_CHG!D77</f>
        <v>Transition Probability from state 1 to state 3 on day 3 (Non-CHG)</v>
      </c>
      <c r="F1489" s="40">
        <f t="shared" si="230"/>
        <v>0</v>
      </c>
      <c r="G1489" s="156">
        <v>1</v>
      </c>
      <c r="H1489" s="120">
        <f>Tp_Non_CHG!G77</f>
        <v>0</v>
      </c>
      <c r="I1489" s="40" t="s">
        <v>58</v>
      </c>
      <c r="J1489" s="40">
        <f t="shared" si="227"/>
        <v>0</v>
      </c>
      <c r="K1489" s="40">
        <f t="shared" si="228"/>
        <v>0</v>
      </c>
      <c r="L1489" s="40" t="s">
        <v>58</v>
      </c>
      <c r="M1489" s="50" t="s">
        <v>266</v>
      </c>
      <c r="N1489" s="190"/>
      <c r="O1489" s="40">
        <f t="shared" ca="1" si="226"/>
        <v>0.84464885497558462</v>
      </c>
      <c r="P1489" s="51">
        <f t="shared" ref="P1489:P1552" si="231">IFERROR(H1489*((H1489*(1-H1489)/(R1489^2))-1),0)</f>
        <v>0</v>
      </c>
      <c r="Q1489" s="51">
        <f t="shared" ref="Q1489:Q1552" si="232">IFERROR((1-H1489)*((H1489*(1-H1489))/(R1489^2)-1),0)</f>
        <v>0</v>
      </c>
      <c r="R1489" s="51">
        <f t="shared" si="229"/>
        <v>0</v>
      </c>
      <c r="S1489"/>
      <c r="T1489" s="83"/>
    </row>
    <row r="1490" spans="1:20" ht="16" x14ac:dyDescent="0.2">
      <c r="A1490"/>
      <c r="B1490" s="103"/>
      <c r="C1490" s="243"/>
      <c r="D1490" s="119">
        <v>1477</v>
      </c>
      <c r="E1490" s="25" t="str">
        <f>Tp_Non_CHG!D78</f>
        <v>Transition Probability from state 1 to state 3 on day 4 (Non-CHG)</v>
      </c>
      <c r="F1490" s="40">
        <f t="shared" si="230"/>
        <v>0</v>
      </c>
      <c r="G1490" s="156">
        <v>1</v>
      </c>
      <c r="H1490" s="120">
        <f>Tp_Non_CHG!G78</f>
        <v>0</v>
      </c>
      <c r="I1490" s="40" t="s">
        <v>58</v>
      </c>
      <c r="J1490" s="40">
        <f t="shared" si="227"/>
        <v>0</v>
      </c>
      <c r="K1490" s="40">
        <f t="shared" si="228"/>
        <v>0</v>
      </c>
      <c r="L1490" s="40" t="s">
        <v>58</v>
      </c>
      <c r="M1490" s="50" t="s">
        <v>266</v>
      </c>
      <c r="N1490" s="190"/>
      <c r="O1490" s="40">
        <f t="shared" ca="1" si="226"/>
        <v>0.1562358108426023</v>
      </c>
      <c r="P1490" s="51">
        <f t="shared" si="231"/>
        <v>0</v>
      </c>
      <c r="Q1490" s="51">
        <f t="shared" si="232"/>
        <v>0</v>
      </c>
      <c r="R1490" s="51">
        <f t="shared" si="229"/>
        <v>0</v>
      </c>
      <c r="S1490"/>
      <c r="T1490" s="83"/>
    </row>
    <row r="1491" spans="1:20" ht="16" x14ac:dyDescent="0.2">
      <c r="A1491"/>
      <c r="B1491" s="103"/>
      <c r="C1491" s="243"/>
      <c r="D1491" s="119">
        <v>1478</v>
      </c>
      <c r="E1491" s="25" t="str">
        <f>Tp_Non_CHG!D79</f>
        <v>Transition Probability from state 1 to state 3 on day 5 (Non-CHG)</v>
      </c>
      <c r="F1491" s="40">
        <f t="shared" si="230"/>
        <v>0</v>
      </c>
      <c r="G1491" s="156">
        <v>1</v>
      </c>
      <c r="H1491" s="120">
        <f>Tp_Non_CHG!G79</f>
        <v>0</v>
      </c>
      <c r="I1491" s="40" t="s">
        <v>58</v>
      </c>
      <c r="J1491" s="40">
        <f t="shared" si="227"/>
        <v>0</v>
      </c>
      <c r="K1491" s="40">
        <f t="shared" si="228"/>
        <v>0</v>
      </c>
      <c r="L1491" s="40" t="s">
        <v>58</v>
      </c>
      <c r="M1491" s="50" t="s">
        <v>266</v>
      </c>
      <c r="N1491" s="190"/>
      <c r="O1491" s="40">
        <f t="shared" ca="1" si="226"/>
        <v>0.300866046749105</v>
      </c>
      <c r="P1491" s="51">
        <f t="shared" si="231"/>
        <v>0</v>
      </c>
      <c r="Q1491" s="51">
        <f t="shared" si="232"/>
        <v>0</v>
      </c>
      <c r="R1491" s="51">
        <f t="shared" si="229"/>
        <v>0</v>
      </c>
      <c r="S1491"/>
      <c r="T1491" s="83"/>
    </row>
    <row r="1492" spans="1:20" ht="16" x14ac:dyDescent="0.2">
      <c r="A1492"/>
      <c r="B1492" s="103"/>
      <c r="C1492" s="243"/>
      <c r="D1492" s="119">
        <v>1479</v>
      </c>
      <c r="E1492" s="25" t="str">
        <f>Tp_Non_CHG!D80</f>
        <v>Transition Probability from state 1 to state 3 on day 6 (Non-CHG)</v>
      </c>
      <c r="F1492" s="40">
        <f t="shared" si="230"/>
        <v>0</v>
      </c>
      <c r="G1492" s="156">
        <v>1</v>
      </c>
      <c r="H1492" s="120">
        <f>Tp_Non_CHG!G80</f>
        <v>0</v>
      </c>
      <c r="I1492" s="40" t="s">
        <v>58</v>
      </c>
      <c r="J1492" s="40">
        <f t="shared" si="227"/>
        <v>0</v>
      </c>
      <c r="K1492" s="40">
        <f t="shared" si="228"/>
        <v>0</v>
      </c>
      <c r="L1492" s="40" t="s">
        <v>58</v>
      </c>
      <c r="M1492" s="50" t="s">
        <v>266</v>
      </c>
      <c r="N1492" s="190"/>
      <c r="O1492" s="40">
        <f t="shared" ca="1" si="226"/>
        <v>0.46235546504146174</v>
      </c>
      <c r="P1492" s="51">
        <f t="shared" si="231"/>
        <v>0</v>
      </c>
      <c r="Q1492" s="51">
        <f t="shared" si="232"/>
        <v>0</v>
      </c>
      <c r="R1492" s="51">
        <f t="shared" si="229"/>
        <v>0</v>
      </c>
      <c r="S1492"/>
      <c r="T1492" s="83"/>
    </row>
    <row r="1493" spans="1:20" ht="16" x14ac:dyDescent="0.2">
      <c r="A1493"/>
      <c r="B1493" s="103"/>
      <c r="C1493" s="243"/>
      <c r="D1493" s="119">
        <v>1480</v>
      </c>
      <c r="E1493" s="25" t="str">
        <f>Tp_Non_CHG!D81</f>
        <v>Transition Probability from state 1 to state 3 on day 7 (Non-CHG)</v>
      </c>
      <c r="F1493" s="40">
        <f t="shared" si="230"/>
        <v>0</v>
      </c>
      <c r="G1493" s="156">
        <v>1</v>
      </c>
      <c r="H1493" s="120">
        <f>Tp_Non_CHG!G81</f>
        <v>0</v>
      </c>
      <c r="I1493" s="40" t="s">
        <v>58</v>
      </c>
      <c r="J1493" s="40">
        <f t="shared" si="227"/>
        <v>0</v>
      </c>
      <c r="K1493" s="40">
        <f t="shared" si="228"/>
        <v>0</v>
      </c>
      <c r="L1493" s="40" t="s">
        <v>58</v>
      </c>
      <c r="M1493" s="50" t="s">
        <v>266</v>
      </c>
      <c r="N1493" s="190"/>
      <c r="O1493" s="40">
        <f t="shared" ca="1" si="226"/>
        <v>0.46896554808699797</v>
      </c>
      <c r="P1493" s="51">
        <f t="shared" si="231"/>
        <v>0</v>
      </c>
      <c r="Q1493" s="51">
        <f t="shared" si="232"/>
        <v>0</v>
      </c>
      <c r="R1493" s="51">
        <f t="shared" si="229"/>
        <v>0</v>
      </c>
      <c r="S1493"/>
      <c r="T1493" s="83"/>
    </row>
    <row r="1494" spans="1:20" ht="16" x14ac:dyDescent="0.2">
      <c r="A1494"/>
      <c r="B1494" s="103"/>
      <c r="C1494" s="243"/>
      <c r="D1494" s="119">
        <v>1481</v>
      </c>
      <c r="E1494" s="25" t="str">
        <f>Tp_Non_CHG!D82</f>
        <v>Transition Probability from state 1 to state 3 on day 8 (Non-CHG)</v>
      </c>
      <c r="F1494" s="40">
        <f t="shared" si="230"/>
        <v>0</v>
      </c>
      <c r="G1494" s="156">
        <v>1</v>
      </c>
      <c r="H1494" s="120">
        <f>Tp_Non_CHG!G82</f>
        <v>0</v>
      </c>
      <c r="I1494" s="40" t="s">
        <v>58</v>
      </c>
      <c r="J1494" s="40">
        <f t="shared" si="227"/>
        <v>0</v>
      </c>
      <c r="K1494" s="40">
        <f t="shared" si="228"/>
        <v>0</v>
      </c>
      <c r="L1494" s="40" t="s">
        <v>58</v>
      </c>
      <c r="M1494" s="50" t="s">
        <v>266</v>
      </c>
      <c r="N1494" s="190"/>
      <c r="O1494" s="40">
        <f t="shared" ca="1" si="226"/>
        <v>0.61088793243338024</v>
      </c>
      <c r="P1494" s="51">
        <f t="shared" si="231"/>
        <v>0</v>
      </c>
      <c r="Q1494" s="51">
        <f t="shared" si="232"/>
        <v>0</v>
      </c>
      <c r="R1494" s="51">
        <f t="shared" si="229"/>
        <v>0</v>
      </c>
      <c r="S1494"/>
      <c r="T1494" s="83"/>
    </row>
    <row r="1495" spans="1:20" ht="16" x14ac:dyDescent="0.2">
      <c r="A1495"/>
      <c r="B1495" s="103"/>
      <c r="C1495" s="243"/>
      <c r="D1495" s="119">
        <v>1482</v>
      </c>
      <c r="E1495" s="25" t="str">
        <f>Tp_Non_CHG!D85</f>
        <v>Transition Probability from state 1 to state 3 on day 11 (Non-CHG)</v>
      </c>
      <c r="F1495" s="40">
        <f t="shared" si="230"/>
        <v>0</v>
      </c>
      <c r="G1495" s="156">
        <v>1</v>
      </c>
      <c r="H1495" s="120">
        <f>Tp_Non_CHG!G85</f>
        <v>0</v>
      </c>
      <c r="I1495" s="40" t="s">
        <v>58</v>
      </c>
      <c r="J1495" s="40">
        <f t="shared" si="227"/>
        <v>0</v>
      </c>
      <c r="K1495" s="40">
        <f t="shared" si="228"/>
        <v>0</v>
      </c>
      <c r="L1495" s="40" t="s">
        <v>58</v>
      </c>
      <c r="M1495" s="50" t="s">
        <v>266</v>
      </c>
      <c r="N1495" s="190"/>
      <c r="O1495" s="40">
        <f t="shared" ca="1" si="226"/>
        <v>0.79448935584420666</v>
      </c>
      <c r="P1495" s="51">
        <f t="shared" si="231"/>
        <v>0</v>
      </c>
      <c r="Q1495" s="51">
        <f t="shared" si="232"/>
        <v>0</v>
      </c>
      <c r="R1495" s="51">
        <f t="shared" si="229"/>
        <v>0</v>
      </c>
      <c r="S1495"/>
      <c r="T1495" s="83"/>
    </row>
    <row r="1496" spans="1:20" ht="16" x14ac:dyDescent="0.2">
      <c r="A1496"/>
      <c r="B1496" s="103"/>
      <c r="C1496" s="243"/>
      <c r="D1496" s="119">
        <v>1483</v>
      </c>
      <c r="E1496" s="25" t="str">
        <f>Tp_Non_CHG!D88</f>
        <v>Transition Probability from state 1 to state 3 on day 14 (Non-CHG)</v>
      </c>
      <c r="F1496" s="40">
        <f t="shared" si="230"/>
        <v>0</v>
      </c>
      <c r="G1496" s="156">
        <v>1</v>
      </c>
      <c r="H1496" s="120">
        <f>Tp_Non_CHG!G88</f>
        <v>0</v>
      </c>
      <c r="I1496" s="40" t="s">
        <v>58</v>
      </c>
      <c r="J1496" s="40">
        <f t="shared" si="227"/>
        <v>0</v>
      </c>
      <c r="K1496" s="40">
        <f t="shared" si="228"/>
        <v>0</v>
      </c>
      <c r="L1496" s="40" t="s">
        <v>58</v>
      </c>
      <c r="M1496" s="50" t="s">
        <v>266</v>
      </c>
      <c r="N1496" s="190"/>
      <c r="O1496" s="40">
        <f t="shared" ca="1" si="226"/>
        <v>0.356083736193335</v>
      </c>
      <c r="P1496" s="51">
        <f t="shared" si="231"/>
        <v>0</v>
      </c>
      <c r="Q1496" s="51">
        <f t="shared" si="232"/>
        <v>0</v>
      </c>
      <c r="R1496" s="51">
        <f t="shared" si="229"/>
        <v>0</v>
      </c>
      <c r="S1496"/>
      <c r="T1496" s="83"/>
    </row>
    <row r="1497" spans="1:20" ht="16" x14ac:dyDescent="0.2">
      <c r="A1497"/>
      <c r="B1497" s="103"/>
      <c r="C1497" s="243"/>
      <c r="D1497" s="119">
        <v>1484</v>
      </c>
      <c r="E1497" s="25" t="str">
        <f>Tp_Non_CHG!D89</f>
        <v>Transition Probability from state 1 to state 3 on day 15 (Non-CHG)</v>
      </c>
      <c r="F1497" s="40">
        <f t="shared" si="230"/>
        <v>0</v>
      </c>
      <c r="G1497" s="156">
        <v>1</v>
      </c>
      <c r="H1497" s="120">
        <f>Tp_Non_CHG!G89</f>
        <v>0</v>
      </c>
      <c r="I1497" s="40" t="s">
        <v>58</v>
      </c>
      <c r="J1497" s="40">
        <f t="shared" si="227"/>
        <v>0</v>
      </c>
      <c r="K1497" s="40">
        <f t="shared" si="228"/>
        <v>0</v>
      </c>
      <c r="L1497" s="40" t="s">
        <v>58</v>
      </c>
      <c r="M1497" s="50" t="s">
        <v>266</v>
      </c>
      <c r="N1497" s="190"/>
      <c r="O1497" s="40">
        <f t="shared" ca="1" si="226"/>
        <v>0.22510432925867241</v>
      </c>
      <c r="P1497" s="51">
        <f t="shared" si="231"/>
        <v>0</v>
      </c>
      <c r="Q1497" s="51">
        <f t="shared" si="232"/>
        <v>0</v>
      </c>
      <c r="R1497" s="51">
        <f t="shared" si="229"/>
        <v>0</v>
      </c>
      <c r="S1497"/>
      <c r="T1497" s="83"/>
    </row>
    <row r="1498" spans="1:20" ht="16" x14ac:dyDescent="0.2">
      <c r="A1498"/>
      <c r="B1498" s="103"/>
      <c r="C1498" s="243"/>
      <c r="D1498" s="119">
        <v>1485</v>
      </c>
      <c r="E1498" s="25" t="str">
        <f>Tp_Non_CHG!D90</f>
        <v>Transition Probability from state 1 to state 3 on day 16 (Non-CHG)</v>
      </c>
      <c r="F1498" s="40">
        <f t="shared" si="230"/>
        <v>0</v>
      </c>
      <c r="G1498" s="156">
        <v>1</v>
      </c>
      <c r="H1498" s="120">
        <f>Tp_Non_CHG!G90</f>
        <v>0</v>
      </c>
      <c r="I1498" s="40" t="s">
        <v>58</v>
      </c>
      <c r="J1498" s="40">
        <f t="shared" si="227"/>
        <v>0</v>
      </c>
      <c r="K1498" s="40">
        <f t="shared" si="228"/>
        <v>0</v>
      </c>
      <c r="L1498" s="40" t="s">
        <v>58</v>
      </c>
      <c r="M1498" s="50" t="s">
        <v>266</v>
      </c>
      <c r="N1498" s="190"/>
      <c r="O1498" s="40">
        <f t="shared" ca="1" si="226"/>
        <v>3.9348718967043173E-2</v>
      </c>
      <c r="P1498" s="51">
        <f t="shared" si="231"/>
        <v>0</v>
      </c>
      <c r="Q1498" s="51">
        <f t="shared" si="232"/>
        <v>0</v>
      </c>
      <c r="R1498" s="51">
        <f t="shared" si="229"/>
        <v>0</v>
      </c>
      <c r="S1498"/>
      <c r="T1498" s="83"/>
    </row>
    <row r="1499" spans="1:20" ht="16" x14ac:dyDescent="0.2">
      <c r="A1499"/>
      <c r="B1499" s="103"/>
      <c r="C1499" s="243"/>
      <c r="D1499" s="119">
        <v>1486</v>
      </c>
      <c r="E1499" s="25" t="str">
        <f>Tp_Non_CHG!D91</f>
        <v>Transition Probability from state 1 to state 3 on day 17 (Non-CHG)</v>
      </c>
      <c r="F1499" s="40">
        <f t="shared" si="230"/>
        <v>0</v>
      </c>
      <c r="G1499" s="156">
        <v>1</v>
      </c>
      <c r="H1499" s="120">
        <f>Tp_Non_CHG!G91</f>
        <v>0</v>
      </c>
      <c r="I1499" s="40" t="s">
        <v>58</v>
      </c>
      <c r="J1499" s="40">
        <f t="shared" si="227"/>
        <v>0</v>
      </c>
      <c r="K1499" s="40">
        <f t="shared" si="228"/>
        <v>0</v>
      </c>
      <c r="L1499" s="40" t="s">
        <v>58</v>
      </c>
      <c r="M1499" s="50" t="s">
        <v>266</v>
      </c>
      <c r="N1499" s="190"/>
      <c r="O1499" s="40">
        <f t="shared" ca="1" si="226"/>
        <v>0.94841060273887567</v>
      </c>
      <c r="P1499" s="51">
        <f t="shared" si="231"/>
        <v>0</v>
      </c>
      <c r="Q1499" s="51">
        <f t="shared" si="232"/>
        <v>0</v>
      </c>
      <c r="R1499" s="51">
        <f t="shared" si="229"/>
        <v>0</v>
      </c>
      <c r="S1499"/>
      <c r="T1499" s="83"/>
    </row>
    <row r="1500" spans="1:20" ht="16" x14ac:dyDescent="0.2">
      <c r="A1500"/>
      <c r="B1500" s="103"/>
      <c r="C1500" s="243"/>
      <c r="D1500" s="119">
        <v>1487</v>
      </c>
      <c r="E1500" s="25" t="str">
        <f>Tp_Non_CHG!D92</f>
        <v>Transition Probability from state 1 to state 3 on day 18 (Non-CHG)</v>
      </c>
      <c r="F1500" s="40">
        <f t="shared" si="230"/>
        <v>0</v>
      </c>
      <c r="G1500" s="156">
        <v>1</v>
      </c>
      <c r="H1500" s="120">
        <f>Tp_Non_CHG!G92</f>
        <v>0</v>
      </c>
      <c r="I1500" s="40" t="s">
        <v>58</v>
      </c>
      <c r="J1500" s="40">
        <f t="shared" si="227"/>
        <v>0</v>
      </c>
      <c r="K1500" s="40">
        <f t="shared" si="228"/>
        <v>0</v>
      </c>
      <c r="L1500" s="40" t="s">
        <v>58</v>
      </c>
      <c r="M1500" s="50" t="s">
        <v>266</v>
      </c>
      <c r="N1500" s="190"/>
      <c r="O1500" s="40">
        <f t="shared" ca="1" si="226"/>
        <v>0.5275846248845224</v>
      </c>
      <c r="P1500" s="51">
        <f t="shared" si="231"/>
        <v>0</v>
      </c>
      <c r="Q1500" s="51">
        <f t="shared" si="232"/>
        <v>0</v>
      </c>
      <c r="R1500" s="51">
        <f t="shared" si="229"/>
        <v>0</v>
      </c>
      <c r="S1500"/>
      <c r="T1500" s="83"/>
    </row>
    <row r="1501" spans="1:20" ht="16" x14ac:dyDescent="0.2">
      <c r="A1501"/>
      <c r="B1501" s="103"/>
      <c r="C1501" s="243"/>
      <c r="D1501" s="119">
        <v>1488</v>
      </c>
      <c r="E1501" s="25" t="str">
        <f>Tp_Non_CHG!D93</f>
        <v>Transition Probability from state 1 to state 3 on day 19 (Non-CHG)</v>
      </c>
      <c r="F1501" s="40">
        <f t="shared" si="230"/>
        <v>0</v>
      </c>
      <c r="G1501" s="156">
        <v>1</v>
      </c>
      <c r="H1501" s="120">
        <f>Tp_Non_CHG!G93</f>
        <v>0</v>
      </c>
      <c r="I1501" s="40" t="s">
        <v>58</v>
      </c>
      <c r="J1501" s="40">
        <f t="shared" si="227"/>
        <v>0</v>
      </c>
      <c r="K1501" s="40">
        <f t="shared" si="228"/>
        <v>0</v>
      </c>
      <c r="L1501" s="40" t="s">
        <v>58</v>
      </c>
      <c r="M1501" s="50" t="s">
        <v>266</v>
      </c>
      <c r="N1501" s="190"/>
      <c r="O1501" s="40">
        <f t="shared" ca="1" si="226"/>
        <v>0.77810203764533992</v>
      </c>
      <c r="P1501" s="51">
        <f t="shared" si="231"/>
        <v>0</v>
      </c>
      <c r="Q1501" s="51">
        <f t="shared" si="232"/>
        <v>0</v>
      </c>
      <c r="R1501" s="51">
        <f t="shared" si="229"/>
        <v>0</v>
      </c>
      <c r="S1501"/>
      <c r="T1501" s="83"/>
    </row>
    <row r="1502" spans="1:20" ht="16" x14ac:dyDescent="0.2">
      <c r="A1502"/>
      <c r="B1502" s="103"/>
      <c r="C1502" s="243"/>
      <c r="D1502" s="119">
        <v>1489</v>
      </c>
      <c r="E1502" s="25" t="str">
        <f>Tp_Non_CHG!D94</f>
        <v>Transition Probability from state 1 to state 3 on day 20 (Non-CHG)</v>
      </c>
      <c r="F1502" s="40">
        <f t="shared" si="230"/>
        <v>0</v>
      </c>
      <c r="G1502" s="156">
        <v>1</v>
      </c>
      <c r="H1502" s="120">
        <f>Tp_Non_CHG!G94</f>
        <v>0</v>
      </c>
      <c r="I1502" s="40" t="s">
        <v>58</v>
      </c>
      <c r="J1502" s="40">
        <f t="shared" si="227"/>
        <v>0</v>
      </c>
      <c r="K1502" s="40">
        <f t="shared" si="228"/>
        <v>0</v>
      </c>
      <c r="L1502" s="40" t="s">
        <v>58</v>
      </c>
      <c r="M1502" s="50" t="s">
        <v>266</v>
      </c>
      <c r="N1502" s="190"/>
      <c r="O1502" s="40">
        <f t="shared" ca="1" si="226"/>
        <v>0.44530754947656859</v>
      </c>
      <c r="P1502" s="51">
        <f t="shared" si="231"/>
        <v>0</v>
      </c>
      <c r="Q1502" s="51">
        <f t="shared" si="232"/>
        <v>0</v>
      </c>
      <c r="R1502" s="51">
        <f t="shared" si="229"/>
        <v>0</v>
      </c>
      <c r="S1502"/>
      <c r="T1502" s="83"/>
    </row>
    <row r="1503" spans="1:20" ht="16" x14ac:dyDescent="0.2">
      <c r="A1503"/>
      <c r="B1503" s="103"/>
      <c r="C1503" s="243"/>
      <c r="D1503" s="119">
        <v>1490</v>
      </c>
      <c r="E1503" s="25" t="str">
        <f>Tp_Non_CHG!D95</f>
        <v>Transition Probability from state 1 to state 3 on day 21 (Non-CHG)</v>
      </c>
      <c r="F1503" s="40">
        <f t="shared" si="230"/>
        <v>0</v>
      </c>
      <c r="G1503" s="156">
        <v>1</v>
      </c>
      <c r="H1503" s="120">
        <f>Tp_Non_CHG!G95</f>
        <v>0</v>
      </c>
      <c r="I1503" s="40" t="s">
        <v>58</v>
      </c>
      <c r="J1503" s="40">
        <f t="shared" si="227"/>
        <v>0</v>
      </c>
      <c r="K1503" s="40">
        <f t="shared" si="228"/>
        <v>0</v>
      </c>
      <c r="L1503" s="40" t="s">
        <v>58</v>
      </c>
      <c r="M1503" s="50" t="s">
        <v>266</v>
      </c>
      <c r="N1503" s="190"/>
      <c r="O1503" s="40">
        <f t="shared" ca="1" si="226"/>
        <v>0.70356701371893648</v>
      </c>
      <c r="P1503" s="51">
        <f t="shared" si="231"/>
        <v>0</v>
      </c>
      <c r="Q1503" s="51">
        <f t="shared" si="232"/>
        <v>0</v>
      </c>
      <c r="R1503" s="51">
        <f t="shared" si="229"/>
        <v>0</v>
      </c>
      <c r="S1503"/>
      <c r="T1503" s="83"/>
    </row>
    <row r="1504" spans="1:20" ht="16" x14ac:dyDescent="0.2">
      <c r="A1504"/>
      <c r="B1504" s="103"/>
      <c r="C1504" s="243"/>
      <c r="D1504" s="119">
        <v>1491</v>
      </c>
      <c r="E1504" s="25" t="str">
        <f>Tp_Non_CHG!D97</f>
        <v>Transition Probability from state 1 to state 3 on day 23 (Non-CHG)</v>
      </c>
      <c r="F1504" s="40">
        <f t="shared" si="230"/>
        <v>0</v>
      </c>
      <c r="G1504" s="156">
        <v>1</v>
      </c>
      <c r="H1504" s="120">
        <f>Tp_Non_CHG!G97</f>
        <v>0</v>
      </c>
      <c r="I1504" s="40" t="s">
        <v>58</v>
      </c>
      <c r="J1504" s="40">
        <f t="shared" si="227"/>
        <v>0</v>
      </c>
      <c r="K1504" s="40">
        <f t="shared" si="228"/>
        <v>0</v>
      </c>
      <c r="L1504" s="40" t="s">
        <v>58</v>
      </c>
      <c r="M1504" s="50" t="s">
        <v>266</v>
      </c>
      <c r="N1504" s="190"/>
      <c r="O1504" s="40">
        <f t="shared" ca="1" si="226"/>
        <v>0.89343075715404996</v>
      </c>
      <c r="P1504" s="51">
        <f t="shared" si="231"/>
        <v>0</v>
      </c>
      <c r="Q1504" s="51">
        <f t="shared" si="232"/>
        <v>0</v>
      </c>
      <c r="R1504" s="51">
        <f t="shared" si="229"/>
        <v>0</v>
      </c>
      <c r="S1504"/>
      <c r="T1504" s="83"/>
    </row>
    <row r="1505" spans="1:20" ht="16" x14ac:dyDescent="0.2">
      <c r="A1505"/>
      <c r="B1505" s="103"/>
      <c r="C1505" s="243"/>
      <c r="D1505" s="119">
        <v>1492</v>
      </c>
      <c r="E1505" s="25" t="str">
        <f>Tp_Non_CHG!D98</f>
        <v>Transition Probability from state 1 to state 3 on day 24 (Non-CHG)</v>
      </c>
      <c r="F1505" s="40">
        <f t="shared" si="230"/>
        <v>0</v>
      </c>
      <c r="G1505" s="156">
        <v>1</v>
      </c>
      <c r="H1505" s="120">
        <f>Tp_Non_CHG!G98</f>
        <v>0</v>
      </c>
      <c r="I1505" s="40" t="s">
        <v>58</v>
      </c>
      <c r="J1505" s="40">
        <f t="shared" si="227"/>
        <v>0</v>
      </c>
      <c r="K1505" s="40">
        <f t="shared" si="228"/>
        <v>0</v>
      </c>
      <c r="L1505" s="40" t="s">
        <v>58</v>
      </c>
      <c r="M1505" s="50" t="s">
        <v>266</v>
      </c>
      <c r="N1505" s="190"/>
      <c r="O1505" s="40">
        <f t="shared" ca="1" si="226"/>
        <v>0.30775760028809085</v>
      </c>
      <c r="P1505" s="51">
        <f t="shared" si="231"/>
        <v>0</v>
      </c>
      <c r="Q1505" s="51">
        <f t="shared" si="232"/>
        <v>0</v>
      </c>
      <c r="R1505" s="51">
        <f t="shared" si="229"/>
        <v>0</v>
      </c>
      <c r="S1505"/>
      <c r="T1505" s="83"/>
    </row>
    <row r="1506" spans="1:20" ht="16" x14ac:dyDescent="0.2">
      <c r="A1506"/>
      <c r="B1506" s="103"/>
      <c r="C1506" s="243"/>
      <c r="D1506" s="119">
        <v>1493</v>
      </c>
      <c r="E1506" s="25" t="str">
        <f>Tp_Non_CHG!D99</f>
        <v>Transition Probability from state 1 to state 3 on day 25 (Non-CHG)</v>
      </c>
      <c r="F1506" s="40">
        <f t="shared" si="230"/>
        <v>0</v>
      </c>
      <c r="G1506" s="156">
        <v>1</v>
      </c>
      <c r="H1506" s="120">
        <f>Tp_Non_CHG!G99</f>
        <v>0</v>
      </c>
      <c r="I1506" s="40" t="s">
        <v>58</v>
      </c>
      <c r="J1506" s="40">
        <f t="shared" si="227"/>
        <v>0</v>
      </c>
      <c r="K1506" s="40">
        <f t="shared" si="228"/>
        <v>0</v>
      </c>
      <c r="L1506" s="40" t="s">
        <v>58</v>
      </c>
      <c r="M1506" s="50" t="s">
        <v>266</v>
      </c>
      <c r="N1506" s="190"/>
      <c r="O1506" s="40">
        <f t="shared" ca="1" si="226"/>
        <v>0.25443070570481019</v>
      </c>
      <c r="P1506" s="51">
        <f t="shared" si="231"/>
        <v>0</v>
      </c>
      <c r="Q1506" s="51">
        <f t="shared" si="232"/>
        <v>0</v>
      </c>
      <c r="R1506" s="51">
        <f t="shared" si="229"/>
        <v>0</v>
      </c>
      <c r="S1506"/>
      <c r="T1506" s="83"/>
    </row>
    <row r="1507" spans="1:20" ht="16" x14ac:dyDescent="0.2">
      <c r="A1507"/>
      <c r="B1507" s="103"/>
      <c r="C1507" s="243"/>
      <c r="D1507" s="119">
        <v>1494</v>
      </c>
      <c r="E1507" s="25" t="str">
        <f>Tp_Non_CHG!D100</f>
        <v>Transition Probability from state 1 to state 3 on day 26 (Non-CHG)</v>
      </c>
      <c r="F1507" s="40">
        <f t="shared" si="230"/>
        <v>0</v>
      </c>
      <c r="G1507" s="156">
        <v>1</v>
      </c>
      <c r="H1507" s="120">
        <f>Tp_Non_CHG!G100</f>
        <v>0</v>
      </c>
      <c r="I1507" s="40" t="s">
        <v>58</v>
      </c>
      <c r="J1507" s="40">
        <f t="shared" si="227"/>
        <v>0</v>
      </c>
      <c r="K1507" s="40">
        <f t="shared" si="228"/>
        <v>0</v>
      </c>
      <c r="L1507" s="40" t="s">
        <v>58</v>
      </c>
      <c r="M1507" s="50" t="s">
        <v>266</v>
      </c>
      <c r="N1507" s="190"/>
      <c r="O1507" s="40">
        <f t="shared" ca="1" si="226"/>
        <v>4.9469738143194109E-3</v>
      </c>
      <c r="P1507" s="51">
        <f t="shared" si="231"/>
        <v>0</v>
      </c>
      <c r="Q1507" s="51">
        <f t="shared" si="232"/>
        <v>0</v>
      </c>
      <c r="R1507" s="51">
        <f t="shared" si="229"/>
        <v>0</v>
      </c>
      <c r="S1507"/>
      <c r="T1507" s="83"/>
    </row>
    <row r="1508" spans="1:20" ht="16" x14ac:dyDescent="0.2">
      <c r="A1508"/>
      <c r="B1508" s="103"/>
      <c r="C1508" s="243"/>
      <c r="D1508" s="119">
        <v>1495</v>
      </c>
      <c r="E1508" s="25" t="str">
        <f>Tp_Non_CHG!D101</f>
        <v>Transition Probability from state 1 to state 3 on day 27 (Non-CHG)</v>
      </c>
      <c r="F1508" s="40">
        <f t="shared" si="230"/>
        <v>0</v>
      </c>
      <c r="G1508" s="156">
        <v>1</v>
      </c>
      <c r="H1508" s="120">
        <f>Tp_Non_CHG!G101</f>
        <v>0</v>
      </c>
      <c r="I1508" s="40" t="s">
        <v>58</v>
      </c>
      <c r="J1508" s="40">
        <f t="shared" si="227"/>
        <v>0</v>
      </c>
      <c r="K1508" s="40">
        <f t="shared" si="228"/>
        <v>0</v>
      </c>
      <c r="L1508" s="40" t="s">
        <v>58</v>
      </c>
      <c r="M1508" s="50" t="s">
        <v>266</v>
      </c>
      <c r="N1508" s="190"/>
      <c r="O1508" s="40">
        <f t="shared" ca="1" si="226"/>
        <v>0.95209910215866989</v>
      </c>
      <c r="P1508" s="51">
        <f t="shared" si="231"/>
        <v>0</v>
      </c>
      <c r="Q1508" s="51">
        <f t="shared" si="232"/>
        <v>0</v>
      </c>
      <c r="R1508" s="51">
        <f t="shared" si="229"/>
        <v>0</v>
      </c>
      <c r="S1508"/>
      <c r="T1508" s="83"/>
    </row>
    <row r="1509" spans="1:20" ht="16" x14ac:dyDescent="0.2">
      <c r="A1509"/>
      <c r="B1509" s="103"/>
      <c r="C1509" s="243"/>
      <c r="D1509" s="119">
        <v>1496</v>
      </c>
      <c r="E1509" s="25" t="str">
        <f>Tp_Non_CHG!D102</f>
        <v>Transition Probability from state 1 to state 3 on day 28 (Non-CHG)</v>
      </c>
      <c r="F1509" s="40">
        <f t="shared" si="230"/>
        <v>0</v>
      </c>
      <c r="G1509" s="156">
        <v>1</v>
      </c>
      <c r="H1509" s="120">
        <f>Tp_Non_CHG!G102</f>
        <v>0</v>
      </c>
      <c r="I1509" s="40" t="s">
        <v>58</v>
      </c>
      <c r="J1509" s="40">
        <f t="shared" si="227"/>
        <v>0</v>
      </c>
      <c r="K1509" s="40">
        <f t="shared" si="228"/>
        <v>0</v>
      </c>
      <c r="L1509" s="40" t="s">
        <v>58</v>
      </c>
      <c r="M1509" s="50" t="s">
        <v>266</v>
      </c>
      <c r="N1509" s="190"/>
      <c r="O1509" s="40">
        <f t="shared" ca="1" si="226"/>
        <v>0.45200733846280261</v>
      </c>
      <c r="P1509" s="51">
        <f t="shared" si="231"/>
        <v>0</v>
      </c>
      <c r="Q1509" s="51">
        <f t="shared" si="232"/>
        <v>0</v>
      </c>
      <c r="R1509" s="51">
        <f t="shared" si="229"/>
        <v>0</v>
      </c>
      <c r="S1509"/>
      <c r="T1509" s="83"/>
    </row>
    <row r="1510" spans="1:20" ht="16" x14ac:dyDescent="0.2">
      <c r="A1510"/>
      <c r="B1510" s="103"/>
      <c r="C1510" s="243"/>
      <c r="D1510" s="119">
        <v>1497</v>
      </c>
      <c r="E1510" s="25" t="str">
        <f>Tp_Non_CHG!D103</f>
        <v>Transition Probability from state 1 to state 3 on day 29 (Non-CHG)</v>
      </c>
      <c r="F1510" s="40">
        <f t="shared" si="230"/>
        <v>0</v>
      </c>
      <c r="G1510" s="156">
        <v>1</v>
      </c>
      <c r="H1510" s="120">
        <f>Tp_Non_CHG!G103</f>
        <v>0</v>
      </c>
      <c r="I1510" s="40" t="s">
        <v>58</v>
      </c>
      <c r="J1510" s="40">
        <f t="shared" si="227"/>
        <v>0</v>
      </c>
      <c r="K1510" s="40">
        <f t="shared" si="228"/>
        <v>0</v>
      </c>
      <c r="L1510" s="40" t="s">
        <v>58</v>
      </c>
      <c r="M1510" s="50" t="s">
        <v>266</v>
      </c>
      <c r="N1510" s="190"/>
      <c r="O1510" s="40">
        <f t="shared" ca="1" si="226"/>
        <v>0.51372298514177284</v>
      </c>
      <c r="P1510" s="51">
        <f t="shared" si="231"/>
        <v>0</v>
      </c>
      <c r="Q1510" s="51">
        <f t="shared" si="232"/>
        <v>0</v>
      </c>
      <c r="R1510" s="51">
        <f t="shared" si="229"/>
        <v>0</v>
      </c>
      <c r="S1510"/>
      <c r="T1510" s="83"/>
    </row>
    <row r="1511" spans="1:20" ht="16" x14ac:dyDescent="0.2">
      <c r="A1511"/>
      <c r="B1511" s="103"/>
      <c r="C1511" s="243"/>
      <c r="D1511" s="119">
        <v>1498</v>
      </c>
      <c r="E1511" s="25" t="str">
        <f>Tp_Non_CHG!D104</f>
        <v>Transition Probability from state 1 to state 3 on day 30 (Non-CHG)</v>
      </c>
      <c r="F1511" s="40">
        <f t="shared" si="230"/>
        <v>0</v>
      </c>
      <c r="G1511" s="156">
        <v>1</v>
      </c>
      <c r="H1511" s="120">
        <f>Tp_Non_CHG!G104</f>
        <v>0</v>
      </c>
      <c r="I1511" s="40" t="s">
        <v>58</v>
      </c>
      <c r="J1511" s="40">
        <f t="shared" si="227"/>
        <v>0</v>
      </c>
      <c r="K1511" s="40">
        <f t="shared" si="228"/>
        <v>0</v>
      </c>
      <c r="L1511" s="40" t="s">
        <v>58</v>
      </c>
      <c r="M1511" s="50" t="s">
        <v>266</v>
      </c>
      <c r="N1511" s="190"/>
      <c r="O1511" s="40">
        <f t="shared" ca="1" si="226"/>
        <v>0.3018820567337499</v>
      </c>
      <c r="P1511" s="51">
        <f t="shared" si="231"/>
        <v>0</v>
      </c>
      <c r="Q1511" s="51">
        <f t="shared" si="232"/>
        <v>0</v>
      </c>
      <c r="R1511" s="51">
        <f t="shared" si="229"/>
        <v>0</v>
      </c>
      <c r="S1511"/>
      <c r="T1511" s="83"/>
    </row>
    <row r="1512" spans="1:20" ht="16" x14ac:dyDescent="0.2">
      <c r="A1512"/>
      <c r="B1512" s="103"/>
      <c r="C1512" s="243"/>
      <c r="D1512" s="119">
        <v>1499</v>
      </c>
      <c r="E1512" s="25" t="str">
        <f>Tp_Non_CHG!I75</f>
        <v>Transition Probability from state 2 to state 3 on day 1 (Non-CHG)</v>
      </c>
      <c r="F1512" s="40">
        <f t="shared" si="230"/>
        <v>0</v>
      </c>
      <c r="G1512" s="156">
        <v>1</v>
      </c>
      <c r="H1512" s="120">
        <f>Tp_Non_CHG!L75</f>
        <v>0</v>
      </c>
      <c r="I1512" s="40" t="s">
        <v>58</v>
      </c>
      <c r="J1512" s="40">
        <f t="shared" si="227"/>
        <v>0</v>
      </c>
      <c r="K1512" s="40">
        <f t="shared" si="228"/>
        <v>0</v>
      </c>
      <c r="L1512" s="40" t="s">
        <v>58</v>
      </c>
      <c r="M1512" s="50" t="s">
        <v>266</v>
      </c>
      <c r="N1512" s="190"/>
      <c r="O1512" s="40">
        <f t="shared" ca="1" si="226"/>
        <v>0.38128917549334951</v>
      </c>
      <c r="P1512" s="51">
        <f t="shared" si="231"/>
        <v>0</v>
      </c>
      <c r="Q1512" s="51">
        <f t="shared" si="232"/>
        <v>0</v>
      </c>
      <c r="R1512" s="51">
        <f t="shared" si="229"/>
        <v>0</v>
      </c>
      <c r="S1512"/>
      <c r="T1512" s="83"/>
    </row>
    <row r="1513" spans="1:20" ht="16" x14ac:dyDescent="0.2">
      <c r="A1513"/>
      <c r="B1513" s="103"/>
      <c r="C1513" s="243"/>
      <c r="D1513" s="119">
        <v>1500</v>
      </c>
      <c r="E1513" s="25" t="str">
        <f>Tp_Non_CHG!I76</f>
        <v>Transition Probability from state 2 to state 3 on day 2 (Non-CHG)</v>
      </c>
      <c r="F1513" s="40">
        <f t="shared" si="230"/>
        <v>0</v>
      </c>
      <c r="G1513" s="156">
        <v>1</v>
      </c>
      <c r="H1513" s="120">
        <f>Tp_Non_CHG!L76</f>
        <v>0</v>
      </c>
      <c r="I1513" s="40" t="s">
        <v>58</v>
      </c>
      <c r="J1513" s="40">
        <f t="shared" si="227"/>
        <v>0</v>
      </c>
      <c r="K1513" s="40">
        <f t="shared" si="228"/>
        <v>0</v>
      </c>
      <c r="L1513" s="40" t="s">
        <v>58</v>
      </c>
      <c r="M1513" s="50" t="s">
        <v>266</v>
      </c>
      <c r="N1513" s="190"/>
      <c r="O1513" s="40">
        <f t="shared" ca="1" si="226"/>
        <v>8.4465442424779713E-2</v>
      </c>
      <c r="P1513" s="51">
        <f t="shared" si="231"/>
        <v>0</v>
      </c>
      <c r="Q1513" s="51">
        <f t="shared" si="232"/>
        <v>0</v>
      </c>
      <c r="R1513" s="51">
        <f t="shared" si="229"/>
        <v>0</v>
      </c>
      <c r="S1513"/>
      <c r="T1513" s="83"/>
    </row>
    <row r="1514" spans="1:20" ht="16" x14ac:dyDescent="0.2">
      <c r="A1514"/>
      <c r="B1514" s="103"/>
      <c r="C1514" s="243"/>
      <c r="D1514" s="119">
        <v>1501</v>
      </c>
      <c r="E1514" s="25" t="str">
        <f>Tp_Non_CHG!I77</f>
        <v>Transition Probability from state 2 to state 3 on day 3 (Non-CHG)</v>
      </c>
      <c r="F1514" s="40">
        <f t="shared" si="230"/>
        <v>0</v>
      </c>
      <c r="G1514" s="156">
        <v>1</v>
      </c>
      <c r="H1514" s="120">
        <f>Tp_Non_CHG!L77</f>
        <v>0</v>
      </c>
      <c r="I1514" s="40" t="s">
        <v>58</v>
      </c>
      <c r="J1514" s="40">
        <f t="shared" si="227"/>
        <v>0</v>
      </c>
      <c r="K1514" s="40">
        <f t="shared" si="228"/>
        <v>0</v>
      </c>
      <c r="L1514" s="40" t="s">
        <v>58</v>
      </c>
      <c r="M1514" s="50" t="s">
        <v>266</v>
      </c>
      <c r="N1514" s="190"/>
      <c r="O1514" s="40">
        <f t="shared" ca="1" si="226"/>
        <v>8.234091397606158E-2</v>
      </c>
      <c r="P1514" s="51">
        <f t="shared" si="231"/>
        <v>0</v>
      </c>
      <c r="Q1514" s="51">
        <f t="shared" si="232"/>
        <v>0</v>
      </c>
      <c r="R1514" s="51">
        <f t="shared" si="229"/>
        <v>0</v>
      </c>
      <c r="S1514"/>
      <c r="T1514" s="83"/>
    </row>
    <row r="1515" spans="1:20" ht="16" x14ac:dyDescent="0.2">
      <c r="A1515"/>
      <c r="B1515" s="103"/>
      <c r="C1515" s="243"/>
      <c r="D1515" s="119">
        <v>1502</v>
      </c>
      <c r="E1515" s="25" t="str">
        <f>Tp_Non_CHG!I78</f>
        <v>Transition Probability from state 2 to state 3 on day 4 (Non-CHG)</v>
      </c>
      <c r="F1515" s="40">
        <f t="shared" si="230"/>
        <v>0</v>
      </c>
      <c r="G1515" s="156">
        <v>1</v>
      </c>
      <c r="H1515" s="120">
        <f>Tp_Non_CHG!L78</f>
        <v>0</v>
      </c>
      <c r="I1515" s="40" t="s">
        <v>58</v>
      </c>
      <c r="J1515" s="40">
        <f t="shared" si="227"/>
        <v>0</v>
      </c>
      <c r="K1515" s="40">
        <f t="shared" si="228"/>
        <v>0</v>
      </c>
      <c r="L1515" s="40" t="s">
        <v>58</v>
      </c>
      <c r="M1515" s="50" t="s">
        <v>266</v>
      </c>
      <c r="N1515" s="190"/>
      <c r="O1515" s="40">
        <f t="shared" ca="1" si="226"/>
        <v>0.86055485509206342</v>
      </c>
      <c r="P1515" s="51">
        <f t="shared" si="231"/>
        <v>0</v>
      </c>
      <c r="Q1515" s="51">
        <f t="shared" si="232"/>
        <v>0</v>
      </c>
      <c r="R1515" s="51">
        <f t="shared" si="229"/>
        <v>0</v>
      </c>
      <c r="S1515"/>
      <c r="T1515" s="83"/>
    </row>
    <row r="1516" spans="1:20" ht="16" x14ac:dyDescent="0.2">
      <c r="A1516"/>
      <c r="B1516" s="103"/>
      <c r="C1516" s="243"/>
      <c r="D1516" s="119">
        <v>1503</v>
      </c>
      <c r="E1516" s="25" t="str">
        <f>Tp_Non_CHG!I79</f>
        <v>Transition Probability from state 2 to state 3 on day 5 (Non-CHG)</v>
      </c>
      <c r="F1516" s="40">
        <f t="shared" si="230"/>
        <v>0</v>
      </c>
      <c r="G1516" s="156">
        <v>1</v>
      </c>
      <c r="H1516" s="120">
        <f>Tp_Non_CHG!L79</f>
        <v>0</v>
      </c>
      <c r="I1516" s="40" t="s">
        <v>58</v>
      </c>
      <c r="J1516" s="40">
        <f t="shared" si="227"/>
        <v>0</v>
      </c>
      <c r="K1516" s="40">
        <f t="shared" si="228"/>
        <v>0</v>
      </c>
      <c r="L1516" s="40" t="s">
        <v>58</v>
      </c>
      <c r="M1516" s="50" t="s">
        <v>266</v>
      </c>
      <c r="N1516" s="190"/>
      <c r="O1516" s="40">
        <f t="shared" ref="O1516:O1579" ca="1" si="233">RAND()</f>
        <v>0.86884342820672289</v>
      </c>
      <c r="P1516" s="51">
        <f t="shared" si="231"/>
        <v>0</v>
      </c>
      <c r="Q1516" s="51">
        <f t="shared" si="232"/>
        <v>0</v>
      </c>
      <c r="R1516" s="51">
        <f t="shared" si="229"/>
        <v>0</v>
      </c>
      <c r="S1516"/>
      <c r="T1516" s="83"/>
    </row>
    <row r="1517" spans="1:20" ht="16" x14ac:dyDescent="0.2">
      <c r="A1517"/>
      <c r="B1517" s="103"/>
      <c r="C1517" s="243"/>
      <c r="D1517" s="119">
        <v>1504</v>
      </c>
      <c r="E1517" s="25" t="str">
        <f>Tp_Non_CHG!I80</f>
        <v>Transition Probability from state 2 to state 3 on day 6 (Non-CHG)</v>
      </c>
      <c r="F1517" s="40">
        <f t="shared" si="230"/>
        <v>0</v>
      </c>
      <c r="G1517" s="156">
        <v>1</v>
      </c>
      <c r="H1517" s="120">
        <f>Tp_Non_CHG!L80</f>
        <v>0</v>
      </c>
      <c r="I1517" s="40" t="s">
        <v>58</v>
      </c>
      <c r="J1517" s="40">
        <f t="shared" si="227"/>
        <v>0</v>
      </c>
      <c r="K1517" s="40">
        <f t="shared" si="228"/>
        <v>0</v>
      </c>
      <c r="L1517" s="40" t="s">
        <v>58</v>
      </c>
      <c r="M1517" s="50" t="s">
        <v>266</v>
      </c>
      <c r="N1517" s="190"/>
      <c r="O1517" s="40">
        <f t="shared" ca="1" si="233"/>
        <v>0.20029281552337397</v>
      </c>
      <c r="P1517" s="51">
        <f t="shared" si="231"/>
        <v>0</v>
      </c>
      <c r="Q1517" s="51">
        <f t="shared" si="232"/>
        <v>0</v>
      </c>
      <c r="R1517" s="51">
        <f t="shared" si="229"/>
        <v>0</v>
      </c>
      <c r="S1517"/>
      <c r="T1517" s="83"/>
    </row>
    <row r="1518" spans="1:20" ht="16" x14ac:dyDescent="0.2">
      <c r="A1518"/>
      <c r="B1518" s="103"/>
      <c r="C1518" s="243"/>
      <c r="D1518" s="119">
        <v>1505</v>
      </c>
      <c r="E1518" s="25" t="str">
        <f>Tp_Non_CHG!I81</f>
        <v>Transition Probability from state 2 to state 3 on day 7 (Non-CHG)</v>
      </c>
      <c r="F1518" s="40">
        <f t="shared" si="230"/>
        <v>0</v>
      </c>
      <c r="G1518" s="156">
        <v>1</v>
      </c>
      <c r="H1518" s="120">
        <f>Tp_Non_CHG!L81</f>
        <v>0</v>
      </c>
      <c r="I1518" s="40" t="s">
        <v>58</v>
      </c>
      <c r="J1518" s="40">
        <f t="shared" si="227"/>
        <v>0</v>
      </c>
      <c r="K1518" s="40">
        <f t="shared" si="228"/>
        <v>0</v>
      </c>
      <c r="L1518" s="40" t="s">
        <v>58</v>
      </c>
      <c r="M1518" s="50" t="s">
        <v>266</v>
      </c>
      <c r="N1518" s="190"/>
      <c r="O1518" s="40">
        <f t="shared" ca="1" si="233"/>
        <v>0.82720091296223852</v>
      </c>
      <c r="P1518" s="51">
        <f t="shared" si="231"/>
        <v>0</v>
      </c>
      <c r="Q1518" s="51">
        <f t="shared" si="232"/>
        <v>0</v>
      </c>
      <c r="R1518" s="51">
        <f t="shared" si="229"/>
        <v>0</v>
      </c>
      <c r="S1518"/>
      <c r="T1518" s="83"/>
    </row>
    <row r="1519" spans="1:20" ht="16" x14ac:dyDescent="0.2">
      <c r="A1519"/>
      <c r="B1519" s="103"/>
      <c r="C1519" s="243"/>
      <c r="D1519" s="119">
        <v>1506</v>
      </c>
      <c r="E1519" s="25" t="str">
        <f>Tp_Non_CHG!I82</f>
        <v>Transition Probability from state 2 to state 3 on day 8 (Non-CHG)</v>
      </c>
      <c r="F1519" s="40">
        <f t="shared" si="230"/>
        <v>0</v>
      </c>
      <c r="G1519" s="156">
        <v>1</v>
      </c>
      <c r="H1519" s="120">
        <f>Tp_Non_CHG!L82</f>
        <v>0</v>
      </c>
      <c r="I1519" s="40" t="s">
        <v>58</v>
      </c>
      <c r="J1519" s="40">
        <f t="shared" si="227"/>
        <v>0</v>
      </c>
      <c r="K1519" s="40">
        <f t="shared" si="228"/>
        <v>0</v>
      </c>
      <c r="L1519" s="40" t="s">
        <v>58</v>
      </c>
      <c r="M1519" s="50" t="s">
        <v>266</v>
      </c>
      <c r="N1519" s="190"/>
      <c r="O1519" s="40">
        <f t="shared" ca="1" si="233"/>
        <v>0.39887632668130812</v>
      </c>
      <c r="P1519" s="51">
        <f t="shared" si="231"/>
        <v>0</v>
      </c>
      <c r="Q1519" s="51">
        <f t="shared" si="232"/>
        <v>0</v>
      </c>
      <c r="R1519" s="51">
        <f t="shared" si="229"/>
        <v>0</v>
      </c>
      <c r="S1519"/>
      <c r="T1519" s="83"/>
    </row>
    <row r="1520" spans="1:20" ht="16" x14ac:dyDescent="0.2">
      <c r="A1520"/>
      <c r="B1520" s="103"/>
      <c r="C1520" s="243"/>
      <c r="D1520" s="119">
        <v>1507</v>
      </c>
      <c r="E1520" s="25" t="str">
        <f>Tp_Non_CHG!I83</f>
        <v>Transition Probability from state 2 to state 3 on day 9 (Non-CHG)</v>
      </c>
      <c r="F1520" s="40">
        <f t="shared" si="230"/>
        <v>0</v>
      </c>
      <c r="G1520" s="156">
        <v>1</v>
      </c>
      <c r="H1520" s="120">
        <f>Tp_Non_CHG!L83</f>
        <v>0</v>
      </c>
      <c r="I1520" s="40" t="s">
        <v>58</v>
      </c>
      <c r="J1520" s="40">
        <f t="shared" si="227"/>
        <v>0</v>
      </c>
      <c r="K1520" s="40">
        <f t="shared" si="228"/>
        <v>0</v>
      </c>
      <c r="L1520" s="40" t="s">
        <v>58</v>
      </c>
      <c r="M1520" s="50" t="s">
        <v>266</v>
      </c>
      <c r="N1520" s="190"/>
      <c r="O1520" s="40">
        <f t="shared" ca="1" si="233"/>
        <v>0.89722663813348968</v>
      </c>
      <c r="P1520" s="51">
        <f t="shared" si="231"/>
        <v>0</v>
      </c>
      <c r="Q1520" s="51">
        <f t="shared" si="232"/>
        <v>0</v>
      </c>
      <c r="R1520" s="51">
        <f t="shared" si="229"/>
        <v>0</v>
      </c>
      <c r="S1520"/>
      <c r="T1520" s="83"/>
    </row>
    <row r="1521" spans="1:20" ht="16" x14ac:dyDescent="0.2">
      <c r="A1521"/>
      <c r="B1521" s="103"/>
      <c r="C1521" s="243"/>
      <c r="D1521" s="119">
        <v>1508</v>
      </c>
      <c r="E1521" s="25" t="str">
        <f>Tp_Non_CHG!I84</f>
        <v>Transition Probability from state 2 to state 3 on day 10 (Non-CHG)</v>
      </c>
      <c r="F1521" s="40">
        <f t="shared" si="230"/>
        <v>0</v>
      </c>
      <c r="G1521" s="156">
        <v>1</v>
      </c>
      <c r="H1521" s="120">
        <f>Tp_Non_CHG!L84</f>
        <v>0</v>
      </c>
      <c r="I1521" s="40" t="s">
        <v>58</v>
      </c>
      <c r="J1521" s="40">
        <f t="shared" si="227"/>
        <v>0</v>
      </c>
      <c r="K1521" s="40">
        <f t="shared" si="228"/>
        <v>0</v>
      </c>
      <c r="L1521" s="40" t="s">
        <v>58</v>
      </c>
      <c r="M1521" s="50" t="s">
        <v>266</v>
      </c>
      <c r="N1521" s="190"/>
      <c r="O1521" s="40">
        <f t="shared" ca="1" si="233"/>
        <v>0.24682974207459218</v>
      </c>
      <c r="P1521" s="51">
        <f t="shared" si="231"/>
        <v>0</v>
      </c>
      <c r="Q1521" s="51">
        <f t="shared" si="232"/>
        <v>0</v>
      </c>
      <c r="R1521" s="51">
        <f t="shared" si="229"/>
        <v>0</v>
      </c>
      <c r="S1521"/>
      <c r="T1521" s="83"/>
    </row>
    <row r="1522" spans="1:20" ht="16" x14ac:dyDescent="0.2">
      <c r="A1522"/>
      <c r="B1522" s="103"/>
      <c r="C1522" s="243"/>
      <c r="D1522" s="119">
        <v>1509</v>
      </c>
      <c r="E1522" s="25" t="str">
        <f>Tp_Non_CHG!I85</f>
        <v>Transition Probability from state 2 to state 3 on day 11 (Non-CHG)</v>
      </c>
      <c r="F1522" s="40">
        <f t="shared" si="230"/>
        <v>0</v>
      </c>
      <c r="G1522" s="156">
        <v>1</v>
      </c>
      <c r="H1522" s="120">
        <f>Tp_Non_CHG!L85</f>
        <v>0</v>
      </c>
      <c r="I1522" s="40" t="s">
        <v>58</v>
      </c>
      <c r="J1522" s="40">
        <f t="shared" si="227"/>
        <v>0</v>
      </c>
      <c r="K1522" s="40">
        <f t="shared" si="228"/>
        <v>0</v>
      </c>
      <c r="L1522" s="40" t="s">
        <v>58</v>
      </c>
      <c r="M1522" s="50" t="s">
        <v>266</v>
      </c>
      <c r="N1522" s="190"/>
      <c r="O1522" s="40">
        <f t="shared" ca="1" si="233"/>
        <v>0.76256374096899016</v>
      </c>
      <c r="P1522" s="51">
        <f t="shared" si="231"/>
        <v>0</v>
      </c>
      <c r="Q1522" s="51">
        <f t="shared" si="232"/>
        <v>0</v>
      </c>
      <c r="R1522" s="51">
        <f t="shared" si="229"/>
        <v>0</v>
      </c>
      <c r="S1522"/>
      <c r="T1522" s="83"/>
    </row>
    <row r="1523" spans="1:20" ht="16" x14ac:dyDescent="0.2">
      <c r="A1523"/>
      <c r="B1523" s="103"/>
      <c r="C1523" s="243"/>
      <c r="D1523" s="119">
        <v>1510</v>
      </c>
      <c r="E1523" s="25" t="str">
        <f>Tp_Non_CHG!I86</f>
        <v>Transition Probability from state 2 to state 3 on day 12 (Non-CHG)</v>
      </c>
      <c r="F1523" s="40">
        <f t="shared" si="230"/>
        <v>0</v>
      </c>
      <c r="G1523" s="156">
        <v>1</v>
      </c>
      <c r="H1523" s="120">
        <f>Tp_Non_CHG!L86</f>
        <v>0</v>
      </c>
      <c r="I1523" s="40" t="s">
        <v>58</v>
      </c>
      <c r="J1523" s="40">
        <f t="shared" si="227"/>
        <v>0</v>
      </c>
      <c r="K1523" s="40">
        <f t="shared" si="228"/>
        <v>0</v>
      </c>
      <c r="L1523" s="40" t="s">
        <v>58</v>
      </c>
      <c r="M1523" s="50" t="s">
        <v>266</v>
      </c>
      <c r="N1523" s="190"/>
      <c r="O1523" s="40">
        <f t="shared" ca="1" si="233"/>
        <v>0.74936216844753623</v>
      </c>
      <c r="P1523" s="51">
        <f t="shared" si="231"/>
        <v>0</v>
      </c>
      <c r="Q1523" s="51">
        <f t="shared" si="232"/>
        <v>0</v>
      </c>
      <c r="R1523" s="51">
        <f t="shared" si="229"/>
        <v>0</v>
      </c>
      <c r="S1523"/>
      <c r="T1523" s="83"/>
    </row>
    <row r="1524" spans="1:20" ht="16" x14ac:dyDescent="0.2">
      <c r="A1524"/>
      <c r="B1524" s="103"/>
      <c r="C1524" s="243"/>
      <c r="D1524" s="119">
        <v>1511</v>
      </c>
      <c r="E1524" s="25" t="str">
        <f>Tp_Non_CHG!I87</f>
        <v>Transition Probability from state 2 to state 3 on day 13 (Non-CHG)</v>
      </c>
      <c r="F1524" s="40">
        <f t="shared" si="230"/>
        <v>0</v>
      </c>
      <c r="G1524" s="156">
        <v>1</v>
      </c>
      <c r="H1524" s="120">
        <f>Tp_Non_CHG!L87</f>
        <v>0</v>
      </c>
      <c r="I1524" s="40" t="s">
        <v>58</v>
      </c>
      <c r="J1524" s="40">
        <f t="shared" si="227"/>
        <v>0</v>
      </c>
      <c r="K1524" s="40">
        <f t="shared" si="228"/>
        <v>0</v>
      </c>
      <c r="L1524" s="40" t="s">
        <v>58</v>
      </c>
      <c r="M1524" s="50" t="s">
        <v>266</v>
      </c>
      <c r="N1524" s="190"/>
      <c r="O1524" s="40">
        <f t="shared" ca="1" si="233"/>
        <v>0.62509487138115549</v>
      </c>
      <c r="P1524" s="51">
        <f t="shared" si="231"/>
        <v>0</v>
      </c>
      <c r="Q1524" s="51">
        <f t="shared" si="232"/>
        <v>0</v>
      </c>
      <c r="R1524" s="51">
        <f t="shared" si="229"/>
        <v>0</v>
      </c>
      <c r="S1524"/>
      <c r="T1524" s="83"/>
    </row>
    <row r="1525" spans="1:20" ht="16" x14ac:dyDescent="0.2">
      <c r="A1525"/>
      <c r="B1525" s="103"/>
      <c r="C1525" s="243"/>
      <c r="D1525" s="119">
        <v>1512</v>
      </c>
      <c r="E1525" s="25" t="str">
        <f>Tp_Non_CHG!I88</f>
        <v>Transition Probability from state 2 to state 3 on day 14 (Non-CHG)</v>
      </c>
      <c r="F1525" s="40">
        <f t="shared" si="230"/>
        <v>0</v>
      </c>
      <c r="G1525" s="156">
        <v>1</v>
      </c>
      <c r="H1525" s="120">
        <f>Tp_Non_CHG!L88</f>
        <v>0</v>
      </c>
      <c r="I1525" s="40" t="s">
        <v>58</v>
      </c>
      <c r="J1525" s="40">
        <f t="shared" si="227"/>
        <v>0</v>
      </c>
      <c r="K1525" s="40">
        <f t="shared" si="228"/>
        <v>0</v>
      </c>
      <c r="L1525" s="40" t="s">
        <v>58</v>
      </c>
      <c r="M1525" s="50" t="s">
        <v>266</v>
      </c>
      <c r="N1525" s="190"/>
      <c r="O1525" s="40">
        <f t="shared" ca="1" si="233"/>
        <v>9.2238629048306375E-2</v>
      </c>
      <c r="P1525" s="51">
        <f t="shared" si="231"/>
        <v>0</v>
      </c>
      <c r="Q1525" s="51">
        <f t="shared" si="232"/>
        <v>0</v>
      </c>
      <c r="R1525" s="51">
        <f t="shared" si="229"/>
        <v>0</v>
      </c>
      <c r="S1525"/>
      <c r="T1525" s="83"/>
    </row>
    <row r="1526" spans="1:20" ht="16" x14ac:dyDescent="0.2">
      <c r="A1526"/>
      <c r="B1526" s="103"/>
      <c r="C1526" s="243"/>
      <c r="D1526" s="119">
        <v>1513</v>
      </c>
      <c r="E1526" s="25" t="str">
        <f>Tp_Non_CHG!I89</f>
        <v>Transition Probability from state 2 to state 3 on day 15 (Non-CHG)</v>
      </c>
      <c r="F1526" s="40">
        <f t="shared" si="230"/>
        <v>0</v>
      </c>
      <c r="G1526" s="156">
        <v>1</v>
      </c>
      <c r="H1526" s="120">
        <f>Tp_Non_CHG!L89</f>
        <v>0</v>
      </c>
      <c r="I1526" s="40" t="s">
        <v>58</v>
      </c>
      <c r="J1526" s="40">
        <f t="shared" si="227"/>
        <v>0</v>
      </c>
      <c r="K1526" s="40">
        <f t="shared" si="228"/>
        <v>0</v>
      </c>
      <c r="L1526" s="40" t="s">
        <v>58</v>
      </c>
      <c r="M1526" s="50" t="s">
        <v>266</v>
      </c>
      <c r="N1526" s="190"/>
      <c r="O1526" s="40">
        <f t="shared" ca="1" si="233"/>
        <v>0.3699174376137756</v>
      </c>
      <c r="P1526" s="51">
        <f t="shared" si="231"/>
        <v>0</v>
      </c>
      <c r="Q1526" s="51">
        <f t="shared" si="232"/>
        <v>0</v>
      </c>
      <c r="R1526" s="51">
        <f t="shared" si="229"/>
        <v>0</v>
      </c>
      <c r="S1526"/>
      <c r="T1526" s="83"/>
    </row>
    <row r="1527" spans="1:20" ht="16" x14ac:dyDescent="0.2">
      <c r="A1527"/>
      <c r="B1527" s="103"/>
      <c r="C1527" s="243"/>
      <c r="D1527" s="119">
        <v>1514</v>
      </c>
      <c r="E1527" s="25" t="str">
        <f>Tp_Non_CHG!I90</f>
        <v>Transition Probability from state 2 to state 3 on day 16 (Non-CHG)</v>
      </c>
      <c r="F1527" s="40">
        <f t="shared" si="230"/>
        <v>0</v>
      </c>
      <c r="G1527" s="156">
        <v>1</v>
      </c>
      <c r="H1527" s="120">
        <f>Tp_Non_CHG!L90</f>
        <v>0</v>
      </c>
      <c r="I1527" s="40" t="s">
        <v>58</v>
      </c>
      <c r="J1527" s="40">
        <f t="shared" si="227"/>
        <v>0</v>
      </c>
      <c r="K1527" s="40">
        <f t="shared" si="228"/>
        <v>0</v>
      </c>
      <c r="L1527" s="40" t="s">
        <v>58</v>
      </c>
      <c r="M1527" s="50" t="s">
        <v>266</v>
      </c>
      <c r="N1527" s="190"/>
      <c r="O1527" s="40">
        <f t="shared" ca="1" si="233"/>
        <v>0.67764478600907041</v>
      </c>
      <c r="P1527" s="51">
        <f t="shared" si="231"/>
        <v>0</v>
      </c>
      <c r="Q1527" s="51">
        <f t="shared" si="232"/>
        <v>0</v>
      </c>
      <c r="R1527" s="51">
        <f t="shared" si="229"/>
        <v>0</v>
      </c>
      <c r="S1527"/>
      <c r="T1527" s="83"/>
    </row>
    <row r="1528" spans="1:20" ht="16" x14ac:dyDescent="0.2">
      <c r="A1528"/>
      <c r="B1528" s="103"/>
      <c r="C1528" s="243"/>
      <c r="D1528" s="119">
        <v>1515</v>
      </c>
      <c r="E1528" s="25" t="str">
        <f>Tp_Non_CHG!I91</f>
        <v>Transition Probability from state 2 to state 3 on day 17 (Non-CHG)</v>
      </c>
      <c r="F1528" s="40">
        <f t="shared" si="230"/>
        <v>0</v>
      </c>
      <c r="G1528" s="156">
        <v>1</v>
      </c>
      <c r="H1528" s="120">
        <f>Tp_Non_CHG!L91</f>
        <v>0</v>
      </c>
      <c r="I1528" s="40" t="s">
        <v>58</v>
      </c>
      <c r="J1528" s="40">
        <f t="shared" si="227"/>
        <v>0</v>
      </c>
      <c r="K1528" s="40">
        <f t="shared" si="228"/>
        <v>0</v>
      </c>
      <c r="L1528" s="40" t="s">
        <v>58</v>
      </c>
      <c r="M1528" s="50" t="s">
        <v>266</v>
      </c>
      <c r="N1528" s="190"/>
      <c r="O1528" s="40">
        <f t="shared" ca="1" si="233"/>
        <v>0.71714261076245311</v>
      </c>
      <c r="P1528" s="51">
        <f t="shared" si="231"/>
        <v>0</v>
      </c>
      <c r="Q1528" s="51">
        <f t="shared" si="232"/>
        <v>0</v>
      </c>
      <c r="R1528" s="51">
        <f t="shared" si="229"/>
        <v>0</v>
      </c>
      <c r="S1528"/>
      <c r="T1528" s="83"/>
    </row>
    <row r="1529" spans="1:20" ht="16" x14ac:dyDescent="0.2">
      <c r="A1529"/>
      <c r="B1529" s="103"/>
      <c r="C1529" s="243"/>
      <c r="D1529" s="119">
        <v>1516</v>
      </c>
      <c r="E1529" s="25" t="str">
        <f>Tp_Non_CHG!I92</f>
        <v>Transition Probability from state 2 to state 3 on day 18 (Non-CHG)</v>
      </c>
      <c r="F1529" s="40">
        <f t="shared" si="230"/>
        <v>0</v>
      </c>
      <c r="G1529" s="156">
        <v>1</v>
      </c>
      <c r="H1529" s="120">
        <f>Tp_Non_CHG!L92</f>
        <v>0</v>
      </c>
      <c r="I1529" s="40" t="s">
        <v>58</v>
      </c>
      <c r="J1529" s="40">
        <f t="shared" si="227"/>
        <v>0</v>
      </c>
      <c r="K1529" s="40">
        <f t="shared" si="228"/>
        <v>0</v>
      </c>
      <c r="L1529" s="40" t="s">
        <v>58</v>
      </c>
      <c r="M1529" s="50" t="s">
        <v>266</v>
      </c>
      <c r="N1529" s="190"/>
      <c r="O1529" s="40">
        <f t="shared" ca="1" si="233"/>
        <v>9.0086723767810573E-2</v>
      </c>
      <c r="P1529" s="51">
        <f t="shared" si="231"/>
        <v>0</v>
      </c>
      <c r="Q1529" s="51">
        <f t="shared" si="232"/>
        <v>0</v>
      </c>
      <c r="R1529" s="51">
        <f t="shared" si="229"/>
        <v>0</v>
      </c>
      <c r="S1529"/>
      <c r="T1529" s="83"/>
    </row>
    <row r="1530" spans="1:20" ht="16" x14ac:dyDescent="0.2">
      <c r="A1530"/>
      <c r="B1530" s="103"/>
      <c r="C1530" s="243"/>
      <c r="D1530" s="119">
        <v>1517</v>
      </c>
      <c r="E1530" s="25" t="str">
        <f>Tp_Non_CHG!I93</f>
        <v>Transition Probability from state 2 to state 3 on day 19 (Non-CHG)</v>
      </c>
      <c r="F1530" s="40">
        <f t="shared" si="230"/>
        <v>0</v>
      </c>
      <c r="G1530" s="156">
        <v>1</v>
      </c>
      <c r="H1530" s="120">
        <f>Tp_Non_CHG!L93</f>
        <v>0</v>
      </c>
      <c r="I1530" s="40" t="s">
        <v>58</v>
      </c>
      <c r="J1530" s="40">
        <f t="shared" si="227"/>
        <v>0</v>
      </c>
      <c r="K1530" s="40">
        <f t="shared" si="228"/>
        <v>0</v>
      </c>
      <c r="L1530" s="40" t="s">
        <v>58</v>
      </c>
      <c r="M1530" s="50" t="s">
        <v>266</v>
      </c>
      <c r="N1530" s="190"/>
      <c r="O1530" s="40">
        <f t="shared" ca="1" si="233"/>
        <v>0.62574826908665426</v>
      </c>
      <c r="P1530" s="51">
        <f t="shared" si="231"/>
        <v>0</v>
      </c>
      <c r="Q1530" s="51">
        <f t="shared" si="232"/>
        <v>0</v>
      </c>
      <c r="R1530" s="51">
        <f t="shared" si="229"/>
        <v>0</v>
      </c>
      <c r="S1530"/>
      <c r="T1530" s="83"/>
    </row>
    <row r="1531" spans="1:20" ht="16" x14ac:dyDescent="0.2">
      <c r="A1531"/>
      <c r="B1531" s="103"/>
      <c r="C1531" s="243"/>
      <c r="D1531" s="119">
        <v>1518</v>
      </c>
      <c r="E1531" s="25" t="str">
        <f>Tp_Non_CHG!I94</f>
        <v>Transition Probability from state 2 to state 3 on day 20 (Non-CHG)</v>
      </c>
      <c r="F1531" s="40">
        <f t="shared" si="230"/>
        <v>0</v>
      </c>
      <c r="G1531" s="156">
        <v>1</v>
      </c>
      <c r="H1531" s="120">
        <f>Tp_Non_CHG!L94</f>
        <v>0</v>
      </c>
      <c r="I1531" s="40" t="s">
        <v>58</v>
      </c>
      <c r="J1531" s="40">
        <f t="shared" si="227"/>
        <v>0</v>
      </c>
      <c r="K1531" s="40">
        <f t="shared" si="228"/>
        <v>0</v>
      </c>
      <c r="L1531" s="40" t="s">
        <v>58</v>
      </c>
      <c r="M1531" s="50" t="s">
        <v>266</v>
      </c>
      <c r="N1531" s="190"/>
      <c r="O1531" s="40">
        <f t="shared" ca="1" si="233"/>
        <v>0.32658881467182743</v>
      </c>
      <c r="P1531" s="51">
        <f t="shared" si="231"/>
        <v>0</v>
      </c>
      <c r="Q1531" s="51">
        <f t="shared" si="232"/>
        <v>0</v>
      </c>
      <c r="R1531" s="51">
        <f t="shared" si="229"/>
        <v>0</v>
      </c>
      <c r="S1531"/>
      <c r="T1531" s="83"/>
    </row>
    <row r="1532" spans="1:20" ht="16" x14ac:dyDescent="0.2">
      <c r="A1532"/>
      <c r="B1532" s="103"/>
      <c r="C1532" s="243"/>
      <c r="D1532" s="119">
        <v>1519</v>
      </c>
      <c r="E1532" s="25" t="str">
        <f>Tp_Non_CHG!I95</f>
        <v>Transition Probability from state 2 to state 3 on day 21 (Non-CHG)</v>
      </c>
      <c r="F1532" s="40">
        <f t="shared" si="230"/>
        <v>0</v>
      </c>
      <c r="G1532" s="156">
        <v>1</v>
      </c>
      <c r="H1532" s="120">
        <f>Tp_Non_CHG!L95</f>
        <v>0</v>
      </c>
      <c r="I1532" s="40" t="s">
        <v>58</v>
      </c>
      <c r="J1532" s="40">
        <f t="shared" si="227"/>
        <v>0</v>
      </c>
      <c r="K1532" s="40">
        <f t="shared" si="228"/>
        <v>0</v>
      </c>
      <c r="L1532" s="40" t="s">
        <v>58</v>
      </c>
      <c r="M1532" s="50" t="s">
        <v>266</v>
      </c>
      <c r="N1532" s="190"/>
      <c r="O1532" s="40">
        <f t="shared" ca="1" si="233"/>
        <v>0.65284676741831793</v>
      </c>
      <c r="P1532" s="51">
        <f t="shared" si="231"/>
        <v>0</v>
      </c>
      <c r="Q1532" s="51">
        <f t="shared" si="232"/>
        <v>0</v>
      </c>
      <c r="R1532" s="51">
        <f t="shared" si="229"/>
        <v>0</v>
      </c>
      <c r="S1532"/>
      <c r="T1532" s="83"/>
    </row>
    <row r="1533" spans="1:20" ht="16" x14ac:dyDescent="0.2">
      <c r="A1533"/>
      <c r="B1533" s="103"/>
      <c r="C1533" s="243"/>
      <c r="D1533" s="119">
        <v>1520</v>
      </c>
      <c r="E1533" s="25" t="str">
        <f>Tp_Non_CHG!I96</f>
        <v>Transition Probability from state 2 to state 3 on day 22 (Non-CHG)</v>
      </c>
      <c r="F1533" s="40">
        <f t="shared" si="230"/>
        <v>0</v>
      </c>
      <c r="G1533" s="156">
        <v>1</v>
      </c>
      <c r="H1533" s="120">
        <f>Tp_Non_CHG!L96</f>
        <v>0</v>
      </c>
      <c r="I1533" s="40" t="s">
        <v>58</v>
      </c>
      <c r="J1533" s="40">
        <f t="shared" si="227"/>
        <v>0</v>
      </c>
      <c r="K1533" s="40">
        <f t="shared" si="228"/>
        <v>0</v>
      </c>
      <c r="L1533" s="40" t="s">
        <v>58</v>
      </c>
      <c r="M1533" s="50" t="s">
        <v>266</v>
      </c>
      <c r="N1533" s="190"/>
      <c r="O1533" s="40">
        <f t="shared" ca="1" si="233"/>
        <v>0.51468604212364277</v>
      </c>
      <c r="P1533" s="51">
        <f t="shared" si="231"/>
        <v>0</v>
      </c>
      <c r="Q1533" s="51">
        <f t="shared" si="232"/>
        <v>0</v>
      </c>
      <c r="R1533" s="51">
        <f t="shared" si="229"/>
        <v>0</v>
      </c>
      <c r="S1533"/>
      <c r="T1533" s="83"/>
    </row>
    <row r="1534" spans="1:20" ht="16" x14ac:dyDescent="0.2">
      <c r="A1534"/>
      <c r="B1534" s="103"/>
      <c r="C1534" s="243"/>
      <c r="D1534" s="119">
        <v>1521</v>
      </c>
      <c r="E1534" s="25" t="str">
        <f>Tp_Non_CHG!I97</f>
        <v>Transition Probability from state 2 to state 3 on day 23 (Non-CHG)</v>
      </c>
      <c r="F1534" s="40">
        <f t="shared" si="230"/>
        <v>0</v>
      </c>
      <c r="G1534" s="156">
        <v>1</v>
      </c>
      <c r="H1534" s="120">
        <f>Tp_Non_CHG!L97</f>
        <v>0</v>
      </c>
      <c r="I1534" s="40" t="s">
        <v>58</v>
      </c>
      <c r="J1534" s="40">
        <f t="shared" si="227"/>
        <v>0</v>
      </c>
      <c r="K1534" s="40">
        <f t="shared" si="228"/>
        <v>0</v>
      </c>
      <c r="L1534" s="40" t="s">
        <v>58</v>
      </c>
      <c r="M1534" s="50" t="s">
        <v>266</v>
      </c>
      <c r="N1534" s="190"/>
      <c r="O1534" s="40">
        <f t="shared" ca="1" si="233"/>
        <v>0.44864287114310042</v>
      </c>
      <c r="P1534" s="51">
        <f t="shared" si="231"/>
        <v>0</v>
      </c>
      <c r="Q1534" s="51">
        <f t="shared" si="232"/>
        <v>0</v>
      </c>
      <c r="R1534" s="51">
        <f t="shared" si="229"/>
        <v>0</v>
      </c>
      <c r="S1534"/>
      <c r="T1534" s="83"/>
    </row>
    <row r="1535" spans="1:20" ht="16" x14ac:dyDescent="0.2">
      <c r="A1535"/>
      <c r="B1535" s="103"/>
      <c r="C1535" s="243"/>
      <c r="D1535" s="119">
        <v>1522</v>
      </c>
      <c r="E1535" s="25" t="str">
        <f>Tp_Non_CHG!I98</f>
        <v>Transition Probability from state 2 to state 3 on day 24 (Non-CHG)</v>
      </c>
      <c r="F1535" s="40">
        <f t="shared" si="230"/>
        <v>0</v>
      </c>
      <c r="G1535" s="156">
        <v>1</v>
      </c>
      <c r="H1535" s="120">
        <f>Tp_Non_CHG!L98</f>
        <v>0</v>
      </c>
      <c r="I1535" s="40" t="s">
        <v>58</v>
      </c>
      <c r="J1535" s="40">
        <f t="shared" si="227"/>
        <v>0</v>
      </c>
      <c r="K1535" s="40">
        <f t="shared" si="228"/>
        <v>0</v>
      </c>
      <c r="L1535" s="40" t="s">
        <v>58</v>
      </c>
      <c r="M1535" s="50" t="s">
        <v>266</v>
      </c>
      <c r="N1535" s="190"/>
      <c r="O1535" s="40">
        <f t="shared" ca="1" si="233"/>
        <v>0.33406322688453916</v>
      </c>
      <c r="P1535" s="51">
        <f t="shared" si="231"/>
        <v>0</v>
      </c>
      <c r="Q1535" s="51">
        <f t="shared" si="232"/>
        <v>0</v>
      </c>
      <c r="R1535" s="51">
        <f t="shared" si="229"/>
        <v>0</v>
      </c>
      <c r="S1535"/>
      <c r="T1535" s="83"/>
    </row>
    <row r="1536" spans="1:20" ht="16" x14ac:dyDescent="0.2">
      <c r="A1536"/>
      <c r="B1536" s="103"/>
      <c r="C1536" s="243"/>
      <c r="D1536" s="119">
        <v>1523</v>
      </c>
      <c r="E1536" s="25" t="str">
        <f>Tp_Non_CHG!I99</f>
        <v>Transition Probability from state 2 to state 3 on day 25 (Non-CHG)</v>
      </c>
      <c r="F1536" s="40">
        <f t="shared" si="230"/>
        <v>0</v>
      </c>
      <c r="G1536" s="156">
        <v>1</v>
      </c>
      <c r="H1536" s="120">
        <f>Tp_Non_CHG!L99</f>
        <v>0</v>
      </c>
      <c r="I1536" s="40" t="s">
        <v>58</v>
      </c>
      <c r="J1536" s="40">
        <f t="shared" si="227"/>
        <v>0</v>
      </c>
      <c r="K1536" s="40">
        <f t="shared" si="228"/>
        <v>0</v>
      </c>
      <c r="L1536" s="40" t="s">
        <v>58</v>
      </c>
      <c r="M1536" s="50" t="s">
        <v>266</v>
      </c>
      <c r="N1536" s="190"/>
      <c r="O1536" s="40">
        <f t="shared" ca="1" si="233"/>
        <v>0.9764734860432932</v>
      </c>
      <c r="P1536" s="51">
        <f t="shared" si="231"/>
        <v>0</v>
      </c>
      <c r="Q1536" s="51">
        <f t="shared" si="232"/>
        <v>0</v>
      </c>
      <c r="R1536" s="51">
        <f t="shared" si="229"/>
        <v>0</v>
      </c>
      <c r="S1536"/>
      <c r="T1536" s="83"/>
    </row>
    <row r="1537" spans="1:20" ht="16" x14ac:dyDescent="0.2">
      <c r="A1537"/>
      <c r="B1537" s="103"/>
      <c r="C1537" s="243"/>
      <c r="D1537" s="119">
        <v>1524</v>
      </c>
      <c r="E1537" s="25" t="str">
        <f>Tp_Non_CHG!I100</f>
        <v>Transition Probability from state 2 to state 3 on day 26 (Non-CHG)</v>
      </c>
      <c r="F1537" s="40">
        <f t="shared" si="230"/>
        <v>0</v>
      </c>
      <c r="G1537" s="156">
        <v>1</v>
      </c>
      <c r="H1537" s="120">
        <f>Tp_Non_CHG!L100</f>
        <v>0</v>
      </c>
      <c r="I1537" s="40" t="s">
        <v>58</v>
      </c>
      <c r="J1537" s="40">
        <f t="shared" si="227"/>
        <v>0</v>
      </c>
      <c r="K1537" s="40">
        <f t="shared" si="228"/>
        <v>0</v>
      </c>
      <c r="L1537" s="40" t="s">
        <v>58</v>
      </c>
      <c r="M1537" s="50" t="s">
        <v>266</v>
      </c>
      <c r="N1537" s="190"/>
      <c r="O1537" s="40">
        <f t="shared" ca="1" si="233"/>
        <v>0.12266167613420953</v>
      </c>
      <c r="P1537" s="51">
        <f t="shared" si="231"/>
        <v>0</v>
      </c>
      <c r="Q1537" s="51">
        <f t="shared" si="232"/>
        <v>0</v>
      </c>
      <c r="R1537" s="51">
        <f t="shared" si="229"/>
        <v>0</v>
      </c>
      <c r="S1537"/>
      <c r="T1537" s="83"/>
    </row>
    <row r="1538" spans="1:20" ht="16" x14ac:dyDescent="0.2">
      <c r="A1538"/>
      <c r="B1538" s="103"/>
      <c r="C1538" s="243"/>
      <c r="D1538" s="119">
        <v>1525</v>
      </c>
      <c r="E1538" s="25" t="str">
        <f>Tp_Non_CHG!I101</f>
        <v>Transition Probability from state 2 to state 3 on day 27 (Non-CHG)</v>
      </c>
      <c r="F1538" s="40">
        <f t="shared" si="230"/>
        <v>0</v>
      </c>
      <c r="G1538" s="156">
        <v>1</v>
      </c>
      <c r="H1538" s="120">
        <f>Tp_Non_CHG!L101</f>
        <v>0</v>
      </c>
      <c r="I1538" s="40" t="s">
        <v>58</v>
      </c>
      <c r="J1538" s="40">
        <f t="shared" si="227"/>
        <v>0</v>
      </c>
      <c r="K1538" s="40">
        <f t="shared" si="228"/>
        <v>0</v>
      </c>
      <c r="L1538" s="40" t="s">
        <v>58</v>
      </c>
      <c r="M1538" s="50" t="s">
        <v>266</v>
      </c>
      <c r="N1538" s="190"/>
      <c r="O1538" s="40">
        <f t="shared" ca="1" si="233"/>
        <v>0.66732650323422882</v>
      </c>
      <c r="P1538" s="51">
        <f t="shared" si="231"/>
        <v>0</v>
      </c>
      <c r="Q1538" s="51">
        <f t="shared" si="232"/>
        <v>0</v>
      </c>
      <c r="R1538" s="51">
        <f t="shared" si="229"/>
        <v>0</v>
      </c>
      <c r="S1538"/>
      <c r="T1538" s="83"/>
    </row>
    <row r="1539" spans="1:20" ht="16" x14ac:dyDescent="0.2">
      <c r="A1539"/>
      <c r="B1539" s="103"/>
      <c r="C1539" s="243"/>
      <c r="D1539" s="119">
        <v>1526</v>
      </c>
      <c r="E1539" s="25" t="str">
        <f>Tp_Non_CHG!I102</f>
        <v>Transition Probability from state 2 to state 3 on day 28 (Non-CHG)</v>
      </c>
      <c r="F1539" s="40">
        <f t="shared" si="230"/>
        <v>0</v>
      </c>
      <c r="G1539" s="156">
        <v>1</v>
      </c>
      <c r="H1539" s="120">
        <f>Tp_Non_CHG!L102</f>
        <v>0</v>
      </c>
      <c r="I1539" s="40" t="s">
        <v>58</v>
      </c>
      <c r="J1539" s="40">
        <f t="shared" si="227"/>
        <v>0</v>
      </c>
      <c r="K1539" s="40">
        <f t="shared" si="228"/>
        <v>0</v>
      </c>
      <c r="L1539" s="40" t="s">
        <v>58</v>
      </c>
      <c r="M1539" s="50" t="s">
        <v>266</v>
      </c>
      <c r="N1539" s="190"/>
      <c r="O1539" s="40">
        <f t="shared" ca="1" si="233"/>
        <v>0.37070077233830934</v>
      </c>
      <c r="P1539" s="51">
        <f t="shared" si="231"/>
        <v>0</v>
      </c>
      <c r="Q1539" s="51">
        <f t="shared" si="232"/>
        <v>0</v>
      </c>
      <c r="R1539" s="51">
        <f t="shared" si="229"/>
        <v>0</v>
      </c>
      <c r="S1539"/>
      <c r="T1539" s="83"/>
    </row>
    <row r="1540" spans="1:20" ht="16" x14ac:dyDescent="0.2">
      <c r="A1540"/>
      <c r="B1540" s="103"/>
      <c r="C1540" s="243"/>
      <c r="D1540" s="119">
        <v>1527</v>
      </c>
      <c r="E1540" s="25" t="str">
        <f>Tp_Non_CHG!I103</f>
        <v>Transition Probability from state 2 to state 3 on day 29 (Non-CHG)</v>
      </c>
      <c r="F1540" s="40">
        <f t="shared" si="230"/>
        <v>0</v>
      </c>
      <c r="G1540" s="156">
        <v>1</v>
      </c>
      <c r="H1540" s="120">
        <f>Tp_Non_CHG!L103</f>
        <v>0</v>
      </c>
      <c r="I1540" s="40" t="s">
        <v>58</v>
      </c>
      <c r="J1540" s="40">
        <f t="shared" si="227"/>
        <v>0</v>
      </c>
      <c r="K1540" s="40">
        <f t="shared" si="228"/>
        <v>0</v>
      </c>
      <c r="L1540" s="40" t="s">
        <v>58</v>
      </c>
      <c r="M1540" s="50" t="s">
        <v>266</v>
      </c>
      <c r="N1540" s="190"/>
      <c r="O1540" s="40">
        <f t="shared" ca="1" si="233"/>
        <v>0.44047029884659716</v>
      </c>
      <c r="P1540" s="51">
        <f t="shared" si="231"/>
        <v>0</v>
      </c>
      <c r="Q1540" s="51">
        <f t="shared" si="232"/>
        <v>0</v>
      </c>
      <c r="R1540" s="51">
        <f t="shared" si="229"/>
        <v>0</v>
      </c>
      <c r="S1540"/>
      <c r="T1540" s="83"/>
    </row>
    <row r="1541" spans="1:20" ht="16" x14ac:dyDescent="0.2">
      <c r="A1541"/>
      <c r="B1541" s="103"/>
      <c r="C1541" s="243"/>
      <c r="D1541" s="119">
        <v>1528</v>
      </c>
      <c r="E1541" s="25" t="str">
        <f>Tp_Non_CHG!I104</f>
        <v>Transition Probability from state 2 to state 3 on day 30 (Non-CHG)</v>
      </c>
      <c r="F1541" s="40">
        <f t="shared" si="230"/>
        <v>0</v>
      </c>
      <c r="G1541" s="156">
        <v>1</v>
      </c>
      <c r="H1541" s="120">
        <f>Tp_Non_CHG!L104</f>
        <v>0</v>
      </c>
      <c r="I1541" s="40" t="s">
        <v>58</v>
      </c>
      <c r="J1541" s="40">
        <f t="shared" si="227"/>
        <v>0</v>
      </c>
      <c r="K1541" s="40">
        <f t="shared" si="228"/>
        <v>0</v>
      </c>
      <c r="L1541" s="40" t="s">
        <v>58</v>
      </c>
      <c r="M1541" s="50" t="s">
        <v>266</v>
      </c>
      <c r="N1541" s="190"/>
      <c r="O1541" s="40">
        <f t="shared" ca="1" si="233"/>
        <v>0.78908590406461854</v>
      </c>
      <c r="P1541" s="51">
        <f t="shared" si="231"/>
        <v>0</v>
      </c>
      <c r="Q1541" s="51">
        <f t="shared" si="232"/>
        <v>0</v>
      </c>
      <c r="R1541" s="51">
        <f t="shared" si="229"/>
        <v>0</v>
      </c>
      <c r="S1541"/>
      <c r="T1541" s="83"/>
    </row>
    <row r="1542" spans="1:20" ht="16" x14ac:dyDescent="0.2">
      <c r="A1542"/>
      <c r="B1542" s="103"/>
      <c r="C1542" s="243"/>
      <c r="D1542" s="119">
        <v>1529</v>
      </c>
      <c r="E1542" s="25" t="str">
        <f>Tp_Non_CHG!N75</f>
        <v>Transition Probability from state 3 to state 3 on day 1 (Non-CHG)</v>
      </c>
      <c r="F1542" s="40">
        <f t="shared" si="230"/>
        <v>0</v>
      </c>
      <c r="G1542" s="156">
        <v>1</v>
      </c>
      <c r="H1542" s="120">
        <f>Tp_Non_CHG!Q75</f>
        <v>0</v>
      </c>
      <c r="I1542" s="40" t="s">
        <v>58</v>
      </c>
      <c r="J1542" s="40">
        <f t="shared" si="227"/>
        <v>0</v>
      </c>
      <c r="K1542" s="40">
        <f t="shared" si="228"/>
        <v>0</v>
      </c>
      <c r="L1542" s="40" t="s">
        <v>58</v>
      </c>
      <c r="M1542" s="50" t="s">
        <v>266</v>
      </c>
      <c r="N1542" s="190"/>
      <c r="O1542" s="40">
        <f t="shared" ca="1" si="233"/>
        <v>0.96438666802080708</v>
      </c>
      <c r="P1542" s="51">
        <f t="shared" si="231"/>
        <v>0</v>
      </c>
      <c r="Q1542" s="51">
        <f t="shared" si="232"/>
        <v>0</v>
      </c>
      <c r="R1542" s="51">
        <f t="shared" si="229"/>
        <v>0</v>
      </c>
      <c r="S1542"/>
      <c r="T1542" s="83"/>
    </row>
    <row r="1543" spans="1:20" ht="16" x14ac:dyDescent="0.2">
      <c r="A1543"/>
      <c r="B1543" s="103"/>
      <c r="C1543" s="243"/>
      <c r="D1543" s="119">
        <v>1530</v>
      </c>
      <c r="E1543" s="25" t="str">
        <f>Tp_Non_CHG!N76</f>
        <v>Transition Probability from state 3 to state 3 on day 2 (Non-CHG)</v>
      </c>
      <c r="F1543" s="40">
        <f t="shared" si="230"/>
        <v>0</v>
      </c>
      <c r="G1543" s="156">
        <v>1</v>
      </c>
      <c r="H1543" s="120">
        <f>Tp_Non_CHG!Q76</f>
        <v>0</v>
      </c>
      <c r="I1543" s="40" t="s">
        <v>58</v>
      </c>
      <c r="J1543" s="40">
        <f t="shared" si="227"/>
        <v>0</v>
      </c>
      <c r="K1543" s="40">
        <f t="shared" si="228"/>
        <v>0</v>
      </c>
      <c r="L1543" s="40" t="s">
        <v>58</v>
      </c>
      <c r="M1543" s="50" t="s">
        <v>266</v>
      </c>
      <c r="N1543" s="190"/>
      <c r="O1543" s="40">
        <f t="shared" ca="1" si="233"/>
        <v>0.10479999330583889</v>
      </c>
      <c r="P1543" s="51">
        <f t="shared" si="231"/>
        <v>0</v>
      </c>
      <c r="Q1543" s="51">
        <f t="shared" si="232"/>
        <v>0</v>
      </c>
      <c r="R1543" s="51">
        <f t="shared" si="229"/>
        <v>0</v>
      </c>
      <c r="S1543"/>
      <c r="T1543" s="83"/>
    </row>
    <row r="1544" spans="1:20" ht="16" x14ac:dyDescent="0.2">
      <c r="A1544"/>
      <c r="B1544" s="103"/>
      <c r="C1544" s="243"/>
      <c r="D1544" s="119">
        <v>1531</v>
      </c>
      <c r="E1544" s="25" t="str">
        <f>Tp_Non_CHG!N77</f>
        <v>Transition Probability from state 3 to state 3 on day 3 (Non-CHG)</v>
      </c>
      <c r="F1544" s="40">
        <f t="shared" si="230"/>
        <v>0</v>
      </c>
      <c r="G1544" s="156">
        <v>1</v>
      </c>
      <c r="H1544" s="120">
        <f>Tp_Non_CHG!Q77</f>
        <v>0</v>
      </c>
      <c r="I1544" s="40" t="s">
        <v>58</v>
      </c>
      <c r="J1544" s="40">
        <f t="shared" si="227"/>
        <v>0</v>
      </c>
      <c r="K1544" s="40">
        <f t="shared" si="228"/>
        <v>0</v>
      </c>
      <c r="L1544" s="40" t="s">
        <v>58</v>
      </c>
      <c r="M1544" s="50" t="s">
        <v>266</v>
      </c>
      <c r="N1544" s="190"/>
      <c r="O1544" s="40">
        <f t="shared" ca="1" si="233"/>
        <v>0.32506873534756753</v>
      </c>
      <c r="P1544" s="51">
        <f t="shared" si="231"/>
        <v>0</v>
      </c>
      <c r="Q1544" s="51">
        <f t="shared" si="232"/>
        <v>0</v>
      </c>
      <c r="R1544" s="51">
        <f t="shared" si="229"/>
        <v>0</v>
      </c>
      <c r="S1544"/>
      <c r="T1544" s="83"/>
    </row>
    <row r="1545" spans="1:20" ht="16" x14ac:dyDescent="0.2">
      <c r="A1545"/>
      <c r="B1545" s="103"/>
      <c r="C1545" s="243"/>
      <c r="D1545" s="119">
        <v>1532</v>
      </c>
      <c r="E1545" s="25" t="str">
        <f>Tp_Non_CHG!N78</f>
        <v>Transition Probability from state 3 to state 3 on day 4 (Non-CHG)</v>
      </c>
      <c r="F1545" s="40">
        <f t="shared" si="230"/>
        <v>0</v>
      </c>
      <c r="G1545" s="156">
        <v>1</v>
      </c>
      <c r="H1545" s="120">
        <f>Tp_Non_CHG!Q78</f>
        <v>0</v>
      </c>
      <c r="I1545" s="40" t="s">
        <v>58</v>
      </c>
      <c r="J1545" s="40">
        <f t="shared" si="227"/>
        <v>0</v>
      </c>
      <c r="K1545" s="40">
        <f t="shared" si="228"/>
        <v>0</v>
      </c>
      <c r="L1545" s="40" t="s">
        <v>58</v>
      </c>
      <c r="M1545" s="50" t="s">
        <v>266</v>
      </c>
      <c r="N1545" s="190"/>
      <c r="O1545" s="40">
        <f t="shared" ca="1" si="233"/>
        <v>0.76355643731547573</v>
      </c>
      <c r="P1545" s="51">
        <f t="shared" si="231"/>
        <v>0</v>
      </c>
      <c r="Q1545" s="51">
        <f t="shared" si="232"/>
        <v>0</v>
      </c>
      <c r="R1545" s="51">
        <f t="shared" si="229"/>
        <v>0</v>
      </c>
      <c r="S1545"/>
      <c r="T1545" s="83"/>
    </row>
    <row r="1546" spans="1:20" ht="16" x14ac:dyDescent="0.2">
      <c r="A1546"/>
      <c r="B1546" s="103"/>
      <c r="C1546" s="243"/>
      <c r="D1546" s="119">
        <v>1533</v>
      </c>
      <c r="E1546" s="25" t="str">
        <f>Tp_Non_CHG!N79</f>
        <v>Transition Probability from state 3 to state 3 on day 5 (Non-CHG)</v>
      </c>
      <c r="F1546" s="40">
        <f t="shared" si="230"/>
        <v>0</v>
      </c>
      <c r="G1546" s="156">
        <v>1</v>
      </c>
      <c r="H1546" s="120">
        <f>Tp_Non_CHG!Q79</f>
        <v>0</v>
      </c>
      <c r="I1546" s="40" t="s">
        <v>58</v>
      </c>
      <c r="J1546" s="40">
        <f t="shared" ref="J1546:J1609" si="234">IF(H1546=0,0,_xlfn.NORM.INV(0.025,H1546,R1546))</f>
        <v>0</v>
      </c>
      <c r="K1546" s="40">
        <f t="shared" ref="K1546:K1609" si="235">IF(H1546=0,0,_xlfn.NORM.INV(0.975,H1546,R1546))</f>
        <v>0</v>
      </c>
      <c r="L1546" s="40" t="s">
        <v>58</v>
      </c>
      <c r="M1546" s="50" t="s">
        <v>266</v>
      </c>
      <c r="N1546" s="190"/>
      <c r="O1546" s="40">
        <f t="shared" ca="1" si="233"/>
        <v>0.93259834017991372</v>
      </c>
      <c r="P1546" s="51">
        <f t="shared" si="231"/>
        <v>0</v>
      </c>
      <c r="Q1546" s="51">
        <f t="shared" si="232"/>
        <v>0</v>
      </c>
      <c r="R1546" s="51">
        <f t="shared" ref="R1546:R1609" si="236">assumedSE*H1546</f>
        <v>0</v>
      </c>
      <c r="S1546"/>
      <c r="T1546" s="83"/>
    </row>
    <row r="1547" spans="1:20" ht="16" x14ac:dyDescent="0.2">
      <c r="A1547"/>
      <c r="B1547" s="103"/>
      <c r="C1547" s="243"/>
      <c r="D1547" s="119">
        <v>1534</v>
      </c>
      <c r="E1547" s="25" t="str">
        <f>Tp_Non_CHG!N80</f>
        <v>Transition Probability from state 3 to state 3 on day 6 (Non-CHG)</v>
      </c>
      <c r="F1547" s="40">
        <f t="shared" si="230"/>
        <v>0</v>
      </c>
      <c r="G1547" s="156">
        <v>1</v>
      </c>
      <c r="H1547" s="120">
        <f>Tp_Non_CHG!Q80</f>
        <v>0</v>
      </c>
      <c r="I1547" s="40" t="s">
        <v>58</v>
      </c>
      <c r="J1547" s="40">
        <f t="shared" si="234"/>
        <v>0</v>
      </c>
      <c r="K1547" s="40">
        <f t="shared" si="235"/>
        <v>0</v>
      </c>
      <c r="L1547" s="40" t="s">
        <v>58</v>
      </c>
      <c r="M1547" s="50" t="s">
        <v>266</v>
      </c>
      <c r="N1547" s="190"/>
      <c r="O1547" s="40">
        <f t="shared" ca="1" si="233"/>
        <v>0.43878050413773173</v>
      </c>
      <c r="P1547" s="51">
        <f t="shared" si="231"/>
        <v>0</v>
      </c>
      <c r="Q1547" s="51">
        <f t="shared" si="232"/>
        <v>0</v>
      </c>
      <c r="R1547" s="51">
        <f t="shared" si="236"/>
        <v>0</v>
      </c>
      <c r="S1547"/>
      <c r="T1547" s="83"/>
    </row>
    <row r="1548" spans="1:20" ht="16" x14ac:dyDescent="0.2">
      <c r="A1548"/>
      <c r="B1548" s="103"/>
      <c r="C1548" s="243"/>
      <c r="D1548" s="119">
        <v>1535</v>
      </c>
      <c r="E1548" s="25" t="str">
        <f>Tp_Non_CHG!N81</f>
        <v>Transition Probability from state 3 to state 3 on day 7 (Non-CHG)</v>
      </c>
      <c r="F1548" s="40">
        <f t="shared" si="230"/>
        <v>0</v>
      </c>
      <c r="G1548" s="156">
        <v>1</v>
      </c>
      <c r="H1548" s="120">
        <f>Tp_Non_CHG!Q81</f>
        <v>0</v>
      </c>
      <c r="I1548" s="40" t="s">
        <v>58</v>
      </c>
      <c r="J1548" s="40">
        <f t="shared" si="234"/>
        <v>0</v>
      </c>
      <c r="K1548" s="40">
        <f t="shared" si="235"/>
        <v>0</v>
      </c>
      <c r="L1548" s="40" t="s">
        <v>58</v>
      </c>
      <c r="M1548" s="50" t="s">
        <v>266</v>
      </c>
      <c r="N1548" s="190"/>
      <c r="O1548" s="40">
        <f t="shared" ca="1" si="233"/>
        <v>0.80771913630305769</v>
      </c>
      <c r="P1548" s="51">
        <f t="shared" si="231"/>
        <v>0</v>
      </c>
      <c r="Q1548" s="51">
        <f t="shared" si="232"/>
        <v>0</v>
      </c>
      <c r="R1548" s="51">
        <f t="shared" si="236"/>
        <v>0</v>
      </c>
      <c r="S1548"/>
      <c r="T1548" s="83"/>
    </row>
    <row r="1549" spans="1:20" ht="16" x14ac:dyDescent="0.2">
      <c r="A1549"/>
      <c r="B1549" s="103"/>
      <c r="C1549" s="243"/>
      <c r="D1549" s="119">
        <v>1536</v>
      </c>
      <c r="E1549" s="25" t="str">
        <f>Tp_Non_CHG!N82</f>
        <v>Transition Probability from state 3 to state 3 on day 8 (Non-CHG)</v>
      </c>
      <c r="F1549" s="40">
        <f t="shared" si="230"/>
        <v>0</v>
      </c>
      <c r="G1549" s="156">
        <v>1</v>
      </c>
      <c r="H1549" s="120">
        <f>Tp_Non_CHG!Q82</f>
        <v>0</v>
      </c>
      <c r="I1549" s="40" t="s">
        <v>58</v>
      </c>
      <c r="J1549" s="40">
        <f t="shared" si="234"/>
        <v>0</v>
      </c>
      <c r="K1549" s="40">
        <f t="shared" si="235"/>
        <v>0</v>
      </c>
      <c r="L1549" s="40" t="s">
        <v>58</v>
      </c>
      <c r="M1549" s="50" t="s">
        <v>266</v>
      </c>
      <c r="N1549" s="190"/>
      <c r="O1549" s="40">
        <f t="shared" ca="1" si="233"/>
        <v>0.50811935491694749</v>
      </c>
      <c r="P1549" s="51">
        <f t="shared" si="231"/>
        <v>0</v>
      </c>
      <c r="Q1549" s="51">
        <f t="shared" si="232"/>
        <v>0</v>
      </c>
      <c r="R1549" s="51">
        <f t="shared" si="236"/>
        <v>0</v>
      </c>
      <c r="S1549"/>
      <c r="T1549" s="83"/>
    </row>
    <row r="1550" spans="1:20" ht="16" x14ac:dyDescent="0.2">
      <c r="A1550"/>
      <c r="B1550" s="103"/>
      <c r="C1550" s="243"/>
      <c r="D1550" s="119">
        <v>1537</v>
      </c>
      <c r="E1550" s="25" t="str">
        <f>Tp_Non_CHG!N83</f>
        <v>Transition Probability from state 3 to state 3 on day 9 (Non-CHG)</v>
      </c>
      <c r="F1550" s="40">
        <f t="shared" si="230"/>
        <v>0</v>
      </c>
      <c r="G1550" s="156">
        <v>1</v>
      </c>
      <c r="H1550" s="120">
        <f>Tp_Non_CHG!Q83</f>
        <v>0</v>
      </c>
      <c r="I1550" s="40" t="s">
        <v>58</v>
      </c>
      <c r="J1550" s="40">
        <f t="shared" si="234"/>
        <v>0</v>
      </c>
      <c r="K1550" s="40">
        <f t="shared" si="235"/>
        <v>0</v>
      </c>
      <c r="L1550" s="40" t="s">
        <v>58</v>
      </c>
      <c r="M1550" s="50" t="s">
        <v>266</v>
      </c>
      <c r="N1550" s="190"/>
      <c r="O1550" s="40">
        <f t="shared" ca="1" si="233"/>
        <v>8.8191639228802576E-2</v>
      </c>
      <c r="P1550" s="51">
        <f t="shared" si="231"/>
        <v>0</v>
      </c>
      <c r="Q1550" s="51">
        <f t="shared" si="232"/>
        <v>0</v>
      </c>
      <c r="R1550" s="51">
        <f t="shared" si="236"/>
        <v>0</v>
      </c>
      <c r="S1550"/>
      <c r="T1550" s="83"/>
    </row>
    <row r="1551" spans="1:20" ht="16" x14ac:dyDescent="0.2">
      <c r="A1551"/>
      <c r="B1551" s="103"/>
      <c r="C1551" s="243"/>
      <c r="D1551" s="119">
        <v>1538</v>
      </c>
      <c r="E1551" s="25" t="str">
        <f>Tp_Non_CHG!N84</f>
        <v>Transition Probability from state 3 to state 3 on day 10 (Non-CHG)</v>
      </c>
      <c r="F1551" s="40">
        <f t="shared" si="230"/>
        <v>0</v>
      </c>
      <c r="G1551" s="156">
        <v>1</v>
      </c>
      <c r="H1551" s="120">
        <f>Tp_Non_CHG!Q84</f>
        <v>0</v>
      </c>
      <c r="I1551" s="40" t="s">
        <v>58</v>
      </c>
      <c r="J1551" s="40">
        <f t="shared" si="234"/>
        <v>0</v>
      </c>
      <c r="K1551" s="40">
        <f t="shared" si="235"/>
        <v>0</v>
      </c>
      <c r="L1551" s="40" t="s">
        <v>58</v>
      </c>
      <c r="M1551" s="50" t="s">
        <v>266</v>
      </c>
      <c r="N1551" s="190"/>
      <c r="O1551" s="40">
        <f t="shared" ca="1" si="233"/>
        <v>0.85065194008181277</v>
      </c>
      <c r="P1551" s="51">
        <f t="shared" si="231"/>
        <v>0</v>
      </c>
      <c r="Q1551" s="51">
        <f t="shared" si="232"/>
        <v>0</v>
      </c>
      <c r="R1551" s="51">
        <f t="shared" si="236"/>
        <v>0</v>
      </c>
      <c r="S1551"/>
      <c r="T1551" s="83"/>
    </row>
    <row r="1552" spans="1:20" ht="16" x14ac:dyDescent="0.2">
      <c r="A1552"/>
      <c r="B1552" s="103"/>
      <c r="C1552" s="243"/>
      <c r="D1552" s="119">
        <v>1539</v>
      </c>
      <c r="E1552" s="25" t="str">
        <f>Tp_Non_CHG!N85</f>
        <v>Transition Probability from state 3 to state 3 on day 11 (Non-CHG)</v>
      </c>
      <c r="F1552" s="40">
        <f t="shared" ref="F1552:F1615" si="237">IFERROR(CHOOSE(G1552,H1552,J1552,K1552,N1552),0)</f>
        <v>0</v>
      </c>
      <c r="G1552" s="156">
        <v>1</v>
      </c>
      <c r="H1552" s="120">
        <f>Tp_Non_CHG!Q85</f>
        <v>0</v>
      </c>
      <c r="I1552" s="40" t="s">
        <v>58</v>
      </c>
      <c r="J1552" s="40">
        <f t="shared" si="234"/>
        <v>0</v>
      </c>
      <c r="K1552" s="40">
        <f t="shared" si="235"/>
        <v>0</v>
      </c>
      <c r="L1552" s="40" t="s">
        <v>58</v>
      </c>
      <c r="M1552" s="50" t="s">
        <v>266</v>
      </c>
      <c r="N1552" s="190"/>
      <c r="O1552" s="40">
        <f t="shared" ca="1" si="233"/>
        <v>3.6587175699937302E-2</v>
      </c>
      <c r="P1552" s="51">
        <f t="shared" si="231"/>
        <v>0</v>
      </c>
      <c r="Q1552" s="51">
        <f t="shared" si="232"/>
        <v>0</v>
      </c>
      <c r="R1552" s="51">
        <f t="shared" si="236"/>
        <v>0</v>
      </c>
      <c r="S1552"/>
      <c r="T1552" s="83"/>
    </row>
    <row r="1553" spans="1:20" ht="16" x14ac:dyDescent="0.2">
      <c r="A1553"/>
      <c r="B1553" s="103"/>
      <c r="C1553" s="243"/>
      <c r="D1553" s="119">
        <v>1540</v>
      </c>
      <c r="E1553" s="25" t="str">
        <f>Tp_Non_CHG!N86</f>
        <v>Transition Probability from state 3 to state 3 on day 12 (Non-CHG)</v>
      </c>
      <c r="F1553" s="40">
        <f t="shared" si="237"/>
        <v>0</v>
      </c>
      <c r="G1553" s="156">
        <v>1</v>
      </c>
      <c r="H1553" s="120">
        <f>Tp_Non_CHG!Q86</f>
        <v>0</v>
      </c>
      <c r="I1553" s="40" t="s">
        <v>58</v>
      </c>
      <c r="J1553" s="40">
        <f t="shared" si="234"/>
        <v>0</v>
      </c>
      <c r="K1553" s="40">
        <f t="shared" si="235"/>
        <v>0</v>
      </c>
      <c r="L1553" s="40" t="s">
        <v>58</v>
      </c>
      <c r="M1553" s="50" t="s">
        <v>266</v>
      </c>
      <c r="N1553" s="190"/>
      <c r="O1553" s="40">
        <f t="shared" ca="1" si="233"/>
        <v>0.25594392191017235</v>
      </c>
      <c r="P1553" s="51">
        <f t="shared" ref="P1553:P1616" si="238">IFERROR(H1553*((H1553*(1-H1553)/(R1553^2))-1),0)</f>
        <v>0</v>
      </c>
      <c r="Q1553" s="51">
        <f t="shared" ref="Q1553:Q1616" si="239">IFERROR((1-H1553)*((H1553*(1-H1553))/(R1553^2)-1),0)</f>
        <v>0</v>
      </c>
      <c r="R1553" s="51">
        <f t="shared" si="236"/>
        <v>0</v>
      </c>
      <c r="S1553"/>
      <c r="T1553" s="83"/>
    </row>
    <row r="1554" spans="1:20" ht="16" x14ac:dyDescent="0.2">
      <c r="A1554"/>
      <c r="B1554" s="103"/>
      <c r="C1554" s="243"/>
      <c r="D1554" s="119">
        <v>1541</v>
      </c>
      <c r="E1554" s="25" t="str">
        <f>Tp_Non_CHG!N87</f>
        <v>Transition Probability from state 3 to state 3 on day 13 (Non-CHG)</v>
      </c>
      <c r="F1554" s="40">
        <f t="shared" si="237"/>
        <v>0</v>
      </c>
      <c r="G1554" s="156">
        <v>1</v>
      </c>
      <c r="H1554" s="120">
        <f>Tp_Non_CHG!Q87</f>
        <v>0</v>
      </c>
      <c r="I1554" s="40" t="s">
        <v>58</v>
      </c>
      <c r="J1554" s="40">
        <f t="shared" si="234"/>
        <v>0</v>
      </c>
      <c r="K1554" s="40">
        <f t="shared" si="235"/>
        <v>0</v>
      </c>
      <c r="L1554" s="40" t="s">
        <v>58</v>
      </c>
      <c r="M1554" s="50" t="s">
        <v>266</v>
      </c>
      <c r="N1554" s="190"/>
      <c r="O1554" s="40">
        <f t="shared" ca="1" si="233"/>
        <v>0.22909525607717474</v>
      </c>
      <c r="P1554" s="51">
        <f t="shared" si="238"/>
        <v>0</v>
      </c>
      <c r="Q1554" s="51">
        <f t="shared" si="239"/>
        <v>0</v>
      </c>
      <c r="R1554" s="51">
        <f t="shared" si="236"/>
        <v>0</v>
      </c>
      <c r="S1554"/>
      <c r="T1554" s="83"/>
    </row>
    <row r="1555" spans="1:20" ht="16" x14ac:dyDescent="0.2">
      <c r="A1555"/>
      <c r="B1555" s="103"/>
      <c r="C1555" s="243"/>
      <c r="D1555" s="119">
        <v>1542</v>
      </c>
      <c r="E1555" s="25" t="str">
        <f>Tp_Non_CHG!N88</f>
        <v>Transition Probability from state 3 to state 3 on day 14 (Non-CHG)</v>
      </c>
      <c r="F1555" s="40">
        <f t="shared" si="237"/>
        <v>0</v>
      </c>
      <c r="G1555" s="156">
        <v>1</v>
      </c>
      <c r="H1555" s="120">
        <f>Tp_Non_CHG!Q88</f>
        <v>0</v>
      </c>
      <c r="I1555" s="40" t="s">
        <v>58</v>
      </c>
      <c r="J1555" s="40">
        <f t="shared" si="234"/>
        <v>0</v>
      </c>
      <c r="K1555" s="40">
        <f t="shared" si="235"/>
        <v>0</v>
      </c>
      <c r="L1555" s="40" t="s">
        <v>58</v>
      </c>
      <c r="M1555" s="50" t="s">
        <v>266</v>
      </c>
      <c r="N1555" s="190"/>
      <c r="O1555" s="40">
        <f t="shared" ca="1" si="233"/>
        <v>0.50830074283557902</v>
      </c>
      <c r="P1555" s="51">
        <f t="shared" si="238"/>
        <v>0</v>
      </c>
      <c r="Q1555" s="51">
        <f t="shared" si="239"/>
        <v>0</v>
      </c>
      <c r="R1555" s="51">
        <f t="shared" si="236"/>
        <v>0</v>
      </c>
      <c r="S1555"/>
      <c r="T1555" s="83"/>
    </row>
    <row r="1556" spans="1:20" ht="16" x14ac:dyDescent="0.2">
      <c r="A1556"/>
      <c r="B1556" s="103"/>
      <c r="C1556" s="243"/>
      <c r="D1556" s="119">
        <v>1543</v>
      </c>
      <c r="E1556" s="25" t="str">
        <f>Tp_Non_CHG!N89</f>
        <v>Transition Probability from state 3 to state 3 on day 15 (Non-CHG)</v>
      </c>
      <c r="F1556" s="40">
        <f t="shared" si="237"/>
        <v>0</v>
      </c>
      <c r="G1556" s="156">
        <v>1</v>
      </c>
      <c r="H1556" s="120">
        <f>Tp_Non_CHG!Q89</f>
        <v>0</v>
      </c>
      <c r="I1556" s="40" t="s">
        <v>58</v>
      </c>
      <c r="J1556" s="40">
        <f t="shared" si="234"/>
        <v>0</v>
      </c>
      <c r="K1556" s="40">
        <f t="shared" si="235"/>
        <v>0</v>
      </c>
      <c r="L1556" s="40" t="s">
        <v>58</v>
      </c>
      <c r="M1556" s="50" t="s">
        <v>266</v>
      </c>
      <c r="N1556" s="190"/>
      <c r="O1556" s="40">
        <f t="shared" ca="1" si="233"/>
        <v>0.36417635065856668</v>
      </c>
      <c r="P1556" s="51">
        <f t="shared" si="238"/>
        <v>0</v>
      </c>
      <c r="Q1556" s="51">
        <f t="shared" si="239"/>
        <v>0</v>
      </c>
      <c r="R1556" s="51">
        <f t="shared" si="236"/>
        <v>0</v>
      </c>
      <c r="S1556"/>
      <c r="T1556" s="83"/>
    </row>
    <row r="1557" spans="1:20" ht="16" x14ac:dyDescent="0.2">
      <c r="A1557"/>
      <c r="B1557" s="103"/>
      <c r="C1557" s="243"/>
      <c r="D1557" s="119">
        <v>1544</v>
      </c>
      <c r="E1557" s="25" t="str">
        <f>Tp_Non_CHG!N90</f>
        <v>Transition Probability from state 3 to state 3 on day 16 (Non-CHG)</v>
      </c>
      <c r="F1557" s="40">
        <f t="shared" si="237"/>
        <v>0</v>
      </c>
      <c r="G1557" s="156">
        <v>1</v>
      </c>
      <c r="H1557" s="120">
        <f>Tp_Non_CHG!Q90</f>
        <v>0</v>
      </c>
      <c r="I1557" s="40" t="s">
        <v>58</v>
      </c>
      <c r="J1557" s="40">
        <f t="shared" si="234"/>
        <v>0</v>
      </c>
      <c r="K1557" s="40">
        <f t="shared" si="235"/>
        <v>0</v>
      </c>
      <c r="L1557" s="40" t="s">
        <v>58</v>
      </c>
      <c r="M1557" s="50" t="s">
        <v>266</v>
      </c>
      <c r="N1557" s="190"/>
      <c r="O1557" s="40">
        <f t="shared" ca="1" si="233"/>
        <v>0.97375297328401977</v>
      </c>
      <c r="P1557" s="51">
        <f t="shared" si="238"/>
        <v>0</v>
      </c>
      <c r="Q1557" s="51">
        <f t="shared" si="239"/>
        <v>0</v>
      </c>
      <c r="R1557" s="51">
        <f t="shared" si="236"/>
        <v>0</v>
      </c>
      <c r="S1557"/>
      <c r="T1557" s="83"/>
    </row>
    <row r="1558" spans="1:20" ht="16" x14ac:dyDescent="0.2">
      <c r="A1558"/>
      <c r="B1558" s="103"/>
      <c r="C1558" s="243"/>
      <c r="D1558" s="119">
        <v>1545</v>
      </c>
      <c r="E1558" s="25" t="str">
        <f>Tp_Non_CHG!N91</f>
        <v>Transition Probability from state 3 to state 3 on day 17 (Non-CHG)</v>
      </c>
      <c r="F1558" s="40">
        <f t="shared" si="237"/>
        <v>0</v>
      </c>
      <c r="G1558" s="156">
        <v>1</v>
      </c>
      <c r="H1558" s="120">
        <f>Tp_Non_CHG!Q91</f>
        <v>0</v>
      </c>
      <c r="I1558" s="40" t="s">
        <v>58</v>
      </c>
      <c r="J1558" s="40">
        <f t="shared" si="234"/>
        <v>0</v>
      </c>
      <c r="K1558" s="40">
        <f t="shared" si="235"/>
        <v>0</v>
      </c>
      <c r="L1558" s="40" t="s">
        <v>58</v>
      </c>
      <c r="M1558" s="50" t="s">
        <v>266</v>
      </c>
      <c r="N1558" s="190"/>
      <c r="O1558" s="40">
        <f t="shared" ca="1" si="233"/>
        <v>0.99266158324304909</v>
      </c>
      <c r="P1558" s="51">
        <f t="shared" si="238"/>
        <v>0</v>
      </c>
      <c r="Q1558" s="51">
        <f t="shared" si="239"/>
        <v>0</v>
      </c>
      <c r="R1558" s="51">
        <f t="shared" si="236"/>
        <v>0</v>
      </c>
      <c r="S1558"/>
      <c r="T1558" s="83"/>
    </row>
    <row r="1559" spans="1:20" ht="16" x14ac:dyDescent="0.2">
      <c r="A1559"/>
      <c r="B1559" s="103"/>
      <c r="C1559" s="243"/>
      <c r="D1559" s="119">
        <v>1546</v>
      </c>
      <c r="E1559" s="25" t="str">
        <f>Tp_Non_CHG!N92</f>
        <v>Transition Probability from state 3 to state 3 on day 18 (Non-CHG)</v>
      </c>
      <c r="F1559" s="40">
        <f t="shared" si="237"/>
        <v>0</v>
      </c>
      <c r="G1559" s="156">
        <v>1</v>
      </c>
      <c r="H1559" s="120">
        <f>Tp_Non_CHG!Q92</f>
        <v>0</v>
      </c>
      <c r="I1559" s="40" t="s">
        <v>58</v>
      </c>
      <c r="J1559" s="40">
        <f t="shared" si="234"/>
        <v>0</v>
      </c>
      <c r="K1559" s="40">
        <f t="shared" si="235"/>
        <v>0</v>
      </c>
      <c r="L1559" s="40" t="s">
        <v>58</v>
      </c>
      <c r="M1559" s="50" t="s">
        <v>266</v>
      </c>
      <c r="N1559" s="190"/>
      <c r="O1559" s="40">
        <f t="shared" ca="1" si="233"/>
        <v>6.9299938510366421E-2</v>
      </c>
      <c r="P1559" s="51">
        <f t="shared" si="238"/>
        <v>0</v>
      </c>
      <c r="Q1559" s="51">
        <f t="shared" si="239"/>
        <v>0</v>
      </c>
      <c r="R1559" s="51">
        <f t="shared" si="236"/>
        <v>0</v>
      </c>
      <c r="S1559"/>
      <c r="T1559" s="83"/>
    </row>
    <row r="1560" spans="1:20" ht="16" x14ac:dyDescent="0.2">
      <c r="A1560"/>
      <c r="B1560" s="103"/>
      <c r="C1560" s="243"/>
      <c r="D1560" s="119">
        <v>1547</v>
      </c>
      <c r="E1560" s="25" t="str">
        <f>Tp_Non_CHG!N93</f>
        <v>Transition Probability from state 3 to state 3 on day 19 (Non-CHG)</v>
      </c>
      <c r="F1560" s="40">
        <f t="shared" si="237"/>
        <v>0</v>
      </c>
      <c r="G1560" s="156">
        <v>1</v>
      </c>
      <c r="H1560" s="120">
        <f>Tp_Non_CHG!Q93</f>
        <v>0</v>
      </c>
      <c r="I1560" s="40" t="s">
        <v>58</v>
      </c>
      <c r="J1560" s="40">
        <f t="shared" si="234"/>
        <v>0</v>
      </c>
      <c r="K1560" s="40">
        <f t="shared" si="235"/>
        <v>0</v>
      </c>
      <c r="L1560" s="40" t="s">
        <v>58</v>
      </c>
      <c r="M1560" s="50" t="s">
        <v>266</v>
      </c>
      <c r="N1560" s="190"/>
      <c r="O1560" s="40">
        <f t="shared" ca="1" si="233"/>
        <v>0.16051293955968915</v>
      </c>
      <c r="P1560" s="51">
        <f t="shared" si="238"/>
        <v>0</v>
      </c>
      <c r="Q1560" s="51">
        <f t="shared" si="239"/>
        <v>0</v>
      </c>
      <c r="R1560" s="51">
        <f t="shared" si="236"/>
        <v>0</v>
      </c>
      <c r="S1560"/>
      <c r="T1560" s="83"/>
    </row>
    <row r="1561" spans="1:20" ht="16" x14ac:dyDescent="0.2">
      <c r="A1561"/>
      <c r="B1561" s="103"/>
      <c r="C1561" s="243"/>
      <c r="D1561" s="119">
        <v>1548</v>
      </c>
      <c r="E1561" s="25" t="str">
        <f>Tp_Non_CHG!N94</f>
        <v>Transition Probability from state 3 to state 3 on day 20 (Non-CHG)</v>
      </c>
      <c r="F1561" s="40">
        <f t="shared" si="237"/>
        <v>0</v>
      </c>
      <c r="G1561" s="156">
        <v>1</v>
      </c>
      <c r="H1561" s="120">
        <f>Tp_Non_CHG!Q94</f>
        <v>0</v>
      </c>
      <c r="I1561" s="40" t="s">
        <v>58</v>
      </c>
      <c r="J1561" s="40">
        <f t="shared" si="234"/>
        <v>0</v>
      </c>
      <c r="K1561" s="40">
        <f t="shared" si="235"/>
        <v>0</v>
      </c>
      <c r="L1561" s="40" t="s">
        <v>58</v>
      </c>
      <c r="M1561" s="50" t="s">
        <v>266</v>
      </c>
      <c r="N1561" s="190"/>
      <c r="O1561" s="40">
        <f t="shared" ca="1" si="233"/>
        <v>0.21384166011182126</v>
      </c>
      <c r="P1561" s="51">
        <f t="shared" si="238"/>
        <v>0</v>
      </c>
      <c r="Q1561" s="51">
        <f t="shared" si="239"/>
        <v>0</v>
      </c>
      <c r="R1561" s="51">
        <f t="shared" si="236"/>
        <v>0</v>
      </c>
      <c r="S1561"/>
      <c r="T1561" s="83"/>
    </row>
    <row r="1562" spans="1:20" ht="16" x14ac:dyDescent="0.2">
      <c r="A1562"/>
      <c r="B1562" s="103"/>
      <c r="C1562" s="243"/>
      <c r="D1562" s="119">
        <v>1549</v>
      </c>
      <c r="E1562" s="25" t="str">
        <f>Tp_Non_CHG!N95</f>
        <v>Transition Probability from state 3 to state 3 on day 21 (Non-CHG)</v>
      </c>
      <c r="F1562" s="40">
        <f t="shared" si="237"/>
        <v>0</v>
      </c>
      <c r="G1562" s="156">
        <v>1</v>
      </c>
      <c r="H1562" s="120">
        <f>Tp_Non_CHG!Q95</f>
        <v>0</v>
      </c>
      <c r="I1562" s="40" t="s">
        <v>58</v>
      </c>
      <c r="J1562" s="40">
        <f t="shared" si="234"/>
        <v>0</v>
      </c>
      <c r="K1562" s="40">
        <f t="shared" si="235"/>
        <v>0</v>
      </c>
      <c r="L1562" s="40" t="s">
        <v>58</v>
      </c>
      <c r="M1562" s="50" t="s">
        <v>266</v>
      </c>
      <c r="N1562" s="190"/>
      <c r="O1562" s="40">
        <f t="shared" ca="1" si="233"/>
        <v>0.21468383817234549</v>
      </c>
      <c r="P1562" s="51">
        <f t="shared" si="238"/>
        <v>0</v>
      </c>
      <c r="Q1562" s="51">
        <f t="shared" si="239"/>
        <v>0</v>
      </c>
      <c r="R1562" s="51">
        <f t="shared" si="236"/>
        <v>0</v>
      </c>
      <c r="S1562"/>
      <c r="T1562" s="83"/>
    </row>
    <row r="1563" spans="1:20" ht="16" x14ac:dyDescent="0.2">
      <c r="A1563"/>
      <c r="B1563" s="103"/>
      <c r="C1563" s="243"/>
      <c r="D1563" s="119">
        <v>1550</v>
      </c>
      <c r="E1563" s="25" t="str">
        <f>Tp_Non_CHG!N96</f>
        <v>Transition Probability from state 3 to state 3 on day 22 (Non-CHG)</v>
      </c>
      <c r="F1563" s="40">
        <f t="shared" si="237"/>
        <v>0</v>
      </c>
      <c r="G1563" s="156">
        <v>1</v>
      </c>
      <c r="H1563" s="120">
        <f>Tp_Non_CHG!Q96</f>
        <v>0</v>
      </c>
      <c r="I1563" s="40" t="s">
        <v>58</v>
      </c>
      <c r="J1563" s="40">
        <f t="shared" si="234"/>
        <v>0</v>
      </c>
      <c r="K1563" s="40">
        <f t="shared" si="235"/>
        <v>0</v>
      </c>
      <c r="L1563" s="40" t="s">
        <v>58</v>
      </c>
      <c r="M1563" s="50" t="s">
        <v>266</v>
      </c>
      <c r="N1563" s="190"/>
      <c r="O1563" s="40">
        <f t="shared" ca="1" si="233"/>
        <v>0.63781199895271012</v>
      </c>
      <c r="P1563" s="51">
        <f t="shared" si="238"/>
        <v>0</v>
      </c>
      <c r="Q1563" s="51">
        <f t="shared" si="239"/>
        <v>0</v>
      </c>
      <c r="R1563" s="51">
        <f t="shared" si="236"/>
        <v>0</v>
      </c>
      <c r="S1563"/>
      <c r="T1563" s="83"/>
    </row>
    <row r="1564" spans="1:20" ht="16" x14ac:dyDescent="0.2">
      <c r="A1564"/>
      <c r="B1564" s="103"/>
      <c r="C1564" s="243"/>
      <c r="D1564" s="119">
        <v>1551</v>
      </c>
      <c r="E1564" s="25" t="str">
        <f>Tp_Non_CHG!N97</f>
        <v>Transition Probability from state 3 to state 3 on day 23 (Non-CHG)</v>
      </c>
      <c r="F1564" s="40">
        <f t="shared" si="237"/>
        <v>0</v>
      </c>
      <c r="G1564" s="156">
        <v>1</v>
      </c>
      <c r="H1564" s="120">
        <f>Tp_Non_CHG!Q97</f>
        <v>0</v>
      </c>
      <c r="I1564" s="40" t="s">
        <v>58</v>
      </c>
      <c r="J1564" s="40">
        <f t="shared" si="234"/>
        <v>0</v>
      </c>
      <c r="K1564" s="40">
        <f t="shared" si="235"/>
        <v>0</v>
      </c>
      <c r="L1564" s="40" t="s">
        <v>58</v>
      </c>
      <c r="M1564" s="50" t="s">
        <v>266</v>
      </c>
      <c r="N1564" s="190"/>
      <c r="O1564" s="40">
        <f t="shared" ca="1" si="233"/>
        <v>0.42155998729989708</v>
      </c>
      <c r="P1564" s="51">
        <f t="shared" si="238"/>
        <v>0</v>
      </c>
      <c r="Q1564" s="51">
        <f t="shared" si="239"/>
        <v>0</v>
      </c>
      <c r="R1564" s="51">
        <f t="shared" si="236"/>
        <v>0</v>
      </c>
      <c r="S1564"/>
      <c r="T1564" s="83"/>
    </row>
    <row r="1565" spans="1:20" ht="16" x14ac:dyDescent="0.2">
      <c r="A1565"/>
      <c r="B1565" s="103"/>
      <c r="C1565" s="243"/>
      <c r="D1565" s="119">
        <v>1552</v>
      </c>
      <c r="E1565" s="25" t="str">
        <f>Tp_Non_CHG!N98</f>
        <v>Transition Probability from state 3 to state 3 on day 24 (Non-CHG)</v>
      </c>
      <c r="F1565" s="40">
        <f t="shared" si="237"/>
        <v>0</v>
      </c>
      <c r="G1565" s="156">
        <v>1</v>
      </c>
      <c r="H1565" s="120">
        <f>Tp_Non_CHG!Q98</f>
        <v>0</v>
      </c>
      <c r="I1565" s="40" t="s">
        <v>58</v>
      </c>
      <c r="J1565" s="40">
        <f t="shared" si="234"/>
        <v>0</v>
      </c>
      <c r="K1565" s="40">
        <f t="shared" si="235"/>
        <v>0</v>
      </c>
      <c r="L1565" s="40" t="s">
        <v>58</v>
      </c>
      <c r="M1565" s="50" t="s">
        <v>266</v>
      </c>
      <c r="N1565" s="190"/>
      <c r="O1565" s="40">
        <f t="shared" ca="1" si="233"/>
        <v>0.5566610765060811</v>
      </c>
      <c r="P1565" s="51">
        <f t="shared" si="238"/>
        <v>0</v>
      </c>
      <c r="Q1565" s="51">
        <f t="shared" si="239"/>
        <v>0</v>
      </c>
      <c r="R1565" s="51">
        <f t="shared" si="236"/>
        <v>0</v>
      </c>
      <c r="S1565"/>
      <c r="T1565" s="83"/>
    </row>
    <row r="1566" spans="1:20" ht="16" x14ac:dyDescent="0.2">
      <c r="A1566"/>
      <c r="B1566" s="103"/>
      <c r="C1566" s="243"/>
      <c r="D1566" s="119">
        <v>1553</v>
      </c>
      <c r="E1566" s="25" t="str">
        <f>Tp_Non_CHG!N99</f>
        <v>Transition Probability from state 3 to state 3 on day 25 (Non-CHG)</v>
      </c>
      <c r="F1566" s="40">
        <f t="shared" si="237"/>
        <v>0</v>
      </c>
      <c r="G1566" s="156">
        <v>1</v>
      </c>
      <c r="H1566" s="120">
        <f>Tp_Non_CHG!Q99</f>
        <v>0</v>
      </c>
      <c r="I1566" s="40" t="s">
        <v>58</v>
      </c>
      <c r="J1566" s="40">
        <f t="shared" si="234"/>
        <v>0</v>
      </c>
      <c r="K1566" s="40">
        <f t="shared" si="235"/>
        <v>0</v>
      </c>
      <c r="L1566" s="40" t="s">
        <v>58</v>
      </c>
      <c r="M1566" s="50" t="s">
        <v>266</v>
      </c>
      <c r="N1566" s="190"/>
      <c r="O1566" s="40">
        <f t="shared" ca="1" si="233"/>
        <v>8.7912067075198386E-2</v>
      </c>
      <c r="P1566" s="51">
        <f t="shared" si="238"/>
        <v>0</v>
      </c>
      <c r="Q1566" s="51">
        <f t="shared" si="239"/>
        <v>0</v>
      </c>
      <c r="R1566" s="51">
        <f t="shared" si="236"/>
        <v>0</v>
      </c>
      <c r="S1566"/>
      <c r="T1566" s="83"/>
    </row>
    <row r="1567" spans="1:20" ht="16" x14ac:dyDescent="0.2">
      <c r="A1567"/>
      <c r="B1567" s="103"/>
      <c r="C1567" s="243"/>
      <c r="D1567" s="119">
        <v>1554</v>
      </c>
      <c r="E1567" s="25" t="str">
        <f>Tp_Non_CHG!N100</f>
        <v>Transition Probability from state 3 to state 3 on day 26 (Non-CHG)</v>
      </c>
      <c r="F1567" s="40">
        <f t="shared" si="237"/>
        <v>0</v>
      </c>
      <c r="G1567" s="156">
        <v>1</v>
      </c>
      <c r="H1567" s="120">
        <f>Tp_Non_CHG!Q100</f>
        <v>0</v>
      </c>
      <c r="I1567" s="40" t="s">
        <v>58</v>
      </c>
      <c r="J1567" s="40">
        <f t="shared" si="234"/>
        <v>0</v>
      </c>
      <c r="K1567" s="40">
        <f t="shared" si="235"/>
        <v>0</v>
      </c>
      <c r="L1567" s="40" t="s">
        <v>58</v>
      </c>
      <c r="M1567" s="50" t="s">
        <v>266</v>
      </c>
      <c r="N1567" s="190"/>
      <c r="O1567" s="40">
        <f t="shared" ca="1" si="233"/>
        <v>0.6992716681521054</v>
      </c>
      <c r="P1567" s="51">
        <f t="shared" si="238"/>
        <v>0</v>
      </c>
      <c r="Q1567" s="51">
        <f t="shared" si="239"/>
        <v>0</v>
      </c>
      <c r="R1567" s="51">
        <f t="shared" si="236"/>
        <v>0</v>
      </c>
      <c r="S1567"/>
      <c r="T1567" s="83"/>
    </row>
    <row r="1568" spans="1:20" ht="16" x14ac:dyDescent="0.2">
      <c r="A1568"/>
      <c r="B1568" s="103"/>
      <c r="C1568" s="243"/>
      <c r="D1568" s="119">
        <v>1555</v>
      </c>
      <c r="E1568" s="25" t="str">
        <f>Tp_Non_CHG!N101</f>
        <v>Transition Probability from state 3 to state 3 on day 27 (Non-CHG)</v>
      </c>
      <c r="F1568" s="40">
        <f t="shared" si="237"/>
        <v>0</v>
      </c>
      <c r="G1568" s="156">
        <v>1</v>
      </c>
      <c r="H1568" s="120">
        <f>Tp_Non_CHG!Q101</f>
        <v>0</v>
      </c>
      <c r="I1568" s="40" t="s">
        <v>58</v>
      </c>
      <c r="J1568" s="40">
        <f t="shared" si="234"/>
        <v>0</v>
      </c>
      <c r="K1568" s="40">
        <f t="shared" si="235"/>
        <v>0</v>
      </c>
      <c r="L1568" s="40" t="s">
        <v>58</v>
      </c>
      <c r="M1568" s="50" t="s">
        <v>266</v>
      </c>
      <c r="N1568" s="190"/>
      <c r="O1568" s="40">
        <f t="shared" ca="1" si="233"/>
        <v>0.22967922570623656</v>
      </c>
      <c r="P1568" s="51">
        <f t="shared" si="238"/>
        <v>0</v>
      </c>
      <c r="Q1568" s="51">
        <f t="shared" si="239"/>
        <v>0</v>
      </c>
      <c r="R1568" s="51">
        <f t="shared" si="236"/>
        <v>0</v>
      </c>
      <c r="S1568"/>
      <c r="T1568" s="83"/>
    </row>
    <row r="1569" spans="1:20" ht="16" x14ac:dyDescent="0.2">
      <c r="A1569"/>
      <c r="B1569" s="103"/>
      <c r="C1569" s="243"/>
      <c r="D1569" s="119">
        <v>1556</v>
      </c>
      <c r="E1569" s="25" t="str">
        <f>Tp_Non_CHG!N102</f>
        <v>Transition Probability from state 3 to state 3 on day 28 (Non-CHG)</v>
      </c>
      <c r="F1569" s="40">
        <f t="shared" si="237"/>
        <v>0</v>
      </c>
      <c r="G1569" s="156">
        <v>1</v>
      </c>
      <c r="H1569" s="120">
        <f>Tp_Non_CHG!Q102</f>
        <v>0</v>
      </c>
      <c r="I1569" s="40" t="s">
        <v>58</v>
      </c>
      <c r="J1569" s="40">
        <f t="shared" si="234"/>
        <v>0</v>
      </c>
      <c r="K1569" s="40">
        <f t="shared" si="235"/>
        <v>0</v>
      </c>
      <c r="L1569" s="40" t="s">
        <v>58</v>
      </c>
      <c r="M1569" s="50" t="s">
        <v>266</v>
      </c>
      <c r="N1569" s="190"/>
      <c r="O1569" s="40">
        <f t="shared" ca="1" si="233"/>
        <v>0.53870198231539324</v>
      </c>
      <c r="P1569" s="51">
        <f t="shared" si="238"/>
        <v>0</v>
      </c>
      <c r="Q1569" s="51">
        <f t="shared" si="239"/>
        <v>0</v>
      </c>
      <c r="R1569" s="51">
        <f t="shared" si="236"/>
        <v>0</v>
      </c>
      <c r="S1569"/>
      <c r="T1569" s="83"/>
    </row>
    <row r="1570" spans="1:20" ht="16" x14ac:dyDescent="0.2">
      <c r="A1570"/>
      <c r="B1570" s="103"/>
      <c r="C1570" s="243"/>
      <c r="D1570" s="119">
        <v>1557</v>
      </c>
      <c r="E1570" s="25" t="str">
        <f>Tp_Non_CHG!N103</f>
        <v>Transition Probability from state 3 to state 3 on day 29 (Non-CHG)</v>
      </c>
      <c r="F1570" s="40">
        <f t="shared" si="237"/>
        <v>0</v>
      </c>
      <c r="G1570" s="156">
        <v>1</v>
      </c>
      <c r="H1570" s="120">
        <f>Tp_Non_CHG!Q103</f>
        <v>0</v>
      </c>
      <c r="I1570" s="40" t="s">
        <v>58</v>
      </c>
      <c r="J1570" s="40">
        <f t="shared" si="234"/>
        <v>0</v>
      </c>
      <c r="K1570" s="40">
        <f t="shared" si="235"/>
        <v>0</v>
      </c>
      <c r="L1570" s="40" t="s">
        <v>58</v>
      </c>
      <c r="M1570" s="50" t="s">
        <v>266</v>
      </c>
      <c r="N1570" s="190"/>
      <c r="O1570" s="40">
        <f t="shared" ca="1" si="233"/>
        <v>0.62047953545516576</v>
      </c>
      <c r="P1570" s="51">
        <f t="shared" si="238"/>
        <v>0</v>
      </c>
      <c r="Q1570" s="51">
        <f t="shared" si="239"/>
        <v>0</v>
      </c>
      <c r="R1570" s="51">
        <f t="shared" si="236"/>
        <v>0</v>
      </c>
      <c r="S1570"/>
      <c r="T1570" s="83"/>
    </row>
    <row r="1571" spans="1:20" ht="16" x14ac:dyDescent="0.2">
      <c r="A1571"/>
      <c r="B1571" s="103"/>
      <c r="C1571" s="243"/>
      <c r="D1571" s="119">
        <v>1558</v>
      </c>
      <c r="E1571" s="25" t="str">
        <f>Tp_Non_CHG!N104</f>
        <v>Transition Probability from state 3 to state 3 on day 30 (Non-CHG)</v>
      </c>
      <c r="F1571" s="40">
        <f t="shared" si="237"/>
        <v>0</v>
      </c>
      <c r="G1571" s="156">
        <v>1</v>
      </c>
      <c r="H1571" s="120">
        <f>Tp_Non_CHG!Q104</f>
        <v>0</v>
      </c>
      <c r="I1571" s="40" t="s">
        <v>58</v>
      </c>
      <c r="J1571" s="40">
        <f t="shared" si="234"/>
        <v>0</v>
      </c>
      <c r="K1571" s="40">
        <f t="shared" si="235"/>
        <v>0</v>
      </c>
      <c r="L1571" s="40" t="s">
        <v>58</v>
      </c>
      <c r="M1571" s="50" t="s">
        <v>266</v>
      </c>
      <c r="N1571" s="190"/>
      <c r="O1571" s="40">
        <f t="shared" ca="1" si="233"/>
        <v>0.25729761993509059</v>
      </c>
      <c r="P1571" s="51">
        <f t="shared" si="238"/>
        <v>0</v>
      </c>
      <c r="Q1571" s="51">
        <f t="shared" si="239"/>
        <v>0</v>
      </c>
      <c r="R1571" s="51">
        <f t="shared" si="236"/>
        <v>0</v>
      </c>
      <c r="S1571"/>
      <c r="T1571" s="83"/>
    </row>
    <row r="1572" spans="1:20" ht="16" x14ac:dyDescent="0.2">
      <c r="A1572"/>
      <c r="B1572" s="103"/>
      <c r="C1572" s="243"/>
      <c r="D1572" s="119">
        <v>1559</v>
      </c>
      <c r="E1572" s="25" t="str">
        <f>Tp_Non_CHG!S75</f>
        <v>Transition Probability from state 4 to state 3 on day 1 Non-CHG)</v>
      </c>
      <c r="F1572" s="40">
        <f t="shared" si="237"/>
        <v>0</v>
      </c>
      <c r="G1572" s="156">
        <v>1</v>
      </c>
      <c r="H1572" s="120">
        <f>Tp_Non_CHG!V75</f>
        <v>0</v>
      </c>
      <c r="I1572" s="40" t="s">
        <v>58</v>
      </c>
      <c r="J1572" s="40">
        <f t="shared" si="234"/>
        <v>0</v>
      </c>
      <c r="K1572" s="40">
        <f t="shared" si="235"/>
        <v>0</v>
      </c>
      <c r="L1572" s="40" t="s">
        <v>58</v>
      </c>
      <c r="M1572" s="50" t="s">
        <v>266</v>
      </c>
      <c r="N1572" s="190"/>
      <c r="O1572" s="40">
        <f t="shared" ca="1" si="233"/>
        <v>1.7320275457783252E-2</v>
      </c>
      <c r="P1572" s="51">
        <f t="shared" si="238"/>
        <v>0</v>
      </c>
      <c r="Q1572" s="51">
        <f t="shared" si="239"/>
        <v>0</v>
      </c>
      <c r="R1572" s="51">
        <f t="shared" si="236"/>
        <v>0</v>
      </c>
      <c r="S1572"/>
      <c r="T1572" s="83"/>
    </row>
    <row r="1573" spans="1:20" ht="16" x14ac:dyDescent="0.2">
      <c r="A1573"/>
      <c r="B1573" s="103"/>
      <c r="C1573" s="243"/>
      <c r="D1573" s="119">
        <v>1560</v>
      </c>
      <c r="E1573" s="25" t="str">
        <f>Tp_Non_CHG!S76</f>
        <v>Transition Probability from state 4 to state 3 on day 2 Non-CHG)</v>
      </c>
      <c r="F1573" s="40">
        <f t="shared" si="237"/>
        <v>0</v>
      </c>
      <c r="G1573" s="156">
        <v>1</v>
      </c>
      <c r="H1573" s="120">
        <f>Tp_Non_CHG!V76</f>
        <v>0</v>
      </c>
      <c r="I1573" s="40" t="s">
        <v>58</v>
      </c>
      <c r="J1573" s="40">
        <f t="shared" si="234"/>
        <v>0</v>
      </c>
      <c r="K1573" s="40">
        <f t="shared" si="235"/>
        <v>0</v>
      </c>
      <c r="L1573" s="40" t="s">
        <v>58</v>
      </c>
      <c r="M1573" s="50" t="s">
        <v>266</v>
      </c>
      <c r="N1573" s="190"/>
      <c r="O1573" s="40">
        <f t="shared" ca="1" si="233"/>
        <v>0.33330498895567351</v>
      </c>
      <c r="P1573" s="51">
        <f t="shared" si="238"/>
        <v>0</v>
      </c>
      <c r="Q1573" s="51">
        <f t="shared" si="239"/>
        <v>0</v>
      </c>
      <c r="R1573" s="51">
        <f t="shared" si="236"/>
        <v>0</v>
      </c>
      <c r="S1573"/>
      <c r="T1573" s="83"/>
    </row>
    <row r="1574" spans="1:20" ht="16" x14ac:dyDescent="0.2">
      <c r="A1574"/>
      <c r="B1574" s="103"/>
      <c r="C1574" s="243"/>
      <c r="D1574" s="119">
        <v>1561</v>
      </c>
      <c r="E1574" s="25" t="str">
        <f>Tp_Non_CHG!S77</f>
        <v>Transition Probability from state 4 to state 3 on day 3 Non-CHG)</v>
      </c>
      <c r="F1574" s="40">
        <f t="shared" si="237"/>
        <v>0</v>
      </c>
      <c r="G1574" s="156">
        <v>1</v>
      </c>
      <c r="H1574" s="120">
        <f>Tp_Non_CHG!V77</f>
        <v>0</v>
      </c>
      <c r="I1574" s="40" t="s">
        <v>58</v>
      </c>
      <c r="J1574" s="40">
        <f t="shared" si="234"/>
        <v>0</v>
      </c>
      <c r="K1574" s="40">
        <f t="shared" si="235"/>
        <v>0</v>
      </c>
      <c r="L1574" s="40" t="s">
        <v>58</v>
      </c>
      <c r="M1574" s="50" t="s">
        <v>266</v>
      </c>
      <c r="N1574" s="190"/>
      <c r="O1574" s="40">
        <f t="shared" ca="1" si="233"/>
        <v>0.87117863452283895</v>
      </c>
      <c r="P1574" s="51">
        <f t="shared" si="238"/>
        <v>0</v>
      </c>
      <c r="Q1574" s="51">
        <f t="shared" si="239"/>
        <v>0</v>
      </c>
      <c r="R1574" s="51">
        <f t="shared" si="236"/>
        <v>0</v>
      </c>
      <c r="S1574"/>
      <c r="T1574" s="83"/>
    </row>
    <row r="1575" spans="1:20" ht="16" x14ac:dyDescent="0.2">
      <c r="A1575"/>
      <c r="B1575" s="103"/>
      <c r="C1575" s="243"/>
      <c r="D1575" s="119">
        <v>1562</v>
      </c>
      <c r="E1575" s="25" t="str">
        <f>Tp_Non_CHG!S78</f>
        <v>Transition Probability from state 4 to state 3 on day 4 Non-CHG)</v>
      </c>
      <c r="F1575" s="40">
        <f t="shared" si="237"/>
        <v>0</v>
      </c>
      <c r="G1575" s="156">
        <v>1</v>
      </c>
      <c r="H1575" s="120">
        <f>Tp_Non_CHG!V78</f>
        <v>0</v>
      </c>
      <c r="I1575" s="40" t="s">
        <v>58</v>
      </c>
      <c r="J1575" s="40">
        <f t="shared" si="234"/>
        <v>0</v>
      </c>
      <c r="K1575" s="40">
        <f t="shared" si="235"/>
        <v>0</v>
      </c>
      <c r="L1575" s="40" t="s">
        <v>58</v>
      </c>
      <c r="M1575" s="50" t="s">
        <v>266</v>
      </c>
      <c r="N1575" s="190"/>
      <c r="O1575" s="40">
        <f t="shared" ca="1" si="233"/>
        <v>0.49893039015161877</v>
      </c>
      <c r="P1575" s="51">
        <f t="shared" si="238"/>
        <v>0</v>
      </c>
      <c r="Q1575" s="51">
        <f t="shared" si="239"/>
        <v>0</v>
      </c>
      <c r="R1575" s="51">
        <f t="shared" si="236"/>
        <v>0</v>
      </c>
      <c r="S1575"/>
      <c r="T1575" s="83"/>
    </row>
    <row r="1576" spans="1:20" ht="16" x14ac:dyDescent="0.2">
      <c r="A1576"/>
      <c r="B1576" s="103"/>
      <c r="C1576" s="243"/>
      <c r="D1576" s="119">
        <v>1563</v>
      </c>
      <c r="E1576" s="25" t="str">
        <f>Tp_Non_CHG!S79</f>
        <v>Transition Probability from state 4 to state 3 on day 5 Non-CHG)</v>
      </c>
      <c r="F1576" s="40">
        <f t="shared" si="237"/>
        <v>0</v>
      </c>
      <c r="G1576" s="156">
        <v>1</v>
      </c>
      <c r="H1576" s="120">
        <f>Tp_Non_CHG!V79</f>
        <v>0</v>
      </c>
      <c r="I1576" s="40" t="s">
        <v>58</v>
      </c>
      <c r="J1576" s="40">
        <f t="shared" si="234"/>
        <v>0</v>
      </c>
      <c r="K1576" s="40">
        <f t="shared" si="235"/>
        <v>0</v>
      </c>
      <c r="L1576" s="40" t="s">
        <v>58</v>
      </c>
      <c r="M1576" s="50" t="s">
        <v>266</v>
      </c>
      <c r="N1576" s="190"/>
      <c r="O1576" s="40">
        <f t="shared" ca="1" si="233"/>
        <v>0.97221462013585114</v>
      </c>
      <c r="P1576" s="51">
        <f t="shared" si="238"/>
        <v>0</v>
      </c>
      <c r="Q1576" s="51">
        <f t="shared" si="239"/>
        <v>0</v>
      </c>
      <c r="R1576" s="51">
        <f t="shared" si="236"/>
        <v>0</v>
      </c>
      <c r="S1576"/>
      <c r="T1576" s="83"/>
    </row>
    <row r="1577" spans="1:20" ht="16" x14ac:dyDescent="0.2">
      <c r="A1577"/>
      <c r="B1577" s="103"/>
      <c r="C1577" s="243"/>
      <c r="D1577" s="119">
        <v>1564</v>
      </c>
      <c r="E1577" s="25" t="str">
        <f>Tp_Non_CHG!S80</f>
        <v>Transition Probability from state 4 to state 3 on day 6 Non-CHG)</v>
      </c>
      <c r="F1577" s="40">
        <f t="shared" si="237"/>
        <v>0</v>
      </c>
      <c r="G1577" s="156">
        <v>1</v>
      </c>
      <c r="H1577" s="120">
        <f>Tp_Non_CHG!V80</f>
        <v>0</v>
      </c>
      <c r="I1577" s="40" t="s">
        <v>58</v>
      </c>
      <c r="J1577" s="40">
        <f t="shared" si="234"/>
        <v>0</v>
      </c>
      <c r="K1577" s="40">
        <f t="shared" si="235"/>
        <v>0</v>
      </c>
      <c r="L1577" s="40" t="s">
        <v>58</v>
      </c>
      <c r="M1577" s="50" t="s">
        <v>266</v>
      </c>
      <c r="N1577" s="190"/>
      <c r="O1577" s="40">
        <f t="shared" ca="1" si="233"/>
        <v>0.81799912188567003</v>
      </c>
      <c r="P1577" s="51">
        <f t="shared" si="238"/>
        <v>0</v>
      </c>
      <c r="Q1577" s="51">
        <f t="shared" si="239"/>
        <v>0</v>
      </c>
      <c r="R1577" s="51">
        <f t="shared" si="236"/>
        <v>0</v>
      </c>
      <c r="S1577"/>
      <c r="T1577" s="83"/>
    </row>
    <row r="1578" spans="1:20" ht="16" x14ac:dyDescent="0.2">
      <c r="A1578"/>
      <c r="B1578" s="103"/>
      <c r="C1578" s="243"/>
      <c r="D1578" s="119">
        <v>1565</v>
      </c>
      <c r="E1578" s="25" t="str">
        <f>Tp_Non_CHG!S81</f>
        <v>Transition Probability from state 4 to state 3 on day 7 Non-CHG)</v>
      </c>
      <c r="F1578" s="40">
        <f t="shared" si="237"/>
        <v>0</v>
      </c>
      <c r="G1578" s="156">
        <v>1</v>
      </c>
      <c r="H1578" s="120">
        <f>Tp_Non_CHG!V81</f>
        <v>0</v>
      </c>
      <c r="I1578" s="40" t="s">
        <v>58</v>
      </c>
      <c r="J1578" s="40">
        <f t="shared" si="234"/>
        <v>0</v>
      </c>
      <c r="K1578" s="40">
        <f t="shared" si="235"/>
        <v>0</v>
      </c>
      <c r="L1578" s="40" t="s">
        <v>58</v>
      </c>
      <c r="M1578" s="50" t="s">
        <v>266</v>
      </c>
      <c r="N1578" s="190"/>
      <c r="O1578" s="40">
        <f t="shared" ca="1" si="233"/>
        <v>0.58479559497433387</v>
      </c>
      <c r="P1578" s="51">
        <f t="shared" si="238"/>
        <v>0</v>
      </c>
      <c r="Q1578" s="51">
        <f t="shared" si="239"/>
        <v>0</v>
      </c>
      <c r="R1578" s="51">
        <f t="shared" si="236"/>
        <v>0</v>
      </c>
      <c r="S1578"/>
      <c r="T1578" s="83"/>
    </row>
    <row r="1579" spans="1:20" ht="16" x14ac:dyDescent="0.2">
      <c r="A1579"/>
      <c r="B1579" s="103"/>
      <c r="C1579" s="243"/>
      <c r="D1579" s="119">
        <v>1566</v>
      </c>
      <c r="E1579" s="25" t="str">
        <f>Tp_Non_CHG!S82</f>
        <v>Transition Probability from state 4 to state 3 on day 8 Non-CHG)</v>
      </c>
      <c r="F1579" s="40">
        <f t="shared" si="237"/>
        <v>0</v>
      </c>
      <c r="G1579" s="156">
        <v>1</v>
      </c>
      <c r="H1579" s="120">
        <f>Tp_Non_CHG!V82</f>
        <v>0</v>
      </c>
      <c r="I1579" s="40" t="s">
        <v>58</v>
      </c>
      <c r="J1579" s="40">
        <f t="shared" si="234"/>
        <v>0</v>
      </c>
      <c r="K1579" s="40">
        <f t="shared" si="235"/>
        <v>0</v>
      </c>
      <c r="L1579" s="40" t="s">
        <v>58</v>
      </c>
      <c r="M1579" s="50" t="s">
        <v>266</v>
      </c>
      <c r="N1579" s="190"/>
      <c r="O1579" s="40">
        <f t="shared" ca="1" si="233"/>
        <v>0.8642356064264537</v>
      </c>
      <c r="P1579" s="51">
        <f t="shared" si="238"/>
        <v>0</v>
      </c>
      <c r="Q1579" s="51">
        <f t="shared" si="239"/>
        <v>0</v>
      </c>
      <c r="R1579" s="51">
        <f t="shared" si="236"/>
        <v>0</v>
      </c>
      <c r="S1579"/>
      <c r="T1579" s="83"/>
    </row>
    <row r="1580" spans="1:20" ht="16" x14ac:dyDescent="0.2">
      <c r="A1580"/>
      <c r="B1580" s="103"/>
      <c r="C1580" s="243"/>
      <c r="D1580" s="119">
        <v>1567</v>
      </c>
      <c r="E1580" s="25" t="str">
        <f>Tp_Non_CHG!S83</f>
        <v>Transition Probability from state 4 to state 3 on day 9 Non-CHG)</v>
      </c>
      <c r="F1580" s="40">
        <f t="shared" si="237"/>
        <v>0</v>
      </c>
      <c r="G1580" s="156">
        <v>1</v>
      </c>
      <c r="H1580" s="120">
        <f>Tp_Non_CHG!V83</f>
        <v>0</v>
      </c>
      <c r="I1580" s="40" t="s">
        <v>58</v>
      </c>
      <c r="J1580" s="40">
        <f t="shared" si="234"/>
        <v>0</v>
      </c>
      <c r="K1580" s="40">
        <f t="shared" si="235"/>
        <v>0</v>
      </c>
      <c r="L1580" s="40" t="s">
        <v>58</v>
      </c>
      <c r="M1580" s="50" t="s">
        <v>266</v>
      </c>
      <c r="N1580" s="190"/>
      <c r="O1580" s="40">
        <f t="shared" ref="O1580:O1637" ca="1" si="240">RAND()</f>
        <v>0.51093206097954058</v>
      </c>
      <c r="P1580" s="51">
        <f t="shared" si="238"/>
        <v>0</v>
      </c>
      <c r="Q1580" s="51">
        <f t="shared" si="239"/>
        <v>0</v>
      </c>
      <c r="R1580" s="51">
        <f t="shared" si="236"/>
        <v>0</v>
      </c>
      <c r="S1580"/>
      <c r="T1580" s="83"/>
    </row>
    <row r="1581" spans="1:20" ht="16" x14ac:dyDescent="0.2">
      <c r="A1581"/>
      <c r="B1581" s="103"/>
      <c r="C1581" s="243"/>
      <c r="D1581" s="119">
        <v>1568</v>
      </c>
      <c r="E1581" s="25" t="str">
        <f>Tp_Non_CHG!S84</f>
        <v>Transition Probability from state 4 to state 3 on day 10 Non-CHG)</v>
      </c>
      <c r="F1581" s="40">
        <f t="shared" si="237"/>
        <v>0</v>
      </c>
      <c r="G1581" s="156">
        <v>1</v>
      </c>
      <c r="H1581" s="120">
        <f>Tp_Non_CHG!V84</f>
        <v>0</v>
      </c>
      <c r="I1581" s="40" t="s">
        <v>58</v>
      </c>
      <c r="J1581" s="40">
        <f t="shared" si="234"/>
        <v>0</v>
      </c>
      <c r="K1581" s="40">
        <f t="shared" si="235"/>
        <v>0</v>
      </c>
      <c r="L1581" s="40" t="s">
        <v>58</v>
      </c>
      <c r="M1581" s="50" t="s">
        <v>266</v>
      </c>
      <c r="N1581" s="190"/>
      <c r="O1581" s="40">
        <f t="shared" ca="1" si="240"/>
        <v>0.86362103182362338</v>
      </c>
      <c r="P1581" s="51">
        <f t="shared" si="238"/>
        <v>0</v>
      </c>
      <c r="Q1581" s="51">
        <f t="shared" si="239"/>
        <v>0</v>
      </c>
      <c r="R1581" s="51">
        <f t="shared" si="236"/>
        <v>0</v>
      </c>
      <c r="S1581"/>
      <c r="T1581" s="83"/>
    </row>
    <row r="1582" spans="1:20" ht="16" x14ac:dyDescent="0.2">
      <c r="A1582"/>
      <c r="B1582" s="103"/>
      <c r="C1582" s="243"/>
      <c r="D1582" s="119">
        <v>1569</v>
      </c>
      <c r="E1582" s="25" t="str">
        <f>Tp_Non_CHG!S85</f>
        <v>Transition Probability from state 4 to state 3 on day 11 Non-CHG)</v>
      </c>
      <c r="F1582" s="40">
        <f t="shared" si="237"/>
        <v>0</v>
      </c>
      <c r="G1582" s="156">
        <v>1</v>
      </c>
      <c r="H1582" s="120">
        <f>Tp_Non_CHG!V85</f>
        <v>0</v>
      </c>
      <c r="I1582" s="40" t="s">
        <v>58</v>
      </c>
      <c r="J1582" s="40">
        <f t="shared" si="234"/>
        <v>0</v>
      </c>
      <c r="K1582" s="40">
        <f t="shared" si="235"/>
        <v>0</v>
      </c>
      <c r="L1582" s="40" t="s">
        <v>58</v>
      </c>
      <c r="M1582" s="50" t="s">
        <v>266</v>
      </c>
      <c r="N1582" s="190"/>
      <c r="O1582" s="40">
        <f t="shared" ca="1" si="240"/>
        <v>0.13874063433748673</v>
      </c>
      <c r="P1582" s="51">
        <f t="shared" si="238"/>
        <v>0</v>
      </c>
      <c r="Q1582" s="51">
        <f t="shared" si="239"/>
        <v>0</v>
      </c>
      <c r="R1582" s="51">
        <f t="shared" si="236"/>
        <v>0</v>
      </c>
      <c r="S1582"/>
      <c r="T1582" s="83"/>
    </row>
    <row r="1583" spans="1:20" ht="16" x14ac:dyDescent="0.2">
      <c r="A1583"/>
      <c r="B1583" s="103"/>
      <c r="C1583" s="243"/>
      <c r="D1583" s="119">
        <v>1570</v>
      </c>
      <c r="E1583" s="25" t="str">
        <f>Tp_Non_CHG!S86</f>
        <v>Transition Probability from state 4 to state 3 on day 12 Non-CHG)</v>
      </c>
      <c r="F1583" s="40">
        <f t="shared" si="237"/>
        <v>0</v>
      </c>
      <c r="G1583" s="156">
        <v>1</v>
      </c>
      <c r="H1583" s="120">
        <f>Tp_Non_CHG!V86</f>
        <v>0</v>
      </c>
      <c r="I1583" s="40" t="s">
        <v>58</v>
      </c>
      <c r="J1583" s="40">
        <f t="shared" si="234"/>
        <v>0</v>
      </c>
      <c r="K1583" s="40">
        <f t="shared" si="235"/>
        <v>0</v>
      </c>
      <c r="L1583" s="40" t="s">
        <v>58</v>
      </c>
      <c r="M1583" s="50" t="s">
        <v>266</v>
      </c>
      <c r="N1583" s="190"/>
      <c r="O1583" s="40">
        <f t="shared" ca="1" si="240"/>
        <v>2.3820326332455455E-3</v>
      </c>
      <c r="P1583" s="51">
        <f t="shared" si="238"/>
        <v>0</v>
      </c>
      <c r="Q1583" s="51">
        <f t="shared" si="239"/>
        <v>0</v>
      </c>
      <c r="R1583" s="51">
        <f t="shared" si="236"/>
        <v>0</v>
      </c>
      <c r="S1583"/>
      <c r="T1583" s="83"/>
    </row>
    <row r="1584" spans="1:20" ht="16" x14ac:dyDescent="0.2">
      <c r="A1584"/>
      <c r="B1584" s="103"/>
      <c r="C1584" s="243"/>
      <c r="D1584" s="119">
        <v>1571</v>
      </c>
      <c r="E1584" s="25" t="str">
        <f>Tp_Non_CHG!S87</f>
        <v>Transition Probability from state 4 to state 3 on day 13 Non-CHG)</v>
      </c>
      <c r="F1584" s="40">
        <f t="shared" si="237"/>
        <v>0</v>
      </c>
      <c r="G1584" s="156">
        <v>1</v>
      </c>
      <c r="H1584" s="120">
        <f>Tp_Non_CHG!V87</f>
        <v>0</v>
      </c>
      <c r="I1584" s="40" t="s">
        <v>58</v>
      </c>
      <c r="J1584" s="40">
        <f t="shared" si="234"/>
        <v>0</v>
      </c>
      <c r="K1584" s="40">
        <f t="shared" si="235"/>
        <v>0</v>
      </c>
      <c r="L1584" s="40" t="s">
        <v>58</v>
      </c>
      <c r="M1584" s="50" t="s">
        <v>266</v>
      </c>
      <c r="N1584" s="190"/>
      <c r="O1584" s="40">
        <f t="shared" ca="1" si="240"/>
        <v>8.1615376495501324E-2</v>
      </c>
      <c r="P1584" s="51">
        <f t="shared" si="238"/>
        <v>0</v>
      </c>
      <c r="Q1584" s="51">
        <f t="shared" si="239"/>
        <v>0</v>
      </c>
      <c r="R1584" s="51">
        <f t="shared" si="236"/>
        <v>0</v>
      </c>
      <c r="S1584"/>
      <c r="T1584" s="83"/>
    </row>
    <row r="1585" spans="1:20" ht="16" x14ac:dyDescent="0.2">
      <c r="A1585"/>
      <c r="B1585" s="103"/>
      <c r="C1585" s="243"/>
      <c r="D1585" s="119">
        <v>1572</v>
      </c>
      <c r="E1585" s="25" t="str">
        <f>Tp_Non_CHG!S88</f>
        <v>Transition Probability from state 4 to state 3 on day 14 Non-CHG)</v>
      </c>
      <c r="F1585" s="40">
        <f t="shared" si="237"/>
        <v>0</v>
      </c>
      <c r="G1585" s="156">
        <v>1</v>
      </c>
      <c r="H1585" s="120">
        <f>Tp_Non_CHG!V88</f>
        <v>0</v>
      </c>
      <c r="I1585" s="40" t="s">
        <v>58</v>
      </c>
      <c r="J1585" s="40">
        <f t="shared" si="234"/>
        <v>0</v>
      </c>
      <c r="K1585" s="40">
        <f t="shared" si="235"/>
        <v>0</v>
      </c>
      <c r="L1585" s="40" t="s">
        <v>58</v>
      </c>
      <c r="M1585" s="50" t="s">
        <v>266</v>
      </c>
      <c r="N1585" s="190"/>
      <c r="O1585" s="40">
        <f t="shared" ca="1" si="240"/>
        <v>0.35902255309438502</v>
      </c>
      <c r="P1585" s="51">
        <f t="shared" si="238"/>
        <v>0</v>
      </c>
      <c r="Q1585" s="51">
        <f t="shared" si="239"/>
        <v>0</v>
      </c>
      <c r="R1585" s="51">
        <f t="shared" si="236"/>
        <v>0</v>
      </c>
      <c r="S1585"/>
      <c r="T1585" s="83"/>
    </row>
    <row r="1586" spans="1:20" ht="16" x14ac:dyDescent="0.2">
      <c r="A1586"/>
      <c r="B1586" s="103"/>
      <c r="C1586" s="243"/>
      <c r="D1586" s="119">
        <v>1573</v>
      </c>
      <c r="E1586" s="25" t="str">
        <f>Tp_Non_CHG!S89</f>
        <v>Transition Probability from state 4 to state 3 on day 15 Non-CHG)</v>
      </c>
      <c r="F1586" s="40">
        <f t="shared" si="237"/>
        <v>0</v>
      </c>
      <c r="G1586" s="156">
        <v>1</v>
      </c>
      <c r="H1586" s="120">
        <f>Tp_Non_CHG!V89</f>
        <v>0</v>
      </c>
      <c r="I1586" s="40" t="s">
        <v>58</v>
      </c>
      <c r="J1586" s="40">
        <f t="shared" si="234"/>
        <v>0</v>
      </c>
      <c r="K1586" s="40">
        <f t="shared" si="235"/>
        <v>0</v>
      </c>
      <c r="L1586" s="40" t="s">
        <v>58</v>
      </c>
      <c r="M1586" s="50" t="s">
        <v>266</v>
      </c>
      <c r="N1586" s="190"/>
      <c r="O1586" s="40">
        <f t="shared" ca="1" si="240"/>
        <v>0.80574240579098932</v>
      </c>
      <c r="P1586" s="51">
        <f t="shared" si="238"/>
        <v>0</v>
      </c>
      <c r="Q1586" s="51">
        <f t="shared" si="239"/>
        <v>0</v>
      </c>
      <c r="R1586" s="51">
        <f t="shared" si="236"/>
        <v>0</v>
      </c>
      <c r="S1586"/>
      <c r="T1586" s="83"/>
    </row>
    <row r="1587" spans="1:20" ht="16" x14ac:dyDescent="0.2">
      <c r="A1587"/>
      <c r="B1587" s="103"/>
      <c r="C1587" s="243"/>
      <c r="D1587" s="119">
        <v>1574</v>
      </c>
      <c r="E1587" s="25" t="str">
        <f>Tp_Non_CHG!S90</f>
        <v>Transition Probability from state 4 to state 3 on day 16 Non-CHG)</v>
      </c>
      <c r="F1587" s="40">
        <f t="shared" si="237"/>
        <v>0</v>
      </c>
      <c r="G1587" s="156">
        <v>1</v>
      </c>
      <c r="H1587" s="120">
        <f>Tp_Non_CHG!V90</f>
        <v>0</v>
      </c>
      <c r="I1587" s="40" t="s">
        <v>58</v>
      </c>
      <c r="J1587" s="40">
        <f t="shared" si="234"/>
        <v>0</v>
      </c>
      <c r="K1587" s="40">
        <f t="shared" si="235"/>
        <v>0</v>
      </c>
      <c r="L1587" s="40" t="s">
        <v>58</v>
      </c>
      <c r="M1587" s="50" t="s">
        <v>266</v>
      </c>
      <c r="N1587" s="190"/>
      <c r="O1587" s="40">
        <f t="shared" ca="1" si="240"/>
        <v>0.86142509668160971</v>
      </c>
      <c r="P1587" s="51">
        <f t="shared" si="238"/>
        <v>0</v>
      </c>
      <c r="Q1587" s="51">
        <f t="shared" si="239"/>
        <v>0</v>
      </c>
      <c r="R1587" s="51">
        <f t="shared" si="236"/>
        <v>0</v>
      </c>
      <c r="S1587"/>
      <c r="T1587" s="83"/>
    </row>
    <row r="1588" spans="1:20" ht="16" x14ac:dyDescent="0.2">
      <c r="A1588"/>
      <c r="B1588" s="103"/>
      <c r="C1588" s="243"/>
      <c r="D1588" s="119">
        <v>1575</v>
      </c>
      <c r="E1588" s="25" t="str">
        <f>Tp_Non_CHG!S91</f>
        <v>Transition Probability from state 4 to state 3 on day 17 Non-CHG)</v>
      </c>
      <c r="F1588" s="40">
        <f t="shared" si="237"/>
        <v>0</v>
      </c>
      <c r="G1588" s="156">
        <v>1</v>
      </c>
      <c r="H1588" s="120">
        <f>Tp_Non_CHG!V91</f>
        <v>0</v>
      </c>
      <c r="I1588" s="40" t="s">
        <v>58</v>
      </c>
      <c r="J1588" s="40">
        <f t="shared" si="234"/>
        <v>0</v>
      </c>
      <c r="K1588" s="40">
        <f t="shared" si="235"/>
        <v>0</v>
      </c>
      <c r="L1588" s="40" t="s">
        <v>58</v>
      </c>
      <c r="M1588" s="50" t="s">
        <v>266</v>
      </c>
      <c r="N1588" s="190"/>
      <c r="O1588" s="40">
        <f t="shared" ca="1" si="240"/>
        <v>0.92636259321719983</v>
      </c>
      <c r="P1588" s="51">
        <f t="shared" si="238"/>
        <v>0</v>
      </c>
      <c r="Q1588" s="51">
        <f t="shared" si="239"/>
        <v>0</v>
      </c>
      <c r="R1588" s="51">
        <f t="shared" si="236"/>
        <v>0</v>
      </c>
      <c r="S1588"/>
      <c r="T1588" s="83"/>
    </row>
    <row r="1589" spans="1:20" ht="16" x14ac:dyDescent="0.2">
      <c r="A1589"/>
      <c r="B1589" s="103"/>
      <c r="C1589" s="243"/>
      <c r="D1589" s="119">
        <v>1576</v>
      </c>
      <c r="E1589" s="25" t="str">
        <f>Tp_Non_CHG!S92</f>
        <v>Transition Probability from state 4 to state 3 on day 18 Non-CHG)</v>
      </c>
      <c r="F1589" s="40">
        <f t="shared" si="237"/>
        <v>0</v>
      </c>
      <c r="G1589" s="156">
        <v>1</v>
      </c>
      <c r="H1589" s="120">
        <f>Tp_Non_CHG!V92</f>
        <v>0</v>
      </c>
      <c r="I1589" s="40" t="s">
        <v>58</v>
      </c>
      <c r="J1589" s="40">
        <f t="shared" si="234"/>
        <v>0</v>
      </c>
      <c r="K1589" s="40">
        <f t="shared" si="235"/>
        <v>0</v>
      </c>
      <c r="L1589" s="40" t="s">
        <v>58</v>
      </c>
      <c r="M1589" s="50" t="s">
        <v>266</v>
      </c>
      <c r="N1589" s="190"/>
      <c r="O1589" s="40">
        <f t="shared" ca="1" si="240"/>
        <v>0.42887305998490455</v>
      </c>
      <c r="P1589" s="51">
        <f t="shared" si="238"/>
        <v>0</v>
      </c>
      <c r="Q1589" s="51">
        <f t="shared" si="239"/>
        <v>0</v>
      </c>
      <c r="R1589" s="51">
        <f t="shared" si="236"/>
        <v>0</v>
      </c>
      <c r="S1589"/>
      <c r="T1589" s="83"/>
    </row>
    <row r="1590" spans="1:20" ht="16" x14ac:dyDescent="0.2">
      <c r="A1590"/>
      <c r="B1590" s="103"/>
      <c r="C1590" s="243"/>
      <c r="D1590" s="119">
        <v>1577</v>
      </c>
      <c r="E1590" s="25" t="str">
        <f>Tp_Non_CHG!S93</f>
        <v>Transition Probability from state 4 to state 3 on day 19 Non-CHG)</v>
      </c>
      <c r="F1590" s="40">
        <f t="shared" si="237"/>
        <v>0</v>
      </c>
      <c r="G1590" s="156">
        <v>1</v>
      </c>
      <c r="H1590" s="120">
        <f>Tp_Non_CHG!V93</f>
        <v>0</v>
      </c>
      <c r="I1590" s="40" t="s">
        <v>58</v>
      </c>
      <c r="J1590" s="40">
        <f t="shared" si="234"/>
        <v>0</v>
      </c>
      <c r="K1590" s="40">
        <f t="shared" si="235"/>
        <v>0</v>
      </c>
      <c r="L1590" s="40" t="s">
        <v>58</v>
      </c>
      <c r="M1590" s="50" t="s">
        <v>266</v>
      </c>
      <c r="N1590" s="190"/>
      <c r="O1590" s="40">
        <f t="shared" ca="1" si="240"/>
        <v>0.28204854484943853</v>
      </c>
      <c r="P1590" s="51">
        <f t="shared" si="238"/>
        <v>0</v>
      </c>
      <c r="Q1590" s="51">
        <f t="shared" si="239"/>
        <v>0</v>
      </c>
      <c r="R1590" s="51">
        <f t="shared" si="236"/>
        <v>0</v>
      </c>
      <c r="S1590"/>
      <c r="T1590" s="83"/>
    </row>
    <row r="1591" spans="1:20" ht="16" x14ac:dyDescent="0.2">
      <c r="A1591"/>
      <c r="B1591" s="103"/>
      <c r="C1591" s="243"/>
      <c r="D1591" s="119">
        <v>1578</v>
      </c>
      <c r="E1591" s="25" t="str">
        <f>Tp_Non_CHG!S94</f>
        <v>Transition Probability from state 4 to state 3 on day 20 Non-CHG)</v>
      </c>
      <c r="F1591" s="40">
        <f t="shared" si="237"/>
        <v>0</v>
      </c>
      <c r="G1591" s="156">
        <v>1</v>
      </c>
      <c r="H1591" s="120">
        <f>Tp_Non_CHG!V94</f>
        <v>0</v>
      </c>
      <c r="I1591" s="40" t="s">
        <v>58</v>
      </c>
      <c r="J1591" s="40">
        <f t="shared" si="234"/>
        <v>0</v>
      </c>
      <c r="K1591" s="40">
        <f t="shared" si="235"/>
        <v>0</v>
      </c>
      <c r="L1591" s="40" t="s">
        <v>58</v>
      </c>
      <c r="M1591" s="50" t="s">
        <v>266</v>
      </c>
      <c r="N1591" s="190"/>
      <c r="O1591" s="40">
        <f t="shared" ca="1" si="240"/>
        <v>0.8478325658992758</v>
      </c>
      <c r="P1591" s="51">
        <f t="shared" si="238"/>
        <v>0</v>
      </c>
      <c r="Q1591" s="51">
        <f t="shared" si="239"/>
        <v>0</v>
      </c>
      <c r="R1591" s="51">
        <f t="shared" si="236"/>
        <v>0</v>
      </c>
      <c r="S1591"/>
      <c r="T1591" s="83"/>
    </row>
    <row r="1592" spans="1:20" ht="16" x14ac:dyDescent="0.2">
      <c r="A1592"/>
      <c r="B1592" s="103"/>
      <c r="C1592" s="243"/>
      <c r="D1592" s="119">
        <v>1579</v>
      </c>
      <c r="E1592" s="25" t="str">
        <f>Tp_Non_CHG!S95</f>
        <v>Transition Probability from state 4 to state 3 on day 21 Non-CHG)</v>
      </c>
      <c r="F1592" s="40">
        <f t="shared" si="237"/>
        <v>0</v>
      </c>
      <c r="G1592" s="156">
        <v>1</v>
      </c>
      <c r="H1592" s="120">
        <f>Tp_Non_CHG!V95</f>
        <v>0</v>
      </c>
      <c r="I1592" s="40" t="s">
        <v>58</v>
      </c>
      <c r="J1592" s="40">
        <f t="shared" si="234"/>
        <v>0</v>
      </c>
      <c r="K1592" s="40">
        <f t="shared" si="235"/>
        <v>0</v>
      </c>
      <c r="L1592" s="40" t="s">
        <v>58</v>
      </c>
      <c r="M1592" s="50" t="s">
        <v>266</v>
      </c>
      <c r="N1592" s="190"/>
      <c r="O1592" s="40">
        <f t="shared" ca="1" si="240"/>
        <v>0.41316138468060493</v>
      </c>
      <c r="P1592" s="51">
        <f t="shared" si="238"/>
        <v>0</v>
      </c>
      <c r="Q1592" s="51">
        <f t="shared" si="239"/>
        <v>0</v>
      </c>
      <c r="R1592" s="51">
        <f t="shared" si="236"/>
        <v>0</v>
      </c>
      <c r="S1592"/>
      <c r="T1592" s="83"/>
    </row>
    <row r="1593" spans="1:20" ht="16" x14ac:dyDescent="0.2">
      <c r="A1593"/>
      <c r="B1593" s="103"/>
      <c r="C1593" s="243"/>
      <c r="D1593" s="119">
        <v>1580</v>
      </c>
      <c r="E1593" s="25" t="str">
        <f>Tp_Non_CHG!S96</f>
        <v>Transition Probability from state 4 to state 3 on day 22 Non-CHG)</v>
      </c>
      <c r="F1593" s="40">
        <f t="shared" si="237"/>
        <v>0</v>
      </c>
      <c r="G1593" s="156">
        <v>1</v>
      </c>
      <c r="H1593" s="120">
        <f>Tp_Non_CHG!V96</f>
        <v>0</v>
      </c>
      <c r="I1593" s="40" t="s">
        <v>58</v>
      </c>
      <c r="J1593" s="40">
        <f t="shared" si="234"/>
        <v>0</v>
      </c>
      <c r="K1593" s="40">
        <f t="shared" si="235"/>
        <v>0</v>
      </c>
      <c r="L1593" s="40" t="s">
        <v>58</v>
      </c>
      <c r="M1593" s="50" t="s">
        <v>266</v>
      </c>
      <c r="N1593" s="190"/>
      <c r="O1593" s="40">
        <f t="shared" ca="1" si="240"/>
        <v>0.64170830245890009</v>
      </c>
      <c r="P1593" s="51">
        <f t="shared" si="238"/>
        <v>0</v>
      </c>
      <c r="Q1593" s="51">
        <f t="shared" si="239"/>
        <v>0</v>
      </c>
      <c r="R1593" s="51">
        <f t="shared" si="236"/>
        <v>0</v>
      </c>
      <c r="S1593"/>
      <c r="T1593" s="83"/>
    </row>
    <row r="1594" spans="1:20" ht="16" x14ac:dyDescent="0.2">
      <c r="A1594"/>
      <c r="B1594" s="103"/>
      <c r="C1594" s="243"/>
      <c r="D1594" s="119">
        <v>1581</v>
      </c>
      <c r="E1594" s="25" t="str">
        <f>Tp_Non_CHG!S97</f>
        <v>Transition Probability from state 4 to state 3 on day 23 Non-CHG)</v>
      </c>
      <c r="F1594" s="40">
        <f t="shared" si="237"/>
        <v>0</v>
      </c>
      <c r="G1594" s="156">
        <v>1</v>
      </c>
      <c r="H1594" s="120">
        <f>Tp_Non_CHG!V97</f>
        <v>0</v>
      </c>
      <c r="I1594" s="40" t="s">
        <v>58</v>
      </c>
      <c r="J1594" s="40">
        <f t="shared" si="234"/>
        <v>0</v>
      </c>
      <c r="K1594" s="40">
        <f t="shared" si="235"/>
        <v>0</v>
      </c>
      <c r="L1594" s="40" t="s">
        <v>58</v>
      </c>
      <c r="M1594" s="50" t="s">
        <v>266</v>
      </c>
      <c r="N1594" s="190"/>
      <c r="O1594" s="40">
        <f t="shared" ca="1" si="240"/>
        <v>4.7104302479223814E-2</v>
      </c>
      <c r="P1594" s="51">
        <f t="shared" si="238"/>
        <v>0</v>
      </c>
      <c r="Q1594" s="51">
        <f t="shared" si="239"/>
        <v>0</v>
      </c>
      <c r="R1594" s="51">
        <f t="shared" si="236"/>
        <v>0</v>
      </c>
      <c r="S1594"/>
      <c r="T1594" s="83"/>
    </row>
    <row r="1595" spans="1:20" ht="16" x14ac:dyDescent="0.2">
      <c r="A1595"/>
      <c r="B1595" s="103"/>
      <c r="C1595" s="243"/>
      <c r="D1595" s="119">
        <v>1582</v>
      </c>
      <c r="E1595" s="25" t="str">
        <f>Tp_Non_CHG!S98</f>
        <v>Transition Probability from state 4 to state 3 on day 24 Non-CHG)</v>
      </c>
      <c r="F1595" s="40">
        <f t="shared" si="237"/>
        <v>0</v>
      </c>
      <c r="G1595" s="156">
        <v>1</v>
      </c>
      <c r="H1595" s="120">
        <f>Tp_Non_CHG!V98</f>
        <v>0</v>
      </c>
      <c r="I1595" s="40" t="s">
        <v>58</v>
      </c>
      <c r="J1595" s="40">
        <f t="shared" si="234"/>
        <v>0</v>
      </c>
      <c r="K1595" s="40">
        <f t="shared" si="235"/>
        <v>0</v>
      </c>
      <c r="L1595" s="40" t="s">
        <v>58</v>
      </c>
      <c r="M1595" s="50" t="s">
        <v>266</v>
      </c>
      <c r="N1595" s="190"/>
      <c r="O1595" s="40">
        <f t="shared" ca="1" si="240"/>
        <v>0.24776356813946399</v>
      </c>
      <c r="P1595" s="51">
        <f t="shared" si="238"/>
        <v>0</v>
      </c>
      <c r="Q1595" s="51">
        <f t="shared" si="239"/>
        <v>0</v>
      </c>
      <c r="R1595" s="51">
        <f t="shared" si="236"/>
        <v>0</v>
      </c>
      <c r="S1595"/>
      <c r="T1595" s="83"/>
    </row>
    <row r="1596" spans="1:20" ht="16" x14ac:dyDescent="0.2">
      <c r="A1596"/>
      <c r="B1596" s="103"/>
      <c r="C1596" s="243"/>
      <c r="D1596" s="119">
        <v>1583</v>
      </c>
      <c r="E1596" s="25" t="str">
        <f>Tp_Non_CHG!S99</f>
        <v>Transition Probability from state 4 to state 3 on day 25 Non-CHG)</v>
      </c>
      <c r="F1596" s="40">
        <f t="shared" si="237"/>
        <v>0</v>
      </c>
      <c r="G1596" s="156">
        <v>1</v>
      </c>
      <c r="H1596" s="120">
        <f>Tp_Non_CHG!V99</f>
        <v>0</v>
      </c>
      <c r="I1596" s="40" t="s">
        <v>58</v>
      </c>
      <c r="J1596" s="40">
        <f t="shared" si="234"/>
        <v>0</v>
      </c>
      <c r="K1596" s="40">
        <f t="shared" si="235"/>
        <v>0</v>
      </c>
      <c r="L1596" s="40" t="s">
        <v>58</v>
      </c>
      <c r="M1596" s="50" t="s">
        <v>266</v>
      </c>
      <c r="N1596" s="190"/>
      <c r="O1596" s="40">
        <f t="shared" ca="1" si="240"/>
        <v>0.2490653313517287</v>
      </c>
      <c r="P1596" s="51">
        <f t="shared" si="238"/>
        <v>0</v>
      </c>
      <c r="Q1596" s="51">
        <f t="shared" si="239"/>
        <v>0</v>
      </c>
      <c r="R1596" s="51">
        <f t="shared" si="236"/>
        <v>0</v>
      </c>
      <c r="S1596"/>
      <c r="T1596" s="83"/>
    </row>
    <row r="1597" spans="1:20" ht="16" x14ac:dyDescent="0.2">
      <c r="A1597"/>
      <c r="B1597" s="103"/>
      <c r="C1597" s="243"/>
      <c r="D1597" s="119">
        <v>1584</v>
      </c>
      <c r="E1597" s="25" t="str">
        <f>Tp_Non_CHG!S100</f>
        <v>Transition Probability from state 4 to state 3 on day 26 Non-CHG)</v>
      </c>
      <c r="F1597" s="40">
        <f t="shared" si="237"/>
        <v>0</v>
      </c>
      <c r="G1597" s="156">
        <v>1</v>
      </c>
      <c r="H1597" s="120">
        <f>Tp_Non_CHG!V100</f>
        <v>0</v>
      </c>
      <c r="I1597" s="40" t="s">
        <v>58</v>
      </c>
      <c r="J1597" s="40">
        <f t="shared" si="234"/>
        <v>0</v>
      </c>
      <c r="K1597" s="40">
        <f t="shared" si="235"/>
        <v>0</v>
      </c>
      <c r="L1597" s="40" t="s">
        <v>58</v>
      </c>
      <c r="M1597" s="50" t="s">
        <v>266</v>
      </c>
      <c r="N1597" s="190"/>
      <c r="O1597" s="40">
        <f t="shared" ca="1" si="240"/>
        <v>0.79338140296998116</v>
      </c>
      <c r="P1597" s="51">
        <f t="shared" si="238"/>
        <v>0</v>
      </c>
      <c r="Q1597" s="51">
        <f t="shared" si="239"/>
        <v>0</v>
      </c>
      <c r="R1597" s="51">
        <f t="shared" si="236"/>
        <v>0</v>
      </c>
      <c r="S1597"/>
      <c r="T1597" s="83"/>
    </row>
    <row r="1598" spans="1:20" ht="16" x14ac:dyDescent="0.2">
      <c r="A1598"/>
      <c r="B1598" s="103"/>
      <c r="C1598" s="243"/>
      <c r="D1598" s="119">
        <v>1585</v>
      </c>
      <c r="E1598" s="25" t="str">
        <f>Tp_Non_CHG!S101</f>
        <v>Transition Probability from state 4 to state 3 on day 27 Non-CHG)</v>
      </c>
      <c r="F1598" s="40">
        <f t="shared" si="237"/>
        <v>0</v>
      </c>
      <c r="G1598" s="156">
        <v>1</v>
      </c>
      <c r="H1598" s="120">
        <f>Tp_Non_CHG!V101</f>
        <v>0</v>
      </c>
      <c r="I1598" s="40" t="s">
        <v>58</v>
      </c>
      <c r="J1598" s="40">
        <f t="shared" si="234"/>
        <v>0</v>
      </c>
      <c r="K1598" s="40">
        <f t="shared" si="235"/>
        <v>0</v>
      </c>
      <c r="L1598" s="40" t="s">
        <v>58</v>
      </c>
      <c r="M1598" s="50" t="s">
        <v>266</v>
      </c>
      <c r="N1598" s="190"/>
      <c r="O1598" s="40">
        <f t="shared" ca="1" si="240"/>
        <v>0.54170606546333311</v>
      </c>
      <c r="P1598" s="51">
        <f t="shared" si="238"/>
        <v>0</v>
      </c>
      <c r="Q1598" s="51">
        <f t="shared" si="239"/>
        <v>0</v>
      </c>
      <c r="R1598" s="51">
        <f t="shared" si="236"/>
        <v>0</v>
      </c>
      <c r="S1598"/>
      <c r="T1598" s="83"/>
    </row>
    <row r="1599" spans="1:20" ht="16" x14ac:dyDescent="0.2">
      <c r="A1599"/>
      <c r="B1599" s="103"/>
      <c r="C1599" s="243"/>
      <c r="D1599" s="119">
        <v>1586</v>
      </c>
      <c r="E1599" s="25" t="str">
        <f>Tp_Non_CHG!S102</f>
        <v>Transition Probability from state 4 to state 3 on day 28 Non-CHG)</v>
      </c>
      <c r="F1599" s="40">
        <f t="shared" si="237"/>
        <v>0</v>
      </c>
      <c r="G1599" s="156">
        <v>1</v>
      </c>
      <c r="H1599" s="120">
        <f>Tp_Non_CHG!V102</f>
        <v>0</v>
      </c>
      <c r="I1599" s="40" t="s">
        <v>58</v>
      </c>
      <c r="J1599" s="40">
        <f t="shared" si="234"/>
        <v>0</v>
      </c>
      <c r="K1599" s="40">
        <f t="shared" si="235"/>
        <v>0</v>
      </c>
      <c r="L1599" s="40" t="s">
        <v>58</v>
      </c>
      <c r="M1599" s="50" t="s">
        <v>266</v>
      </c>
      <c r="N1599" s="190"/>
      <c r="O1599" s="40">
        <f t="shared" ca="1" si="240"/>
        <v>0.9245636269323233</v>
      </c>
      <c r="P1599" s="51">
        <f t="shared" si="238"/>
        <v>0</v>
      </c>
      <c r="Q1599" s="51">
        <f t="shared" si="239"/>
        <v>0</v>
      </c>
      <c r="R1599" s="51">
        <f t="shared" si="236"/>
        <v>0</v>
      </c>
      <c r="S1599"/>
      <c r="T1599" s="83"/>
    </row>
    <row r="1600" spans="1:20" ht="16" x14ac:dyDescent="0.2">
      <c r="A1600"/>
      <c r="B1600" s="103"/>
      <c r="C1600" s="243"/>
      <c r="D1600" s="119">
        <v>1587</v>
      </c>
      <c r="E1600" s="25" t="str">
        <f>Tp_Non_CHG!S103</f>
        <v>Transition Probability from state 4 to state 3 on day 29 Non-CHG)</v>
      </c>
      <c r="F1600" s="40">
        <f t="shared" si="237"/>
        <v>0</v>
      </c>
      <c r="G1600" s="156">
        <v>1</v>
      </c>
      <c r="H1600" s="120">
        <f>Tp_Non_CHG!V103</f>
        <v>0</v>
      </c>
      <c r="I1600" s="40" t="s">
        <v>58</v>
      </c>
      <c r="J1600" s="40">
        <f t="shared" si="234"/>
        <v>0</v>
      </c>
      <c r="K1600" s="40">
        <f t="shared" si="235"/>
        <v>0</v>
      </c>
      <c r="L1600" s="40" t="s">
        <v>58</v>
      </c>
      <c r="M1600" s="50" t="s">
        <v>266</v>
      </c>
      <c r="N1600" s="190"/>
      <c r="O1600" s="40">
        <f t="shared" ca="1" si="240"/>
        <v>0.15142662640340387</v>
      </c>
      <c r="P1600" s="51">
        <f t="shared" si="238"/>
        <v>0</v>
      </c>
      <c r="Q1600" s="51">
        <f t="shared" si="239"/>
        <v>0</v>
      </c>
      <c r="R1600" s="51">
        <f t="shared" si="236"/>
        <v>0</v>
      </c>
      <c r="S1600"/>
      <c r="T1600" s="83"/>
    </row>
    <row r="1601" spans="1:20" ht="16" x14ac:dyDescent="0.2">
      <c r="A1601"/>
      <c r="B1601" s="103"/>
      <c r="C1601" s="243"/>
      <c r="D1601" s="119">
        <v>1588</v>
      </c>
      <c r="E1601" s="25" t="str">
        <f>Tp_Non_CHG!S104</f>
        <v>Transition Probability from state 4 to state 3 on day 30 Non-CHG)</v>
      </c>
      <c r="F1601" s="40">
        <f t="shared" si="237"/>
        <v>0</v>
      </c>
      <c r="G1601" s="156">
        <v>1</v>
      </c>
      <c r="H1601" s="120">
        <f>Tp_Non_CHG!V104</f>
        <v>0</v>
      </c>
      <c r="I1601" s="40" t="s">
        <v>58</v>
      </c>
      <c r="J1601" s="40">
        <f t="shared" si="234"/>
        <v>0</v>
      </c>
      <c r="K1601" s="40">
        <f t="shared" si="235"/>
        <v>0</v>
      </c>
      <c r="L1601" s="40" t="s">
        <v>58</v>
      </c>
      <c r="M1601" s="50" t="s">
        <v>266</v>
      </c>
      <c r="N1601" s="190"/>
      <c r="O1601" s="40">
        <f t="shared" ca="1" si="240"/>
        <v>0.24110997219157704</v>
      </c>
      <c r="P1601" s="51">
        <f t="shared" si="238"/>
        <v>0</v>
      </c>
      <c r="Q1601" s="51">
        <f t="shared" si="239"/>
        <v>0</v>
      </c>
      <c r="R1601" s="51">
        <f t="shared" si="236"/>
        <v>0</v>
      </c>
      <c r="S1601"/>
      <c r="T1601" s="83"/>
    </row>
    <row r="1602" spans="1:20" ht="16" x14ac:dyDescent="0.2">
      <c r="A1602"/>
      <c r="B1602" s="103"/>
      <c r="C1602" s="243"/>
      <c r="D1602" s="119">
        <v>1589</v>
      </c>
      <c r="E1602" s="25" t="str">
        <f>Tp_Non_CHG!X75</f>
        <v>Transition Probability from state 6 to state 3 on day 1 (Non-CHG)</v>
      </c>
      <c r="F1602" s="40">
        <f t="shared" si="237"/>
        <v>0</v>
      </c>
      <c r="G1602" s="156">
        <v>1</v>
      </c>
      <c r="H1602" s="120">
        <f>Tp_Non_CHG!AA75</f>
        <v>0</v>
      </c>
      <c r="I1602" s="40" t="s">
        <v>58</v>
      </c>
      <c r="J1602" s="40">
        <f t="shared" si="234"/>
        <v>0</v>
      </c>
      <c r="K1602" s="40">
        <f t="shared" si="235"/>
        <v>0</v>
      </c>
      <c r="L1602" s="40" t="s">
        <v>58</v>
      </c>
      <c r="M1602" s="50" t="s">
        <v>266</v>
      </c>
      <c r="N1602" s="190"/>
      <c r="O1602" s="40">
        <f t="shared" ca="1" si="240"/>
        <v>0.14250011319702827</v>
      </c>
      <c r="P1602" s="51">
        <f t="shared" si="238"/>
        <v>0</v>
      </c>
      <c r="Q1602" s="51">
        <f t="shared" si="239"/>
        <v>0</v>
      </c>
      <c r="R1602" s="51">
        <f t="shared" si="236"/>
        <v>0</v>
      </c>
      <c r="S1602"/>
      <c r="T1602" s="83"/>
    </row>
    <row r="1603" spans="1:20" ht="16" x14ac:dyDescent="0.2">
      <c r="A1603"/>
      <c r="B1603" s="103"/>
      <c r="C1603" s="243"/>
      <c r="D1603" s="119">
        <v>1590</v>
      </c>
      <c r="E1603" s="25" t="str">
        <f>Tp_Non_CHG!X76</f>
        <v>Transition Probability from state 6 to state 3 on day 2 (Non-CHG)</v>
      </c>
      <c r="F1603" s="40">
        <f t="shared" si="237"/>
        <v>0</v>
      </c>
      <c r="G1603" s="156">
        <v>1</v>
      </c>
      <c r="H1603" s="120">
        <f>Tp_Non_CHG!AA76</f>
        <v>0</v>
      </c>
      <c r="I1603" s="40" t="s">
        <v>58</v>
      </c>
      <c r="J1603" s="40">
        <f t="shared" si="234"/>
        <v>0</v>
      </c>
      <c r="K1603" s="40">
        <f t="shared" si="235"/>
        <v>0</v>
      </c>
      <c r="L1603" s="40" t="s">
        <v>58</v>
      </c>
      <c r="M1603" s="50" t="s">
        <v>266</v>
      </c>
      <c r="N1603" s="190"/>
      <c r="O1603" s="40">
        <f t="shared" ca="1" si="240"/>
        <v>0.98877817574898019</v>
      </c>
      <c r="P1603" s="51">
        <f t="shared" si="238"/>
        <v>0</v>
      </c>
      <c r="Q1603" s="51">
        <f t="shared" si="239"/>
        <v>0</v>
      </c>
      <c r="R1603" s="51">
        <f t="shared" si="236"/>
        <v>0</v>
      </c>
      <c r="S1603"/>
      <c r="T1603" s="83"/>
    </row>
    <row r="1604" spans="1:20" ht="16" x14ac:dyDescent="0.2">
      <c r="A1604"/>
      <c r="B1604" s="103"/>
      <c r="C1604" s="243"/>
      <c r="D1604" s="119">
        <v>1591</v>
      </c>
      <c r="E1604" s="25" t="str">
        <f>Tp_Non_CHG!X77</f>
        <v>Transition Probability from state 6 to state 3 on day 3 (Non-CHG)</v>
      </c>
      <c r="F1604" s="40">
        <f t="shared" si="237"/>
        <v>0</v>
      </c>
      <c r="G1604" s="156">
        <v>1</v>
      </c>
      <c r="H1604" s="120">
        <f>Tp_Non_CHG!AA77</f>
        <v>0</v>
      </c>
      <c r="I1604" s="40" t="s">
        <v>58</v>
      </c>
      <c r="J1604" s="40">
        <f t="shared" si="234"/>
        <v>0</v>
      </c>
      <c r="K1604" s="40">
        <f t="shared" si="235"/>
        <v>0</v>
      </c>
      <c r="L1604" s="40" t="s">
        <v>58</v>
      </c>
      <c r="M1604" s="50" t="s">
        <v>266</v>
      </c>
      <c r="N1604" s="190"/>
      <c r="O1604" s="40">
        <f t="shared" ca="1" si="240"/>
        <v>0.4464377578601858</v>
      </c>
      <c r="P1604" s="51">
        <f t="shared" si="238"/>
        <v>0</v>
      </c>
      <c r="Q1604" s="51">
        <f t="shared" si="239"/>
        <v>0</v>
      </c>
      <c r="R1604" s="51">
        <f t="shared" si="236"/>
        <v>0</v>
      </c>
      <c r="S1604"/>
      <c r="T1604" s="83"/>
    </row>
    <row r="1605" spans="1:20" ht="16" x14ac:dyDescent="0.2">
      <c r="A1605"/>
      <c r="B1605" s="103"/>
      <c r="C1605" s="243"/>
      <c r="D1605" s="119">
        <v>1592</v>
      </c>
      <c r="E1605" s="25" t="str">
        <f>Tp_Non_CHG!X78</f>
        <v>Transition Probability from state 6 to state 3 on day 4 (Non-CHG)</v>
      </c>
      <c r="F1605" s="40">
        <f t="shared" si="237"/>
        <v>0</v>
      </c>
      <c r="G1605" s="156">
        <v>1</v>
      </c>
      <c r="H1605" s="120">
        <f>Tp_Non_CHG!AA78</f>
        <v>0</v>
      </c>
      <c r="I1605" s="40" t="s">
        <v>58</v>
      </c>
      <c r="J1605" s="40">
        <f t="shared" si="234"/>
        <v>0</v>
      </c>
      <c r="K1605" s="40">
        <f t="shared" si="235"/>
        <v>0</v>
      </c>
      <c r="L1605" s="40" t="s">
        <v>58</v>
      </c>
      <c r="M1605" s="50" t="s">
        <v>266</v>
      </c>
      <c r="N1605" s="190"/>
      <c r="O1605" s="40">
        <f t="shared" ca="1" si="240"/>
        <v>0.60245430557543522</v>
      </c>
      <c r="P1605" s="51">
        <f t="shared" si="238"/>
        <v>0</v>
      </c>
      <c r="Q1605" s="51">
        <f t="shared" si="239"/>
        <v>0</v>
      </c>
      <c r="R1605" s="51">
        <f t="shared" si="236"/>
        <v>0</v>
      </c>
      <c r="S1605"/>
      <c r="T1605" s="83"/>
    </row>
    <row r="1606" spans="1:20" ht="16" x14ac:dyDescent="0.2">
      <c r="A1606"/>
      <c r="B1606" s="103"/>
      <c r="C1606" s="243"/>
      <c r="D1606" s="119">
        <v>1593</v>
      </c>
      <c r="E1606" s="25" t="str">
        <f>Tp_Non_CHG!X79</f>
        <v>Transition Probability from state 6 to state 3 on day 5 (Non-CHG)</v>
      </c>
      <c r="F1606" s="40">
        <f t="shared" si="237"/>
        <v>0</v>
      </c>
      <c r="G1606" s="156">
        <v>1</v>
      </c>
      <c r="H1606" s="120">
        <f>Tp_Non_CHG!AA79</f>
        <v>0</v>
      </c>
      <c r="I1606" s="40" t="s">
        <v>58</v>
      </c>
      <c r="J1606" s="40">
        <f t="shared" si="234"/>
        <v>0</v>
      </c>
      <c r="K1606" s="40">
        <f t="shared" si="235"/>
        <v>0</v>
      </c>
      <c r="L1606" s="40" t="s">
        <v>58</v>
      </c>
      <c r="M1606" s="50" t="s">
        <v>266</v>
      </c>
      <c r="N1606" s="190"/>
      <c r="O1606" s="40">
        <f t="shared" ca="1" si="240"/>
        <v>0.91136647262703396</v>
      </c>
      <c r="P1606" s="51">
        <f t="shared" si="238"/>
        <v>0</v>
      </c>
      <c r="Q1606" s="51">
        <f t="shared" si="239"/>
        <v>0</v>
      </c>
      <c r="R1606" s="51">
        <f t="shared" si="236"/>
        <v>0</v>
      </c>
      <c r="S1606"/>
      <c r="T1606" s="83"/>
    </row>
    <row r="1607" spans="1:20" ht="16" x14ac:dyDescent="0.2">
      <c r="A1607"/>
      <c r="B1607" s="103"/>
      <c r="C1607" s="243"/>
      <c r="D1607" s="119">
        <v>1594</v>
      </c>
      <c r="E1607" s="25" t="str">
        <f>Tp_Non_CHG!X80</f>
        <v>Transition Probability from state 6 to state 3 on day 6 (Non-CHG)</v>
      </c>
      <c r="F1607" s="40">
        <f t="shared" si="237"/>
        <v>0</v>
      </c>
      <c r="G1607" s="156">
        <v>1</v>
      </c>
      <c r="H1607" s="120">
        <f>Tp_Non_CHG!AA80</f>
        <v>0</v>
      </c>
      <c r="I1607" s="40" t="s">
        <v>58</v>
      </c>
      <c r="J1607" s="40">
        <f t="shared" si="234"/>
        <v>0</v>
      </c>
      <c r="K1607" s="40">
        <f t="shared" si="235"/>
        <v>0</v>
      </c>
      <c r="L1607" s="40" t="s">
        <v>58</v>
      </c>
      <c r="M1607" s="50" t="s">
        <v>266</v>
      </c>
      <c r="N1607" s="190"/>
      <c r="O1607" s="40">
        <f t="shared" ca="1" si="240"/>
        <v>0.6530440492662839</v>
      </c>
      <c r="P1607" s="51">
        <f t="shared" si="238"/>
        <v>0</v>
      </c>
      <c r="Q1607" s="51">
        <f t="shared" si="239"/>
        <v>0</v>
      </c>
      <c r="R1607" s="51">
        <f t="shared" si="236"/>
        <v>0</v>
      </c>
      <c r="S1607"/>
      <c r="T1607" s="83"/>
    </row>
    <row r="1608" spans="1:20" ht="16" x14ac:dyDescent="0.2">
      <c r="A1608"/>
      <c r="B1608" s="103"/>
      <c r="C1608" s="243"/>
      <c r="D1608" s="119">
        <v>1595</v>
      </c>
      <c r="E1608" s="25" t="str">
        <f>Tp_Non_CHG!X81</f>
        <v>Transition Probability from state 6 to state 3 on day 7 (Non-CHG)</v>
      </c>
      <c r="F1608" s="40">
        <f t="shared" si="237"/>
        <v>0</v>
      </c>
      <c r="G1608" s="156">
        <v>1</v>
      </c>
      <c r="H1608" s="120">
        <f>Tp_Non_CHG!AA81</f>
        <v>0</v>
      </c>
      <c r="I1608" s="40" t="s">
        <v>58</v>
      </c>
      <c r="J1608" s="40">
        <f t="shared" si="234"/>
        <v>0</v>
      </c>
      <c r="K1608" s="40">
        <f t="shared" si="235"/>
        <v>0</v>
      </c>
      <c r="L1608" s="40" t="s">
        <v>58</v>
      </c>
      <c r="M1608" s="50" t="s">
        <v>266</v>
      </c>
      <c r="N1608" s="190"/>
      <c r="O1608" s="40">
        <f t="shared" ca="1" si="240"/>
        <v>0.73548541383691779</v>
      </c>
      <c r="P1608" s="51">
        <f t="shared" si="238"/>
        <v>0</v>
      </c>
      <c r="Q1608" s="51">
        <f t="shared" si="239"/>
        <v>0</v>
      </c>
      <c r="R1608" s="51">
        <f t="shared" si="236"/>
        <v>0</v>
      </c>
      <c r="S1608"/>
      <c r="T1608" s="83"/>
    </row>
    <row r="1609" spans="1:20" ht="16" x14ac:dyDescent="0.2">
      <c r="A1609"/>
      <c r="B1609" s="103"/>
      <c r="C1609" s="243"/>
      <c r="D1609" s="119">
        <v>1596</v>
      </c>
      <c r="E1609" s="25" t="str">
        <f>Tp_Non_CHG!X82</f>
        <v>Transition Probability from state 6 to state 3 on day 8 (Non-CHG)</v>
      </c>
      <c r="F1609" s="40">
        <f t="shared" si="237"/>
        <v>0</v>
      </c>
      <c r="G1609" s="156">
        <v>1</v>
      </c>
      <c r="H1609" s="120">
        <f>Tp_Non_CHG!AA82</f>
        <v>0</v>
      </c>
      <c r="I1609" s="40" t="s">
        <v>58</v>
      </c>
      <c r="J1609" s="40">
        <f t="shared" si="234"/>
        <v>0</v>
      </c>
      <c r="K1609" s="40">
        <f t="shared" si="235"/>
        <v>0</v>
      </c>
      <c r="L1609" s="40" t="s">
        <v>58</v>
      </c>
      <c r="M1609" s="50" t="s">
        <v>266</v>
      </c>
      <c r="N1609" s="190"/>
      <c r="O1609" s="40">
        <f t="shared" ca="1" si="240"/>
        <v>0.61779371695138352</v>
      </c>
      <c r="P1609" s="51">
        <f t="shared" si="238"/>
        <v>0</v>
      </c>
      <c r="Q1609" s="51">
        <f t="shared" si="239"/>
        <v>0</v>
      </c>
      <c r="R1609" s="51">
        <f t="shared" si="236"/>
        <v>0</v>
      </c>
      <c r="S1609"/>
      <c r="T1609" s="83"/>
    </row>
    <row r="1610" spans="1:20" ht="16" x14ac:dyDescent="0.2">
      <c r="A1610"/>
      <c r="B1610" s="103"/>
      <c r="C1610" s="243"/>
      <c r="D1610" s="119">
        <v>1597</v>
      </c>
      <c r="E1610" s="25" t="str">
        <f>Tp_Non_CHG!X83</f>
        <v>Transition Probability from state 6 to state 3 on day 9 (Non-CHG)</v>
      </c>
      <c r="F1610" s="40">
        <f t="shared" si="237"/>
        <v>0</v>
      </c>
      <c r="G1610" s="156">
        <v>1</v>
      </c>
      <c r="H1610" s="120">
        <f>Tp_Non_CHG!AA83</f>
        <v>0</v>
      </c>
      <c r="I1610" s="40" t="s">
        <v>58</v>
      </c>
      <c r="J1610" s="40">
        <f t="shared" ref="J1610:J1664" si="241">IF(H1610=0,0,_xlfn.NORM.INV(0.025,H1610,R1610))</f>
        <v>0</v>
      </c>
      <c r="K1610" s="40">
        <f t="shared" ref="K1610:K1664" si="242">IF(H1610=0,0,_xlfn.NORM.INV(0.975,H1610,R1610))</f>
        <v>0</v>
      </c>
      <c r="L1610" s="40" t="s">
        <v>58</v>
      </c>
      <c r="M1610" s="50" t="s">
        <v>266</v>
      </c>
      <c r="N1610" s="190"/>
      <c r="O1610" s="40">
        <f t="shared" ca="1" si="240"/>
        <v>4.8670093574858297E-2</v>
      </c>
      <c r="P1610" s="51">
        <f t="shared" si="238"/>
        <v>0</v>
      </c>
      <c r="Q1610" s="51">
        <f t="shared" si="239"/>
        <v>0</v>
      </c>
      <c r="R1610" s="51">
        <f t="shared" ref="R1610:R1664" si="243">assumedSE*H1610</f>
        <v>0</v>
      </c>
      <c r="S1610"/>
      <c r="T1610" s="83"/>
    </row>
    <row r="1611" spans="1:20" ht="16" x14ac:dyDescent="0.2">
      <c r="A1611"/>
      <c r="B1611" s="103"/>
      <c r="C1611" s="243"/>
      <c r="D1611" s="119">
        <v>1598</v>
      </c>
      <c r="E1611" s="25" t="str">
        <f>Tp_Non_CHG!X84</f>
        <v>Transition Probability from state 6 to state 3 on day 10 (Non-CHG)</v>
      </c>
      <c r="F1611" s="40">
        <f t="shared" si="237"/>
        <v>0</v>
      </c>
      <c r="G1611" s="156">
        <v>1</v>
      </c>
      <c r="H1611" s="120">
        <f>Tp_Non_CHG!AA84</f>
        <v>0</v>
      </c>
      <c r="I1611" s="40" t="s">
        <v>58</v>
      </c>
      <c r="J1611" s="40">
        <f t="shared" si="241"/>
        <v>0</v>
      </c>
      <c r="K1611" s="40">
        <f t="shared" si="242"/>
        <v>0</v>
      </c>
      <c r="L1611" s="40" t="s">
        <v>58</v>
      </c>
      <c r="M1611" s="50" t="s">
        <v>266</v>
      </c>
      <c r="N1611" s="190"/>
      <c r="O1611" s="40">
        <f t="shared" ca="1" si="240"/>
        <v>0.72118259450376365</v>
      </c>
      <c r="P1611" s="51">
        <f t="shared" si="238"/>
        <v>0</v>
      </c>
      <c r="Q1611" s="51">
        <f t="shared" si="239"/>
        <v>0</v>
      </c>
      <c r="R1611" s="51">
        <f t="shared" si="243"/>
        <v>0</v>
      </c>
      <c r="S1611"/>
      <c r="T1611" s="83"/>
    </row>
    <row r="1612" spans="1:20" ht="16" x14ac:dyDescent="0.2">
      <c r="A1612"/>
      <c r="B1612" s="103"/>
      <c r="C1612" s="243"/>
      <c r="D1612" s="119">
        <v>1599</v>
      </c>
      <c r="E1612" s="25" t="str">
        <f>Tp_Non_CHG!X85</f>
        <v>Transition Probability from state 6 to state 3 on day 11 (Non-CHG)</v>
      </c>
      <c r="F1612" s="40">
        <f t="shared" si="237"/>
        <v>0</v>
      </c>
      <c r="G1612" s="156">
        <v>1</v>
      </c>
      <c r="H1612" s="120">
        <f>Tp_Non_CHG!AA85</f>
        <v>0</v>
      </c>
      <c r="I1612" s="40" t="s">
        <v>58</v>
      </c>
      <c r="J1612" s="40">
        <f t="shared" si="241"/>
        <v>0</v>
      </c>
      <c r="K1612" s="40">
        <f t="shared" si="242"/>
        <v>0</v>
      </c>
      <c r="L1612" s="40" t="s">
        <v>58</v>
      </c>
      <c r="M1612" s="50" t="s">
        <v>266</v>
      </c>
      <c r="N1612" s="190"/>
      <c r="O1612" s="40">
        <f t="shared" ca="1" si="240"/>
        <v>0.45471082950632891</v>
      </c>
      <c r="P1612" s="51">
        <f t="shared" si="238"/>
        <v>0</v>
      </c>
      <c r="Q1612" s="51">
        <f t="shared" si="239"/>
        <v>0</v>
      </c>
      <c r="R1612" s="51">
        <f t="shared" si="243"/>
        <v>0</v>
      </c>
      <c r="S1612"/>
      <c r="T1612" s="83"/>
    </row>
    <row r="1613" spans="1:20" ht="16" x14ac:dyDescent="0.2">
      <c r="A1613"/>
      <c r="B1613" s="103"/>
      <c r="C1613" s="243"/>
      <c r="D1613" s="119">
        <v>1600</v>
      </c>
      <c r="E1613" s="25" t="str">
        <f>Tp_Non_CHG!X86</f>
        <v>Transition Probability from state 6 to state 3 on day 12 (Non-CHG)</v>
      </c>
      <c r="F1613" s="40">
        <f t="shared" si="237"/>
        <v>0</v>
      </c>
      <c r="G1613" s="156">
        <v>1</v>
      </c>
      <c r="H1613" s="120">
        <f>Tp_Non_CHG!AA86</f>
        <v>0</v>
      </c>
      <c r="I1613" s="40" t="s">
        <v>58</v>
      </c>
      <c r="J1613" s="40">
        <f t="shared" si="241"/>
        <v>0</v>
      </c>
      <c r="K1613" s="40">
        <f t="shared" si="242"/>
        <v>0</v>
      </c>
      <c r="L1613" s="40" t="s">
        <v>58</v>
      </c>
      <c r="M1613" s="50" t="s">
        <v>266</v>
      </c>
      <c r="N1613" s="190"/>
      <c r="O1613" s="40">
        <f t="shared" ca="1" si="240"/>
        <v>0.38653052860559245</v>
      </c>
      <c r="P1613" s="51">
        <f t="shared" si="238"/>
        <v>0</v>
      </c>
      <c r="Q1613" s="51">
        <f t="shared" si="239"/>
        <v>0</v>
      </c>
      <c r="R1613" s="51">
        <f t="shared" si="243"/>
        <v>0</v>
      </c>
      <c r="S1613"/>
      <c r="T1613" s="83"/>
    </row>
    <row r="1614" spans="1:20" ht="16" x14ac:dyDescent="0.2">
      <c r="A1614"/>
      <c r="B1614" s="103"/>
      <c r="C1614" s="243"/>
      <c r="D1614" s="119">
        <v>1601</v>
      </c>
      <c r="E1614" s="25" t="str">
        <f>Tp_Non_CHG!X87</f>
        <v>Transition Probability from state 6 to state 3 on day 13 (Non-CHG)</v>
      </c>
      <c r="F1614" s="40">
        <f t="shared" si="237"/>
        <v>0</v>
      </c>
      <c r="G1614" s="156">
        <v>1</v>
      </c>
      <c r="H1614" s="120">
        <f>Tp_Non_CHG!AA87</f>
        <v>0</v>
      </c>
      <c r="I1614" s="40" t="s">
        <v>58</v>
      </c>
      <c r="J1614" s="40">
        <f t="shared" si="241"/>
        <v>0</v>
      </c>
      <c r="K1614" s="40">
        <f t="shared" si="242"/>
        <v>0</v>
      </c>
      <c r="L1614" s="40" t="s">
        <v>58</v>
      </c>
      <c r="M1614" s="50" t="s">
        <v>266</v>
      </c>
      <c r="N1614" s="190"/>
      <c r="O1614" s="40">
        <f t="shared" ca="1" si="240"/>
        <v>0.97577603859997231</v>
      </c>
      <c r="P1614" s="51">
        <f t="shared" si="238"/>
        <v>0</v>
      </c>
      <c r="Q1614" s="51">
        <f t="shared" si="239"/>
        <v>0</v>
      </c>
      <c r="R1614" s="51">
        <f t="shared" si="243"/>
        <v>0</v>
      </c>
      <c r="S1614"/>
      <c r="T1614" s="83"/>
    </row>
    <row r="1615" spans="1:20" ht="16" x14ac:dyDescent="0.2">
      <c r="A1615"/>
      <c r="B1615" s="103"/>
      <c r="C1615" s="243"/>
      <c r="D1615" s="119">
        <v>1602</v>
      </c>
      <c r="E1615" s="25" t="str">
        <f>Tp_Non_CHG!X88</f>
        <v>Transition Probability from state 6 to state 3 on day 14 (Non-CHG)</v>
      </c>
      <c r="F1615" s="40">
        <f t="shared" si="237"/>
        <v>0</v>
      </c>
      <c r="G1615" s="156">
        <v>1</v>
      </c>
      <c r="H1615" s="120">
        <f>Tp_Non_CHG!AA88</f>
        <v>0</v>
      </c>
      <c r="I1615" s="40" t="s">
        <v>58</v>
      </c>
      <c r="J1615" s="40">
        <f t="shared" si="241"/>
        <v>0</v>
      </c>
      <c r="K1615" s="40">
        <f t="shared" si="242"/>
        <v>0</v>
      </c>
      <c r="L1615" s="40" t="s">
        <v>58</v>
      </c>
      <c r="M1615" s="50" t="s">
        <v>266</v>
      </c>
      <c r="N1615" s="190"/>
      <c r="O1615" s="40">
        <f t="shared" ca="1" si="240"/>
        <v>0.73782537127708092</v>
      </c>
      <c r="P1615" s="51">
        <f t="shared" si="238"/>
        <v>0</v>
      </c>
      <c r="Q1615" s="51">
        <f t="shared" si="239"/>
        <v>0</v>
      </c>
      <c r="R1615" s="51">
        <f t="shared" si="243"/>
        <v>0</v>
      </c>
      <c r="S1615"/>
      <c r="T1615" s="83"/>
    </row>
    <row r="1616" spans="1:20" ht="16" x14ac:dyDescent="0.2">
      <c r="A1616"/>
      <c r="B1616" s="103"/>
      <c r="C1616" s="243"/>
      <c r="D1616" s="119">
        <v>1603</v>
      </c>
      <c r="E1616" s="25" t="str">
        <f>Tp_Non_CHG!X89</f>
        <v>Transition Probability from state 6 to state 3 on day 15 (Non-CHG)</v>
      </c>
      <c r="F1616" s="40">
        <f t="shared" ref="F1616:F1678" si="244">IFERROR(CHOOSE(G1616,H1616,J1616,K1616,N1616),0)</f>
        <v>0</v>
      </c>
      <c r="G1616" s="156">
        <v>1</v>
      </c>
      <c r="H1616" s="120">
        <f>Tp_Non_CHG!AA89</f>
        <v>0</v>
      </c>
      <c r="I1616" s="40" t="s">
        <v>58</v>
      </c>
      <c r="J1616" s="40">
        <f t="shared" si="241"/>
        <v>0</v>
      </c>
      <c r="K1616" s="40">
        <f t="shared" si="242"/>
        <v>0</v>
      </c>
      <c r="L1616" s="40" t="s">
        <v>58</v>
      </c>
      <c r="M1616" s="50" t="s">
        <v>266</v>
      </c>
      <c r="N1616" s="190"/>
      <c r="O1616" s="40">
        <f t="shared" ca="1" si="240"/>
        <v>0.67293715681091204</v>
      </c>
      <c r="P1616" s="51">
        <f t="shared" si="238"/>
        <v>0</v>
      </c>
      <c r="Q1616" s="51">
        <f t="shared" si="239"/>
        <v>0</v>
      </c>
      <c r="R1616" s="51">
        <f t="shared" si="243"/>
        <v>0</v>
      </c>
      <c r="S1616"/>
      <c r="T1616" s="83"/>
    </row>
    <row r="1617" spans="1:20" ht="16" x14ac:dyDescent="0.2">
      <c r="A1617"/>
      <c r="B1617" s="103"/>
      <c r="C1617" s="243"/>
      <c r="D1617" s="119">
        <v>1604</v>
      </c>
      <c r="E1617" s="25" t="str">
        <f>Tp_Non_CHG!X90</f>
        <v>Transition Probability from state 6 to state 3 on day 16 (Non-CHG)</v>
      </c>
      <c r="F1617" s="40">
        <f t="shared" si="244"/>
        <v>0</v>
      </c>
      <c r="G1617" s="156">
        <v>1</v>
      </c>
      <c r="H1617" s="120">
        <f>Tp_Non_CHG!AA90</f>
        <v>0</v>
      </c>
      <c r="I1617" s="40" t="s">
        <v>58</v>
      </c>
      <c r="J1617" s="40">
        <f t="shared" si="241"/>
        <v>0</v>
      </c>
      <c r="K1617" s="40">
        <f t="shared" si="242"/>
        <v>0</v>
      </c>
      <c r="L1617" s="40" t="s">
        <v>58</v>
      </c>
      <c r="M1617" s="50" t="s">
        <v>266</v>
      </c>
      <c r="N1617" s="190"/>
      <c r="O1617" s="40">
        <f t="shared" ca="1" si="240"/>
        <v>0.36955051667755523</v>
      </c>
      <c r="P1617" s="51">
        <f t="shared" ref="P1617:P1680" si="245">IFERROR(H1617*((H1617*(1-H1617)/(R1617^2))-1),0)</f>
        <v>0</v>
      </c>
      <c r="Q1617" s="51">
        <f t="shared" ref="Q1617:Q1680" si="246">IFERROR((1-H1617)*((H1617*(1-H1617))/(R1617^2)-1),0)</f>
        <v>0</v>
      </c>
      <c r="R1617" s="51">
        <f t="shared" si="243"/>
        <v>0</v>
      </c>
      <c r="S1617"/>
      <c r="T1617" s="83"/>
    </row>
    <row r="1618" spans="1:20" ht="16" x14ac:dyDescent="0.2">
      <c r="A1618"/>
      <c r="B1618" s="103"/>
      <c r="C1618" s="243"/>
      <c r="D1618" s="119">
        <v>1605</v>
      </c>
      <c r="E1618" s="25" t="str">
        <f>Tp_Non_CHG!X91</f>
        <v>Transition Probability from state 6 to state 3 on day 17 (Non-CHG)</v>
      </c>
      <c r="F1618" s="40">
        <f t="shared" si="244"/>
        <v>0</v>
      </c>
      <c r="G1618" s="156">
        <v>1</v>
      </c>
      <c r="H1618" s="120">
        <f>Tp_Non_CHG!AA91</f>
        <v>0</v>
      </c>
      <c r="I1618" s="40" t="s">
        <v>58</v>
      </c>
      <c r="J1618" s="40">
        <f t="shared" si="241"/>
        <v>0</v>
      </c>
      <c r="K1618" s="40">
        <f t="shared" si="242"/>
        <v>0</v>
      </c>
      <c r="L1618" s="40" t="s">
        <v>58</v>
      </c>
      <c r="M1618" s="50" t="s">
        <v>266</v>
      </c>
      <c r="N1618" s="190"/>
      <c r="O1618" s="40">
        <f t="shared" ca="1" si="240"/>
        <v>0.91437615679979833</v>
      </c>
      <c r="P1618" s="51">
        <f t="shared" si="245"/>
        <v>0</v>
      </c>
      <c r="Q1618" s="51">
        <f t="shared" si="246"/>
        <v>0</v>
      </c>
      <c r="R1618" s="51">
        <f t="shared" si="243"/>
        <v>0</v>
      </c>
      <c r="S1618"/>
      <c r="T1618" s="83"/>
    </row>
    <row r="1619" spans="1:20" ht="16" x14ac:dyDescent="0.2">
      <c r="A1619"/>
      <c r="B1619" s="103"/>
      <c r="C1619" s="243"/>
      <c r="D1619" s="119">
        <v>1606</v>
      </c>
      <c r="E1619" s="25" t="str">
        <f>Tp_Non_CHG!X92</f>
        <v>Transition Probability from state 6 to state 3 on day 18 (Non-CHG)</v>
      </c>
      <c r="F1619" s="40">
        <f t="shared" si="244"/>
        <v>0</v>
      </c>
      <c r="G1619" s="156">
        <v>1</v>
      </c>
      <c r="H1619" s="120">
        <f>Tp_Non_CHG!AA92</f>
        <v>0</v>
      </c>
      <c r="I1619" s="40" t="s">
        <v>58</v>
      </c>
      <c r="J1619" s="40">
        <f t="shared" si="241"/>
        <v>0</v>
      </c>
      <c r="K1619" s="40">
        <f t="shared" si="242"/>
        <v>0</v>
      </c>
      <c r="L1619" s="40" t="s">
        <v>58</v>
      </c>
      <c r="M1619" s="50" t="s">
        <v>266</v>
      </c>
      <c r="N1619" s="190"/>
      <c r="O1619" s="40">
        <f t="shared" ca="1" si="240"/>
        <v>0.57888443721442573</v>
      </c>
      <c r="P1619" s="51">
        <f t="shared" si="245"/>
        <v>0</v>
      </c>
      <c r="Q1619" s="51">
        <f t="shared" si="246"/>
        <v>0</v>
      </c>
      <c r="R1619" s="51">
        <f t="shared" si="243"/>
        <v>0</v>
      </c>
      <c r="S1619"/>
      <c r="T1619" s="83"/>
    </row>
    <row r="1620" spans="1:20" ht="16" x14ac:dyDescent="0.2">
      <c r="A1620"/>
      <c r="B1620" s="103"/>
      <c r="C1620" s="243"/>
      <c r="D1620" s="119">
        <v>1607</v>
      </c>
      <c r="E1620" s="25" t="str">
        <f>Tp_Non_CHG!X93</f>
        <v>Transition Probability from state 6 to state 3 on day 19 (Non-CHG)</v>
      </c>
      <c r="F1620" s="40">
        <f t="shared" si="244"/>
        <v>0</v>
      </c>
      <c r="G1620" s="156">
        <v>1</v>
      </c>
      <c r="H1620" s="120">
        <f>Tp_Non_CHG!AA93</f>
        <v>0</v>
      </c>
      <c r="I1620" s="40" t="s">
        <v>58</v>
      </c>
      <c r="J1620" s="40">
        <f t="shared" si="241"/>
        <v>0</v>
      </c>
      <c r="K1620" s="40">
        <f t="shared" si="242"/>
        <v>0</v>
      </c>
      <c r="L1620" s="40" t="s">
        <v>58</v>
      </c>
      <c r="M1620" s="50" t="s">
        <v>266</v>
      </c>
      <c r="N1620" s="190"/>
      <c r="O1620" s="40">
        <f t="shared" ca="1" si="240"/>
        <v>0.89390704958128697</v>
      </c>
      <c r="P1620" s="51">
        <f t="shared" si="245"/>
        <v>0</v>
      </c>
      <c r="Q1620" s="51">
        <f t="shared" si="246"/>
        <v>0</v>
      </c>
      <c r="R1620" s="51">
        <f t="shared" si="243"/>
        <v>0</v>
      </c>
      <c r="S1620"/>
      <c r="T1620" s="83"/>
    </row>
    <row r="1621" spans="1:20" ht="16" x14ac:dyDescent="0.2">
      <c r="A1621"/>
      <c r="B1621" s="103"/>
      <c r="C1621" s="243"/>
      <c r="D1621" s="119">
        <v>1608</v>
      </c>
      <c r="E1621" s="25" t="str">
        <f>Tp_Non_CHG!X94</f>
        <v>Transition Probability from state 6 to state 3 on day 20 (Non-CHG)</v>
      </c>
      <c r="F1621" s="40">
        <f t="shared" si="244"/>
        <v>0</v>
      </c>
      <c r="G1621" s="156">
        <v>1</v>
      </c>
      <c r="H1621" s="120">
        <f>Tp_Non_CHG!AA94</f>
        <v>0</v>
      </c>
      <c r="I1621" s="40" t="s">
        <v>58</v>
      </c>
      <c r="J1621" s="40">
        <f t="shared" si="241"/>
        <v>0</v>
      </c>
      <c r="K1621" s="40">
        <f t="shared" si="242"/>
        <v>0</v>
      </c>
      <c r="L1621" s="40" t="s">
        <v>58</v>
      </c>
      <c r="M1621" s="50" t="s">
        <v>266</v>
      </c>
      <c r="N1621" s="190"/>
      <c r="O1621" s="40">
        <f t="shared" ca="1" si="240"/>
        <v>0.15040250009415768</v>
      </c>
      <c r="P1621" s="51">
        <f t="shared" si="245"/>
        <v>0</v>
      </c>
      <c r="Q1621" s="51">
        <f t="shared" si="246"/>
        <v>0</v>
      </c>
      <c r="R1621" s="51">
        <f t="shared" si="243"/>
        <v>0</v>
      </c>
      <c r="S1621"/>
      <c r="T1621" s="83"/>
    </row>
    <row r="1622" spans="1:20" ht="16" x14ac:dyDescent="0.2">
      <c r="A1622"/>
      <c r="B1622" s="103"/>
      <c r="C1622" s="243"/>
      <c r="D1622" s="119">
        <v>1609</v>
      </c>
      <c r="E1622" s="25" t="str">
        <f>Tp_Non_CHG!X95</f>
        <v>Transition Probability from state 6 to state 3 on day 21 (Non-CHG)</v>
      </c>
      <c r="F1622" s="40">
        <f t="shared" si="244"/>
        <v>0</v>
      </c>
      <c r="G1622" s="156">
        <v>1</v>
      </c>
      <c r="H1622" s="120">
        <f>Tp_Non_CHG!AA95</f>
        <v>0</v>
      </c>
      <c r="I1622" s="40" t="s">
        <v>58</v>
      </c>
      <c r="J1622" s="40">
        <f t="shared" si="241"/>
        <v>0</v>
      </c>
      <c r="K1622" s="40">
        <f t="shared" si="242"/>
        <v>0</v>
      </c>
      <c r="L1622" s="40" t="s">
        <v>58</v>
      </c>
      <c r="M1622" s="50" t="s">
        <v>266</v>
      </c>
      <c r="N1622" s="190"/>
      <c r="O1622" s="40">
        <f t="shared" ca="1" si="240"/>
        <v>0.92343864140704612</v>
      </c>
      <c r="P1622" s="51">
        <f t="shared" si="245"/>
        <v>0</v>
      </c>
      <c r="Q1622" s="51">
        <f t="shared" si="246"/>
        <v>0</v>
      </c>
      <c r="R1622" s="51">
        <f t="shared" si="243"/>
        <v>0</v>
      </c>
      <c r="S1622"/>
      <c r="T1622" s="83"/>
    </row>
    <row r="1623" spans="1:20" ht="16" x14ac:dyDescent="0.2">
      <c r="A1623"/>
      <c r="B1623" s="103"/>
      <c r="C1623" s="243"/>
      <c r="D1623" s="119">
        <v>1610</v>
      </c>
      <c r="E1623" s="25" t="str">
        <f>Tp_Non_CHG!X96</f>
        <v>Transition Probability from state 6 to state 3 on day 22 (Non-CHG)</v>
      </c>
      <c r="F1623" s="40">
        <f t="shared" si="244"/>
        <v>0</v>
      </c>
      <c r="G1623" s="156">
        <v>1</v>
      </c>
      <c r="H1623" s="120">
        <f>Tp_Non_CHG!AA96</f>
        <v>0</v>
      </c>
      <c r="I1623" s="40" t="s">
        <v>58</v>
      </c>
      <c r="J1623" s="40">
        <f t="shared" si="241"/>
        <v>0</v>
      </c>
      <c r="K1623" s="40">
        <f t="shared" si="242"/>
        <v>0</v>
      </c>
      <c r="L1623" s="40" t="s">
        <v>58</v>
      </c>
      <c r="M1623" s="50" t="s">
        <v>266</v>
      </c>
      <c r="N1623" s="190"/>
      <c r="O1623" s="40">
        <f t="shared" ca="1" si="240"/>
        <v>0.73012819564996045</v>
      </c>
      <c r="P1623" s="51">
        <f t="shared" si="245"/>
        <v>0</v>
      </c>
      <c r="Q1623" s="51">
        <f t="shared" si="246"/>
        <v>0</v>
      </c>
      <c r="R1623" s="51">
        <f t="shared" si="243"/>
        <v>0</v>
      </c>
      <c r="S1623"/>
      <c r="T1623" s="83"/>
    </row>
    <row r="1624" spans="1:20" ht="16" x14ac:dyDescent="0.2">
      <c r="A1624"/>
      <c r="B1624" s="103"/>
      <c r="C1624" s="243"/>
      <c r="D1624" s="119">
        <v>1611</v>
      </c>
      <c r="E1624" s="25" t="str">
        <f>Tp_Non_CHG!X97</f>
        <v>Transition Probability from state 6 to state 3 on day 23 (Non-CHG)</v>
      </c>
      <c r="F1624" s="40">
        <f t="shared" si="244"/>
        <v>0</v>
      </c>
      <c r="G1624" s="156">
        <v>1</v>
      </c>
      <c r="H1624" s="120">
        <f>Tp_Non_CHG!AA97</f>
        <v>0</v>
      </c>
      <c r="I1624" s="40" t="s">
        <v>58</v>
      </c>
      <c r="J1624" s="40">
        <f t="shared" si="241"/>
        <v>0</v>
      </c>
      <c r="K1624" s="40">
        <f t="shared" si="242"/>
        <v>0</v>
      </c>
      <c r="L1624" s="40" t="s">
        <v>58</v>
      </c>
      <c r="M1624" s="50" t="s">
        <v>266</v>
      </c>
      <c r="N1624" s="190"/>
      <c r="O1624" s="40">
        <f t="shared" ca="1" si="240"/>
        <v>3.2510737009820989E-3</v>
      </c>
      <c r="P1624" s="51">
        <f t="shared" si="245"/>
        <v>0</v>
      </c>
      <c r="Q1624" s="51">
        <f t="shared" si="246"/>
        <v>0</v>
      </c>
      <c r="R1624" s="51">
        <f t="shared" si="243"/>
        <v>0</v>
      </c>
      <c r="S1624"/>
      <c r="T1624" s="83"/>
    </row>
    <row r="1625" spans="1:20" ht="16" x14ac:dyDescent="0.2">
      <c r="A1625"/>
      <c r="B1625" s="103"/>
      <c r="C1625" s="243"/>
      <c r="D1625" s="119">
        <v>1612</v>
      </c>
      <c r="E1625" s="25" t="str">
        <f>Tp_Non_CHG!X98</f>
        <v>Transition Probability from state 6 to state 3 on day 24 (Non-CHG)</v>
      </c>
      <c r="F1625" s="40">
        <f t="shared" si="244"/>
        <v>0</v>
      </c>
      <c r="G1625" s="156">
        <v>1</v>
      </c>
      <c r="H1625" s="120">
        <f>Tp_Non_CHG!AA98</f>
        <v>0</v>
      </c>
      <c r="I1625" s="40" t="s">
        <v>58</v>
      </c>
      <c r="J1625" s="40">
        <f t="shared" si="241"/>
        <v>0</v>
      </c>
      <c r="K1625" s="40">
        <f t="shared" si="242"/>
        <v>0</v>
      </c>
      <c r="L1625" s="40" t="s">
        <v>58</v>
      </c>
      <c r="M1625" s="50" t="s">
        <v>266</v>
      </c>
      <c r="N1625" s="190"/>
      <c r="O1625" s="40">
        <f t="shared" ca="1" si="240"/>
        <v>0.54764324358753091</v>
      </c>
      <c r="P1625" s="51">
        <f t="shared" si="245"/>
        <v>0</v>
      </c>
      <c r="Q1625" s="51">
        <f t="shared" si="246"/>
        <v>0</v>
      </c>
      <c r="R1625" s="51">
        <f t="shared" si="243"/>
        <v>0</v>
      </c>
      <c r="S1625"/>
      <c r="T1625" s="83"/>
    </row>
    <row r="1626" spans="1:20" ht="16" x14ac:dyDescent="0.2">
      <c r="A1626"/>
      <c r="B1626" s="103"/>
      <c r="C1626" s="243"/>
      <c r="D1626" s="119">
        <v>1613</v>
      </c>
      <c r="E1626" s="25" t="str">
        <f>Tp_Non_CHG!X99</f>
        <v>Transition Probability from state 6 to state 3 on day 25 (Non-CHG)</v>
      </c>
      <c r="F1626" s="40">
        <f t="shared" si="244"/>
        <v>0</v>
      </c>
      <c r="G1626" s="156">
        <v>1</v>
      </c>
      <c r="H1626" s="120">
        <f>Tp_Non_CHG!AA99</f>
        <v>0</v>
      </c>
      <c r="I1626" s="40" t="s">
        <v>58</v>
      </c>
      <c r="J1626" s="40">
        <f t="shared" si="241"/>
        <v>0</v>
      </c>
      <c r="K1626" s="40">
        <f t="shared" si="242"/>
        <v>0</v>
      </c>
      <c r="L1626" s="40" t="s">
        <v>58</v>
      </c>
      <c r="M1626" s="50" t="s">
        <v>266</v>
      </c>
      <c r="N1626" s="190"/>
      <c r="O1626" s="40">
        <f t="shared" ca="1" si="240"/>
        <v>0.4817014368892294</v>
      </c>
      <c r="P1626" s="51">
        <f t="shared" si="245"/>
        <v>0</v>
      </c>
      <c r="Q1626" s="51">
        <f t="shared" si="246"/>
        <v>0</v>
      </c>
      <c r="R1626" s="51">
        <f t="shared" si="243"/>
        <v>0</v>
      </c>
      <c r="S1626"/>
      <c r="T1626" s="83"/>
    </row>
    <row r="1627" spans="1:20" ht="16" x14ac:dyDescent="0.2">
      <c r="A1627"/>
      <c r="B1627" s="103"/>
      <c r="C1627" s="243"/>
      <c r="D1627" s="119">
        <v>1614</v>
      </c>
      <c r="E1627" s="25" t="str">
        <f>Tp_Non_CHG!X100</f>
        <v>Transition Probability from state 6 to state 3 on day 26 (Non-CHG)</v>
      </c>
      <c r="F1627" s="40">
        <f t="shared" si="244"/>
        <v>0</v>
      </c>
      <c r="G1627" s="156">
        <v>1</v>
      </c>
      <c r="H1627" s="120">
        <f>Tp_Non_CHG!AA100</f>
        <v>0</v>
      </c>
      <c r="I1627" s="40" t="s">
        <v>58</v>
      </c>
      <c r="J1627" s="40">
        <f t="shared" si="241"/>
        <v>0</v>
      </c>
      <c r="K1627" s="40">
        <f t="shared" si="242"/>
        <v>0</v>
      </c>
      <c r="L1627" s="40" t="s">
        <v>58</v>
      </c>
      <c r="M1627" s="50" t="s">
        <v>266</v>
      </c>
      <c r="N1627" s="190"/>
      <c r="O1627" s="40">
        <f t="shared" ca="1" si="240"/>
        <v>0.54089264111359092</v>
      </c>
      <c r="P1627" s="51">
        <f t="shared" si="245"/>
        <v>0</v>
      </c>
      <c r="Q1627" s="51">
        <f t="shared" si="246"/>
        <v>0</v>
      </c>
      <c r="R1627" s="51">
        <f t="shared" si="243"/>
        <v>0</v>
      </c>
      <c r="S1627"/>
      <c r="T1627" s="83"/>
    </row>
    <row r="1628" spans="1:20" ht="16" x14ac:dyDescent="0.2">
      <c r="A1628"/>
      <c r="B1628" s="103"/>
      <c r="C1628" s="243"/>
      <c r="D1628" s="119">
        <v>1615</v>
      </c>
      <c r="E1628" s="25" t="str">
        <f>Tp_Non_CHG!X101</f>
        <v>Transition Probability from state 6 to state 3 on day 27 (Non-CHG)</v>
      </c>
      <c r="F1628" s="40">
        <f t="shared" si="244"/>
        <v>0</v>
      </c>
      <c r="G1628" s="156">
        <v>1</v>
      </c>
      <c r="H1628" s="120">
        <f>Tp_Non_CHG!AA101</f>
        <v>0</v>
      </c>
      <c r="I1628" s="40" t="s">
        <v>58</v>
      </c>
      <c r="J1628" s="40">
        <f t="shared" si="241"/>
        <v>0</v>
      </c>
      <c r="K1628" s="40">
        <f t="shared" si="242"/>
        <v>0</v>
      </c>
      <c r="L1628" s="40" t="s">
        <v>58</v>
      </c>
      <c r="M1628" s="50" t="s">
        <v>266</v>
      </c>
      <c r="N1628" s="190"/>
      <c r="O1628" s="40">
        <f t="shared" ca="1" si="240"/>
        <v>0.63083408438039668</v>
      </c>
      <c r="P1628" s="51">
        <f t="shared" si="245"/>
        <v>0</v>
      </c>
      <c r="Q1628" s="51">
        <f t="shared" si="246"/>
        <v>0</v>
      </c>
      <c r="R1628" s="51">
        <f t="shared" si="243"/>
        <v>0</v>
      </c>
      <c r="S1628"/>
      <c r="T1628" s="83"/>
    </row>
    <row r="1629" spans="1:20" ht="16" x14ac:dyDescent="0.2">
      <c r="A1629"/>
      <c r="B1629" s="103"/>
      <c r="C1629" s="243"/>
      <c r="D1629" s="119">
        <v>1616</v>
      </c>
      <c r="E1629" s="25" t="str">
        <f>Tp_Non_CHG!X102</f>
        <v>Transition Probability from state 6 to state 3 on day 28 (Non-CHG)</v>
      </c>
      <c r="F1629" s="40">
        <f t="shared" si="244"/>
        <v>0</v>
      </c>
      <c r="G1629" s="156">
        <v>1</v>
      </c>
      <c r="H1629" s="120">
        <f>Tp_Non_CHG!AA102</f>
        <v>0</v>
      </c>
      <c r="I1629" s="40" t="s">
        <v>58</v>
      </c>
      <c r="J1629" s="40">
        <f t="shared" si="241"/>
        <v>0</v>
      </c>
      <c r="K1629" s="40">
        <f t="shared" si="242"/>
        <v>0</v>
      </c>
      <c r="L1629" s="40" t="s">
        <v>58</v>
      </c>
      <c r="M1629" s="50" t="s">
        <v>266</v>
      </c>
      <c r="N1629" s="190"/>
      <c r="O1629" s="40">
        <f t="shared" ca="1" si="240"/>
        <v>0.20308112381955201</v>
      </c>
      <c r="P1629" s="51">
        <f t="shared" si="245"/>
        <v>0</v>
      </c>
      <c r="Q1629" s="51">
        <f t="shared" si="246"/>
        <v>0</v>
      </c>
      <c r="R1629" s="51">
        <f t="shared" si="243"/>
        <v>0</v>
      </c>
      <c r="S1629"/>
      <c r="T1629" s="83"/>
    </row>
    <row r="1630" spans="1:20" ht="16" x14ac:dyDescent="0.2">
      <c r="A1630"/>
      <c r="B1630" s="103"/>
      <c r="C1630" s="243"/>
      <c r="D1630" s="119">
        <v>1617</v>
      </c>
      <c r="E1630" s="25" t="str">
        <f>Tp_Non_CHG!X103</f>
        <v>Transition Probability from state 6 to state 3 on day 29 (Non-CHG)</v>
      </c>
      <c r="F1630" s="40">
        <f t="shared" si="244"/>
        <v>0</v>
      </c>
      <c r="G1630" s="156">
        <v>1</v>
      </c>
      <c r="H1630" s="120">
        <f>Tp_Non_CHG!AA103</f>
        <v>0</v>
      </c>
      <c r="I1630" s="40" t="s">
        <v>58</v>
      </c>
      <c r="J1630" s="40">
        <f t="shared" si="241"/>
        <v>0</v>
      </c>
      <c r="K1630" s="40">
        <f t="shared" si="242"/>
        <v>0</v>
      </c>
      <c r="L1630" s="40" t="s">
        <v>58</v>
      </c>
      <c r="M1630" s="50" t="s">
        <v>266</v>
      </c>
      <c r="N1630" s="190"/>
      <c r="O1630" s="40">
        <f t="shared" ca="1" si="240"/>
        <v>0.46321331095287488</v>
      </c>
      <c r="P1630" s="51">
        <f t="shared" si="245"/>
        <v>0</v>
      </c>
      <c r="Q1630" s="51">
        <f t="shared" si="246"/>
        <v>0</v>
      </c>
      <c r="R1630" s="51">
        <f t="shared" si="243"/>
        <v>0</v>
      </c>
      <c r="S1630"/>
      <c r="T1630" s="83"/>
    </row>
    <row r="1631" spans="1:20" ht="16" x14ac:dyDescent="0.2">
      <c r="A1631"/>
      <c r="B1631" s="103"/>
      <c r="C1631" s="243"/>
      <c r="D1631" s="119">
        <v>1618</v>
      </c>
      <c r="E1631" s="25" t="str">
        <f>Tp_Non_CHG!X104</f>
        <v>Transition Probability from state 6 to state 3 on day 30 (Non-CHG)</v>
      </c>
      <c r="F1631" s="40">
        <f t="shared" si="244"/>
        <v>0</v>
      </c>
      <c r="G1631" s="156">
        <v>1</v>
      </c>
      <c r="H1631" s="120">
        <f>Tp_Non_CHG!AA104</f>
        <v>0</v>
      </c>
      <c r="I1631" s="40" t="s">
        <v>58</v>
      </c>
      <c r="J1631" s="40">
        <f t="shared" si="241"/>
        <v>0</v>
      </c>
      <c r="K1631" s="40">
        <f t="shared" si="242"/>
        <v>0</v>
      </c>
      <c r="L1631" s="40" t="s">
        <v>58</v>
      </c>
      <c r="M1631" s="50" t="s">
        <v>266</v>
      </c>
      <c r="N1631" s="190"/>
      <c r="O1631" s="40">
        <f t="shared" ca="1" si="240"/>
        <v>0.60539086293956201</v>
      </c>
      <c r="P1631" s="51">
        <f t="shared" si="245"/>
        <v>0</v>
      </c>
      <c r="Q1631" s="51">
        <f t="shared" si="246"/>
        <v>0</v>
      </c>
      <c r="R1631" s="51">
        <f t="shared" si="243"/>
        <v>0</v>
      </c>
      <c r="S1631"/>
      <c r="T1631" s="83"/>
    </row>
    <row r="1632" spans="1:20" ht="16" x14ac:dyDescent="0.2">
      <c r="A1632"/>
      <c r="B1632" s="103"/>
      <c r="C1632" s="243"/>
      <c r="D1632" s="119">
        <v>1619</v>
      </c>
      <c r="E1632" s="25" t="str">
        <f>Tp_Non_CHG!D107</f>
        <v>Transition Probability from state 1 to state 4 on day 1 (Non-CHG)</v>
      </c>
      <c r="F1632" s="40">
        <f t="shared" si="244"/>
        <v>0</v>
      </c>
      <c r="G1632" s="156">
        <v>1</v>
      </c>
      <c r="H1632" s="120">
        <f>Tp_Non_CHG!G107</f>
        <v>0</v>
      </c>
      <c r="I1632" s="40" t="s">
        <v>58</v>
      </c>
      <c r="J1632" s="40">
        <f t="shared" si="241"/>
        <v>0</v>
      </c>
      <c r="K1632" s="40">
        <f t="shared" si="242"/>
        <v>0</v>
      </c>
      <c r="L1632" s="40" t="s">
        <v>58</v>
      </c>
      <c r="M1632" s="50" t="s">
        <v>266</v>
      </c>
      <c r="N1632" s="190"/>
      <c r="O1632" s="40">
        <f t="shared" ca="1" si="240"/>
        <v>0.96002573255775681</v>
      </c>
      <c r="P1632" s="51">
        <f t="shared" si="245"/>
        <v>0</v>
      </c>
      <c r="Q1632" s="51">
        <f t="shared" si="246"/>
        <v>0</v>
      </c>
      <c r="R1632" s="51">
        <f t="shared" si="243"/>
        <v>0</v>
      </c>
      <c r="S1632"/>
      <c r="T1632" s="83"/>
    </row>
    <row r="1633" spans="1:20" ht="16" x14ac:dyDescent="0.2">
      <c r="A1633"/>
      <c r="B1633" s="103"/>
      <c r="C1633" s="243"/>
      <c r="D1633" s="119">
        <v>1620</v>
      </c>
      <c r="E1633" s="25" t="str">
        <f>Tp_Non_CHG!D108</f>
        <v>Transition Probability from state 1 to state 4 on day 2 (Non-CHG)</v>
      </c>
      <c r="F1633" s="40">
        <f t="shared" si="244"/>
        <v>0</v>
      </c>
      <c r="G1633" s="156">
        <v>1</v>
      </c>
      <c r="H1633" s="120">
        <f>Tp_Non_CHG!G108</f>
        <v>0</v>
      </c>
      <c r="I1633" s="40" t="s">
        <v>58</v>
      </c>
      <c r="J1633" s="40">
        <f t="shared" si="241"/>
        <v>0</v>
      </c>
      <c r="K1633" s="40">
        <f t="shared" si="242"/>
        <v>0</v>
      </c>
      <c r="L1633" s="40" t="s">
        <v>58</v>
      </c>
      <c r="M1633" s="50" t="s">
        <v>266</v>
      </c>
      <c r="N1633" s="190"/>
      <c r="O1633" s="40">
        <f t="shared" ca="1" si="240"/>
        <v>0.60959461665274295</v>
      </c>
      <c r="P1633" s="51">
        <f t="shared" si="245"/>
        <v>0</v>
      </c>
      <c r="Q1633" s="51">
        <f t="shared" si="246"/>
        <v>0</v>
      </c>
      <c r="R1633" s="51">
        <f t="shared" si="243"/>
        <v>0</v>
      </c>
      <c r="S1633"/>
      <c r="T1633" s="83"/>
    </row>
    <row r="1634" spans="1:20" ht="16" x14ac:dyDescent="0.2">
      <c r="A1634"/>
      <c r="B1634" s="103"/>
      <c r="C1634" s="243"/>
      <c r="D1634" s="119">
        <v>1621</v>
      </c>
      <c r="E1634" s="25" t="str">
        <f>Tp_Non_CHG!D109</f>
        <v>Transition Probability from state 1 to state 4 on day 3 (Non-CHG)</v>
      </c>
      <c r="F1634" s="40">
        <f t="shared" si="244"/>
        <v>0</v>
      </c>
      <c r="G1634" s="156">
        <v>1</v>
      </c>
      <c r="H1634" s="120">
        <f>Tp_Non_CHG!G109</f>
        <v>0</v>
      </c>
      <c r="I1634" s="40" t="s">
        <v>58</v>
      </c>
      <c r="J1634" s="40">
        <f t="shared" si="241"/>
        <v>0</v>
      </c>
      <c r="K1634" s="40">
        <f t="shared" si="242"/>
        <v>0</v>
      </c>
      <c r="L1634" s="40" t="s">
        <v>58</v>
      </c>
      <c r="M1634" s="50" t="s">
        <v>266</v>
      </c>
      <c r="N1634" s="190"/>
      <c r="O1634" s="40">
        <f t="shared" ca="1" si="240"/>
        <v>0.86386328726179129</v>
      </c>
      <c r="P1634" s="51">
        <f t="shared" si="245"/>
        <v>0</v>
      </c>
      <c r="Q1634" s="51">
        <f t="shared" si="246"/>
        <v>0</v>
      </c>
      <c r="R1634" s="51">
        <f t="shared" si="243"/>
        <v>0</v>
      </c>
      <c r="S1634"/>
      <c r="T1634" s="83"/>
    </row>
    <row r="1635" spans="1:20" ht="16" x14ac:dyDescent="0.2">
      <c r="A1635"/>
      <c r="B1635" s="103"/>
      <c r="C1635" s="243"/>
      <c r="D1635" s="119">
        <v>1622</v>
      </c>
      <c r="E1635" s="25" t="str">
        <f>Tp_Non_CHG!D110</f>
        <v>Transition Probability from state 1 to state 4 on day 4 (Non-CHG)</v>
      </c>
      <c r="F1635" s="40">
        <f t="shared" si="244"/>
        <v>0</v>
      </c>
      <c r="G1635" s="156">
        <v>1</v>
      </c>
      <c r="H1635" s="120">
        <f>Tp_Non_CHG!G110</f>
        <v>0</v>
      </c>
      <c r="I1635" s="40" t="s">
        <v>58</v>
      </c>
      <c r="J1635" s="40">
        <f t="shared" si="241"/>
        <v>0</v>
      </c>
      <c r="K1635" s="40">
        <f t="shared" si="242"/>
        <v>0</v>
      </c>
      <c r="L1635" s="40" t="s">
        <v>58</v>
      </c>
      <c r="M1635" s="50" t="s">
        <v>266</v>
      </c>
      <c r="N1635" s="190"/>
      <c r="O1635" s="40">
        <f t="shared" ca="1" si="240"/>
        <v>9.0449026981760938E-2</v>
      </c>
      <c r="P1635" s="51">
        <f t="shared" si="245"/>
        <v>0</v>
      </c>
      <c r="Q1635" s="51">
        <f t="shared" si="246"/>
        <v>0</v>
      </c>
      <c r="R1635" s="51">
        <f t="shared" si="243"/>
        <v>0</v>
      </c>
      <c r="S1635"/>
      <c r="T1635" s="83"/>
    </row>
    <row r="1636" spans="1:20" ht="16" x14ac:dyDescent="0.2">
      <c r="A1636"/>
      <c r="B1636" s="103"/>
      <c r="C1636" s="243"/>
      <c r="D1636" s="119">
        <v>1623</v>
      </c>
      <c r="E1636" s="25" t="str">
        <f>Tp_Non_CHG!D111</f>
        <v>Transition Probability from state 1 to state 4 on day 5 (Non-CHG)</v>
      </c>
      <c r="F1636" s="40">
        <f t="shared" si="244"/>
        <v>0</v>
      </c>
      <c r="G1636" s="156">
        <v>1</v>
      </c>
      <c r="H1636" s="120">
        <f>Tp_Non_CHG!G111</f>
        <v>0</v>
      </c>
      <c r="I1636" s="40" t="s">
        <v>58</v>
      </c>
      <c r="J1636" s="40">
        <f t="shared" si="241"/>
        <v>0</v>
      </c>
      <c r="K1636" s="40">
        <f t="shared" si="242"/>
        <v>0</v>
      </c>
      <c r="L1636" s="40" t="s">
        <v>58</v>
      </c>
      <c r="M1636" s="50" t="s">
        <v>266</v>
      </c>
      <c r="N1636" s="190"/>
      <c r="O1636" s="40">
        <f t="shared" ca="1" si="240"/>
        <v>3.796018084202013E-2</v>
      </c>
      <c r="P1636" s="51">
        <f t="shared" si="245"/>
        <v>0</v>
      </c>
      <c r="Q1636" s="51">
        <f t="shared" si="246"/>
        <v>0</v>
      </c>
      <c r="R1636" s="51">
        <f t="shared" si="243"/>
        <v>0</v>
      </c>
      <c r="S1636"/>
      <c r="T1636" s="83"/>
    </row>
    <row r="1637" spans="1:20" ht="16" x14ac:dyDescent="0.2">
      <c r="A1637"/>
      <c r="B1637" s="103"/>
      <c r="C1637" s="243"/>
      <c r="D1637" s="119">
        <v>1624</v>
      </c>
      <c r="E1637" s="25" t="str">
        <f>Tp_Non_CHG!D114</f>
        <v>Transition Probability from state 1 to state 4 on day 8 (Non-CHG)</v>
      </c>
      <c r="F1637" s="40">
        <f t="shared" si="244"/>
        <v>0</v>
      </c>
      <c r="G1637" s="156">
        <v>1</v>
      </c>
      <c r="H1637" s="120">
        <f>Tp_Non_CHG!G114</f>
        <v>0</v>
      </c>
      <c r="I1637" s="40" t="s">
        <v>58</v>
      </c>
      <c r="J1637" s="40">
        <f t="shared" si="241"/>
        <v>0</v>
      </c>
      <c r="K1637" s="40">
        <f t="shared" si="242"/>
        <v>0</v>
      </c>
      <c r="L1637" s="40" t="s">
        <v>58</v>
      </c>
      <c r="M1637" s="50" t="s">
        <v>266</v>
      </c>
      <c r="N1637" s="190"/>
      <c r="O1637" s="40">
        <f t="shared" ca="1" si="240"/>
        <v>0.7986982395586556</v>
      </c>
      <c r="P1637" s="51">
        <f t="shared" si="245"/>
        <v>0</v>
      </c>
      <c r="Q1637" s="51">
        <f t="shared" si="246"/>
        <v>0</v>
      </c>
      <c r="R1637" s="51">
        <f t="shared" si="243"/>
        <v>0</v>
      </c>
      <c r="S1637"/>
      <c r="T1637" s="83"/>
    </row>
    <row r="1638" spans="1:20" ht="16" x14ac:dyDescent="0.2">
      <c r="A1638"/>
      <c r="B1638" s="103"/>
      <c r="C1638" s="243"/>
      <c r="D1638" s="119">
        <v>1625</v>
      </c>
      <c r="E1638" s="25" t="str">
        <f>Tp_Non_CHG!D119</f>
        <v>Transition Probability from state 1 to state 4 on day 13 (Non-CHG)</v>
      </c>
      <c r="F1638" s="40">
        <f t="shared" si="244"/>
        <v>0</v>
      </c>
      <c r="G1638" s="156">
        <v>1</v>
      </c>
      <c r="H1638" s="120">
        <f>Tp_Non_CHG!G119</f>
        <v>0</v>
      </c>
      <c r="I1638" s="40" t="s">
        <v>58</v>
      </c>
      <c r="J1638" s="40">
        <f t="shared" si="241"/>
        <v>0</v>
      </c>
      <c r="K1638" s="40">
        <f t="shared" si="242"/>
        <v>0</v>
      </c>
      <c r="L1638" s="40" t="s">
        <v>58</v>
      </c>
      <c r="M1638" s="50" t="s">
        <v>266</v>
      </c>
      <c r="N1638" s="190"/>
      <c r="O1638" s="40">
        <f t="shared" ref="O1638:O1698" ca="1" si="247">RAND()</f>
        <v>6.9648317059069154E-2</v>
      </c>
      <c r="P1638" s="51">
        <f t="shared" si="245"/>
        <v>0</v>
      </c>
      <c r="Q1638" s="51">
        <f t="shared" si="246"/>
        <v>0</v>
      </c>
      <c r="R1638" s="51">
        <f t="shared" si="243"/>
        <v>0</v>
      </c>
      <c r="S1638"/>
      <c r="T1638" s="83"/>
    </row>
    <row r="1639" spans="1:20" ht="16" x14ac:dyDescent="0.2">
      <c r="A1639"/>
      <c r="B1639" s="103"/>
      <c r="C1639" s="243"/>
      <c r="D1639" s="119">
        <v>1626</v>
      </c>
      <c r="E1639" s="25" t="str">
        <f>Tp_Non_CHG!D120</f>
        <v>Transition Probability from state 1 to state 4 on day 14 (Non-CHG)</v>
      </c>
      <c r="F1639" s="40">
        <f t="shared" si="244"/>
        <v>0</v>
      </c>
      <c r="G1639" s="156">
        <v>1</v>
      </c>
      <c r="H1639" s="120">
        <f>Tp_Non_CHG!G120</f>
        <v>0</v>
      </c>
      <c r="I1639" s="40" t="s">
        <v>58</v>
      </c>
      <c r="J1639" s="40">
        <f t="shared" si="241"/>
        <v>0</v>
      </c>
      <c r="K1639" s="40">
        <f t="shared" si="242"/>
        <v>0</v>
      </c>
      <c r="L1639" s="40" t="s">
        <v>58</v>
      </c>
      <c r="M1639" s="50" t="s">
        <v>266</v>
      </c>
      <c r="N1639" s="190"/>
      <c r="O1639" s="40">
        <f t="shared" ca="1" si="247"/>
        <v>0.3474257856161862</v>
      </c>
      <c r="P1639" s="51">
        <f t="shared" si="245"/>
        <v>0</v>
      </c>
      <c r="Q1639" s="51">
        <f t="shared" si="246"/>
        <v>0</v>
      </c>
      <c r="R1639" s="51">
        <f t="shared" si="243"/>
        <v>0</v>
      </c>
      <c r="S1639"/>
      <c r="T1639" s="83"/>
    </row>
    <row r="1640" spans="1:20" ht="16" x14ac:dyDescent="0.2">
      <c r="A1640"/>
      <c r="B1640" s="103"/>
      <c r="C1640" s="243"/>
      <c r="D1640" s="119">
        <v>1627</v>
      </c>
      <c r="E1640" s="25" t="str">
        <f>Tp_Non_CHG!D121</f>
        <v>Transition Probability from state 1 to state 4 on day 15 (Non-CHG)</v>
      </c>
      <c r="F1640" s="40">
        <f t="shared" si="244"/>
        <v>0</v>
      </c>
      <c r="G1640" s="156">
        <v>1</v>
      </c>
      <c r="H1640" s="120">
        <f>Tp_Non_CHG!G121</f>
        <v>0</v>
      </c>
      <c r="I1640" s="40" t="s">
        <v>58</v>
      </c>
      <c r="J1640" s="40">
        <f t="shared" si="241"/>
        <v>0</v>
      </c>
      <c r="K1640" s="40">
        <f t="shared" si="242"/>
        <v>0</v>
      </c>
      <c r="L1640" s="40" t="s">
        <v>58</v>
      </c>
      <c r="M1640" s="50" t="s">
        <v>266</v>
      </c>
      <c r="N1640" s="190"/>
      <c r="O1640" s="40">
        <f t="shared" ca="1" si="247"/>
        <v>0.13150655208434425</v>
      </c>
      <c r="P1640" s="51">
        <f t="shared" si="245"/>
        <v>0</v>
      </c>
      <c r="Q1640" s="51">
        <f t="shared" si="246"/>
        <v>0</v>
      </c>
      <c r="R1640" s="51">
        <f t="shared" si="243"/>
        <v>0</v>
      </c>
      <c r="S1640"/>
      <c r="T1640" s="83"/>
    </row>
    <row r="1641" spans="1:20" ht="16" x14ac:dyDescent="0.2">
      <c r="A1641"/>
      <c r="B1641" s="103"/>
      <c r="C1641" s="243"/>
      <c r="D1641" s="119">
        <v>1628</v>
      </c>
      <c r="E1641" s="25" t="str">
        <f>Tp_Non_CHG!D122</f>
        <v>Transition Probability from state 1 to state 4 on day 16 (Non-CHG)</v>
      </c>
      <c r="F1641" s="40">
        <f t="shared" si="244"/>
        <v>0</v>
      </c>
      <c r="G1641" s="156">
        <v>1</v>
      </c>
      <c r="H1641" s="120">
        <f>Tp_Non_CHG!G122</f>
        <v>0</v>
      </c>
      <c r="I1641" s="40" t="s">
        <v>58</v>
      </c>
      <c r="J1641" s="40">
        <f t="shared" si="241"/>
        <v>0</v>
      </c>
      <c r="K1641" s="40">
        <f t="shared" si="242"/>
        <v>0</v>
      </c>
      <c r="L1641" s="40" t="s">
        <v>58</v>
      </c>
      <c r="M1641" s="50" t="s">
        <v>266</v>
      </c>
      <c r="N1641" s="190"/>
      <c r="O1641" s="40">
        <f t="shared" ca="1" si="247"/>
        <v>0.79152585459995539</v>
      </c>
      <c r="P1641" s="51">
        <f t="shared" si="245"/>
        <v>0</v>
      </c>
      <c r="Q1641" s="51">
        <f t="shared" si="246"/>
        <v>0</v>
      </c>
      <c r="R1641" s="51">
        <f t="shared" si="243"/>
        <v>0</v>
      </c>
      <c r="S1641"/>
      <c r="T1641" s="83"/>
    </row>
    <row r="1642" spans="1:20" ht="16" x14ac:dyDescent="0.2">
      <c r="A1642"/>
      <c r="B1642" s="103"/>
      <c r="C1642" s="243"/>
      <c r="D1642" s="119">
        <v>1629</v>
      </c>
      <c r="E1642" s="25" t="str">
        <f>Tp_Non_CHG!D126</f>
        <v>Transition Probability from state 1 to state 4 on day 20 (Non-CHG)</v>
      </c>
      <c r="F1642" s="40">
        <f t="shared" si="244"/>
        <v>0</v>
      </c>
      <c r="G1642" s="156">
        <v>1</v>
      </c>
      <c r="H1642" s="120">
        <f>Tp_Non_CHG!G126</f>
        <v>0</v>
      </c>
      <c r="I1642" s="40" t="s">
        <v>58</v>
      </c>
      <c r="J1642" s="40">
        <f t="shared" si="241"/>
        <v>0</v>
      </c>
      <c r="K1642" s="40">
        <f t="shared" si="242"/>
        <v>0</v>
      </c>
      <c r="L1642" s="40" t="s">
        <v>58</v>
      </c>
      <c r="M1642" s="50" t="s">
        <v>266</v>
      </c>
      <c r="N1642" s="190"/>
      <c r="O1642" s="40">
        <f t="shared" ca="1" si="247"/>
        <v>4.2080628649158514E-2</v>
      </c>
      <c r="P1642" s="51">
        <f t="shared" si="245"/>
        <v>0</v>
      </c>
      <c r="Q1642" s="51">
        <f t="shared" si="246"/>
        <v>0</v>
      </c>
      <c r="R1642" s="51">
        <f t="shared" si="243"/>
        <v>0</v>
      </c>
      <c r="S1642"/>
      <c r="T1642" s="83"/>
    </row>
    <row r="1643" spans="1:20" ht="16" x14ac:dyDescent="0.2">
      <c r="A1643"/>
      <c r="B1643" s="103"/>
      <c r="C1643" s="243"/>
      <c r="D1643" s="119">
        <v>1630</v>
      </c>
      <c r="E1643" s="25" t="str">
        <f>Tp_Non_CHG!D127</f>
        <v>Transition Probability from state 1 to state 4 on day 21 (Non-CHG)</v>
      </c>
      <c r="F1643" s="40">
        <f t="shared" si="244"/>
        <v>0</v>
      </c>
      <c r="G1643" s="156">
        <v>1</v>
      </c>
      <c r="H1643" s="120">
        <f>Tp_Non_CHG!G127</f>
        <v>0</v>
      </c>
      <c r="I1643" s="40" t="s">
        <v>58</v>
      </c>
      <c r="J1643" s="40">
        <f t="shared" si="241"/>
        <v>0</v>
      </c>
      <c r="K1643" s="40">
        <f t="shared" si="242"/>
        <v>0</v>
      </c>
      <c r="L1643" s="40" t="s">
        <v>58</v>
      </c>
      <c r="M1643" s="50" t="s">
        <v>266</v>
      </c>
      <c r="N1643" s="190"/>
      <c r="O1643" s="40">
        <f t="shared" ca="1" si="247"/>
        <v>0.56754133334967016</v>
      </c>
      <c r="P1643" s="51">
        <f t="shared" si="245"/>
        <v>0</v>
      </c>
      <c r="Q1643" s="51">
        <f t="shared" si="246"/>
        <v>0</v>
      </c>
      <c r="R1643" s="51">
        <f t="shared" si="243"/>
        <v>0</v>
      </c>
      <c r="S1643"/>
      <c r="T1643" s="83"/>
    </row>
    <row r="1644" spans="1:20" ht="16" x14ac:dyDescent="0.2">
      <c r="A1644"/>
      <c r="B1644" s="103"/>
      <c r="C1644" s="243"/>
      <c r="D1644" s="119">
        <v>1631</v>
      </c>
      <c r="E1644" s="25" t="str">
        <f>Tp_Non_CHG!D128</f>
        <v>Transition Probability from state 1 to state 4 on day 22 (Non-CHG)</v>
      </c>
      <c r="F1644" s="40">
        <f t="shared" si="244"/>
        <v>0</v>
      </c>
      <c r="G1644" s="156">
        <v>1</v>
      </c>
      <c r="H1644" s="120">
        <f>Tp_Non_CHG!G128</f>
        <v>0</v>
      </c>
      <c r="I1644" s="40" t="s">
        <v>58</v>
      </c>
      <c r="J1644" s="40">
        <f t="shared" si="241"/>
        <v>0</v>
      </c>
      <c r="K1644" s="40">
        <f t="shared" si="242"/>
        <v>0</v>
      </c>
      <c r="L1644" s="40" t="s">
        <v>58</v>
      </c>
      <c r="M1644" s="50" t="s">
        <v>266</v>
      </c>
      <c r="N1644" s="190"/>
      <c r="O1644" s="40">
        <f t="shared" ca="1" si="247"/>
        <v>2.6977577102152983E-3</v>
      </c>
      <c r="P1644" s="51">
        <f t="shared" si="245"/>
        <v>0</v>
      </c>
      <c r="Q1644" s="51">
        <f t="shared" si="246"/>
        <v>0</v>
      </c>
      <c r="R1644" s="51">
        <f t="shared" si="243"/>
        <v>0</v>
      </c>
      <c r="S1644"/>
      <c r="T1644" s="83"/>
    </row>
    <row r="1645" spans="1:20" ht="16" x14ac:dyDescent="0.2">
      <c r="A1645"/>
      <c r="B1645" s="103"/>
      <c r="C1645" s="243"/>
      <c r="D1645" s="119">
        <v>1632</v>
      </c>
      <c r="E1645" s="25" t="str">
        <f>Tp_Non_CHG!D129</f>
        <v>Transition Probability from state 1 to state 4 on day 23 (Non-CHG)</v>
      </c>
      <c r="F1645" s="40">
        <f t="shared" si="244"/>
        <v>0</v>
      </c>
      <c r="G1645" s="156">
        <v>1</v>
      </c>
      <c r="H1645" s="120">
        <f>Tp_Non_CHG!G129</f>
        <v>0</v>
      </c>
      <c r="I1645" s="40" t="s">
        <v>58</v>
      </c>
      <c r="J1645" s="40">
        <f t="shared" si="241"/>
        <v>0</v>
      </c>
      <c r="K1645" s="40">
        <f t="shared" si="242"/>
        <v>0</v>
      </c>
      <c r="L1645" s="40" t="s">
        <v>58</v>
      </c>
      <c r="M1645" s="50" t="s">
        <v>266</v>
      </c>
      <c r="N1645" s="190"/>
      <c r="O1645" s="40">
        <f t="shared" ca="1" si="247"/>
        <v>9.987141292661017E-2</v>
      </c>
      <c r="P1645" s="51">
        <f t="shared" si="245"/>
        <v>0</v>
      </c>
      <c r="Q1645" s="51">
        <f t="shared" si="246"/>
        <v>0</v>
      </c>
      <c r="R1645" s="51">
        <f t="shared" si="243"/>
        <v>0</v>
      </c>
      <c r="S1645"/>
      <c r="T1645" s="83"/>
    </row>
    <row r="1646" spans="1:20" ht="16" x14ac:dyDescent="0.2">
      <c r="A1646"/>
      <c r="B1646" s="103"/>
      <c r="C1646" s="243"/>
      <c r="D1646" s="119">
        <v>1633</v>
      </c>
      <c r="E1646" s="25" t="str">
        <f>Tp_Non_CHG!D130</f>
        <v>Transition Probability from state 1 to state 4 on day 24 (Non-CHG)</v>
      </c>
      <c r="F1646" s="40">
        <f t="shared" si="244"/>
        <v>0</v>
      </c>
      <c r="G1646" s="156">
        <v>1</v>
      </c>
      <c r="H1646" s="120">
        <f>Tp_Non_CHG!G130</f>
        <v>0</v>
      </c>
      <c r="I1646" s="40" t="s">
        <v>58</v>
      </c>
      <c r="J1646" s="40">
        <f t="shared" si="241"/>
        <v>0</v>
      </c>
      <c r="K1646" s="40">
        <f t="shared" si="242"/>
        <v>0</v>
      </c>
      <c r="L1646" s="40" t="s">
        <v>58</v>
      </c>
      <c r="M1646" s="50" t="s">
        <v>266</v>
      </c>
      <c r="N1646" s="190"/>
      <c r="O1646" s="40">
        <f t="shared" ca="1" si="247"/>
        <v>0.98741441480649672</v>
      </c>
      <c r="P1646" s="51">
        <f t="shared" si="245"/>
        <v>0</v>
      </c>
      <c r="Q1646" s="51">
        <f t="shared" si="246"/>
        <v>0</v>
      </c>
      <c r="R1646" s="51">
        <f t="shared" si="243"/>
        <v>0</v>
      </c>
      <c r="S1646"/>
      <c r="T1646" s="83"/>
    </row>
    <row r="1647" spans="1:20" ht="16" x14ac:dyDescent="0.2">
      <c r="A1647"/>
      <c r="B1647" s="103"/>
      <c r="C1647" s="243"/>
      <c r="D1647" s="119">
        <v>1634</v>
      </c>
      <c r="E1647" s="25" t="str">
        <f>Tp_Non_CHG!D131</f>
        <v>Transition Probability from state 1 to state 4 on day 25 (Non-CHG)</v>
      </c>
      <c r="F1647" s="40">
        <f t="shared" si="244"/>
        <v>0</v>
      </c>
      <c r="G1647" s="156">
        <v>1</v>
      </c>
      <c r="H1647" s="120">
        <f>Tp_Non_CHG!G131</f>
        <v>0</v>
      </c>
      <c r="I1647" s="40" t="s">
        <v>58</v>
      </c>
      <c r="J1647" s="40">
        <f t="shared" si="241"/>
        <v>0</v>
      </c>
      <c r="K1647" s="40">
        <f t="shared" si="242"/>
        <v>0</v>
      </c>
      <c r="L1647" s="40" t="s">
        <v>58</v>
      </c>
      <c r="M1647" s="50" t="s">
        <v>266</v>
      </c>
      <c r="N1647" s="190"/>
      <c r="O1647" s="40">
        <f t="shared" ca="1" si="247"/>
        <v>0.9738216718467102</v>
      </c>
      <c r="P1647" s="51">
        <f t="shared" si="245"/>
        <v>0</v>
      </c>
      <c r="Q1647" s="51">
        <f t="shared" si="246"/>
        <v>0</v>
      </c>
      <c r="R1647" s="51">
        <f t="shared" si="243"/>
        <v>0</v>
      </c>
      <c r="S1647"/>
      <c r="T1647" s="83"/>
    </row>
    <row r="1648" spans="1:20" ht="16" x14ac:dyDescent="0.2">
      <c r="A1648"/>
      <c r="B1648" s="103"/>
      <c r="C1648" s="243"/>
      <c r="D1648" s="119">
        <v>1635</v>
      </c>
      <c r="E1648" s="25" t="str">
        <f>Tp_Non_CHG!D132</f>
        <v>Transition Probability from state 1 to state 4 on day 26 (Non-CHG)</v>
      </c>
      <c r="F1648" s="40">
        <f t="shared" si="244"/>
        <v>0</v>
      </c>
      <c r="G1648" s="156">
        <v>1</v>
      </c>
      <c r="H1648" s="120">
        <f>Tp_Non_CHG!G132</f>
        <v>0</v>
      </c>
      <c r="I1648" s="40" t="s">
        <v>58</v>
      </c>
      <c r="J1648" s="40">
        <f t="shared" si="241"/>
        <v>0</v>
      </c>
      <c r="K1648" s="40">
        <f t="shared" si="242"/>
        <v>0</v>
      </c>
      <c r="L1648" s="40" t="s">
        <v>58</v>
      </c>
      <c r="M1648" s="50" t="s">
        <v>266</v>
      </c>
      <c r="N1648" s="190"/>
      <c r="O1648" s="40">
        <f t="shared" ca="1" si="247"/>
        <v>0.40846532239544864</v>
      </c>
      <c r="P1648" s="51">
        <f t="shared" si="245"/>
        <v>0</v>
      </c>
      <c r="Q1648" s="51">
        <f t="shared" si="246"/>
        <v>0</v>
      </c>
      <c r="R1648" s="51">
        <f t="shared" si="243"/>
        <v>0</v>
      </c>
      <c r="S1648"/>
      <c r="T1648" s="83"/>
    </row>
    <row r="1649" spans="1:20" ht="16" x14ac:dyDescent="0.2">
      <c r="A1649"/>
      <c r="B1649" s="103"/>
      <c r="C1649" s="243"/>
      <c r="D1649" s="119">
        <v>1636</v>
      </c>
      <c r="E1649" s="25" t="str">
        <f>Tp_Non_CHG!D133</f>
        <v>Transition Probability from state 1 to state 4 on day 27 (Non-CHG)</v>
      </c>
      <c r="F1649" s="40">
        <f t="shared" si="244"/>
        <v>0</v>
      </c>
      <c r="G1649" s="156">
        <v>1</v>
      </c>
      <c r="H1649" s="120">
        <f>Tp_Non_CHG!G133</f>
        <v>0</v>
      </c>
      <c r="I1649" s="40" t="s">
        <v>58</v>
      </c>
      <c r="J1649" s="40">
        <f t="shared" si="241"/>
        <v>0</v>
      </c>
      <c r="K1649" s="40">
        <f t="shared" si="242"/>
        <v>0</v>
      </c>
      <c r="L1649" s="40" t="s">
        <v>58</v>
      </c>
      <c r="M1649" s="50" t="s">
        <v>266</v>
      </c>
      <c r="N1649" s="190"/>
      <c r="O1649" s="40">
        <f t="shared" ca="1" si="247"/>
        <v>0.50866846941870025</v>
      </c>
      <c r="P1649" s="51">
        <f t="shared" si="245"/>
        <v>0</v>
      </c>
      <c r="Q1649" s="51">
        <f t="shared" si="246"/>
        <v>0</v>
      </c>
      <c r="R1649" s="51">
        <f t="shared" si="243"/>
        <v>0</v>
      </c>
      <c r="S1649"/>
      <c r="T1649" s="83"/>
    </row>
    <row r="1650" spans="1:20" ht="16" x14ac:dyDescent="0.2">
      <c r="A1650"/>
      <c r="B1650" s="103"/>
      <c r="C1650" s="243"/>
      <c r="D1650" s="119">
        <v>1637</v>
      </c>
      <c r="E1650" s="25" t="str">
        <f>Tp_Non_CHG!D134</f>
        <v>Transition Probability from state 1 to state 4 on day 28 (Non-CHG)</v>
      </c>
      <c r="F1650" s="40">
        <f t="shared" si="244"/>
        <v>0</v>
      </c>
      <c r="G1650" s="156">
        <v>1</v>
      </c>
      <c r="H1650" s="120">
        <f>Tp_Non_CHG!G134</f>
        <v>0</v>
      </c>
      <c r="I1650" s="40" t="s">
        <v>58</v>
      </c>
      <c r="J1650" s="40">
        <f t="shared" si="241"/>
        <v>0</v>
      </c>
      <c r="K1650" s="40">
        <f t="shared" si="242"/>
        <v>0</v>
      </c>
      <c r="L1650" s="40" t="s">
        <v>58</v>
      </c>
      <c r="M1650" s="50" t="s">
        <v>266</v>
      </c>
      <c r="N1650" s="190"/>
      <c r="O1650" s="40">
        <f t="shared" ca="1" si="247"/>
        <v>0.43062341040180963</v>
      </c>
      <c r="P1650" s="51">
        <f t="shared" si="245"/>
        <v>0</v>
      </c>
      <c r="Q1650" s="51">
        <f t="shared" si="246"/>
        <v>0</v>
      </c>
      <c r="R1650" s="51">
        <f t="shared" si="243"/>
        <v>0</v>
      </c>
      <c r="S1650"/>
      <c r="T1650" s="83"/>
    </row>
    <row r="1651" spans="1:20" ht="16" x14ac:dyDescent="0.2">
      <c r="A1651"/>
      <c r="B1651" s="103"/>
      <c r="C1651" s="243"/>
      <c r="D1651" s="119">
        <v>1638</v>
      </c>
      <c r="E1651" s="25" t="str">
        <f>Tp_Non_CHG!D135</f>
        <v>Transition Probability from state 1 to state 4 on day 29 (Non-CHG)</v>
      </c>
      <c r="F1651" s="40">
        <f t="shared" si="244"/>
        <v>0</v>
      </c>
      <c r="G1651" s="156">
        <v>1</v>
      </c>
      <c r="H1651" s="120">
        <f>Tp_Non_CHG!G135</f>
        <v>0</v>
      </c>
      <c r="I1651" s="40" t="s">
        <v>58</v>
      </c>
      <c r="J1651" s="40">
        <f t="shared" si="241"/>
        <v>0</v>
      </c>
      <c r="K1651" s="40">
        <f t="shared" si="242"/>
        <v>0</v>
      </c>
      <c r="L1651" s="40" t="s">
        <v>58</v>
      </c>
      <c r="M1651" s="50" t="s">
        <v>266</v>
      </c>
      <c r="N1651" s="190"/>
      <c r="O1651" s="40">
        <f t="shared" ca="1" si="247"/>
        <v>0.68006626397777814</v>
      </c>
      <c r="P1651" s="51">
        <f t="shared" si="245"/>
        <v>0</v>
      </c>
      <c r="Q1651" s="51">
        <f t="shared" si="246"/>
        <v>0</v>
      </c>
      <c r="R1651" s="51">
        <f t="shared" si="243"/>
        <v>0</v>
      </c>
      <c r="S1651"/>
      <c r="T1651" s="83"/>
    </row>
    <row r="1652" spans="1:20" ht="16" x14ac:dyDescent="0.2">
      <c r="A1652"/>
      <c r="B1652" s="103"/>
      <c r="C1652" s="243"/>
      <c r="D1652" s="119">
        <v>1639</v>
      </c>
      <c r="E1652" s="25" t="str">
        <f>Tp_Non_CHG!D136</f>
        <v>Transition Probability from state 1 to state 4 on day 30 (Non-CHG)</v>
      </c>
      <c r="F1652" s="40">
        <f t="shared" si="244"/>
        <v>0</v>
      </c>
      <c r="G1652" s="156">
        <v>1</v>
      </c>
      <c r="H1652" s="120">
        <f>Tp_Non_CHG!G136</f>
        <v>0</v>
      </c>
      <c r="I1652" s="40" t="s">
        <v>58</v>
      </c>
      <c r="J1652" s="40">
        <f t="shared" si="241"/>
        <v>0</v>
      </c>
      <c r="K1652" s="40">
        <f t="shared" si="242"/>
        <v>0</v>
      </c>
      <c r="L1652" s="40" t="s">
        <v>58</v>
      </c>
      <c r="M1652" s="50" t="s">
        <v>266</v>
      </c>
      <c r="N1652" s="190"/>
      <c r="O1652" s="40">
        <f t="shared" ca="1" si="247"/>
        <v>0.89734899321419181</v>
      </c>
      <c r="P1652" s="51">
        <f t="shared" si="245"/>
        <v>0</v>
      </c>
      <c r="Q1652" s="51">
        <f t="shared" si="246"/>
        <v>0</v>
      </c>
      <c r="R1652" s="51">
        <f t="shared" si="243"/>
        <v>0</v>
      </c>
      <c r="S1652"/>
      <c r="T1652" s="83"/>
    </row>
    <row r="1653" spans="1:20" ht="16" x14ac:dyDescent="0.2">
      <c r="A1653"/>
      <c r="B1653" s="103"/>
      <c r="C1653" s="243"/>
      <c r="D1653" s="119">
        <v>1640</v>
      </c>
      <c r="E1653" s="25" t="str">
        <f>Tp_Non_CHG!I107</f>
        <v>Transition Probability from state 2 to state 4 on day 1 (Non-CHG)</v>
      </c>
      <c r="F1653" s="40">
        <f t="shared" si="244"/>
        <v>0</v>
      </c>
      <c r="G1653" s="156">
        <v>1</v>
      </c>
      <c r="H1653" s="120">
        <f>Tp_Non_CHG!L107</f>
        <v>0</v>
      </c>
      <c r="I1653" s="40" t="s">
        <v>58</v>
      </c>
      <c r="J1653" s="40">
        <f t="shared" si="241"/>
        <v>0</v>
      </c>
      <c r="K1653" s="40">
        <f t="shared" si="242"/>
        <v>0</v>
      </c>
      <c r="L1653" s="40" t="s">
        <v>58</v>
      </c>
      <c r="M1653" s="50" t="s">
        <v>266</v>
      </c>
      <c r="N1653" s="190"/>
      <c r="O1653" s="40">
        <f t="shared" ca="1" si="247"/>
        <v>0.37550191013744738</v>
      </c>
      <c r="P1653" s="51">
        <f t="shared" si="245"/>
        <v>0</v>
      </c>
      <c r="Q1653" s="51">
        <f t="shared" si="246"/>
        <v>0</v>
      </c>
      <c r="R1653" s="51">
        <f t="shared" si="243"/>
        <v>0</v>
      </c>
      <c r="S1653"/>
      <c r="T1653" s="83"/>
    </row>
    <row r="1654" spans="1:20" ht="16" x14ac:dyDescent="0.2">
      <c r="A1654"/>
      <c r="B1654" s="103"/>
      <c r="C1654" s="243"/>
      <c r="D1654" s="119">
        <v>1641</v>
      </c>
      <c r="E1654" s="25" t="str">
        <f>Tp_Non_CHG!I108</f>
        <v>Transition Probability from state 2 to state 4 on day 2 (Non-CHG)</v>
      </c>
      <c r="F1654" s="40">
        <f t="shared" si="244"/>
        <v>0</v>
      </c>
      <c r="G1654" s="156">
        <v>1</v>
      </c>
      <c r="H1654" s="120">
        <f>Tp_Non_CHG!L108</f>
        <v>0</v>
      </c>
      <c r="I1654" s="40" t="s">
        <v>58</v>
      </c>
      <c r="J1654" s="40">
        <f t="shared" si="241"/>
        <v>0</v>
      </c>
      <c r="K1654" s="40">
        <f t="shared" si="242"/>
        <v>0</v>
      </c>
      <c r="L1654" s="40" t="s">
        <v>58</v>
      </c>
      <c r="M1654" s="50" t="s">
        <v>266</v>
      </c>
      <c r="N1654" s="190"/>
      <c r="O1654" s="40">
        <f t="shared" ca="1" si="247"/>
        <v>0.88037809231220465</v>
      </c>
      <c r="P1654" s="51">
        <f t="shared" si="245"/>
        <v>0</v>
      </c>
      <c r="Q1654" s="51">
        <f t="shared" si="246"/>
        <v>0</v>
      </c>
      <c r="R1654" s="51">
        <f t="shared" si="243"/>
        <v>0</v>
      </c>
      <c r="S1654"/>
      <c r="T1654" s="83"/>
    </row>
    <row r="1655" spans="1:20" ht="16" x14ac:dyDescent="0.2">
      <c r="A1655"/>
      <c r="B1655" s="103"/>
      <c r="C1655" s="243"/>
      <c r="D1655" s="119">
        <v>1642</v>
      </c>
      <c r="E1655" s="25" t="str">
        <f>Tp_Non_CHG!I109</f>
        <v>Transition Probability from state 2 to state 4 on day 3 (Non-CHG)</v>
      </c>
      <c r="F1655" s="40">
        <f t="shared" si="244"/>
        <v>0</v>
      </c>
      <c r="G1655" s="156">
        <v>1</v>
      </c>
      <c r="H1655" s="120">
        <f>Tp_Non_CHG!L109</f>
        <v>0</v>
      </c>
      <c r="I1655" s="40" t="s">
        <v>58</v>
      </c>
      <c r="J1655" s="40">
        <f t="shared" si="241"/>
        <v>0</v>
      </c>
      <c r="K1655" s="40">
        <f t="shared" si="242"/>
        <v>0</v>
      </c>
      <c r="L1655" s="40" t="s">
        <v>58</v>
      </c>
      <c r="M1655" s="50" t="s">
        <v>266</v>
      </c>
      <c r="N1655" s="190"/>
      <c r="O1655" s="40">
        <f t="shared" ca="1" si="247"/>
        <v>0.63011963489513134</v>
      </c>
      <c r="P1655" s="51">
        <f t="shared" si="245"/>
        <v>0</v>
      </c>
      <c r="Q1655" s="51">
        <f t="shared" si="246"/>
        <v>0</v>
      </c>
      <c r="R1655" s="51">
        <f t="shared" si="243"/>
        <v>0</v>
      </c>
      <c r="S1655"/>
      <c r="T1655" s="83"/>
    </row>
    <row r="1656" spans="1:20" ht="16" x14ac:dyDescent="0.2">
      <c r="A1656"/>
      <c r="B1656" s="103"/>
      <c r="C1656" s="243"/>
      <c r="D1656" s="119">
        <v>1643</v>
      </c>
      <c r="E1656" s="25" t="str">
        <f>Tp_Non_CHG!I110</f>
        <v>Transition Probability from state 2 to state 4 on day 4 (Non-CHG)</v>
      </c>
      <c r="F1656" s="40">
        <f t="shared" si="244"/>
        <v>0</v>
      </c>
      <c r="G1656" s="156">
        <v>1</v>
      </c>
      <c r="H1656" s="120">
        <f>Tp_Non_CHG!L110</f>
        <v>0</v>
      </c>
      <c r="I1656" s="40" t="s">
        <v>58</v>
      </c>
      <c r="J1656" s="40">
        <f t="shared" si="241"/>
        <v>0</v>
      </c>
      <c r="K1656" s="40">
        <f t="shared" si="242"/>
        <v>0</v>
      </c>
      <c r="L1656" s="40" t="s">
        <v>58</v>
      </c>
      <c r="M1656" s="50" t="s">
        <v>266</v>
      </c>
      <c r="N1656" s="190"/>
      <c r="O1656" s="40">
        <f t="shared" ca="1" si="247"/>
        <v>0.61708148600509849</v>
      </c>
      <c r="P1656" s="51">
        <f t="shared" si="245"/>
        <v>0</v>
      </c>
      <c r="Q1656" s="51">
        <f t="shared" si="246"/>
        <v>0</v>
      </c>
      <c r="R1656" s="51">
        <f t="shared" si="243"/>
        <v>0</v>
      </c>
      <c r="S1656"/>
      <c r="T1656" s="83"/>
    </row>
    <row r="1657" spans="1:20" ht="16" x14ac:dyDescent="0.2">
      <c r="A1657"/>
      <c r="B1657" s="103"/>
      <c r="C1657" s="243"/>
      <c r="D1657" s="119">
        <v>1644</v>
      </c>
      <c r="E1657" s="25" t="str">
        <f>Tp_Non_CHG!I111</f>
        <v>Transition Probability from state 2 to state 4 on day 5 (Non-CHG)</v>
      </c>
      <c r="F1657" s="40">
        <f t="shared" si="244"/>
        <v>0</v>
      </c>
      <c r="G1657" s="156">
        <v>1</v>
      </c>
      <c r="H1657" s="120">
        <f>Tp_Non_CHG!L111</f>
        <v>0</v>
      </c>
      <c r="I1657" s="40" t="s">
        <v>58</v>
      </c>
      <c r="J1657" s="40">
        <f t="shared" si="241"/>
        <v>0</v>
      </c>
      <c r="K1657" s="40">
        <f t="shared" si="242"/>
        <v>0</v>
      </c>
      <c r="L1657" s="40" t="s">
        <v>58</v>
      </c>
      <c r="M1657" s="50" t="s">
        <v>266</v>
      </c>
      <c r="N1657" s="190"/>
      <c r="O1657" s="40">
        <f t="shared" ca="1" si="247"/>
        <v>0.99857015199558941</v>
      </c>
      <c r="P1657" s="51">
        <f t="shared" si="245"/>
        <v>0</v>
      </c>
      <c r="Q1657" s="51">
        <f t="shared" si="246"/>
        <v>0</v>
      </c>
      <c r="R1657" s="51">
        <f t="shared" si="243"/>
        <v>0</v>
      </c>
      <c r="S1657"/>
      <c r="T1657" s="83"/>
    </row>
    <row r="1658" spans="1:20" ht="16" x14ac:dyDescent="0.2">
      <c r="A1658"/>
      <c r="B1658" s="103"/>
      <c r="C1658" s="243"/>
      <c r="D1658" s="119">
        <v>1645</v>
      </c>
      <c r="E1658" s="25" t="str">
        <f>Tp_Non_CHG!I112</f>
        <v>Transition Probability from state 2 to state 4 on day 6 (Non-CHG)</v>
      </c>
      <c r="F1658" s="40">
        <f t="shared" si="244"/>
        <v>0</v>
      </c>
      <c r="G1658" s="156">
        <v>1</v>
      </c>
      <c r="H1658" s="120">
        <f>Tp_Non_CHG!L112</f>
        <v>0</v>
      </c>
      <c r="I1658" s="40" t="s">
        <v>58</v>
      </c>
      <c r="J1658" s="40">
        <f t="shared" si="241"/>
        <v>0</v>
      </c>
      <c r="K1658" s="40">
        <f t="shared" si="242"/>
        <v>0</v>
      </c>
      <c r="L1658" s="40" t="s">
        <v>58</v>
      </c>
      <c r="M1658" s="50" t="s">
        <v>266</v>
      </c>
      <c r="N1658" s="190"/>
      <c r="O1658" s="40">
        <f t="shared" ca="1" si="247"/>
        <v>0.4293384562074708</v>
      </c>
      <c r="P1658" s="51">
        <f t="shared" si="245"/>
        <v>0</v>
      </c>
      <c r="Q1658" s="51">
        <f t="shared" si="246"/>
        <v>0</v>
      </c>
      <c r="R1658" s="51">
        <f t="shared" si="243"/>
        <v>0</v>
      </c>
      <c r="S1658"/>
      <c r="T1658" s="83"/>
    </row>
    <row r="1659" spans="1:20" ht="16" x14ac:dyDescent="0.2">
      <c r="A1659"/>
      <c r="B1659" s="103"/>
      <c r="C1659" s="243"/>
      <c r="D1659" s="119">
        <v>1646</v>
      </c>
      <c r="E1659" s="25" t="str">
        <f>Tp_Non_CHG!I113</f>
        <v>Transition Probability from state 2 to state 4 on day 7 (Non-CHG)</v>
      </c>
      <c r="F1659" s="40">
        <f t="shared" si="244"/>
        <v>0</v>
      </c>
      <c r="G1659" s="156">
        <v>1</v>
      </c>
      <c r="H1659" s="120">
        <f>Tp_Non_CHG!L113</f>
        <v>0</v>
      </c>
      <c r="I1659" s="40" t="s">
        <v>58</v>
      </c>
      <c r="J1659" s="40">
        <f t="shared" si="241"/>
        <v>0</v>
      </c>
      <c r="K1659" s="40">
        <f t="shared" si="242"/>
        <v>0</v>
      </c>
      <c r="L1659" s="40" t="s">
        <v>58</v>
      </c>
      <c r="M1659" s="50" t="s">
        <v>266</v>
      </c>
      <c r="N1659" s="190"/>
      <c r="O1659" s="40">
        <f t="shared" ca="1" si="247"/>
        <v>0.20661325202584424</v>
      </c>
      <c r="P1659" s="51">
        <f t="shared" si="245"/>
        <v>0</v>
      </c>
      <c r="Q1659" s="51">
        <f t="shared" si="246"/>
        <v>0</v>
      </c>
      <c r="R1659" s="51">
        <f t="shared" si="243"/>
        <v>0</v>
      </c>
      <c r="S1659"/>
      <c r="T1659" s="83"/>
    </row>
    <row r="1660" spans="1:20" ht="16" x14ac:dyDescent="0.2">
      <c r="A1660"/>
      <c r="B1660" s="103"/>
      <c r="C1660" s="243"/>
      <c r="D1660" s="119">
        <v>1647</v>
      </c>
      <c r="E1660" s="25" t="str">
        <f>Tp_Non_CHG!I114</f>
        <v>Transition Probability from state 2 to state 4 on day 8 (Non-CHG)</v>
      </c>
      <c r="F1660" s="40">
        <f t="shared" si="244"/>
        <v>0</v>
      </c>
      <c r="G1660" s="156">
        <v>1</v>
      </c>
      <c r="H1660" s="120">
        <f>Tp_Non_CHG!L114</f>
        <v>0</v>
      </c>
      <c r="I1660" s="40" t="s">
        <v>58</v>
      </c>
      <c r="J1660" s="40">
        <f t="shared" si="241"/>
        <v>0</v>
      </c>
      <c r="K1660" s="40">
        <f t="shared" si="242"/>
        <v>0</v>
      </c>
      <c r="L1660" s="40" t="s">
        <v>58</v>
      </c>
      <c r="M1660" s="50" t="s">
        <v>266</v>
      </c>
      <c r="N1660" s="190"/>
      <c r="O1660" s="40">
        <f t="shared" ca="1" si="247"/>
        <v>0.75372262770438136</v>
      </c>
      <c r="P1660" s="51">
        <f t="shared" si="245"/>
        <v>0</v>
      </c>
      <c r="Q1660" s="51">
        <f t="shared" si="246"/>
        <v>0</v>
      </c>
      <c r="R1660" s="51">
        <f t="shared" si="243"/>
        <v>0</v>
      </c>
      <c r="S1660"/>
      <c r="T1660" s="83"/>
    </row>
    <row r="1661" spans="1:20" ht="16" x14ac:dyDescent="0.2">
      <c r="A1661"/>
      <c r="B1661" s="103"/>
      <c r="C1661" s="243"/>
      <c r="D1661" s="119">
        <v>1648</v>
      </c>
      <c r="E1661" s="25" t="str">
        <f>Tp_Non_CHG!I115</f>
        <v>Transition Probability from state 2 to state 4 on day 9 (Non-CHG)</v>
      </c>
      <c r="F1661" s="40">
        <f t="shared" si="244"/>
        <v>0</v>
      </c>
      <c r="G1661" s="156">
        <v>1</v>
      </c>
      <c r="H1661" s="120">
        <f>Tp_Non_CHG!L115</f>
        <v>0</v>
      </c>
      <c r="I1661" s="40" t="s">
        <v>58</v>
      </c>
      <c r="J1661" s="40">
        <f t="shared" si="241"/>
        <v>0</v>
      </c>
      <c r="K1661" s="40">
        <f t="shared" si="242"/>
        <v>0</v>
      </c>
      <c r="L1661" s="40" t="s">
        <v>58</v>
      </c>
      <c r="M1661" s="50" t="s">
        <v>266</v>
      </c>
      <c r="N1661" s="190"/>
      <c r="O1661" s="40">
        <f t="shared" ca="1" si="247"/>
        <v>0.84116249702714063</v>
      </c>
      <c r="P1661" s="51">
        <f t="shared" si="245"/>
        <v>0</v>
      </c>
      <c r="Q1661" s="51">
        <f t="shared" si="246"/>
        <v>0</v>
      </c>
      <c r="R1661" s="51">
        <f t="shared" si="243"/>
        <v>0</v>
      </c>
      <c r="S1661"/>
      <c r="T1661" s="83"/>
    </row>
    <row r="1662" spans="1:20" ht="16" x14ac:dyDescent="0.2">
      <c r="A1662"/>
      <c r="B1662" s="103"/>
      <c r="C1662" s="243"/>
      <c r="D1662" s="119">
        <v>1649</v>
      </c>
      <c r="E1662" s="25" t="str">
        <f>Tp_Non_CHG!I116</f>
        <v>Transition Probability from state 2 to state 4 on day 10 (Non-CHG)</v>
      </c>
      <c r="F1662" s="40">
        <f t="shared" si="244"/>
        <v>0</v>
      </c>
      <c r="G1662" s="156">
        <v>1</v>
      </c>
      <c r="H1662" s="120">
        <f>Tp_Non_CHG!L116</f>
        <v>0</v>
      </c>
      <c r="I1662" s="40" t="s">
        <v>58</v>
      </c>
      <c r="J1662" s="40">
        <f t="shared" si="241"/>
        <v>0</v>
      </c>
      <c r="K1662" s="40">
        <f t="shared" si="242"/>
        <v>0</v>
      </c>
      <c r="L1662" s="40" t="s">
        <v>58</v>
      </c>
      <c r="M1662" s="50" t="s">
        <v>266</v>
      </c>
      <c r="N1662" s="190"/>
      <c r="O1662" s="40">
        <f t="shared" ca="1" si="247"/>
        <v>0.5079185017163107</v>
      </c>
      <c r="P1662" s="51">
        <f t="shared" si="245"/>
        <v>0</v>
      </c>
      <c r="Q1662" s="51">
        <f t="shared" si="246"/>
        <v>0</v>
      </c>
      <c r="R1662" s="51">
        <f t="shared" si="243"/>
        <v>0</v>
      </c>
      <c r="S1662"/>
      <c r="T1662" s="83"/>
    </row>
    <row r="1663" spans="1:20" ht="16" x14ac:dyDescent="0.2">
      <c r="A1663"/>
      <c r="B1663" s="103"/>
      <c r="C1663" s="243"/>
      <c r="D1663" s="119">
        <v>1650</v>
      </c>
      <c r="E1663" s="25" t="str">
        <f>Tp_Non_CHG!I117</f>
        <v>Transition Probability from state 2 to state 4 on day 11 (Non-CHG)</v>
      </c>
      <c r="F1663" s="40">
        <f t="shared" si="244"/>
        <v>0</v>
      </c>
      <c r="G1663" s="156">
        <v>1</v>
      </c>
      <c r="H1663" s="120">
        <f>Tp_Non_CHG!L117</f>
        <v>0</v>
      </c>
      <c r="I1663" s="40" t="s">
        <v>58</v>
      </c>
      <c r="J1663" s="40">
        <f t="shared" si="241"/>
        <v>0</v>
      </c>
      <c r="K1663" s="40">
        <f t="shared" si="242"/>
        <v>0</v>
      </c>
      <c r="L1663" s="40" t="s">
        <v>58</v>
      </c>
      <c r="M1663" s="50" t="s">
        <v>266</v>
      </c>
      <c r="N1663" s="190"/>
      <c r="O1663" s="40">
        <f t="shared" ca="1" si="247"/>
        <v>0.9952387797070944</v>
      </c>
      <c r="P1663" s="51">
        <f t="shared" si="245"/>
        <v>0</v>
      </c>
      <c r="Q1663" s="51">
        <f t="shared" si="246"/>
        <v>0</v>
      </c>
      <c r="R1663" s="51">
        <f t="shared" si="243"/>
        <v>0</v>
      </c>
      <c r="S1663"/>
      <c r="T1663" s="83"/>
    </row>
    <row r="1664" spans="1:20" ht="16" x14ac:dyDescent="0.2">
      <c r="A1664"/>
      <c r="B1664" s="103"/>
      <c r="C1664" s="243"/>
      <c r="D1664" s="119">
        <v>1651</v>
      </c>
      <c r="E1664" s="25" t="str">
        <f>Tp_Non_CHG!I118</f>
        <v>Transition Probability from state 2 to state 4 on day 12 (Non-CHG)</v>
      </c>
      <c r="F1664" s="40">
        <f t="shared" si="244"/>
        <v>0</v>
      </c>
      <c r="G1664" s="156">
        <v>1</v>
      </c>
      <c r="H1664" s="120">
        <f>Tp_Non_CHG!L118</f>
        <v>0</v>
      </c>
      <c r="I1664" s="40" t="s">
        <v>58</v>
      </c>
      <c r="J1664" s="40">
        <f t="shared" si="241"/>
        <v>0</v>
      </c>
      <c r="K1664" s="40">
        <f t="shared" si="242"/>
        <v>0</v>
      </c>
      <c r="L1664" s="40" t="s">
        <v>58</v>
      </c>
      <c r="M1664" s="50" t="s">
        <v>266</v>
      </c>
      <c r="N1664" s="190"/>
      <c r="O1664" s="40">
        <f t="shared" ca="1" si="247"/>
        <v>0.78631024549479267</v>
      </c>
      <c r="P1664" s="51">
        <f t="shared" si="245"/>
        <v>0</v>
      </c>
      <c r="Q1664" s="51">
        <f t="shared" si="246"/>
        <v>0</v>
      </c>
      <c r="R1664" s="51">
        <f t="shared" si="243"/>
        <v>0</v>
      </c>
      <c r="S1664"/>
      <c r="T1664" s="83"/>
    </row>
    <row r="1665" spans="1:20" ht="16" x14ac:dyDescent="0.2">
      <c r="A1665"/>
      <c r="B1665" s="103"/>
      <c r="C1665" s="243"/>
      <c r="D1665" s="119">
        <v>1652</v>
      </c>
      <c r="E1665" s="25" t="str">
        <f>Tp_Non_CHG!I119</f>
        <v>Transition Probability from state 2 to state 4 on day 13 (Non-CHG)</v>
      </c>
      <c r="F1665" s="40">
        <f t="shared" si="244"/>
        <v>0</v>
      </c>
      <c r="G1665" s="156">
        <v>1</v>
      </c>
      <c r="H1665" s="120">
        <f>Tp_Non_CHG!L119</f>
        <v>0</v>
      </c>
      <c r="I1665" s="40" t="s">
        <v>58</v>
      </c>
      <c r="J1665" s="40">
        <f t="shared" ref="J1665:J1728" si="248">IF(H1665=0,0,_xlfn.NORM.INV(0.025,H1665,R1665))</f>
        <v>0</v>
      </c>
      <c r="K1665" s="40">
        <f t="shared" ref="K1665:K1728" si="249">IF(H1665=0,0,_xlfn.NORM.INV(0.975,H1665,R1665))</f>
        <v>0</v>
      </c>
      <c r="L1665" s="40" t="s">
        <v>58</v>
      </c>
      <c r="M1665" s="50" t="s">
        <v>266</v>
      </c>
      <c r="N1665" s="190"/>
      <c r="O1665" s="40">
        <f t="shared" ca="1" si="247"/>
        <v>0.88878180207385626</v>
      </c>
      <c r="P1665" s="51">
        <f t="shared" si="245"/>
        <v>0</v>
      </c>
      <c r="Q1665" s="51">
        <f t="shared" si="246"/>
        <v>0</v>
      </c>
      <c r="R1665" s="51">
        <f t="shared" ref="R1665:R1728" si="250">assumedSE*H1665</f>
        <v>0</v>
      </c>
      <c r="S1665"/>
      <c r="T1665" s="83"/>
    </row>
    <row r="1666" spans="1:20" ht="16" x14ac:dyDescent="0.2">
      <c r="A1666"/>
      <c r="B1666" s="103"/>
      <c r="C1666" s="243"/>
      <c r="D1666" s="119">
        <v>1653</v>
      </c>
      <c r="E1666" s="25" t="str">
        <f>Tp_Non_CHG!I120</f>
        <v>Transition Probability from state 2 to state 4 on day 14 (Non-CHG)</v>
      </c>
      <c r="F1666" s="40">
        <f t="shared" si="244"/>
        <v>0</v>
      </c>
      <c r="G1666" s="156">
        <v>1</v>
      </c>
      <c r="H1666" s="120">
        <f>Tp_Non_CHG!L120</f>
        <v>0</v>
      </c>
      <c r="I1666" s="40" t="s">
        <v>58</v>
      </c>
      <c r="J1666" s="40">
        <f t="shared" si="248"/>
        <v>0</v>
      </c>
      <c r="K1666" s="40">
        <f t="shared" si="249"/>
        <v>0</v>
      </c>
      <c r="L1666" s="40" t="s">
        <v>58</v>
      </c>
      <c r="M1666" s="50" t="s">
        <v>266</v>
      </c>
      <c r="N1666" s="190"/>
      <c r="O1666" s="40">
        <f t="shared" ca="1" si="247"/>
        <v>0.95607979692442113</v>
      </c>
      <c r="P1666" s="51">
        <f t="shared" si="245"/>
        <v>0</v>
      </c>
      <c r="Q1666" s="51">
        <f t="shared" si="246"/>
        <v>0</v>
      </c>
      <c r="R1666" s="51">
        <f t="shared" si="250"/>
        <v>0</v>
      </c>
      <c r="S1666"/>
      <c r="T1666" s="83"/>
    </row>
    <row r="1667" spans="1:20" ht="16" x14ac:dyDescent="0.2">
      <c r="A1667"/>
      <c r="B1667" s="103"/>
      <c r="C1667" s="243"/>
      <c r="D1667" s="119">
        <v>1654</v>
      </c>
      <c r="E1667" s="25" t="str">
        <f>Tp_Non_CHG!I121</f>
        <v>Transition Probability from state 2 to state 4 on day 15 (Non-CHG)</v>
      </c>
      <c r="F1667" s="40">
        <f t="shared" si="244"/>
        <v>0</v>
      </c>
      <c r="G1667" s="156">
        <v>1</v>
      </c>
      <c r="H1667" s="120">
        <f>Tp_Non_CHG!L121</f>
        <v>0</v>
      </c>
      <c r="I1667" s="40" t="s">
        <v>58</v>
      </c>
      <c r="J1667" s="40">
        <f t="shared" si="248"/>
        <v>0</v>
      </c>
      <c r="K1667" s="40">
        <f t="shared" si="249"/>
        <v>0</v>
      </c>
      <c r="L1667" s="40" t="s">
        <v>58</v>
      </c>
      <c r="M1667" s="50" t="s">
        <v>266</v>
      </c>
      <c r="N1667" s="190"/>
      <c r="O1667" s="40">
        <f t="shared" ca="1" si="247"/>
        <v>0.70032743766080763</v>
      </c>
      <c r="P1667" s="51">
        <f t="shared" si="245"/>
        <v>0</v>
      </c>
      <c r="Q1667" s="51">
        <f t="shared" si="246"/>
        <v>0</v>
      </c>
      <c r="R1667" s="51">
        <f t="shared" si="250"/>
        <v>0</v>
      </c>
      <c r="S1667"/>
      <c r="T1667" s="83"/>
    </row>
    <row r="1668" spans="1:20" ht="16" x14ac:dyDescent="0.2">
      <c r="A1668"/>
      <c r="B1668" s="103"/>
      <c r="C1668" s="243"/>
      <c r="D1668" s="119">
        <v>1655</v>
      </c>
      <c r="E1668" s="25" t="str">
        <f>Tp_Non_CHG!I122</f>
        <v>Transition Probability from state 2 to state 4 on day 16 (Non-CHG)</v>
      </c>
      <c r="F1668" s="40">
        <f t="shared" si="244"/>
        <v>0</v>
      </c>
      <c r="G1668" s="156">
        <v>1</v>
      </c>
      <c r="H1668" s="120">
        <f>Tp_Non_CHG!L122</f>
        <v>0</v>
      </c>
      <c r="I1668" s="40" t="s">
        <v>58</v>
      </c>
      <c r="J1668" s="40">
        <f t="shared" si="248"/>
        <v>0</v>
      </c>
      <c r="K1668" s="40">
        <f t="shared" si="249"/>
        <v>0</v>
      </c>
      <c r="L1668" s="40" t="s">
        <v>58</v>
      </c>
      <c r="M1668" s="50" t="s">
        <v>266</v>
      </c>
      <c r="N1668" s="190"/>
      <c r="O1668" s="40">
        <f t="shared" ca="1" si="247"/>
        <v>0.49371307447052493</v>
      </c>
      <c r="P1668" s="51">
        <f t="shared" si="245"/>
        <v>0</v>
      </c>
      <c r="Q1668" s="51">
        <f t="shared" si="246"/>
        <v>0</v>
      </c>
      <c r="R1668" s="51">
        <f t="shared" si="250"/>
        <v>0</v>
      </c>
      <c r="S1668"/>
      <c r="T1668" s="83"/>
    </row>
    <row r="1669" spans="1:20" ht="16" x14ac:dyDescent="0.2">
      <c r="A1669"/>
      <c r="B1669" s="103"/>
      <c r="C1669" s="243"/>
      <c r="D1669" s="119">
        <v>1656</v>
      </c>
      <c r="E1669" s="25" t="str">
        <f>Tp_Non_CHG!I123</f>
        <v>Transition Probability from state 2 to state 4 on day 17 (Non-CHG)</v>
      </c>
      <c r="F1669" s="40">
        <f t="shared" si="244"/>
        <v>0</v>
      </c>
      <c r="G1669" s="156">
        <v>1</v>
      </c>
      <c r="H1669" s="120">
        <f>Tp_Non_CHG!L123</f>
        <v>0</v>
      </c>
      <c r="I1669" s="40" t="s">
        <v>58</v>
      </c>
      <c r="J1669" s="40">
        <f t="shared" si="248"/>
        <v>0</v>
      </c>
      <c r="K1669" s="40">
        <f t="shared" si="249"/>
        <v>0</v>
      </c>
      <c r="L1669" s="40" t="s">
        <v>58</v>
      </c>
      <c r="M1669" s="50" t="s">
        <v>266</v>
      </c>
      <c r="N1669" s="190"/>
      <c r="O1669" s="40">
        <f t="shared" ca="1" si="247"/>
        <v>0.47158305777916909</v>
      </c>
      <c r="P1669" s="51">
        <f t="shared" si="245"/>
        <v>0</v>
      </c>
      <c r="Q1669" s="51">
        <f t="shared" si="246"/>
        <v>0</v>
      </c>
      <c r="R1669" s="51">
        <f t="shared" si="250"/>
        <v>0</v>
      </c>
      <c r="S1669"/>
      <c r="T1669" s="83"/>
    </row>
    <row r="1670" spans="1:20" ht="16" x14ac:dyDescent="0.2">
      <c r="A1670"/>
      <c r="B1670" s="103"/>
      <c r="C1670" s="243"/>
      <c r="D1670" s="119">
        <v>1657</v>
      </c>
      <c r="E1670" s="25" t="str">
        <f>Tp_Non_CHG!I124</f>
        <v>Transition Probability from state 2 to state 4 on day 18 (Non-CHG)</v>
      </c>
      <c r="F1670" s="40">
        <f t="shared" si="244"/>
        <v>0</v>
      </c>
      <c r="G1670" s="156">
        <v>1</v>
      </c>
      <c r="H1670" s="120">
        <f>Tp_Non_CHG!L124</f>
        <v>0</v>
      </c>
      <c r="I1670" s="40" t="s">
        <v>58</v>
      </c>
      <c r="J1670" s="40">
        <f t="shared" si="248"/>
        <v>0</v>
      </c>
      <c r="K1670" s="40">
        <f t="shared" si="249"/>
        <v>0</v>
      </c>
      <c r="L1670" s="40" t="s">
        <v>58</v>
      </c>
      <c r="M1670" s="50" t="s">
        <v>266</v>
      </c>
      <c r="N1670" s="190"/>
      <c r="O1670" s="40">
        <f t="shared" ca="1" si="247"/>
        <v>0.2821936689759309</v>
      </c>
      <c r="P1670" s="51">
        <f t="shared" si="245"/>
        <v>0</v>
      </c>
      <c r="Q1670" s="51">
        <f t="shared" si="246"/>
        <v>0</v>
      </c>
      <c r="R1670" s="51">
        <f t="shared" si="250"/>
        <v>0</v>
      </c>
      <c r="S1670"/>
      <c r="T1670" s="83"/>
    </row>
    <row r="1671" spans="1:20" ht="16" x14ac:dyDescent="0.2">
      <c r="A1671"/>
      <c r="B1671" s="103"/>
      <c r="C1671" s="243"/>
      <c r="D1671" s="119">
        <v>1658</v>
      </c>
      <c r="E1671" s="25" t="str">
        <f>Tp_Non_CHG!I125</f>
        <v>Transition Probability from state 2 to state 4 on day 19 (Non-CHG)</v>
      </c>
      <c r="F1671" s="40">
        <f t="shared" si="244"/>
        <v>0</v>
      </c>
      <c r="G1671" s="156">
        <v>1</v>
      </c>
      <c r="H1671" s="120">
        <f>Tp_Non_CHG!L125</f>
        <v>0</v>
      </c>
      <c r="I1671" s="40" t="s">
        <v>58</v>
      </c>
      <c r="J1671" s="40">
        <f t="shared" si="248"/>
        <v>0</v>
      </c>
      <c r="K1671" s="40">
        <f t="shared" si="249"/>
        <v>0</v>
      </c>
      <c r="L1671" s="40" t="s">
        <v>58</v>
      </c>
      <c r="M1671" s="50" t="s">
        <v>266</v>
      </c>
      <c r="N1671" s="190"/>
      <c r="O1671" s="40">
        <f t="shared" ca="1" si="247"/>
        <v>0.3781009399793408</v>
      </c>
      <c r="P1671" s="51">
        <f t="shared" si="245"/>
        <v>0</v>
      </c>
      <c r="Q1671" s="51">
        <f t="shared" si="246"/>
        <v>0</v>
      </c>
      <c r="R1671" s="51">
        <f t="shared" si="250"/>
        <v>0</v>
      </c>
      <c r="S1671"/>
      <c r="T1671" s="83"/>
    </row>
    <row r="1672" spans="1:20" ht="16" x14ac:dyDescent="0.2">
      <c r="A1672"/>
      <c r="B1672" s="103"/>
      <c r="C1672" s="243"/>
      <c r="D1672" s="119">
        <v>1659</v>
      </c>
      <c r="E1672" s="25" t="str">
        <f>Tp_Non_CHG!I126</f>
        <v>Transition Probability from state 2 to state 4 on day 20 (Non-CHG)</v>
      </c>
      <c r="F1672" s="40">
        <f t="shared" si="244"/>
        <v>0</v>
      </c>
      <c r="G1672" s="156">
        <v>1</v>
      </c>
      <c r="H1672" s="120">
        <f>Tp_Non_CHG!L126</f>
        <v>0</v>
      </c>
      <c r="I1672" s="40" t="s">
        <v>58</v>
      </c>
      <c r="J1672" s="40">
        <f t="shared" si="248"/>
        <v>0</v>
      </c>
      <c r="K1672" s="40">
        <f t="shared" si="249"/>
        <v>0</v>
      </c>
      <c r="L1672" s="40" t="s">
        <v>58</v>
      </c>
      <c r="M1672" s="50" t="s">
        <v>266</v>
      </c>
      <c r="N1672" s="190"/>
      <c r="O1672" s="40">
        <f t="shared" ca="1" si="247"/>
        <v>0.22210254715652478</v>
      </c>
      <c r="P1672" s="51">
        <f t="shared" si="245"/>
        <v>0</v>
      </c>
      <c r="Q1672" s="51">
        <f t="shared" si="246"/>
        <v>0</v>
      </c>
      <c r="R1672" s="51">
        <f t="shared" si="250"/>
        <v>0</v>
      </c>
      <c r="S1672"/>
      <c r="T1672" s="83"/>
    </row>
    <row r="1673" spans="1:20" ht="16" x14ac:dyDescent="0.2">
      <c r="A1673"/>
      <c r="B1673" s="103"/>
      <c r="C1673" s="243"/>
      <c r="D1673" s="119">
        <v>1660</v>
      </c>
      <c r="E1673" s="25" t="str">
        <f>Tp_Non_CHG!I127</f>
        <v>Transition Probability from state 2 to state 4 on day 21 (Non-CHG)</v>
      </c>
      <c r="F1673" s="40">
        <f t="shared" si="244"/>
        <v>0</v>
      </c>
      <c r="G1673" s="156">
        <v>1</v>
      </c>
      <c r="H1673" s="120">
        <f>Tp_Non_CHG!L127</f>
        <v>0</v>
      </c>
      <c r="I1673" s="40" t="s">
        <v>58</v>
      </c>
      <c r="J1673" s="40">
        <f t="shared" si="248"/>
        <v>0</v>
      </c>
      <c r="K1673" s="40">
        <f t="shared" si="249"/>
        <v>0</v>
      </c>
      <c r="L1673" s="40" t="s">
        <v>58</v>
      </c>
      <c r="M1673" s="50" t="s">
        <v>266</v>
      </c>
      <c r="N1673" s="190"/>
      <c r="O1673" s="40">
        <f t="shared" ca="1" si="247"/>
        <v>0.35699176518916498</v>
      </c>
      <c r="P1673" s="51">
        <f t="shared" si="245"/>
        <v>0</v>
      </c>
      <c r="Q1673" s="51">
        <f t="shared" si="246"/>
        <v>0</v>
      </c>
      <c r="R1673" s="51">
        <f t="shared" si="250"/>
        <v>0</v>
      </c>
      <c r="S1673"/>
      <c r="T1673" s="83"/>
    </row>
    <row r="1674" spans="1:20" ht="16" x14ac:dyDescent="0.2">
      <c r="A1674"/>
      <c r="B1674" s="103"/>
      <c r="C1674" s="243"/>
      <c r="D1674" s="119">
        <v>1661</v>
      </c>
      <c r="E1674" s="25" t="str">
        <f>Tp_Non_CHG!I128</f>
        <v>Transition Probability from state 2 to state 4 on day 22 (Non-CHG)</v>
      </c>
      <c r="F1674" s="40">
        <f t="shared" si="244"/>
        <v>0</v>
      </c>
      <c r="G1674" s="156">
        <v>1</v>
      </c>
      <c r="H1674" s="120">
        <f>Tp_Non_CHG!L128</f>
        <v>0</v>
      </c>
      <c r="I1674" s="40" t="s">
        <v>58</v>
      </c>
      <c r="J1674" s="40">
        <f t="shared" si="248"/>
        <v>0</v>
      </c>
      <c r="K1674" s="40">
        <f t="shared" si="249"/>
        <v>0</v>
      </c>
      <c r="L1674" s="40" t="s">
        <v>58</v>
      </c>
      <c r="M1674" s="50" t="s">
        <v>266</v>
      </c>
      <c r="N1674" s="190"/>
      <c r="O1674" s="40">
        <f t="shared" ca="1" si="247"/>
        <v>0.96803551171775615</v>
      </c>
      <c r="P1674" s="51">
        <f t="shared" si="245"/>
        <v>0</v>
      </c>
      <c r="Q1674" s="51">
        <f t="shared" si="246"/>
        <v>0</v>
      </c>
      <c r="R1674" s="51">
        <f t="shared" si="250"/>
        <v>0</v>
      </c>
      <c r="S1674"/>
      <c r="T1674" s="83"/>
    </row>
    <row r="1675" spans="1:20" ht="16" x14ac:dyDescent="0.2">
      <c r="A1675"/>
      <c r="B1675" s="103"/>
      <c r="C1675" s="243"/>
      <c r="D1675" s="119">
        <v>1662</v>
      </c>
      <c r="E1675" s="25" t="str">
        <f>Tp_Non_CHG!I129</f>
        <v>Transition Probability from state 2 to state 4 on day 23 (Non-CHG)</v>
      </c>
      <c r="F1675" s="40">
        <f t="shared" si="244"/>
        <v>0</v>
      </c>
      <c r="G1675" s="156">
        <v>1</v>
      </c>
      <c r="H1675" s="120">
        <f>Tp_Non_CHG!L129</f>
        <v>0</v>
      </c>
      <c r="I1675" s="40" t="s">
        <v>58</v>
      </c>
      <c r="J1675" s="40">
        <f t="shared" si="248"/>
        <v>0</v>
      </c>
      <c r="K1675" s="40">
        <f t="shared" si="249"/>
        <v>0</v>
      </c>
      <c r="L1675" s="40" t="s">
        <v>58</v>
      </c>
      <c r="M1675" s="50" t="s">
        <v>266</v>
      </c>
      <c r="N1675" s="190"/>
      <c r="O1675" s="40">
        <f t="shared" ca="1" si="247"/>
        <v>0.35560672290176698</v>
      </c>
      <c r="P1675" s="51">
        <f t="shared" si="245"/>
        <v>0</v>
      </c>
      <c r="Q1675" s="51">
        <f t="shared" si="246"/>
        <v>0</v>
      </c>
      <c r="R1675" s="51">
        <f t="shared" si="250"/>
        <v>0</v>
      </c>
      <c r="S1675"/>
      <c r="T1675" s="83"/>
    </row>
    <row r="1676" spans="1:20" ht="16" x14ac:dyDescent="0.2">
      <c r="A1676"/>
      <c r="B1676" s="103"/>
      <c r="C1676" s="243"/>
      <c r="D1676" s="119">
        <v>1663</v>
      </c>
      <c r="E1676" s="25" t="str">
        <f>Tp_Non_CHG!I130</f>
        <v>Transition Probability from state 2 to state 4 on day 24 (Non-CHG)</v>
      </c>
      <c r="F1676" s="40">
        <f t="shared" si="244"/>
        <v>0</v>
      </c>
      <c r="G1676" s="156">
        <v>1</v>
      </c>
      <c r="H1676" s="120">
        <f>Tp_Non_CHG!L130</f>
        <v>0</v>
      </c>
      <c r="I1676" s="40" t="s">
        <v>58</v>
      </c>
      <c r="J1676" s="40">
        <f t="shared" si="248"/>
        <v>0</v>
      </c>
      <c r="K1676" s="40">
        <f t="shared" si="249"/>
        <v>0</v>
      </c>
      <c r="L1676" s="40" t="s">
        <v>58</v>
      </c>
      <c r="M1676" s="50" t="s">
        <v>266</v>
      </c>
      <c r="N1676" s="190"/>
      <c r="O1676" s="40">
        <f t="shared" ca="1" si="247"/>
        <v>0.92486962470215262</v>
      </c>
      <c r="P1676" s="51">
        <f t="shared" si="245"/>
        <v>0</v>
      </c>
      <c r="Q1676" s="51">
        <f t="shared" si="246"/>
        <v>0</v>
      </c>
      <c r="R1676" s="51">
        <f t="shared" si="250"/>
        <v>0</v>
      </c>
      <c r="S1676"/>
      <c r="T1676" s="83"/>
    </row>
    <row r="1677" spans="1:20" ht="16" x14ac:dyDescent="0.2">
      <c r="A1677"/>
      <c r="B1677" s="103"/>
      <c r="C1677" s="243"/>
      <c r="D1677" s="119">
        <v>1664</v>
      </c>
      <c r="E1677" s="25" t="str">
        <f>Tp_Non_CHG!I131</f>
        <v>Transition Probability from state 2 to state 4 on day 25 (Non-CHG)</v>
      </c>
      <c r="F1677" s="40">
        <f t="shared" si="244"/>
        <v>0</v>
      </c>
      <c r="G1677" s="156">
        <v>1</v>
      </c>
      <c r="H1677" s="120">
        <f>Tp_Non_CHG!L131</f>
        <v>0</v>
      </c>
      <c r="I1677" s="40" t="s">
        <v>58</v>
      </c>
      <c r="J1677" s="40">
        <f t="shared" si="248"/>
        <v>0</v>
      </c>
      <c r="K1677" s="40">
        <f t="shared" si="249"/>
        <v>0</v>
      </c>
      <c r="L1677" s="40" t="s">
        <v>58</v>
      </c>
      <c r="M1677" s="50" t="s">
        <v>266</v>
      </c>
      <c r="N1677" s="190"/>
      <c r="O1677" s="40">
        <f t="shared" ca="1" si="247"/>
        <v>0.66545515482318218</v>
      </c>
      <c r="P1677" s="51">
        <f t="shared" si="245"/>
        <v>0</v>
      </c>
      <c r="Q1677" s="51">
        <f t="shared" si="246"/>
        <v>0</v>
      </c>
      <c r="R1677" s="51">
        <f t="shared" si="250"/>
        <v>0</v>
      </c>
      <c r="S1677"/>
      <c r="T1677" s="83"/>
    </row>
    <row r="1678" spans="1:20" ht="16" x14ac:dyDescent="0.2">
      <c r="A1678"/>
      <c r="B1678" s="103"/>
      <c r="C1678" s="243"/>
      <c r="D1678" s="119">
        <v>1665</v>
      </c>
      <c r="E1678" s="25" t="str">
        <f>Tp_Non_CHG!I132</f>
        <v>Transition Probability from state 2 to state 4 on day 26 (Non-CHG)</v>
      </c>
      <c r="F1678" s="40">
        <f t="shared" si="244"/>
        <v>0</v>
      </c>
      <c r="G1678" s="156">
        <v>1</v>
      </c>
      <c r="H1678" s="120">
        <f>Tp_Non_CHG!L132</f>
        <v>0</v>
      </c>
      <c r="I1678" s="40" t="s">
        <v>58</v>
      </c>
      <c r="J1678" s="40">
        <f t="shared" si="248"/>
        <v>0</v>
      </c>
      <c r="K1678" s="40">
        <f t="shared" si="249"/>
        <v>0</v>
      </c>
      <c r="L1678" s="40" t="s">
        <v>58</v>
      </c>
      <c r="M1678" s="50" t="s">
        <v>266</v>
      </c>
      <c r="N1678" s="190"/>
      <c r="O1678" s="40">
        <f t="shared" ca="1" si="247"/>
        <v>0.41592748830385062</v>
      </c>
      <c r="P1678" s="51">
        <f t="shared" si="245"/>
        <v>0</v>
      </c>
      <c r="Q1678" s="51">
        <f t="shared" si="246"/>
        <v>0</v>
      </c>
      <c r="R1678" s="51">
        <f t="shared" si="250"/>
        <v>0</v>
      </c>
      <c r="S1678"/>
      <c r="T1678" s="83"/>
    </row>
    <row r="1679" spans="1:20" ht="16" x14ac:dyDescent="0.2">
      <c r="A1679"/>
      <c r="B1679" s="103"/>
      <c r="C1679" s="243"/>
      <c r="D1679" s="119">
        <v>1666</v>
      </c>
      <c r="E1679" s="25" t="str">
        <f>Tp_Non_CHG!I133</f>
        <v>Transition Probability from state 2 to state 4 on day 27 (Non-CHG)</v>
      </c>
      <c r="F1679" s="40">
        <f t="shared" ref="F1679:F1742" si="251">IFERROR(CHOOSE(G1679,H1679,J1679,K1679,N1679),0)</f>
        <v>0</v>
      </c>
      <c r="G1679" s="156">
        <v>1</v>
      </c>
      <c r="H1679" s="120">
        <f>Tp_Non_CHG!L133</f>
        <v>0</v>
      </c>
      <c r="I1679" s="40" t="s">
        <v>58</v>
      </c>
      <c r="J1679" s="40">
        <f t="shared" si="248"/>
        <v>0</v>
      </c>
      <c r="K1679" s="40">
        <f t="shared" si="249"/>
        <v>0</v>
      </c>
      <c r="L1679" s="40" t="s">
        <v>58</v>
      </c>
      <c r="M1679" s="50" t="s">
        <v>266</v>
      </c>
      <c r="N1679" s="190"/>
      <c r="O1679" s="40">
        <f t="shared" ca="1" si="247"/>
        <v>0.98172858096983062</v>
      </c>
      <c r="P1679" s="51">
        <f t="shared" si="245"/>
        <v>0</v>
      </c>
      <c r="Q1679" s="51">
        <f t="shared" si="246"/>
        <v>0</v>
      </c>
      <c r="R1679" s="51">
        <f t="shared" si="250"/>
        <v>0</v>
      </c>
      <c r="S1679"/>
      <c r="T1679" s="83"/>
    </row>
    <row r="1680" spans="1:20" ht="16" x14ac:dyDescent="0.2">
      <c r="A1680"/>
      <c r="B1680" s="103"/>
      <c r="C1680" s="243"/>
      <c r="D1680" s="119">
        <v>1667</v>
      </c>
      <c r="E1680" s="25" t="str">
        <f>Tp_Non_CHG!I134</f>
        <v>Transition Probability from state 2 to state 4 on day 28 (Non-CHG)</v>
      </c>
      <c r="F1680" s="40">
        <f t="shared" si="251"/>
        <v>0</v>
      </c>
      <c r="G1680" s="156">
        <v>1</v>
      </c>
      <c r="H1680" s="120">
        <f>Tp_Non_CHG!L134</f>
        <v>0</v>
      </c>
      <c r="I1680" s="40" t="s">
        <v>58</v>
      </c>
      <c r="J1680" s="40">
        <f t="shared" si="248"/>
        <v>0</v>
      </c>
      <c r="K1680" s="40">
        <f t="shared" si="249"/>
        <v>0</v>
      </c>
      <c r="L1680" s="40" t="s">
        <v>58</v>
      </c>
      <c r="M1680" s="50" t="s">
        <v>266</v>
      </c>
      <c r="N1680" s="190"/>
      <c r="O1680" s="40">
        <f t="shared" ca="1" si="247"/>
        <v>0.50952089625136132</v>
      </c>
      <c r="P1680" s="51">
        <f t="shared" si="245"/>
        <v>0</v>
      </c>
      <c r="Q1680" s="51">
        <f t="shared" si="246"/>
        <v>0</v>
      </c>
      <c r="R1680" s="51">
        <f t="shared" si="250"/>
        <v>0</v>
      </c>
      <c r="S1680"/>
      <c r="T1680" s="83"/>
    </row>
    <row r="1681" spans="1:20" ht="16" x14ac:dyDescent="0.2">
      <c r="A1681"/>
      <c r="B1681" s="103"/>
      <c r="C1681" s="243"/>
      <c r="D1681" s="119">
        <v>1668</v>
      </c>
      <c r="E1681" s="25" t="str">
        <f>Tp_Non_CHG!I135</f>
        <v>Transition Probability from state 2 to state 4 on day 29 (Non-CHG)</v>
      </c>
      <c r="F1681" s="40">
        <f t="shared" si="251"/>
        <v>0</v>
      </c>
      <c r="G1681" s="156">
        <v>1</v>
      </c>
      <c r="H1681" s="120">
        <f>Tp_Non_CHG!L135</f>
        <v>0</v>
      </c>
      <c r="I1681" s="40" t="s">
        <v>58</v>
      </c>
      <c r="J1681" s="40">
        <f t="shared" si="248"/>
        <v>0</v>
      </c>
      <c r="K1681" s="40">
        <f t="shared" si="249"/>
        <v>0</v>
      </c>
      <c r="L1681" s="40" t="s">
        <v>58</v>
      </c>
      <c r="M1681" s="50" t="s">
        <v>266</v>
      </c>
      <c r="N1681" s="190"/>
      <c r="O1681" s="40">
        <f t="shared" ca="1" si="247"/>
        <v>0.81782555832056103</v>
      </c>
      <c r="P1681" s="51">
        <f t="shared" ref="P1681:P1744" si="252">IFERROR(H1681*((H1681*(1-H1681)/(R1681^2))-1),0)</f>
        <v>0</v>
      </c>
      <c r="Q1681" s="51">
        <f t="shared" ref="Q1681:Q1744" si="253">IFERROR((1-H1681)*((H1681*(1-H1681))/(R1681^2)-1),0)</f>
        <v>0</v>
      </c>
      <c r="R1681" s="51">
        <f t="shared" si="250"/>
        <v>0</v>
      </c>
      <c r="S1681"/>
      <c r="T1681" s="83"/>
    </row>
    <row r="1682" spans="1:20" ht="16" x14ac:dyDescent="0.2">
      <c r="A1682"/>
      <c r="B1682" s="103"/>
      <c r="C1682" s="243"/>
      <c r="D1682" s="119">
        <v>1669</v>
      </c>
      <c r="E1682" s="25" t="str">
        <f>Tp_Non_CHG!I136</f>
        <v>Transition Probability from state 2 to state 4 on day 30 (Non-CHG)</v>
      </c>
      <c r="F1682" s="40">
        <f t="shared" si="251"/>
        <v>0</v>
      </c>
      <c r="G1682" s="156">
        <v>1</v>
      </c>
      <c r="H1682" s="120">
        <f>Tp_Non_CHG!L136</f>
        <v>0</v>
      </c>
      <c r="I1682" s="40" t="s">
        <v>58</v>
      </c>
      <c r="J1682" s="40">
        <f t="shared" si="248"/>
        <v>0</v>
      </c>
      <c r="K1682" s="40">
        <f t="shared" si="249"/>
        <v>0</v>
      </c>
      <c r="L1682" s="40" t="s">
        <v>58</v>
      </c>
      <c r="M1682" s="50" t="s">
        <v>266</v>
      </c>
      <c r="N1682" s="190"/>
      <c r="O1682" s="40">
        <f t="shared" ca="1" si="247"/>
        <v>0.68535688693968388</v>
      </c>
      <c r="P1682" s="51">
        <f t="shared" si="252"/>
        <v>0</v>
      </c>
      <c r="Q1682" s="51">
        <f t="shared" si="253"/>
        <v>0</v>
      </c>
      <c r="R1682" s="51">
        <f t="shared" si="250"/>
        <v>0</v>
      </c>
      <c r="S1682"/>
      <c r="T1682" s="83"/>
    </row>
    <row r="1683" spans="1:20" ht="16" x14ac:dyDescent="0.2">
      <c r="A1683"/>
      <c r="B1683" s="103"/>
      <c r="C1683" s="243"/>
      <c r="D1683" s="119">
        <v>1670</v>
      </c>
      <c r="E1683" s="25" t="str">
        <f>Tp_Non_CHG!N107</f>
        <v>Transition Probability from state 3 to state 4 on day 1 (Non-CHG)</v>
      </c>
      <c r="F1683" s="40">
        <f t="shared" si="251"/>
        <v>0</v>
      </c>
      <c r="G1683" s="156">
        <v>1</v>
      </c>
      <c r="H1683" s="120">
        <f>Tp_Non_CHG!Q107</f>
        <v>0</v>
      </c>
      <c r="I1683" s="40" t="s">
        <v>58</v>
      </c>
      <c r="J1683" s="40">
        <f t="shared" si="248"/>
        <v>0</v>
      </c>
      <c r="K1683" s="40">
        <f t="shared" si="249"/>
        <v>0</v>
      </c>
      <c r="L1683" s="40" t="s">
        <v>58</v>
      </c>
      <c r="M1683" s="50" t="s">
        <v>266</v>
      </c>
      <c r="N1683" s="190"/>
      <c r="O1683" s="40">
        <f t="shared" ca="1" si="247"/>
        <v>0.17587198680834981</v>
      </c>
      <c r="P1683" s="51">
        <f t="shared" si="252"/>
        <v>0</v>
      </c>
      <c r="Q1683" s="51">
        <f t="shared" si="253"/>
        <v>0</v>
      </c>
      <c r="R1683" s="51">
        <f t="shared" si="250"/>
        <v>0</v>
      </c>
      <c r="S1683"/>
      <c r="T1683" s="83"/>
    </row>
    <row r="1684" spans="1:20" ht="16" x14ac:dyDescent="0.2">
      <c r="A1684"/>
      <c r="B1684" s="103"/>
      <c r="C1684" s="243"/>
      <c r="D1684" s="119">
        <v>1671</v>
      </c>
      <c r="E1684" s="25" t="str">
        <f>Tp_Non_CHG!N108</f>
        <v>Transition Probability from state 3 to state 4 on day 2 (Non-CHG)</v>
      </c>
      <c r="F1684" s="40">
        <f t="shared" si="251"/>
        <v>0</v>
      </c>
      <c r="G1684" s="156">
        <v>1</v>
      </c>
      <c r="H1684" s="120">
        <f>Tp_Non_CHG!Q108</f>
        <v>0</v>
      </c>
      <c r="I1684" s="40" t="s">
        <v>58</v>
      </c>
      <c r="J1684" s="40">
        <f t="shared" si="248"/>
        <v>0</v>
      </c>
      <c r="K1684" s="40">
        <f t="shared" si="249"/>
        <v>0</v>
      </c>
      <c r="L1684" s="40" t="s">
        <v>58</v>
      </c>
      <c r="M1684" s="50" t="s">
        <v>266</v>
      </c>
      <c r="N1684" s="190"/>
      <c r="O1684" s="40">
        <f t="shared" ca="1" si="247"/>
        <v>0.64034247037682934</v>
      </c>
      <c r="P1684" s="51">
        <f t="shared" si="252"/>
        <v>0</v>
      </c>
      <c r="Q1684" s="51">
        <f t="shared" si="253"/>
        <v>0</v>
      </c>
      <c r="R1684" s="51">
        <f t="shared" si="250"/>
        <v>0</v>
      </c>
      <c r="S1684"/>
      <c r="T1684" s="83"/>
    </row>
    <row r="1685" spans="1:20" ht="16" x14ac:dyDescent="0.2">
      <c r="A1685"/>
      <c r="B1685" s="103"/>
      <c r="C1685" s="243"/>
      <c r="D1685" s="119">
        <v>1672</v>
      </c>
      <c r="E1685" s="25" t="str">
        <f>Tp_Non_CHG!N109</f>
        <v>Transition Probability from state 3 to state 4 on day 3 (Non-CHG)</v>
      </c>
      <c r="F1685" s="40">
        <f t="shared" si="251"/>
        <v>0</v>
      </c>
      <c r="G1685" s="156">
        <v>1</v>
      </c>
      <c r="H1685" s="120">
        <f>Tp_Non_CHG!Q109</f>
        <v>0</v>
      </c>
      <c r="I1685" s="40" t="s">
        <v>58</v>
      </c>
      <c r="J1685" s="40">
        <f t="shared" si="248"/>
        <v>0</v>
      </c>
      <c r="K1685" s="40">
        <f t="shared" si="249"/>
        <v>0</v>
      </c>
      <c r="L1685" s="40" t="s">
        <v>58</v>
      </c>
      <c r="M1685" s="50" t="s">
        <v>266</v>
      </c>
      <c r="N1685" s="190"/>
      <c r="O1685" s="40">
        <f t="shared" ca="1" si="247"/>
        <v>0.80757430019661913</v>
      </c>
      <c r="P1685" s="51">
        <f t="shared" si="252"/>
        <v>0</v>
      </c>
      <c r="Q1685" s="51">
        <f t="shared" si="253"/>
        <v>0</v>
      </c>
      <c r="R1685" s="51">
        <f t="shared" si="250"/>
        <v>0</v>
      </c>
      <c r="S1685"/>
      <c r="T1685" s="83"/>
    </row>
    <row r="1686" spans="1:20" ht="16" x14ac:dyDescent="0.2">
      <c r="A1686"/>
      <c r="B1686" s="103"/>
      <c r="C1686" s="243"/>
      <c r="D1686" s="119">
        <v>1673</v>
      </c>
      <c r="E1686" s="25" t="str">
        <f>Tp_Non_CHG!N110</f>
        <v>Transition Probability from state 3 to state 4 on day 4 (Non-CHG)</v>
      </c>
      <c r="F1686" s="40">
        <f t="shared" si="251"/>
        <v>0</v>
      </c>
      <c r="G1686" s="156">
        <v>1</v>
      </c>
      <c r="H1686" s="120">
        <f>Tp_Non_CHG!Q110</f>
        <v>0</v>
      </c>
      <c r="I1686" s="40" t="s">
        <v>58</v>
      </c>
      <c r="J1686" s="40">
        <f t="shared" si="248"/>
        <v>0</v>
      </c>
      <c r="K1686" s="40">
        <f t="shared" si="249"/>
        <v>0</v>
      </c>
      <c r="L1686" s="40" t="s">
        <v>58</v>
      </c>
      <c r="M1686" s="50" t="s">
        <v>266</v>
      </c>
      <c r="N1686" s="190"/>
      <c r="O1686" s="40">
        <f t="shared" ca="1" si="247"/>
        <v>0.55692551215844099</v>
      </c>
      <c r="P1686" s="51">
        <f t="shared" si="252"/>
        <v>0</v>
      </c>
      <c r="Q1686" s="51">
        <f t="shared" si="253"/>
        <v>0</v>
      </c>
      <c r="R1686" s="51">
        <f t="shared" si="250"/>
        <v>0</v>
      </c>
      <c r="S1686"/>
      <c r="T1686" s="83"/>
    </row>
    <row r="1687" spans="1:20" ht="16" x14ac:dyDescent="0.2">
      <c r="A1687"/>
      <c r="B1687" s="103"/>
      <c r="C1687" s="243"/>
      <c r="D1687" s="119">
        <v>1674</v>
      </c>
      <c r="E1687" s="25" t="str">
        <f>Tp_Non_CHG!N111</f>
        <v>Transition Probability from state 3 to state 4 on day 5 (Non-CHG)</v>
      </c>
      <c r="F1687" s="40">
        <f t="shared" si="251"/>
        <v>0</v>
      </c>
      <c r="G1687" s="156">
        <v>1</v>
      </c>
      <c r="H1687" s="120">
        <f>Tp_Non_CHG!Q111</f>
        <v>0</v>
      </c>
      <c r="I1687" s="40" t="s">
        <v>58</v>
      </c>
      <c r="J1687" s="40">
        <f t="shared" si="248"/>
        <v>0</v>
      </c>
      <c r="K1687" s="40">
        <f t="shared" si="249"/>
        <v>0</v>
      </c>
      <c r="L1687" s="40" t="s">
        <v>58</v>
      </c>
      <c r="M1687" s="50" t="s">
        <v>266</v>
      </c>
      <c r="N1687" s="190"/>
      <c r="O1687" s="40">
        <f t="shared" ca="1" si="247"/>
        <v>0.20700868012777407</v>
      </c>
      <c r="P1687" s="51">
        <f t="shared" si="252"/>
        <v>0</v>
      </c>
      <c r="Q1687" s="51">
        <f t="shared" si="253"/>
        <v>0</v>
      </c>
      <c r="R1687" s="51">
        <f t="shared" si="250"/>
        <v>0</v>
      </c>
      <c r="S1687"/>
      <c r="T1687" s="83"/>
    </row>
    <row r="1688" spans="1:20" ht="16" x14ac:dyDescent="0.2">
      <c r="A1688"/>
      <c r="B1688" s="103"/>
      <c r="C1688" s="243"/>
      <c r="D1688" s="119">
        <v>1675</v>
      </c>
      <c r="E1688" s="25" t="str">
        <f>Tp_Non_CHG!N112</f>
        <v>Transition Probability from state 3 to state 4 on day 6 (Non-CHG)</v>
      </c>
      <c r="F1688" s="40">
        <f t="shared" si="251"/>
        <v>0</v>
      </c>
      <c r="G1688" s="156">
        <v>1</v>
      </c>
      <c r="H1688" s="120">
        <f>Tp_Non_CHG!Q112</f>
        <v>0</v>
      </c>
      <c r="I1688" s="40" t="s">
        <v>58</v>
      </c>
      <c r="J1688" s="40">
        <f t="shared" si="248"/>
        <v>0</v>
      </c>
      <c r="K1688" s="40">
        <f t="shared" si="249"/>
        <v>0</v>
      </c>
      <c r="L1688" s="40" t="s">
        <v>58</v>
      </c>
      <c r="M1688" s="50" t="s">
        <v>266</v>
      </c>
      <c r="N1688" s="190"/>
      <c r="O1688" s="40">
        <f t="shared" ca="1" si="247"/>
        <v>0.62220142483457364</v>
      </c>
      <c r="P1688" s="51">
        <f t="shared" si="252"/>
        <v>0</v>
      </c>
      <c r="Q1688" s="51">
        <f t="shared" si="253"/>
        <v>0</v>
      </c>
      <c r="R1688" s="51">
        <f t="shared" si="250"/>
        <v>0</v>
      </c>
      <c r="S1688"/>
      <c r="T1688" s="83"/>
    </row>
    <row r="1689" spans="1:20" ht="16" x14ac:dyDescent="0.2">
      <c r="A1689"/>
      <c r="B1689" s="103"/>
      <c r="C1689" s="243"/>
      <c r="D1689" s="119">
        <v>1676</v>
      </c>
      <c r="E1689" s="25" t="str">
        <f>Tp_Non_CHG!N113</f>
        <v>Transition Probability from state 3 to state 4 on day 7 (Non-CHG)</v>
      </c>
      <c r="F1689" s="40">
        <f t="shared" si="251"/>
        <v>0</v>
      </c>
      <c r="G1689" s="156">
        <v>1</v>
      </c>
      <c r="H1689" s="120">
        <f>Tp_Non_CHG!Q113</f>
        <v>0</v>
      </c>
      <c r="I1689" s="40" t="s">
        <v>58</v>
      </c>
      <c r="J1689" s="40">
        <f t="shared" si="248"/>
        <v>0</v>
      </c>
      <c r="K1689" s="40">
        <f t="shared" si="249"/>
        <v>0</v>
      </c>
      <c r="L1689" s="40" t="s">
        <v>58</v>
      </c>
      <c r="M1689" s="50" t="s">
        <v>266</v>
      </c>
      <c r="N1689" s="190"/>
      <c r="O1689" s="40">
        <f t="shared" ca="1" si="247"/>
        <v>0.94351332699870172</v>
      </c>
      <c r="P1689" s="51">
        <f t="shared" si="252"/>
        <v>0</v>
      </c>
      <c r="Q1689" s="51">
        <f t="shared" si="253"/>
        <v>0</v>
      </c>
      <c r="R1689" s="51">
        <f t="shared" si="250"/>
        <v>0</v>
      </c>
      <c r="S1689"/>
      <c r="T1689" s="83"/>
    </row>
    <row r="1690" spans="1:20" ht="16" x14ac:dyDescent="0.2">
      <c r="A1690"/>
      <c r="B1690" s="103"/>
      <c r="C1690" s="243"/>
      <c r="D1690" s="119">
        <v>1677</v>
      </c>
      <c r="E1690" s="25" t="str">
        <f>Tp_Non_CHG!N114</f>
        <v>Transition Probability from state 3 to state 4 on day 8 (Non-CHG)</v>
      </c>
      <c r="F1690" s="40">
        <f t="shared" si="251"/>
        <v>0</v>
      </c>
      <c r="G1690" s="156">
        <v>1</v>
      </c>
      <c r="H1690" s="120">
        <f>Tp_Non_CHG!Q114</f>
        <v>0</v>
      </c>
      <c r="I1690" s="40" t="s">
        <v>58</v>
      </c>
      <c r="J1690" s="40">
        <f t="shared" si="248"/>
        <v>0</v>
      </c>
      <c r="K1690" s="40">
        <f t="shared" si="249"/>
        <v>0</v>
      </c>
      <c r="L1690" s="40" t="s">
        <v>58</v>
      </c>
      <c r="M1690" s="50" t="s">
        <v>266</v>
      </c>
      <c r="N1690" s="190"/>
      <c r="O1690" s="40">
        <f t="shared" ca="1" si="247"/>
        <v>0.67200146973966945</v>
      </c>
      <c r="P1690" s="51">
        <f t="shared" si="252"/>
        <v>0</v>
      </c>
      <c r="Q1690" s="51">
        <f t="shared" si="253"/>
        <v>0</v>
      </c>
      <c r="R1690" s="51">
        <f t="shared" si="250"/>
        <v>0</v>
      </c>
      <c r="S1690"/>
      <c r="T1690" s="83"/>
    </row>
    <row r="1691" spans="1:20" ht="16" x14ac:dyDescent="0.2">
      <c r="A1691"/>
      <c r="B1691" s="103"/>
      <c r="C1691" s="243"/>
      <c r="D1691" s="119">
        <v>1678</v>
      </c>
      <c r="E1691" s="25" t="str">
        <f>Tp_Non_CHG!N115</f>
        <v>Transition Probability from state 3 to state 4 on day 9 (Non-CHG)</v>
      </c>
      <c r="F1691" s="40">
        <f t="shared" si="251"/>
        <v>0</v>
      </c>
      <c r="G1691" s="156">
        <v>1</v>
      </c>
      <c r="H1691" s="120">
        <f>Tp_Non_CHG!Q115</f>
        <v>0</v>
      </c>
      <c r="I1691" s="40" t="s">
        <v>58</v>
      </c>
      <c r="J1691" s="40">
        <f t="shared" si="248"/>
        <v>0</v>
      </c>
      <c r="K1691" s="40">
        <f t="shared" si="249"/>
        <v>0</v>
      </c>
      <c r="L1691" s="40" t="s">
        <v>58</v>
      </c>
      <c r="M1691" s="50" t="s">
        <v>266</v>
      </c>
      <c r="N1691" s="190"/>
      <c r="O1691" s="40">
        <f t="shared" ca="1" si="247"/>
        <v>0.62826169989707104</v>
      </c>
      <c r="P1691" s="51">
        <f t="shared" si="252"/>
        <v>0</v>
      </c>
      <c r="Q1691" s="51">
        <f t="shared" si="253"/>
        <v>0</v>
      </c>
      <c r="R1691" s="51">
        <f t="shared" si="250"/>
        <v>0</v>
      </c>
      <c r="S1691"/>
      <c r="T1691" s="83"/>
    </row>
    <row r="1692" spans="1:20" ht="16" x14ac:dyDescent="0.2">
      <c r="A1692"/>
      <c r="B1692" s="103"/>
      <c r="C1692" s="243"/>
      <c r="D1692" s="119">
        <v>1679</v>
      </c>
      <c r="E1692" s="25" t="str">
        <f>Tp_Non_CHG!N116</f>
        <v>Transition Probability from state 3 to state 4 on day 10 (Non-CHG)</v>
      </c>
      <c r="F1692" s="40">
        <f t="shared" si="251"/>
        <v>0</v>
      </c>
      <c r="G1692" s="156">
        <v>1</v>
      </c>
      <c r="H1692" s="120">
        <f>Tp_Non_CHG!Q116</f>
        <v>0</v>
      </c>
      <c r="I1692" s="40" t="s">
        <v>58</v>
      </c>
      <c r="J1692" s="40">
        <f t="shared" si="248"/>
        <v>0</v>
      </c>
      <c r="K1692" s="40">
        <f t="shared" si="249"/>
        <v>0</v>
      </c>
      <c r="L1692" s="40" t="s">
        <v>58</v>
      </c>
      <c r="M1692" s="50" t="s">
        <v>266</v>
      </c>
      <c r="N1692" s="190"/>
      <c r="O1692" s="40">
        <f t="shared" ca="1" si="247"/>
        <v>0.41564094623132208</v>
      </c>
      <c r="P1692" s="51">
        <f t="shared" si="252"/>
        <v>0</v>
      </c>
      <c r="Q1692" s="51">
        <f t="shared" si="253"/>
        <v>0</v>
      </c>
      <c r="R1692" s="51">
        <f t="shared" si="250"/>
        <v>0</v>
      </c>
      <c r="S1692"/>
      <c r="T1692" s="83"/>
    </row>
    <row r="1693" spans="1:20" ht="16" x14ac:dyDescent="0.2">
      <c r="A1693"/>
      <c r="B1693" s="103"/>
      <c r="C1693" s="243"/>
      <c r="D1693" s="119">
        <v>1680</v>
      </c>
      <c r="E1693" s="25" t="str">
        <f>Tp_Non_CHG!N117</f>
        <v>Transition Probability from state 3 to state 4 on day 11 (Non-CHG)</v>
      </c>
      <c r="F1693" s="40">
        <f t="shared" si="251"/>
        <v>0</v>
      </c>
      <c r="G1693" s="156">
        <v>1</v>
      </c>
      <c r="H1693" s="120">
        <f>Tp_Non_CHG!Q117</f>
        <v>0</v>
      </c>
      <c r="I1693" s="40" t="s">
        <v>58</v>
      </c>
      <c r="J1693" s="40">
        <f t="shared" si="248"/>
        <v>0</v>
      </c>
      <c r="K1693" s="40">
        <f t="shared" si="249"/>
        <v>0</v>
      </c>
      <c r="L1693" s="40" t="s">
        <v>58</v>
      </c>
      <c r="M1693" s="50" t="s">
        <v>266</v>
      </c>
      <c r="N1693" s="190"/>
      <c r="O1693" s="40">
        <f t="shared" ca="1" si="247"/>
        <v>0.806538642683021</v>
      </c>
      <c r="P1693" s="51">
        <f t="shared" si="252"/>
        <v>0</v>
      </c>
      <c r="Q1693" s="51">
        <f t="shared" si="253"/>
        <v>0</v>
      </c>
      <c r="R1693" s="51">
        <f t="shared" si="250"/>
        <v>0</v>
      </c>
      <c r="S1693"/>
      <c r="T1693" s="83"/>
    </row>
    <row r="1694" spans="1:20" ht="16" x14ac:dyDescent="0.2">
      <c r="A1694"/>
      <c r="B1694" s="103"/>
      <c r="C1694" s="243"/>
      <c r="D1694" s="119">
        <v>1681</v>
      </c>
      <c r="E1694" s="25" t="str">
        <f>Tp_Non_CHG!N118</f>
        <v>Transition Probability from state 3 to state 4 on day 12 (Non-CHG)</v>
      </c>
      <c r="F1694" s="40">
        <f t="shared" si="251"/>
        <v>0</v>
      </c>
      <c r="G1694" s="156">
        <v>1</v>
      </c>
      <c r="H1694" s="120">
        <f>Tp_Non_CHG!Q118</f>
        <v>0</v>
      </c>
      <c r="I1694" s="40" t="s">
        <v>58</v>
      </c>
      <c r="J1694" s="40">
        <f t="shared" si="248"/>
        <v>0</v>
      </c>
      <c r="K1694" s="40">
        <f t="shared" si="249"/>
        <v>0</v>
      </c>
      <c r="L1694" s="40" t="s">
        <v>58</v>
      </c>
      <c r="M1694" s="50" t="s">
        <v>266</v>
      </c>
      <c r="N1694" s="190"/>
      <c r="O1694" s="40">
        <f t="shared" ca="1" si="247"/>
        <v>0.84892434323238675</v>
      </c>
      <c r="P1694" s="51">
        <f t="shared" si="252"/>
        <v>0</v>
      </c>
      <c r="Q1694" s="51">
        <f t="shared" si="253"/>
        <v>0</v>
      </c>
      <c r="R1694" s="51">
        <f t="shared" si="250"/>
        <v>0</v>
      </c>
      <c r="S1694"/>
      <c r="T1694" s="83"/>
    </row>
    <row r="1695" spans="1:20" ht="16" x14ac:dyDescent="0.2">
      <c r="A1695"/>
      <c r="B1695" s="103"/>
      <c r="C1695" s="243"/>
      <c r="D1695" s="119">
        <v>1682</v>
      </c>
      <c r="E1695" s="25" t="str">
        <f>Tp_Non_CHG!N119</f>
        <v>Transition Probability from state 3 to state 4 on day 13 (Non-CHG)</v>
      </c>
      <c r="F1695" s="40">
        <f t="shared" si="251"/>
        <v>0</v>
      </c>
      <c r="G1695" s="156">
        <v>1</v>
      </c>
      <c r="H1695" s="120">
        <f>Tp_Non_CHG!Q119</f>
        <v>0</v>
      </c>
      <c r="I1695" s="40" t="s">
        <v>58</v>
      </c>
      <c r="J1695" s="40">
        <f t="shared" si="248"/>
        <v>0</v>
      </c>
      <c r="K1695" s="40">
        <f t="shared" si="249"/>
        <v>0</v>
      </c>
      <c r="L1695" s="40" t="s">
        <v>58</v>
      </c>
      <c r="M1695" s="50" t="s">
        <v>266</v>
      </c>
      <c r="N1695" s="190"/>
      <c r="O1695" s="40">
        <f t="shared" ca="1" si="247"/>
        <v>0.20598186019696452</v>
      </c>
      <c r="P1695" s="51">
        <f t="shared" si="252"/>
        <v>0</v>
      </c>
      <c r="Q1695" s="51">
        <f t="shared" si="253"/>
        <v>0</v>
      </c>
      <c r="R1695" s="51">
        <f t="shared" si="250"/>
        <v>0</v>
      </c>
      <c r="S1695"/>
      <c r="T1695" s="83"/>
    </row>
    <row r="1696" spans="1:20" ht="16" x14ac:dyDescent="0.2">
      <c r="A1696"/>
      <c r="B1696" s="103"/>
      <c r="C1696" s="243"/>
      <c r="D1696" s="119">
        <v>1683</v>
      </c>
      <c r="E1696" s="25" t="str">
        <f>Tp_Non_CHG!N120</f>
        <v>Transition Probability from state 3 to state 4 on day 14 (Non-CHG)</v>
      </c>
      <c r="F1696" s="40">
        <f t="shared" si="251"/>
        <v>0</v>
      </c>
      <c r="G1696" s="156">
        <v>1</v>
      </c>
      <c r="H1696" s="120">
        <f>Tp_Non_CHG!Q120</f>
        <v>0</v>
      </c>
      <c r="I1696" s="40" t="s">
        <v>58</v>
      </c>
      <c r="J1696" s="40">
        <f t="shared" si="248"/>
        <v>0</v>
      </c>
      <c r="K1696" s="40">
        <f t="shared" si="249"/>
        <v>0</v>
      </c>
      <c r="L1696" s="40" t="s">
        <v>58</v>
      </c>
      <c r="M1696" s="50" t="s">
        <v>266</v>
      </c>
      <c r="N1696" s="190"/>
      <c r="O1696" s="40">
        <f t="shared" ca="1" si="247"/>
        <v>0.87940523178663421</v>
      </c>
      <c r="P1696" s="51">
        <f t="shared" si="252"/>
        <v>0</v>
      </c>
      <c r="Q1696" s="51">
        <f t="shared" si="253"/>
        <v>0</v>
      </c>
      <c r="R1696" s="51">
        <f t="shared" si="250"/>
        <v>0</v>
      </c>
      <c r="S1696"/>
      <c r="T1696" s="83"/>
    </row>
    <row r="1697" spans="1:20" ht="16" x14ac:dyDescent="0.2">
      <c r="A1697"/>
      <c r="B1697" s="103"/>
      <c r="C1697" s="243"/>
      <c r="D1697" s="119">
        <v>1684</v>
      </c>
      <c r="E1697" s="25" t="str">
        <f>Tp_Non_CHG!N121</f>
        <v>Transition Probability from state 3 to state 4 on day 15 (Non-CHG)</v>
      </c>
      <c r="F1697" s="40">
        <f t="shared" si="251"/>
        <v>0</v>
      </c>
      <c r="G1697" s="156">
        <v>1</v>
      </c>
      <c r="H1697" s="120">
        <f>Tp_Non_CHG!Q121</f>
        <v>0</v>
      </c>
      <c r="I1697" s="40" t="s">
        <v>58</v>
      </c>
      <c r="J1697" s="40">
        <f t="shared" si="248"/>
        <v>0</v>
      </c>
      <c r="K1697" s="40">
        <f t="shared" si="249"/>
        <v>0</v>
      </c>
      <c r="L1697" s="40" t="s">
        <v>58</v>
      </c>
      <c r="M1697" s="50" t="s">
        <v>266</v>
      </c>
      <c r="N1697" s="190"/>
      <c r="O1697" s="40">
        <f t="shared" ca="1" si="247"/>
        <v>0.61603205363713454</v>
      </c>
      <c r="P1697" s="51">
        <f t="shared" si="252"/>
        <v>0</v>
      </c>
      <c r="Q1697" s="51">
        <f t="shared" si="253"/>
        <v>0</v>
      </c>
      <c r="R1697" s="51">
        <f t="shared" si="250"/>
        <v>0</v>
      </c>
      <c r="S1697"/>
      <c r="T1697" s="83"/>
    </row>
    <row r="1698" spans="1:20" ht="16" x14ac:dyDescent="0.2">
      <c r="A1698"/>
      <c r="B1698" s="103"/>
      <c r="C1698" s="243"/>
      <c r="D1698" s="119">
        <v>1685</v>
      </c>
      <c r="E1698" s="25" t="str">
        <f>Tp_Non_CHG!N122</f>
        <v>Transition Probability from state 3 to state 4 on day 16 (Non-CHG)</v>
      </c>
      <c r="F1698" s="40">
        <f t="shared" si="251"/>
        <v>0</v>
      </c>
      <c r="G1698" s="156">
        <v>1</v>
      </c>
      <c r="H1698" s="120">
        <f>Tp_Non_CHG!Q122</f>
        <v>0</v>
      </c>
      <c r="I1698" s="40" t="s">
        <v>58</v>
      </c>
      <c r="J1698" s="40">
        <f t="shared" si="248"/>
        <v>0</v>
      </c>
      <c r="K1698" s="40">
        <f t="shared" si="249"/>
        <v>0</v>
      </c>
      <c r="L1698" s="40" t="s">
        <v>58</v>
      </c>
      <c r="M1698" s="50" t="s">
        <v>266</v>
      </c>
      <c r="N1698" s="190"/>
      <c r="O1698" s="40">
        <f t="shared" ca="1" si="247"/>
        <v>0.6507588500993301</v>
      </c>
      <c r="P1698" s="51">
        <f t="shared" si="252"/>
        <v>0</v>
      </c>
      <c r="Q1698" s="51">
        <f t="shared" si="253"/>
        <v>0</v>
      </c>
      <c r="R1698" s="51">
        <f t="shared" si="250"/>
        <v>0</v>
      </c>
      <c r="S1698"/>
      <c r="T1698" s="83"/>
    </row>
    <row r="1699" spans="1:20" ht="16" x14ac:dyDescent="0.2">
      <c r="A1699"/>
      <c r="B1699" s="103"/>
      <c r="C1699" s="243"/>
      <c r="D1699" s="119">
        <v>1686</v>
      </c>
      <c r="E1699" s="25" t="str">
        <f>Tp_Non_CHG!N123</f>
        <v>Transition Probability from state 3 to state 4 on day 17 (Non-CHG)</v>
      </c>
      <c r="F1699" s="40">
        <f t="shared" si="251"/>
        <v>0</v>
      </c>
      <c r="G1699" s="156">
        <v>1</v>
      </c>
      <c r="H1699" s="120">
        <f>Tp_Non_CHG!Q123</f>
        <v>0</v>
      </c>
      <c r="I1699" s="40" t="s">
        <v>58</v>
      </c>
      <c r="J1699" s="40">
        <f t="shared" si="248"/>
        <v>0</v>
      </c>
      <c r="K1699" s="40">
        <f t="shared" si="249"/>
        <v>0</v>
      </c>
      <c r="L1699" s="40" t="s">
        <v>58</v>
      </c>
      <c r="M1699" s="50" t="s">
        <v>266</v>
      </c>
      <c r="N1699" s="190"/>
      <c r="O1699" s="40">
        <f t="shared" ref="O1699:O1762" ca="1" si="254">RAND()</f>
        <v>0.67431440544613108</v>
      </c>
      <c r="P1699" s="51">
        <f t="shared" si="252"/>
        <v>0</v>
      </c>
      <c r="Q1699" s="51">
        <f t="shared" si="253"/>
        <v>0</v>
      </c>
      <c r="R1699" s="51">
        <f t="shared" si="250"/>
        <v>0</v>
      </c>
      <c r="S1699"/>
      <c r="T1699" s="83"/>
    </row>
    <row r="1700" spans="1:20" ht="16" x14ac:dyDescent="0.2">
      <c r="A1700"/>
      <c r="B1700" s="103"/>
      <c r="C1700" s="243"/>
      <c r="D1700" s="119">
        <v>1687</v>
      </c>
      <c r="E1700" s="25" t="str">
        <f>Tp_Non_CHG!N124</f>
        <v>Transition Probability from state 3 to state 4 on day 18 (Non-CHG)</v>
      </c>
      <c r="F1700" s="40">
        <f t="shared" si="251"/>
        <v>0</v>
      </c>
      <c r="G1700" s="156">
        <v>1</v>
      </c>
      <c r="H1700" s="120">
        <f>Tp_Non_CHG!Q124</f>
        <v>0</v>
      </c>
      <c r="I1700" s="40" t="s">
        <v>58</v>
      </c>
      <c r="J1700" s="40">
        <f t="shared" si="248"/>
        <v>0</v>
      </c>
      <c r="K1700" s="40">
        <f t="shared" si="249"/>
        <v>0</v>
      </c>
      <c r="L1700" s="40" t="s">
        <v>58</v>
      </c>
      <c r="M1700" s="50" t="s">
        <v>266</v>
      </c>
      <c r="N1700" s="190"/>
      <c r="O1700" s="40">
        <f t="shared" ca="1" si="254"/>
        <v>0.88920294182314297</v>
      </c>
      <c r="P1700" s="51">
        <f t="shared" si="252"/>
        <v>0</v>
      </c>
      <c r="Q1700" s="51">
        <f t="shared" si="253"/>
        <v>0</v>
      </c>
      <c r="R1700" s="51">
        <f t="shared" si="250"/>
        <v>0</v>
      </c>
      <c r="S1700"/>
      <c r="T1700" s="83"/>
    </row>
    <row r="1701" spans="1:20" ht="16" x14ac:dyDescent="0.2">
      <c r="A1701"/>
      <c r="B1701" s="103"/>
      <c r="C1701" s="243"/>
      <c r="D1701" s="119">
        <v>1688</v>
      </c>
      <c r="E1701" s="25" t="str">
        <f>Tp_Non_CHG!N125</f>
        <v>Transition Probability from state 3 to state 4 on day 19 (Non-CHG)</v>
      </c>
      <c r="F1701" s="40">
        <f t="shared" si="251"/>
        <v>0</v>
      </c>
      <c r="G1701" s="156">
        <v>1</v>
      </c>
      <c r="H1701" s="120">
        <f>Tp_Non_CHG!Q125</f>
        <v>0</v>
      </c>
      <c r="I1701" s="40" t="s">
        <v>58</v>
      </c>
      <c r="J1701" s="40">
        <f t="shared" si="248"/>
        <v>0</v>
      </c>
      <c r="K1701" s="40">
        <f t="shared" si="249"/>
        <v>0</v>
      </c>
      <c r="L1701" s="40" t="s">
        <v>58</v>
      </c>
      <c r="M1701" s="50" t="s">
        <v>266</v>
      </c>
      <c r="N1701" s="190"/>
      <c r="O1701" s="40">
        <f t="shared" ca="1" si="254"/>
        <v>0.837952899537592</v>
      </c>
      <c r="P1701" s="51">
        <f t="shared" si="252"/>
        <v>0</v>
      </c>
      <c r="Q1701" s="51">
        <f t="shared" si="253"/>
        <v>0</v>
      </c>
      <c r="R1701" s="51">
        <f t="shared" si="250"/>
        <v>0</v>
      </c>
      <c r="S1701"/>
      <c r="T1701" s="83"/>
    </row>
    <row r="1702" spans="1:20" ht="16" x14ac:dyDescent="0.2">
      <c r="A1702"/>
      <c r="B1702" s="103"/>
      <c r="C1702" s="243"/>
      <c r="D1702" s="119">
        <v>1689</v>
      </c>
      <c r="E1702" s="25" t="str">
        <f>Tp_Non_CHG!N126</f>
        <v>Transition Probability from state 3 to state 4 on day 20 (Non-CHG)</v>
      </c>
      <c r="F1702" s="40">
        <f t="shared" si="251"/>
        <v>0</v>
      </c>
      <c r="G1702" s="156">
        <v>1</v>
      </c>
      <c r="H1702" s="120">
        <f>Tp_Non_CHG!Q126</f>
        <v>0</v>
      </c>
      <c r="I1702" s="40" t="s">
        <v>58</v>
      </c>
      <c r="J1702" s="40">
        <f t="shared" si="248"/>
        <v>0</v>
      </c>
      <c r="K1702" s="40">
        <f t="shared" si="249"/>
        <v>0</v>
      </c>
      <c r="L1702" s="40" t="s">
        <v>58</v>
      </c>
      <c r="M1702" s="50" t="s">
        <v>266</v>
      </c>
      <c r="N1702" s="190"/>
      <c r="O1702" s="40">
        <f t="shared" ca="1" si="254"/>
        <v>0.85497526466950047</v>
      </c>
      <c r="P1702" s="51">
        <f t="shared" si="252"/>
        <v>0</v>
      </c>
      <c r="Q1702" s="51">
        <f t="shared" si="253"/>
        <v>0</v>
      </c>
      <c r="R1702" s="51">
        <f t="shared" si="250"/>
        <v>0</v>
      </c>
      <c r="S1702"/>
      <c r="T1702" s="83"/>
    </row>
    <row r="1703" spans="1:20" ht="16" x14ac:dyDescent="0.2">
      <c r="A1703"/>
      <c r="B1703" s="103"/>
      <c r="C1703" s="243"/>
      <c r="D1703" s="119">
        <v>1690</v>
      </c>
      <c r="E1703" s="25" t="str">
        <f>Tp_Non_CHG!N127</f>
        <v>Transition Probability from state 3 to state 4 on day 21 (Non-CHG)</v>
      </c>
      <c r="F1703" s="40">
        <f t="shared" si="251"/>
        <v>0</v>
      </c>
      <c r="G1703" s="156">
        <v>1</v>
      </c>
      <c r="H1703" s="120">
        <f>Tp_Non_CHG!Q127</f>
        <v>0</v>
      </c>
      <c r="I1703" s="40" t="s">
        <v>58</v>
      </c>
      <c r="J1703" s="40">
        <f t="shared" si="248"/>
        <v>0</v>
      </c>
      <c r="K1703" s="40">
        <f t="shared" si="249"/>
        <v>0</v>
      </c>
      <c r="L1703" s="40" t="s">
        <v>58</v>
      </c>
      <c r="M1703" s="50" t="s">
        <v>266</v>
      </c>
      <c r="N1703" s="190"/>
      <c r="O1703" s="40">
        <f t="shared" ca="1" si="254"/>
        <v>0.23685703474158459</v>
      </c>
      <c r="P1703" s="51">
        <f t="shared" si="252"/>
        <v>0</v>
      </c>
      <c r="Q1703" s="51">
        <f t="shared" si="253"/>
        <v>0</v>
      </c>
      <c r="R1703" s="51">
        <f t="shared" si="250"/>
        <v>0</v>
      </c>
      <c r="S1703"/>
      <c r="T1703" s="83"/>
    </row>
    <row r="1704" spans="1:20" ht="16" x14ac:dyDescent="0.2">
      <c r="A1704"/>
      <c r="B1704" s="103"/>
      <c r="C1704" s="243"/>
      <c r="D1704" s="119">
        <v>1691</v>
      </c>
      <c r="E1704" s="25" t="str">
        <f>Tp_Non_CHG!N128</f>
        <v>Transition Probability from state 3 to state 4 on day 22 (Non-CHG)</v>
      </c>
      <c r="F1704" s="40">
        <f t="shared" si="251"/>
        <v>0</v>
      </c>
      <c r="G1704" s="156">
        <v>1</v>
      </c>
      <c r="H1704" s="120">
        <f>Tp_Non_CHG!Q128</f>
        <v>0</v>
      </c>
      <c r="I1704" s="40" t="s">
        <v>58</v>
      </c>
      <c r="J1704" s="40">
        <f t="shared" si="248"/>
        <v>0</v>
      </c>
      <c r="K1704" s="40">
        <f t="shared" si="249"/>
        <v>0</v>
      </c>
      <c r="L1704" s="40" t="s">
        <v>58</v>
      </c>
      <c r="M1704" s="50" t="s">
        <v>266</v>
      </c>
      <c r="N1704" s="190"/>
      <c r="O1704" s="40">
        <f t="shared" ca="1" si="254"/>
        <v>0.59235439388759137</v>
      </c>
      <c r="P1704" s="51">
        <f t="shared" si="252"/>
        <v>0</v>
      </c>
      <c r="Q1704" s="51">
        <f t="shared" si="253"/>
        <v>0</v>
      </c>
      <c r="R1704" s="51">
        <f t="shared" si="250"/>
        <v>0</v>
      </c>
      <c r="S1704"/>
      <c r="T1704" s="83"/>
    </row>
    <row r="1705" spans="1:20" ht="16" x14ac:dyDescent="0.2">
      <c r="A1705"/>
      <c r="B1705" s="103"/>
      <c r="C1705" s="243"/>
      <c r="D1705" s="119">
        <v>1692</v>
      </c>
      <c r="E1705" s="25" t="str">
        <f>Tp_Non_CHG!N129</f>
        <v>Transition Probability from state 3 to state 4 on day 23 (Non-CHG)</v>
      </c>
      <c r="F1705" s="40">
        <f t="shared" si="251"/>
        <v>0</v>
      </c>
      <c r="G1705" s="156">
        <v>1</v>
      </c>
      <c r="H1705" s="120">
        <f>Tp_Non_CHG!Q129</f>
        <v>0</v>
      </c>
      <c r="I1705" s="40" t="s">
        <v>58</v>
      </c>
      <c r="J1705" s="40">
        <f t="shared" si="248"/>
        <v>0</v>
      </c>
      <c r="K1705" s="40">
        <f t="shared" si="249"/>
        <v>0</v>
      </c>
      <c r="L1705" s="40" t="s">
        <v>58</v>
      </c>
      <c r="M1705" s="50" t="s">
        <v>266</v>
      </c>
      <c r="N1705" s="190"/>
      <c r="O1705" s="40">
        <f t="shared" ca="1" si="254"/>
        <v>0.19252682421585732</v>
      </c>
      <c r="P1705" s="51">
        <f t="shared" si="252"/>
        <v>0</v>
      </c>
      <c r="Q1705" s="51">
        <f t="shared" si="253"/>
        <v>0</v>
      </c>
      <c r="R1705" s="51">
        <f t="shared" si="250"/>
        <v>0</v>
      </c>
      <c r="S1705"/>
      <c r="T1705" s="83"/>
    </row>
    <row r="1706" spans="1:20" ht="16" x14ac:dyDescent="0.2">
      <c r="A1706"/>
      <c r="B1706" s="103"/>
      <c r="C1706" s="243"/>
      <c r="D1706" s="119">
        <v>1693</v>
      </c>
      <c r="E1706" s="25" t="str">
        <f>Tp_Non_CHG!N130</f>
        <v>Transition Probability from state 3 to state 4 on day 24 (Non-CHG)</v>
      </c>
      <c r="F1706" s="40">
        <f t="shared" si="251"/>
        <v>0</v>
      </c>
      <c r="G1706" s="156">
        <v>1</v>
      </c>
      <c r="H1706" s="120">
        <f>Tp_Non_CHG!Q130</f>
        <v>0</v>
      </c>
      <c r="I1706" s="40" t="s">
        <v>58</v>
      </c>
      <c r="J1706" s="40">
        <f t="shared" si="248"/>
        <v>0</v>
      </c>
      <c r="K1706" s="40">
        <f t="shared" si="249"/>
        <v>0</v>
      </c>
      <c r="L1706" s="40" t="s">
        <v>58</v>
      </c>
      <c r="M1706" s="50" t="s">
        <v>266</v>
      </c>
      <c r="N1706" s="190"/>
      <c r="O1706" s="40">
        <f t="shared" ca="1" si="254"/>
        <v>0.83844791121074846</v>
      </c>
      <c r="P1706" s="51">
        <f t="shared" si="252"/>
        <v>0</v>
      </c>
      <c r="Q1706" s="51">
        <f t="shared" si="253"/>
        <v>0</v>
      </c>
      <c r="R1706" s="51">
        <f t="shared" si="250"/>
        <v>0</v>
      </c>
      <c r="S1706"/>
      <c r="T1706" s="83"/>
    </row>
    <row r="1707" spans="1:20" ht="16" x14ac:dyDescent="0.2">
      <c r="A1707"/>
      <c r="B1707" s="103"/>
      <c r="C1707" s="243"/>
      <c r="D1707" s="119">
        <v>1694</v>
      </c>
      <c r="E1707" s="25" t="str">
        <f>Tp_Non_CHG!N131</f>
        <v>Transition Probability from state 3 to state 4 on day 25 (Non-CHG)</v>
      </c>
      <c r="F1707" s="40">
        <f t="shared" si="251"/>
        <v>0</v>
      </c>
      <c r="G1707" s="156">
        <v>1</v>
      </c>
      <c r="H1707" s="120">
        <f>Tp_Non_CHG!Q131</f>
        <v>0</v>
      </c>
      <c r="I1707" s="40" t="s">
        <v>58</v>
      </c>
      <c r="J1707" s="40">
        <f t="shared" si="248"/>
        <v>0</v>
      </c>
      <c r="K1707" s="40">
        <f t="shared" si="249"/>
        <v>0</v>
      </c>
      <c r="L1707" s="40" t="s">
        <v>58</v>
      </c>
      <c r="M1707" s="50" t="s">
        <v>266</v>
      </c>
      <c r="N1707" s="190"/>
      <c r="O1707" s="40">
        <f t="shared" ca="1" si="254"/>
        <v>0.86635628002905218</v>
      </c>
      <c r="P1707" s="51">
        <f t="shared" si="252"/>
        <v>0</v>
      </c>
      <c r="Q1707" s="51">
        <f t="shared" si="253"/>
        <v>0</v>
      </c>
      <c r="R1707" s="51">
        <f t="shared" si="250"/>
        <v>0</v>
      </c>
      <c r="S1707"/>
      <c r="T1707" s="83"/>
    </row>
    <row r="1708" spans="1:20" ht="16" x14ac:dyDescent="0.2">
      <c r="A1708"/>
      <c r="B1708" s="103"/>
      <c r="C1708" s="243"/>
      <c r="D1708" s="119">
        <v>1695</v>
      </c>
      <c r="E1708" s="25" t="str">
        <f>Tp_Non_CHG!N132</f>
        <v>Transition Probability from state 3 to state 4 on day 26 (Non-CHG)</v>
      </c>
      <c r="F1708" s="40">
        <f t="shared" si="251"/>
        <v>0</v>
      </c>
      <c r="G1708" s="156">
        <v>1</v>
      </c>
      <c r="H1708" s="120">
        <f>Tp_Non_CHG!Q132</f>
        <v>0</v>
      </c>
      <c r="I1708" s="40" t="s">
        <v>58</v>
      </c>
      <c r="J1708" s="40">
        <f t="shared" si="248"/>
        <v>0</v>
      </c>
      <c r="K1708" s="40">
        <f t="shared" si="249"/>
        <v>0</v>
      </c>
      <c r="L1708" s="40" t="s">
        <v>58</v>
      </c>
      <c r="M1708" s="50" t="s">
        <v>266</v>
      </c>
      <c r="N1708" s="190"/>
      <c r="O1708" s="40">
        <f t="shared" ca="1" si="254"/>
        <v>7.0815491818413401E-2</v>
      </c>
      <c r="P1708" s="51">
        <f t="shared" si="252"/>
        <v>0</v>
      </c>
      <c r="Q1708" s="51">
        <f t="shared" si="253"/>
        <v>0</v>
      </c>
      <c r="R1708" s="51">
        <f t="shared" si="250"/>
        <v>0</v>
      </c>
      <c r="S1708"/>
      <c r="T1708" s="83"/>
    </row>
    <row r="1709" spans="1:20" ht="16" x14ac:dyDescent="0.2">
      <c r="A1709"/>
      <c r="B1709" s="103"/>
      <c r="C1709" s="243"/>
      <c r="D1709" s="119">
        <v>1696</v>
      </c>
      <c r="E1709" s="25" t="str">
        <f>Tp_Non_CHG!N133</f>
        <v>Transition Probability from state 3 to state 4 on day 27 (Non-CHG)</v>
      </c>
      <c r="F1709" s="40">
        <f t="shared" si="251"/>
        <v>0</v>
      </c>
      <c r="G1709" s="156">
        <v>1</v>
      </c>
      <c r="H1709" s="120">
        <f>Tp_Non_CHG!Q133</f>
        <v>0</v>
      </c>
      <c r="I1709" s="40" t="s">
        <v>58</v>
      </c>
      <c r="J1709" s="40">
        <f t="shared" si="248"/>
        <v>0</v>
      </c>
      <c r="K1709" s="40">
        <f t="shared" si="249"/>
        <v>0</v>
      </c>
      <c r="L1709" s="40" t="s">
        <v>58</v>
      </c>
      <c r="M1709" s="50" t="s">
        <v>266</v>
      </c>
      <c r="N1709" s="190"/>
      <c r="O1709" s="40">
        <f t="shared" ca="1" si="254"/>
        <v>0.13572843999692485</v>
      </c>
      <c r="P1709" s="51">
        <f t="shared" si="252"/>
        <v>0</v>
      </c>
      <c r="Q1709" s="51">
        <f t="shared" si="253"/>
        <v>0</v>
      </c>
      <c r="R1709" s="51">
        <f t="shared" si="250"/>
        <v>0</v>
      </c>
      <c r="S1709"/>
      <c r="T1709" s="83"/>
    </row>
    <row r="1710" spans="1:20" ht="16" x14ac:dyDescent="0.2">
      <c r="A1710"/>
      <c r="B1710" s="103"/>
      <c r="C1710" s="243"/>
      <c r="D1710" s="119">
        <v>1697</v>
      </c>
      <c r="E1710" s="25" t="str">
        <f>Tp_Non_CHG!N134</f>
        <v>Transition Probability from state 3 to state 4 on day 28 (Non-CHG)</v>
      </c>
      <c r="F1710" s="40">
        <f t="shared" si="251"/>
        <v>0</v>
      </c>
      <c r="G1710" s="156">
        <v>1</v>
      </c>
      <c r="H1710" s="120">
        <f>Tp_Non_CHG!Q134</f>
        <v>0</v>
      </c>
      <c r="I1710" s="40" t="s">
        <v>58</v>
      </c>
      <c r="J1710" s="40">
        <f t="shared" si="248"/>
        <v>0</v>
      </c>
      <c r="K1710" s="40">
        <f t="shared" si="249"/>
        <v>0</v>
      </c>
      <c r="L1710" s="40" t="s">
        <v>58</v>
      </c>
      <c r="M1710" s="50" t="s">
        <v>266</v>
      </c>
      <c r="N1710" s="190"/>
      <c r="O1710" s="40">
        <f t="shared" ca="1" si="254"/>
        <v>0.40204877200563149</v>
      </c>
      <c r="P1710" s="51">
        <f t="shared" si="252"/>
        <v>0</v>
      </c>
      <c r="Q1710" s="51">
        <f t="shared" si="253"/>
        <v>0</v>
      </c>
      <c r="R1710" s="51">
        <f t="shared" si="250"/>
        <v>0</v>
      </c>
      <c r="S1710"/>
      <c r="T1710" s="83"/>
    </row>
    <row r="1711" spans="1:20" ht="16" x14ac:dyDescent="0.2">
      <c r="A1711"/>
      <c r="B1711" s="103"/>
      <c r="C1711" s="243"/>
      <c r="D1711" s="119">
        <v>1698</v>
      </c>
      <c r="E1711" s="25" t="str">
        <f>Tp_Non_CHG!N135</f>
        <v>Transition Probability from state 3 to state 4 on day 29 (Non-CHG)</v>
      </c>
      <c r="F1711" s="40">
        <f t="shared" si="251"/>
        <v>0</v>
      </c>
      <c r="G1711" s="156">
        <v>1</v>
      </c>
      <c r="H1711" s="120">
        <f>Tp_Non_CHG!Q135</f>
        <v>0</v>
      </c>
      <c r="I1711" s="40" t="s">
        <v>58</v>
      </c>
      <c r="J1711" s="40">
        <f t="shared" si="248"/>
        <v>0</v>
      </c>
      <c r="K1711" s="40">
        <f t="shared" si="249"/>
        <v>0</v>
      </c>
      <c r="L1711" s="40" t="s">
        <v>58</v>
      </c>
      <c r="M1711" s="50" t="s">
        <v>266</v>
      </c>
      <c r="N1711" s="190"/>
      <c r="O1711" s="40">
        <f t="shared" ca="1" si="254"/>
        <v>5.6595100479303606E-2</v>
      </c>
      <c r="P1711" s="51">
        <f t="shared" si="252"/>
        <v>0</v>
      </c>
      <c r="Q1711" s="51">
        <f t="shared" si="253"/>
        <v>0</v>
      </c>
      <c r="R1711" s="51">
        <f t="shared" si="250"/>
        <v>0</v>
      </c>
      <c r="S1711"/>
      <c r="T1711" s="83"/>
    </row>
    <row r="1712" spans="1:20" ht="16" x14ac:dyDescent="0.2">
      <c r="A1712"/>
      <c r="B1712" s="103"/>
      <c r="C1712" s="243"/>
      <c r="D1712" s="119">
        <v>1699</v>
      </c>
      <c r="E1712" s="25" t="str">
        <f>Tp_Non_CHG!N136</f>
        <v>Transition Probability from state 3 to state 4 on day 30 (Non-CHG)</v>
      </c>
      <c r="F1712" s="40">
        <f t="shared" si="251"/>
        <v>0</v>
      </c>
      <c r="G1712" s="156">
        <v>1</v>
      </c>
      <c r="H1712" s="120">
        <f>Tp_Non_CHG!Q136</f>
        <v>0</v>
      </c>
      <c r="I1712" s="40" t="s">
        <v>58</v>
      </c>
      <c r="J1712" s="40">
        <f t="shared" si="248"/>
        <v>0</v>
      </c>
      <c r="K1712" s="40">
        <f t="shared" si="249"/>
        <v>0</v>
      </c>
      <c r="L1712" s="40" t="s">
        <v>58</v>
      </c>
      <c r="M1712" s="50" t="s">
        <v>266</v>
      </c>
      <c r="N1712" s="190"/>
      <c r="O1712" s="40">
        <f t="shared" ca="1" si="254"/>
        <v>0.21361119113241056</v>
      </c>
      <c r="P1712" s="51">
        <f t="shared" si="252"/>
        <v>0</v>
      </c>
      <c r="Q1712" s="51">
        <f t="shared" si="253"/>
        <v>0</v>
      </c>
      <c r="R1712" s="51">
        <f t="shared" si="250"/>
        <v>0</v>
      </c>
      <c r="S1712"/>
      <c r="T1712" s="83"/>
    </row>
    <row r="1713" spans="1:20" ht="16" x14ac:dyDescent="0.2">
      <c r="A1713"/>
      <c r="B1713" s="103"/>
      <c r="C1713" s="243"/>
      <c r="D1713" s="119">
        <v>1700</v>
      </c>
      <c r="E1713" s="25" t="str">
        <f>Tp_Non_CHG!S107</f>
        <v>Transition Probability from state 4 to state 4 on day 1 (Non-CHG)</v>
      </c>
      <c r="F1713" s="40">
        <f t="shared" si="251"/>
        <v>0</v>
      </c>
      <c r="G1713" s="156">
        <v>1</v>
      </c>
      <c r="H1713" s="120">
        <f>Tp_Non_CHG!V107</f>
        <v>0</v>
      </c>
      <c r="I1713" s="40" t="s">
        <v>58</v>
      </c>
      <c r="J1713" s="40">
        <f t="shared" si="248"/>
        <v>0</v>
      </c>
      <c r="K1713" s="40">
        <f t="shared" si="249"/>
        <v>0</v>
      </c>
      <c r="L1713" s="40" t="s">
        <v>58</v>
      </c>
      <c r="M1713" s="50" t="s">
        <v>266</v>
      </c>
      <c r="N1713" s="190"/>
      <c r="O1713" s="40">
        <f t="shared" ca="1" si="254"/>
        <v>7.4473880672239368E-2</v>
      </c>
      <c r="P1713" s="51">
        <f t="shared" si="252"/>
        <v>0</v>
      </c>
      <c r="Q1713" s="51">
        <f t="shared" si="253"/>
        <v>0</v>
      </c>
      <c r="R1713" s="51">
        <f t="shared" si="250"/>
        <v>0</v>
      </c>
      <c r="S1713"/>
      <c r="T1713" s="83"/>
    </row>
    <row r="1714" spans="1:20" ht="16" x14ac:dyDescent="0.2">
      <c r="A1714"/>
      <c r="B1714" s="103"/>
      <c r="C1714" s="243"/>
      <c r="D1714" s="119">
        <v>1701</v>
      </c>
      <c r="E1714" s="25" t="str">
        <f>Tp_Non_CHG!S108</f>
        <v>Transition Probability from state 4 to state 4 on day 2 (Non-CHG)</v>
      </c>
      <c r="F1714" s="40">
        <f t="shared" si="251"/>
        <v>0</v>
      </c>
      <c r="G1714" s="156">
        <v>1</v>
      </c>
      <c r="H1714" s="120">
        <f>Tp_Non_CHG!V108</f>
        <v>0</v>
      </c>
      <c r="I1714" s="40" t="s">
        <v>58</v>
      </c>
      <c r="J1714" s="40">
        <f t="shared" si="248"/>
        <v>0</v>
      </c>
      <c r="K1714" s="40">
        <f t="shared" si="249"/>
        <v>0</v>
      </c>
      <c r="L1714" s="40" t="s">
        <v>58</v>
      </c>
      <c r="M1714" s="50" t="s">
        <v>266</v>
      </c>
      <c r="N1714" s="190"/>
      <c r="O1714" s="40">
        <f t="shared" ca="1" si="254"/>
        <v>4.632292145441097E-2</v>
      </c>
      <c r="P1714" s="51">
        <f t="shared" si="252"/>
        <v>0</v>
      </c>
      <c r="Q1714" s="51">
        <f t="shared" si="253"/>
        <v>0</v>
      </c>
      <c r="R1714" s="51">
        <f t="shared" si="250"/>
        <v>0</v>
      </c>
      <c r="S1714"/>
      <c r="T1714" s="83"/>
    </row>
    <row r="1715" spans="1:20" ht="16" x14ac:dyDescent="0.2">
      <c r="A1715"/>
      <c r="B1715" s="103"/>
      <c r="C1715" s="243"/>
      <c r="D1715" s="119">
        <v>1702</v>
      </c>
      <c r="E1715" s="25" t="str">
        <f>Tp_Non_CHG!S109</f>
        <v>Transition Probability from state 4 to state 4 on day 3 (Non-CHG)</v>
      </c>
      <c r="F1715" s="40">
        <f t="shared" si="251"/>
        <v>0</v>
      </c>
      <c r="G1715" s="156">
        <v>1</v>
      </c>
      <c r="H1715" s="120">
        <f>Tp_Non_CHG!V109</f>
        <v>0</v>
      </c>
      <c r="I1715" s="40" t="s">
        <v>58</v>
      </c>
      <c r="J1715" s="40">
        <f t="shared" si="248"/>
        <v>0</v>
      </c>
      <c r="K1715" s="40">
        <f t="shared" si="249"/>
        <v>0</v>
      </c>
      <c r="L1715" s="40" t="s">
        <v>58</v>
      </c>
      <c r="M1715" s="50" t="s">
        <v>266</v>
      </c>
      <c r="N1715" s="190"/>
      <c r="O1715" s="40">
        <f t="shared" ca="1" si="254"/>
        <v>6.3532062531367228E-2</v>
      </c>
      <c r="P1715" s="51">
        <f t="shared" si="252"/>
        <v>0</v>
      </c>
      <c r="Q1715" s="51">
        <f t="shared" si="253"/>
        <v>0</v>
      </c>
      <c r="R1715" s="51">
        <f t="shared" si="250"/>
        <v>0</v>
      </c>
      <c r="S1715"/>
      <c r="T1715" s="83"/>
    </row>
    <row r="1716" spans="1:20" ht="16" x14ac:dyDescent="0.2">
      <c r="A1716"/>
      <c r="B1716" s="103"/>
      <c r="C1716" s="243"/>
      <c r="D1716" s="119">
        <v>1703</v>
      </c>
      <c r="E1716" s="25" t="str">
        <f>Tp_Non_CHG!S110</f>
        <v>Transition Probability from state 4 to state 4 on day 4 (Non-CHG)</v>
      </c>
      <c r="F1716" s="40">
        <f t="shared" si="251"/>
        <v>0</v>
      </c>
      <c r="G1716" s="156">
        <v>1</v>
      </c>
      <c r="H1716" s="120">
        <f>Tp_Non_CHG!V110</f>
        <v>0</v>
      </c>
      <c r="I1716" s="40" t="s">
        <v>58</v>
      </c>
      <c r="J1716" s="40">
        <f t="shared" si="248"/>
        <v>0</v>
      </c>
      <c r="K1716" s="40">
        <f t="shared" si="249"/>
        <v>0</v>
      </c>
      <c r="L1716" s="40" t="s">
        <v>58</v>
      </c>
      <c r="M1716" s="50" t="s">
        <v>266</v>
      </c>
      <c r="N1716" s="190"/>
      <c r="O1716" s="40">
        <f t="shared" ca="1" si="254"/>
        <v>0.25779421077449738</v>
      </c>
      <c r="P1716" s="51">
        <f t="shared" si="252"/>
        <v>0</v>
      </c>
      <c r="Q1716" s="51">
        <f t="shared" si="253"/>
        <v>0</v>
      </c>
      <c r="R1716" s="51">
        <f t="shared" si="250"/>
        <v>0</v>
      </c>
      <c r="S1716"/>
      <c r="T1716" s="83"/>
    </row>
    <row r="1717" spans="1:20" ht="16" x14ac:dyDescent="0.2">
      <c r="A1717"/>
      <c r="B1717" s="103"/>
      <c r="C1717" s="243"/>
      <c r="D1717" s="119">
        <v>1704</v>
      </c>
      <c r="E1717" s="25" t="str">
        <f>Tp_Non_CHG!S111</f>
        <v>Transition Probability from state 4 to state 4 on day 5 (Non-CHG)</v>
      </c>
      <c r="F1717" s="40">
        <f t="shared" si="251"/>
        <v>0</v>
      </c>
      <c r="G1717" s="156">
        <v>1</v>
      </c>
      <c r="H1717" s="120">
        <f>Tp_Non_CHG!V111</f>
        <v>0</v>
      </c>
      <c r="I1717" s="40" t="s">
        <v>58</v>
      </c>
      <c r="J1717" s="40">
        <f t="shared" si="248"/>
        <v>0</v>
      </c>
      <c r="K1717" s="40">
        <f t="shared" si="249"/>
        <v>0</v>
      </c>
      <c r="L1717" s="40" t="s">
        <v>58</v>
      </c>
      <c r="M1717" s="50" t="s">
        <v>266</v>
      </c>
      <c r="N1717" s="190"/>
      <c r="O1717" s="40">
        <f t="shared" ca="1" si="254"/>
        <v>0.2522907132308988</v>
      </c>
      <c r="P1717" s="51">
        <f t="shared" si="252"/>
        <v>0</v>
      </c>
      <c r="Q1717" s="51">
        <f t="shared" si="253"/>
        <v>0</v>
      </c>
      <c r="R1717" s="51">
        <f t="shared" si="250"/>
        <v>0</v>
      </c>
      <c r="S1717"/>
      <c r="T1717" s="83"/>
    </row>
    <row r="1718" spans="1:20" ht="16" x14ac:dyDescent="0.2">
      <c r="A1718"/>
      <c r="B1718" s="103"/>
      <c r="C1718" s="243"/>
      <c r="D1718" s="119">
        <v>1705</v>
      </c>
      <c r="E1718" s="25" t="str">
        <f>Tp_Non_CHG!S112</f>
        <v>Transition Probability from state 4 to state 4 on day 6 (Non-CHG)</v>
      </c>
      <c r="F1718" s="40">
        <f t="shared" si="251"/>
        <v>0</v>
      </c>
      <c r="G1718" s="156">
        <v>1</v>
      </c>
      <c r="H1718" s="120">
        <f>Tp_Non_CHG!V112</f>
        <v>0</v>
      </c>
      <c r="I1718" s="40" t="s">
        <v>58</v>
      </c>
      <c r="J1718" s="40">
        <f t="shared" si="248"/>
        <v>0</v>
      </c>
      <c r="K1718" s="40">
        <f t="shared" si="249"/>
        <v>0</v>
      </c>
      <c r="L1718" s="40" t="s">
        <v>58</v>
      </c>
      <c r="M1718" s="50" t="s">
        <v>266</v>
      </c>
      <c r="N1718" s="190"/>
      <c r="O1718" s="40">
        <f t="shared" ca="1" si="254"/>
        <v>0.13822733870443826</v>
      </c>
      <c r="P1718" s="51">
        <f t="shared" si="252"/>
        <v>0</v>
      </c>
      <c r="Q1718" s="51">
        <f t="shared" si="253"/>
        <v>0</v>
      </c>
      <c r="R1718" s="51">
        <f t="shared" si="250"/>
        <v>0</v>
      </c>
      <c r="S1718"/>
      <c r="T1718" s="83"/>
    </row>
    <row r="1719" spans="1:20" ht="16" x14ac:dyDescent="0.2">
      <c r="A1719"/>
      <c r="B1719" s="103"/>
      <c r="C1719" s="243"/>
      <c r="D1719" s="119">
        <v>1706</v>
      </c>
      <c r="E1719" s="25" t="str">
        <f>Tp_Non_CHG!S113</f>
        <v>Transition Probability from state 4 to state 4 on day 7 (Non-CHG)</v>
      </c>
      <c r="F1719" s="40">
        <f t="shared" si="251"/>
        <v>0</v>
      </c>
      <c r="G1719" s="156">
        <v>1</v>
      </c>
      <c r="H1719" s="120">
        <f>Tp_Non_CHG!V113</f>
        <v>0</v>
      </c>
      <c r="I1719" s="40" t="s">
        <v>58</v>
      </c>
      <c r="J1719" s="40">
        <f t="shared" si="248"/>
        <v>0</v>
      </c>
      <c r="K1719" s="40">
        <f t="shared" si="249"/>
        <v>0</v>
      </c>
      <c r="L1719" s="40" t="s">
        <v>58</v>
      </c>
      <c r="M1719" s="50" t="s">
        <v>266</v>
      </c>
      <c r="N1719" s="190"/>
      <c r="O1719" s="40">
        <f t="shared" ca="1" si="254"/>
        <v>0.20425903814596202</v>
      </c>
      <c r="P1719" s="51">
        <f t="shared" si="252"/>
        <v>0</v>
      </c>
      <c r="Q1719" s="51">
        <f t="shared" si="253"/>
        <v>0</v>
      </c>
      <c r="R1719" s="51">
        <f t="shared" si="250"/>
        <v>0</v>
      </c>
      <c r="S1719"/>
      <c r="T1719" s="83"/>
    </row>
    <row r="1720" spans="1:20" ht="16" x14ac:dyDescent="0.2">
      <c r="A1720"/>
      <c r="B1720" s="103"/>
      <c r="C1720" s="243"/>
      <c r="D1720" s="119">
        <v>1707</v>
      </c>
      <c r="E1720" s="25" t="str">
        <f>Tp_Non_CHG!S114</f>
        <v>Transition Probability from state 4 to state 4 on day 8 (Non-CHG)</v>
      </c>
      <c r="F1720" s="40">
        <f t="shared" si="251"/>
        <v>0</v>
      </c>
      <c r="G1720" s="156">
        <v>1</v>
      </c>
      <c r="H1720" s="120">
        <f>Tp_Non_CHG!V114</f>
        <v>0</v>
      </c>
      <c r="I1720" s="40" t="s">
        <v>58</v>
      </c>
      <c r="J1720" s="40">
        <f t="shared" si="248"/>
        <v>0</v>
      </c>
      <c r="K1720" s="40">
        <f t="shared" si="249"/>
        <v>0</v>
      </c>
      <c r="L1720" s="40" t="s">
        <v>58</v>
      </c>
      <c r="M1720" s="50" t="s">
        <v>266</v>
      </c>
      <c r="N1720" s="190"/>
      <c r="O1720" s="40">
        <f t="shared" ca="1" si="254"/>
        <v>0.24314242770146044</v>
      </c>
      <c r="P1720" s="51">
        <f t="shared" si="252"/>
        <v>0</v>
      </c>
      <c r="Q1720" s="51">
        <f t="shared" si="253"/>
        <v>0</v>
      </c>
      <c r="R1720" s="51">
        <f t="shared" si="250"/>
        <v>0</v>
      </c>
      <c r="S1720"/>
      <c r="T1720" s="83"/>
    </row>
    <row r="1721" spans="1:20" ht="16" x14ac:dyDescent="0.2">
      <c r="A1721"/>
      <c r="B1721" s="103"/>
      <c r="C1721" s="243"/>
      <c r="D1721" s="119">
        <v>1708</v>
      </c>
      <c r="E1721" s="25" t="str">
        <f>Tp_Non_CHG!S115</f>
        <v>Transition Probability from state 4 to state 4 on day 9 (Non-CHG)</v>
      </c>
      <c r="F1721" s="40">
        <f t="shared" si="251"/>
        <v>0</v>
      </c>
      <c r="G1721" s="156">
        <v>1</v>
      </c>
      <c r="H1721" s="120">
        <f>Tp_Non_CHG!V115</f>
        <v>0</v>
      </c>
      <c r="I1721" s="40" t="s">
        <v>58</v>
      </c>
      <c r="J1721" s="40">
        <f t="shared" si="248"/>
        <v>0</v>
      </c>
      <c r="K1721" s="40">
        <f t="shared" si="249"/>
        <v>0</v>
      </c>
      <c r="L1721" s="40" t="s">
        <v>58</v>
      </c>
      <c r="M1721" s="50" t="s">
        <v>266</v>
      </c>
      <c r="N1721" s="190"/>
      <c r="O1721" s="40">
        <f t="shared" ca="1" si="254"/>
        <v>0.23686180352764574</v>
      </c>
      <c r="P1721" s="51">
        <f t="shared" si="252"/>
        <v>0</v>
      </c>
      <c r="Q1721" s="51">
        <f t="shared" si="253"/>
        <v>0</v>
      </c>
      <c r="R1721" s="51">
        <f t="shared" si="250"/>
        <v>0</v>
      </c>
      <c r="S1721"/>
      <c r="T1721" s="83"/>
    </row>
    <row r="1722" spans="1:20" ht="16" x14ac:dyDescent="0.2">
      <c r="A1722"/>
      <c r="B1722" s="103"/>
      <c r="C1722" s="243"/>
      <c r="D1722" s="119">
        <v>1709</v>
      </c>
      <c r="E1722" s="25" t="str">
        <f>Tp_Non_CHG!S116</f>
        <v>Transition Probability from state 4 to state 4 on day 10 (Non-CHG)</v>
      </c>
      <c r="F1722" s="40">
        <f t="shared" si="251"/>
        <v>0</v>
      </c>
      <c r="G1722" s="156">
        <v>1</v>
      </c>
      <c r="H1722" s="120">
        <f>Tp_Non_CHG!V116</f>
        <v>0</v>
      </c>
      <c r="I1722" s="40" t="s">
        <v>58</v>
      </c>
      <c r="J1722" s="40">
        <f t="shared" si="248"/>
        <v>0</v>
      </c>
      <c r="K1722" s="40">
        <f t="shared" si="249"/>
        <v>0</v>
      </c>
      <c r="L1722" s="40" t="s">
        <v>58</v>
      </c>
      <c r="M1722" s="50" t="s">
        <v>266</v>
      </c>
      <c r="N1722" s="190"/>
      <c r="O1722" s="40">
        <f t="shared" ca="1" si="254"/>
        <v>0.38007021535179508</v>
      </c>
      <c r="P1722" s="51">
        <f t="shared" si="252"/>
        <v>0</v>
      </c>
      <c r="Q1722" s="51">
        <f t="shared" si="253"/>
        <v>0</v>
      </c>
      <c r="R1722" s="51">
        <f t="shared" si="250"/>
        <v>0</v>
      </c>
      <c r="S1722"/>
      <c r="T1722" s="83"/>
    </row>
    <row r="1723" spans="1:20" ht="16" x14ac:dyDescent="0.2">
      <c r="A1723"/>
      <c r="B1723" s="103"/>
      <c r="C1723" s="243"/>
      <c r="D1723" s="119">
        <v>1710</v>
      </c>
      <c r="E1723" s="25" t="str">
        <f>Tp_Non_CHG!S117</f>
        <v>Transition Probability from state 4 to state 4 on day 11 (Non-CHG)</v>
      </c>
      <c r="F1723" s="40">
        <f t="shared" si="251"/>
        <v>0</v>
      </c>
      <c r="G1723" s="156">
        <v>1</v>
      </c>
      <c r="H1723" s="120">
        <f>Tp_Non_CHG!V117</f>
        <v>0</v>
      </c>
      <c r="I1723" s="40" t="s">
        <v>58</v>
      </c>
      <c r="J1723" s="40">
        <f t="shared" si="248"/>
        <v>0</v>
      </c>
      <c r="K1723" s="40">
        <f t="shared" si="249"/>
        <v>0</v>
      </c>
      <c r="L1723" s="40" t="s">
        <v>58</v>
      </c>
      <c r="M1723" s="50" t="s">
        <v>266</v>
      </c>
      <c r="N1723" s="190"/>
      <c r="O1723" s="40">
        <f t="shared" ca="1" si="254"/>
        <v>0.80078705097942271</v>
      </c>
      <c r="P1723" s="51">
        <f t="shared" si="252"/>
        <v>0</v>
      </c>
      <c r="Q1723" s="51">
        <f t="shared" si="253"/>
        <v>0</v>
      </c>
      <c r="R1723" s="51">
        <f t="shared" si="250"/>
        <v>0</v>
      </c>
      <c r="S1723"/>
      <c r="T1723" s="83"/>
    </row>
    <row r="1724" spans="1:20" ht="16" x14ac:dyDescent="0.2">
      <c r="A1724"/>
      <c r="B1724" s="103"/>
      <c r="C1724" s="243"/>
      <c r="D1724" s="119">
        <v>1711</v>
      </c>
      <c r="E1724" s="25" t="str">
        <f>Tp_Non_CHG!S118</f>
        <v>Transition Probability from state 4 to state 4 on day 12 (Non-CHG)</v>
      </c>
      <c r="F1724" s="40">
        <f t="shared" si="251"/>
        <v>0</v>
      </c>
      <c r="G1724" s="156">
        <v>1</v>
      </c>
      <c r="H1724" s="120">
        <f>Tp_Non_CHG!V118</f>
        <v>0</v>
      </c>
      <c r="I1724" s="40" t="s">
        <v>58</v>
      </c>
      <c r="J1724" s="40">
        <f t="shared" si="248"/>
        <v>0</v>
      </c>
      <c r="K1724" s="40">
        <f t="shared" si="249"/>
        <v>0</v>
      </c>
      <c r="L1724" s="40" t="s">
        <v>58</v>
      </c>
      <c r="M1724" s="50" t="s">
        <v>266</v>
      </c>
      <c r="N1724" s="190"/>
      <c r="O1724" s="40">
        <f t="shared" ca="1" si="254"/>
        <v>0.59951876573813023</v>
      </c>
      <c r="P1724" s="51">
        <f t="shared" si="252"/>
        <v>0</v>
      </c>
      <c r="Q1724" s="51">
        <f t="shared" si="253"/>
        <v>0</v>
      </c>
      <c r="R1724" s="51">
        <f t="shared" si="250"/>
        <v>0</v>
      </c>
      <c r="S1724"/>
      <c r="T1724" s="83"/>
    </row>
    <row r="1725" spans="1:20" ht="16" x14ac:dyDescent="0.2">
      <c r="A1725"/>
      <c r="B1725" s="103"/>
      <c r="C1725" s="243"/>
      <c r="D1725" s="119">
        <v>1712</v>
      </c>
      <c r="E1725" s="25" t="str">
        <f>Tp_Non_CHG!S119</f>
        <v>Transition Probability from state 4 to state 4 on day 13 (Non-CHG)</v>
      </c>
      <c r="F1725" s="40">
        <f t="shared" si="251"/>
        <v>0</v>
      </c>
      <c r="G1725" s="156">
        <v>1</v>
      </c>
      <c r="H1725" s="120">
        <f>Tp_Non_CHG!V119</f>
        <v>0</v>
      </c>
      <c r="I1725" s="40" t="s">
        <v>58</v>
      </c>
      <c r="J1725" s="40">
        <f t="shared" si="248"/>
        <v>0</v>
      </c>
      <c r="K1725" s="40">
        <f t="shared" si="249"/>
        <v>0</v>
      </c>
      <c r="L1725" s="40" t="s">
        <v>58</v>
      </c>
      <c r="M1725" s="50" t="s">
        <v>266</v>
      </c>
      <c r="N1725" s="190"/>
      <c r="O1725" s="40">
        <f t="shared" ca="1" si="254"/>
        <v>0.92155915361285179</v>
      </c>
      <c r="P1725" s="51">
        <f t="shared" si="252"/>
        <v>0</v>
      </c>
      <c r="Q1725" s="51">
        <f t="shared" si="253"/>
        <v>0</v>
      </c>
      <c r="R1725" s="51">
        <f t="shared" si="250"/>
        <v>0</v>
      </c>
      <c r="S1725"/>
      <c r="T1725" s="83"/>
    </row>
    <row r="1726" spans="1:20" ht="16" x14ac:dyDescent="0.2">
      <c r="A1726"/>
      <c r="B1726" s="103"/>
      <c r="C1726" s="243"/>
      <c r="D1726" s="119">
        <v>1713</v>
      </c>
      <c r="E1726" s="25" t="str">
        <f>Tp_Non_CHG!S120</f>
        <v>Transition Probability from state 4 to state 4 on day 14 (Non-CHG)</v>
      </c>
      <c r="F1726" s="40">
        <f t="shared" si="251"/>
        <v>0</v>
      </c>
      <c r="G1726" s="156">
        <v>1</v>
      </c>
      <c r="H1726" s="120">
        <f>Tp_Non_CHG!V120</f>
        <v>0</v>
      </c>
      <c r="I1726" s="40" t="s">
        <v>58</v>
      </c>
      <c r="J1726" s="40">
        <f t="shared" si="248"/>
        <v>0</v>
      </c>
      <c r="K1726" s="40">
        <f t="shared" si="249"/>
        <v>0</v>
      </c>
      <c r="L1726" s="40" t="s">
        <v>58</v>
      </c>
      <c r="M1726" s="50" t="s">
        <v>266</v>
      </c>
      <c r="N1726" s="190"/>
      <c r="O1726" s="40">
        <f t="shared" ca="1" si="254"/>
        <v>0.10284064947109939</v>
      </c>
      <c r="P1726" s="51">
        <f t="shared" si="252"/>
        <v>0</v>
      </c>
      <c r="Q1726" s="51">
        <f t="shared" si="253"/>
        <v>0</v>
      </c>
      <c r="R1726" s="51">
        <f t="shared" si="250"/>
        <v>0</v>
      </c>
      <c r="S1726"/>
      <c r="T1726" s="83"/>
    </row>
    <row r="1727" spans="1:20" ht="16" x14ac:dyDescent="0.2">
      <c r="A1727"/>
      <c r="B1727" s="103"/>
      <c r="C1727" s="243"/>
      <c r="D1727" s="119">
        <v>1714</v>
      </c>
      <c r="E1727" s="25" t="str">
        <f>Tp_Non_CHG!S121</f>
        <v>Transition Probability from state 4 to state 4 on day 15 (Non-CHG)</v>
      </c>
      <c r="F1727" s="40">
        <f t="shared" si="251"/>
        <v>0</v>
      </c>
      <c r="G1727" s="156">
        <v>1</v>
      </c>
      <c r="H1727" s="120">
        <f>Tp_Non_CHG!V121</f>
        <v>0</v>
      </c>
      <c r="I1727" s="40" t="s">
        <v>58</v>
      </c>
      <c r="J1727" s="40">
        <f t="shared" si="248"/>
        <v>0</v>
      </c>
      <c r="K1727" s="40">
        <f t="shared" si="249"/>
        <v>0</v>
      </c>
      <c r="L1727" s="40" t="s">
        <v>58</v>
      </c>
      <c r="M1727" s="50" t="s">
        <v>266</v>
      </c>
      <c r="N1727" s="190"/>
      <c r="O1727" s="40">
        <f t="shared" ca="1" si="254"/>
        <v>0.33584490268671585</v>
      </c>
      <c r="P1727" s="51">
        <f t="shared" si="252"/>
        <v>0</v>
      </c>
      <c r="Q1727" s="51">
        <f t="shared" si="253"/>
        <v>0</v>
      </c>
      <c r="R1727" s="51">
        <f t="shared" si="250"/>
        <v>0</v>
      </c>
      <c r="S1727"/>
      <c r="T1727" s="83"/>
    </row>
    <row r="1728" spans="1:20" ht="16" x14ac:dyDescent="0.2">
      <c r="A1728"/>
      <c r="B1728" s="103"/>
      <c r="C1728" s="243"/>
      <c r="D1728" s="119">
        <v>1715</v>
      </c>
      <c r="E1728" s="25" t="str">
        <f>Tp_Non_CHG!S122</f>
        <v>Transition Probability from state 4 to state 4 on day 16 (Non-CHG)</v>
      </c>
      <c r="F1728" s="40">
        <f t="shared" si="251"/>
        <v>0</v>
      </c>
      <c r="G1728" s="156">
        <v>1</v>
      </c>
      <c r="H1728" s="120">
        <f>Tp_Non_CHG!V122</f>
        <v>0</v>
      </c>
      <c r="I1728" s="40" t="s">
        <v>58</v>
      </c>
      <c r="J1728" s="40">
        <f t="shared" si="248"/>
        <v>0</v>
      </c>
      <c r="K1728" s="40">
        <f t="shared" si="249"/>
        <v>0</v>
      </c>
      <c r="L1728" s="40" t="s">
        <v>58</v>
      </c>
      <c r="M1728" s="50" t="s">
        <v>266</v>
      </c>
      <c r="N1728" s="190"/>
      <c r="O1728" s="40">
        <f t="shared" ca="1" si="254"/>
        <v>0.54986629127341669</v>
      </c>
      <c r="P1728" s="51">
        <f t="shared" si="252"/>
        <v>0</v>
      </c>
      <c r="Q1728" s="51">
        <f t="shared" si="253"/>
        <v>0</v>
      </c>
      <c r="R1728" s="51">
        <f t="shared" si="250"/>
        <v>0</v>
      </c>
      <c r="S1728"/>
      <c r="T1728" s="83"/>
    </row>
    <row r="1729" spans="1:20" ht="16" x14ac:dyDescent="0.2">
      <c r="A1729"/>
      <c r="B1729" s="103"/>
      <c r="C1729" s="243"/>
      <c r="D1729" s="119">
        <v>1716</v>
      </c>
      <c r="E1729" s="25" t="str">
        <f>Tp_Non_CHG!S123</f>
        <v>Transition Probability from state 4 to state 4 on day 17 (Non-CHG)</v>
      </c>
      <c r="F1729" s="40">
        <f t="shared" si="251"/>
        <v>0</v>
      </c>
      <c r="G1729" s="156">
        <v>1</v>
      </c>
      <c r="H1729" s="120">
        <f>Tp_Non_CHG!V123</f>
        <v>0</v>
      </c>
      <c r="I1729" s="40" t="s">
        <v>58</v>
      </c>
      <c r="J1729" s="40">
        <f t="shared" ref="J1729:J1787" si="255">IF(H1729=0,0,_xlfn.NORM.INV(0.025,H1729,R1729))</f>
        <v>0</v>
      </c>
      <c r="K1729" s="40">
        <f t="shared" ref="K1729:K1787" si="256">IF(H1729=0,0,_xlfn.NORM.INV(0.975,H1729,R1729))</f>
        <v>0</v>
      </c>
      <c r="L1729" s="40" t="s">
        <v>58</v>
      </c>
      <c r="M1729" s="50" t="s">
        <v>266</v>
      </c>
      <c r="N1729" s="190"/>
      <c r="O1729" s="40">
        <f t="shared" ca="1" si="254"/>
        <v>0.48607785280279314</v>
      </c>
      <c r="P1729" s="51">
        <f t="shared" si="252"/>
        <v>0</v>
      </c>
      <c r="Q1729" s="51">
        <f t="shared" si="253"/>
        <v>0</v>
      </c>
      <c r="R1729" s="51">
        <f t="shared" ref="R1729:R1787" si="257">assumedSE*H1729</f>
        <v>0</v>
      </c>
      <c r="S1729"/>
      <c r="T1729" s="83"/>
    </row>
    <row r="1730" spans="1:20" ht="16" x14ac:dyDescent="0.2">
      <c r="A1730"/>
      <c r="B1730" s="103"/>
      <c r="C1730" s="243"/>
      <c r="D1730" s="119">
        <v>1717</v>
      </c>
      <c r="E1730" s="25" t="str">
        <f>Tp_Non_CHG!S124</f>
        <v>Transition Probability from state 4 to state 4 on day 18 (Non-CHG)</v>
      </c>
      <c r="F1730" s="40">
        <f t="shared" si="251"/>
        <v>0</v>
      </c>
      <c r="G1730" s="156">
        <v>1</v>
      </c>
      <c r="H1730" s="120">
        <f>Tp_Non_CHG!V124</f>
        <v>0</v>
      </c>
      <c r="I1730" s="40" t="s">
        <v>58</v>
      </c>
      <c r="J1730" s="40">
        <f t="shared" si="255"/>
        <v>0</v>
      </c>
      <c r="K1730" s="40">
        <f t="shared" si="256"/>
        <v>0</v>
      </c>
      <c r="L1730" s="40" t="s">
        <v>58</v>
      </c>
      <c r="M1730" s="50" t="s">
        <v>266</v>
      </c>
      <c r="N1730" s="190"/>
      <c r="O1730" s="40">
        <f t="shared" ca="1" si="254"/>
        <v>0.24068880718616359</v>
      </c>
      <c r="P1730" s="51">
        <f t="shared" si="252"/>
        <v>0</v>
      </c>
      <c r="Q1730" s="51">
        <f t="shared" si="253"/>
        <v>0</v>
      </c>
      <c r="R1730" s="51">
        <f t="shared" si="257"/>
        <v>0</v>
      </c>
      <c r="S1730"/>
      <c r="T1730" s="83"/>
    </row>
    <row r="1731" spans="1:20" ht="16" x14ac:dyDescent="0.2">
      <c r="A1731"/>
      <c r="B1731" s="103"/>
      <c r="C1731" s="243"/>
      <c r="D1731" s="119">
        <v>1718</v>
      </c>
      <c r="E1731" s="25" t="str">
        <f>Tp_Non_CHG!S125</f>
        <v>Transition Probability from state 4 to state 4 on day 19 (Non-CHG)</v>
      </c>
      <c r="F1731" s="40">
        <f t="shared" si="251"/>
        <v>0</v>
      </c>
      <c r="G1731" s="156">
        <v>1</v>
      </c>
      <c r="H1731" s="120">
        <f>Tp_Non_CHG!V125</f>
        <v>0</v>
      </c>
      <c r="I1731" s="40" t="s">
        <v>58</v>
      </c>
      <c r="J1731" s="40">
        <f t="shared" si="255"/>
        <v>0</v>
      </c>
      <c r="K1731" s="40">
        <f t="shared" si="256"/>
        <v>0</v>
      </c>
      <c r="L1731" s="40" t="s">
        <v>58</v>
      </c>
      <c r="M1731" s="50" t="s">
        <v>266</v>
      </c>
      <c r="N1731" s="190"/>
      <c r="O1731" s="40">
        <f t="shared" ca="1" si="254"/>
        <v>0.38880222507495488</v>
      </c>
      <c r="P1731" s="51">
        <f t="shared" si="252"/>
        <v>0</v>
      </c>
      <c r="Q1731" s="51">
        <f t="shared" si="253"/>
        <v>0</v>
      </c>
      <c r="R1731" s="51">
        <f t="shared" si="257"/>
        <v>0</v>
      </c>
      <c r="S1731"/>
      <c r="T1731" s="83"/>
    </row>
    <row r="1732" spans="1:20" ht="16" x14ac:dyDescent="0.2">
      <c r="A1732"/>
      <c r="B1732" s="103"/>
      <c r="C1732" s="243"/>
      <c r="D1732" s="119">
        <v>1719</v>
      </c>
      <c r="E1732" s="25" t="str">
        <f>Tp_Non_CHG!S126</f>
        <v>Transition Probability from state 4 to state 4 on day 20 (Non-CHG)</v>
      </c>
      <c r="F1732" s="40">
        <f t="shared" si="251"/>
        <v>0</v>
      </c>
      <c r="G1732" s="156">
        <v>1</v>
      </c>
      <c r="H1732" s="120">
        <f>Tp_Non_CHG!V126</f>
        <v>0</v>
      </c>
      <c r="I1732" s="40" t="s">
        <v>58</v>
      </c>
      <c r="J1732" s="40">
        <f t="shared" si="255"/>
        <v>0</v>
      </c>
      <c r="K1732" s="40">
        <f t="shared" si="256"/>
        <v>0</v>
      </c>
      <c r="L1732" s="40" t="s">
        <v>58</v>
      </c>
      <c r="M1732" s="50" t="s">
        <v>266</v>
      </c>
      <c r="N1732" s="190"/>
      <c r="O1732" s="40">
        <f t="shared" ca="1" si="254"/>
        <v>0.77425703768259568</v>
      </c>
      <c r="P1732" s="51">
        <f t="shared" si="252"/>
        <v>0</v>
      </c>
      <c r="Q1732" s="51">
        <f t="shared" si="253"/>
        <v>0</v>
      </c>
      <c r="R1732" s="51">
        <f t="shared" si="257"/>
        <v>0</v>
      </c>
      <c r="S1732"/>
      <c r="T1732" s="83"/>
    </row>
    <row r="1733" spans="1:20" ht="16" x14ac:dyDescent="0.2">
      <c r="A1733"/>
      <c r="B1733" s="103"/>
      <c r="C1733" s="243"/>
      <c r="D1733" s="119">
        <v>1720</v>
      </c>
      <c r="E1733" s="25" t="str">
        <f>Tp_Non_CHG!S127</f>
        <v>Transition Probability from state 4 to state 4 on day 21 (Non-CHG)</v>
      </c>
      <c r="F1733" s="40">
        <f t="shared" si="251"/>
        <v>0</v>
      </c>
      <c r="G1733" s="156">
        <v>1</v>
      </c>
      <c r="H1733" s="120">
        <f>Tp_Non_CHG!V127</f>
        <v>0</v>
      </c>
      <c r="I1733" s="40" t="s">
        <v>58</v>
      </c>
      <c r="J1733" s="40">
        <f t="shared" si="255"/>
        <v>0</v>
      </c>
      <c r="K1733" s="40">
        <f t="shared" si="256"/>
        <v>0</v>
      </c>
      <c r="L1733" s="40" t="s">
        <v>58</v>
      </c>
      <c r="M1733" s="50" t="s">
        <v>266</v>
      </c>
      <c r="N1733" s="190"/>
      <c r="O1733" s="40">
        <f t="shared" ca="1" si="254"/>
        <v>2.6850119291242924E-2</v>
      </c>
      <c r="P1733" s="51">
        <f t="shared" si="252"/>
        <v>0</v>
      </c>
      <c r="Q1733" s="51">
        <f t="shared" si="253"/>
        <v>0</v>
      </c>
      <c r="R1733" s="51">
        <f t="shared" si="257"/>
        <v>0</v>
      </c>
      <c r="S1733"/>
      <c r="T1733" s="83"/>
    </row>
    <row r="1734" spans="1:20" ht="16" x14ac:dyDescent="0.2">
      <c r="A1734"/>
      <c r="B1734" s="103"/>
      <c r="C1734" s="243"/>
      <c r="D1734" s="119">
        <v>1721</v>
      </c>
      <c r="E1734" s="25" t="str">
        <f>Tp_Non_CHG!S128</f>
        <v>Transition Probability from state 4 to state 4 on day 22 (Non-CHG)</v>
      </c>
      <c r="F1734" s="40">
        <f t="shared" si="251"/>
        <v>0</v>
      </c>
      <c r="G1734" s="156">
        <v>1</v>
      </c>
      <c r="H1734" s="120">
        <f>Tp_Non_CHG!V128</f>
        <v>0</v>
      </c>
      <c r="I1734" s="40" t="s">
        <v>58</v>
      </c>
      <c r="J1734" s="40">
        <f t="shared" si="255"/>
        <v>0</v>
      </c>
      <c r="K1734" s="40">
        <f t="shared" si="256"/>
        <v>0</v>
      </c>
      <c r="L1734" s="40" t="s">
        <v>58</v>
      </c>
      <c r="M1734" s="50" t="s">
        <v>266</v>
      </c>
      <c r="N1734" s="190"/>
      <c r="O1734" s="40">
        <f t="shared" ca="1" si="254"/>
        <v>0.42828841186222522</v>
      </c>
      <c r="P1734" s="51">
        <f t="shared" si="252"/>
        <v>0</v>
      </c>
      <c r="Q1734" s="51">
        <f t="shared" si="253"/>
        <v>0</v>
      </c>
      <c r="R1734" s="51">
        <f t="shared" si="257"/>
        <v>0</v>
      </c>
      <c r="S1734"/>
      <c r="T1734" s="83"/>
    </row>
    <row r="1735" spans="1:20" ht="16" x14ac:dyDescent="0.2">
      <c r="A1735"/>
      <c r="B1735" s="103"/>
      <c r="C1735" s="243"/>
      <c r="D1735" s="119">
        <v>1722</v>
      </c>
      <c r="E1735" s="25" t="str">
        <f>Tp_Non_CHG!S129</f>
        <v>Transition Probability from state 4 to state 4 on day 23 (Non-CHG)</v>
      </c>
      <c r="F1735" s="40">
        <f t="shared" si="251"/>
        <v>0</v>
      </c>
      <c r="G1735" s="156">
        <v>1</v>
      </c>
      <c r="H1735" s="120">
        <f>Tp_Non_CHG!V129</f>
        <v>0</v>
      </c>
      <c r="I1735" s="40" t="s">
        <v>58</v>
      </c>
      <c r="J1735" s="40">
        <f t="shared" si="255"/>
        <v>0</v>
      </c>
      <c r="K1735" s="40">
        <f t="shared" si="256"/>
        <v>0</v>
      </c>
      <c r="L1735" s="40" t="s">
        <v>58</v>
      </c>
      <c r="M1735" s="50" t="s">
        <v>266</v>
      </c>
      <c r="N1735" s="190"/>
      <c r="O1735" s="40">
        <f t="shared" ca="1" si="254"/>
        <v>0.96038160459612321</v>
      </c>
      <c r="P1735" s="51">
        <f t="shared" si="252"/>
        <v>0</v>
      </c>
      <c r="Q1735" s="51">
        <f t="shared" si="253"/>
        <v>0</v>
      </c>
      <c r="R1735" s="51">
        <f t="shared" si="257"/>
        <v>0</v>
      </c>
      <c r="S1735"/>
      <c r="T1735" s="83"/>
    </row>
    <row r="1736" spans="1:20" ht="16" x14ac:dyDescent="0.2">
      <c r="A1736"/>
      <c r="B1736" s="103"/>
      <c r="C1736" s="243"/>
      <c r="D1736" s="119">
        <v>1723</v>
      </c>
      <c r="E1736" s="25" t="str">
        <f>Tp_Non_CHG!S130</f>
        <v>Transition Probability from state 4 to state 4 on day 24 (Non-CHG)</v>
      </c>
      <c r="F1736" s="40">
        <f t="shared" si="251"/>
        <v>0</v>
      </c>
      <c r="G1736" s="156">
        <v>1</v>
      </c>
      <c r="H1736" s="120">
        <f>Tp_Non_CHG!V130</f>
        <v>0</v>
      </c>
      <c r="I1736" s="40" t="s">
        <v>58</v>
      </c>
      <c r="J1736" s="40">
        <f t="shared" si="255"/>
        <v>0</v>
      </c>
      <c r="K1736" s="40">
        <f t="shared" si="256"/>
        <v>0</v>
      </c>
      <c r="L1736" s="40" t="s">
        <v>58</v>
      </c>
      <c r="M1736" s="50" t="s">
        <v>266</v>
      </c>
      <c r="N1736" s="190"/>
      <c r="O1736" s="40">
        <f t="shared" ca="1" si="254"/>
        <v>0.84122081359804213</v>
      </c>
      <c r="P1736" s="51">
        <f t="shared" si="252"/>
        <v>0</v>
      </c>
      <c r="Q1736" s="51">
        <f t="shared" si="253"/>
        <v>0</v>
      </c>
      <c r="R1736" s="51">
        <f t="shared" si="257"/>
        <v>0</v>
      </c>
      <c r="S1736"/>
      <c r="T1736" s="83"/>
    </row>
    <row r="1737" spans="1:20" ht="16" x14ac:dyDescent="0.2">
      <c r="A1737"/>
      <c r="B1737" s="103"/>
      <c r="C1737" s="243"/>
      <c r="D1737" s="119">
        <v>1724</v>
      </c>
      <c r="E1737" s="25" t="str">
        <f>Tp_Non_CHG!S131</f>
        <v>Transition Probability from state 4 to state 4 on day 25 (Non-CHG)</v>
      </c>
      <c r="F1737" s="40">
        <f t="shared" si="251"/>
        <v>0</v>
      </c>
      <c r="G1737" s="156">
        <v>1</v>
      </c>
      <c r="H1737" s="120">
        <f>Tp_Non_CHG!V131</f>
        <v>0</v>
      </c>
      <c r="I1737" s="40" t="s">
        <v>58</v>
      </c>
      <c r="J1737" s="40">
        <f t="shared" si="255"/>
        <v>0</v>
      </c>
      <c r="K1737" s="40">
        <f t="shared" si="256"/>
        <v>0</v>
      </c>
      <c r="L1737" s="40" t="s">
        <v>58</v>
      </c>
      <c r="M1737" s="50" t="s">
        <v>266</v>
      </c>
      <c r="N1737" s="190"/>
      <c r="O1737" s="40">
        <f t="shared" ca="1" si="254"/>
        <v>0.63514161420875337</v>
      </c>
      <c r="P1737" s="51">
        <f t="shared" si="252"/>
        <v>0</v>
      </c>
      <c r="Q1737" s="51">
        <f t="shared" si="253"/>
        <v>0</v>
      </c>
      <c r="R1737" s="51">
        <f t="shared" si="257"/>
        <v>0</v>
      </c>
      <c r="S1737"/>
      <c r="T1737" s="83"/>
    </row>
    <row r="1738" spans="1:20" ht="16" x14ac:dyDescent="0.2">
      <c r="A1738"/>
      <c r="B1738" s="103"/>
      <c r="C1738" s="243"/>
      <c r="D1738" s="119">
        <v>1725</v>
      </c>
      <c r="E1738" s="25" t="str">
        <f>Tp_Non_CHG!S132</f>
        <v>Transition Probability from state 4 to state 4 on day 26 (Non-CHG)</v>
      </c>
      <c r="F1738" s="40">
        <f t="shared" si="251"/>
        <v>0</v>
      </c>
      <c r="G1738" s="156">
        <v>1</v>
      </c>
      <c r="H1738" s="120">
        <f>Tp_Non_CHG!V132</f>
        <v>0</v>
      </c>
      <c r="I1738" s="40" t="s">
        <v>58</v>
      </c>
      <c r="J1738" s="40">
        <f t="shared" si="255"/>
        <v>0</v>
      </c>
      <c r="K1738" s="40">
        <f t="shared" si="256"/>
        <v>0</v>
      </c>
      <c r="L1738" s="40" t="s">
        <v>58</v>
      </c>
      <c r="M1738" s="50" t="s">
        <v>266</v>
      </c>
      <c r="N1738" s="190"/>
      <c r="O1738" s="40">
        <f t="shared" ca="1" si="254"/>
        <v>0.29084027571361204</v>
      </c>
      <c r="P1738" s="51">
        <f t="shared" si="252"/>
        <v>0</v>
      </c>
      <c r="Q1738" s="51">
        <f t="shared" si="253"/>
        <v>0</v>
      </c>
      <c r="R1738" s="51">
        <f t="shared" si="257"/>
        <v>0</v>
      </c>
      <c r="S1738"/>
      <c r="T1738" s="83"/>
    </row>
    <row r="1739" spans="1:20" ht="16" x14ac:dyDescent="0.2">
      <c r="A1739"/>
      <c r="B1739" s="103"/>
      <c r="C1739" s="243"/>
      <c r="D1739" s="119">
        <v>1726</v>
      </c>
      <c r="E1739" s="25" t="str">
        <f>Tp_Non_CHG!S133</f>
        <v>Transition Probability from state 4 to state 4 on day 27 (Non-CHG)</v>
      </c>
      <c r="F1739" s="40">
        <f t="shared" si="251"/>
        <v>0</v>
      </c>
      <c r="G1739" s="156">
        <v>1</v>
      </c>
      <c r="H1739" s="120">
        <f>Tp_Non_CHG!V133</f>
        <v>0</v>
      </c>
      <c r="I1739" s="40" t="s">
        <v>58</v>
      </c>
      <c r="J1739" s="40">
        <f t="shared" si="255"/>
        <v>0</v>
      </c>
      <c r="K1739" s="40">
        <f t="shared" si="256"/>
        <v>0</v>
      </c>
      <c r="L1739" s="40" t="s">
        <v>58</v>
      </c>
      <c r="M1739" s="50" t="s">
        <v>266</v>
      </c>
      <c r="N1739" s="190"/>
      <c r="O1739" s="40">
        <f t="shared" ca="1" si="254"/>
        <v>0.34456548784633201</v>
      </c>
      <c r="P1739" s="51">
        <f t="shared" si="252"/>
        <v>0</v>
      </c>
      <c r="Q1739" s="51">
        <f t="shared" si="253"/>
        <v>0</v>
      </c>
      <c r="R1739" s="51">
        <f t="shared" si="257"/>
        <v>0</v>
      </c>
      <c r="S1739"/>
      <c r="T1739" s="83"/>
    </row>
    <row r="1740" spans="1:20" ht="16" x14ac:dyDescent="0.2">
      <c r="A1740"/>
      <c r="B1740" s="103"/>
      <c r="C1740" s="243"/>
      <c r="D1740" s="119">
        <v>1727</v>
      </c>
      <c r="E1740" s="25" t="str">
        <f>Tp_Non_CHG!S134</f>
        <v>Transition Probability from state 4 to state 4 on day 28 (Non-CHG)</v>
      </c>
      <c r="F1740" s="40">
        <f t="shared" si="251"/>
        <v>0</v>
      </c>
      <c r="G1740" s="156">
        <v>1</v>
      </c>
      <c r="H1740" s="120">
        <f>Tp_Non_CHG!V134</f>
        <v>0</v>
      </c>
      <c r="I1740" s="40" t="s">
        <v>58</v>
      </c>
      <c r="J1740" s="40">
        <f t="shared" si="255"/>
        <v>0</v>
      </c>
      <c r="K1740" s="40">
        <f t="shared" si="256"/>
        <v>0</v>
      </c>
      <c r="L1740" s="40" t="s">
        <v>58</v>
      </c>
      <c r="M1740" s="50" t="s">
        <v>266</v>
      </c>
      <c r="N1740" s="190"/>
      <c r="O1740" s="40">
        <f t="shared" ca="1" si="254"/>
        <v>0.48079829887771852</v>
      </c>
      <c r="P1740" s="51">
        <f t="shared" si="252"/>
        <v>0</v>
      </c>
      <c r="Q1740" s="51">
        <f t="shared" si="253"/>
        <v>0</v>
      </c>
      <c r="R1740" s="51">
        <f t="shared" si="257"/>
        <v>0</v>
      </c>
      <c r="S1740"/>
      <c r="T1740" s="83"/>
    </row>
    <row r="1741" spans="1:20" ht="16" x14ac:dyDescent="0.2">
      <c r="A1741"/>
      <c r="B1741" s="103"/>
      <c r="C1741" s="243"/>
      <c r="D1741" s="119">
        <v>1728</v>
      </c>
      <c r="E1741" s="25" t="str">
        <f>Tp_Non_CHG!S135</f>
        <v>Transition Probability from state 4 to state 4 on day 29 (Non-CHG)</v>
      </c>
      <c r="F1741" s="40">
        <f t="shared" si="251"/>
        <v>0</v>
      </c>
      <c r="G1741" s="156">
        <v>1</v>
      </c>
      <c r="H1741" s="120">
        <f>Tp_Non_CHG!V135</f>
        <v>0</v>
      </c>
      <c r="I1741" s="40" t="s">
        <v>58</v>
      </c>
      <c r="J1741" s="40">
        <f t="shared" si="255"/>
        <v>0</v>
      </c>
      <c r="K1741" s="40">
        <f t="shared" si="256"/>
        <v>0</v>
      </c>
      <c r="L1741" s="40" t="s">
        <v>58</v>
      </c>
      <c r="M1741" s="50" t="s">
        <v>266</v>
      </c>
      <c r="N1741" s="190"/>
      <c r="O1741" s="40">
        <f t="shared" ca="1" si="254"/>
        <v>0.35774000681790197</v>
      </c>
      <c r="P1741" s="51">
        <f t="shared" si="252"/>
        <v>0</v>
      </c>
      <c r="Q1741" s="51">
        <f t="shared" si="253"/>
        <v>0</v>
      </c>
      <c r="R1741" s="51">
        <f t="shared" si="257"/>
        <v>0</v>
      </c>
      <c r="S1741"/>
      <c r="T1741" s="83"/>
    </row>
    <row r="1742" spans="1:20" ht="16" x14ac:dyDescent="0.2">
      <c r="A1742"/>
      <c r="B1742" s="103"/>
      <c r="C1742" s="243"/>
      <c r="D1742" s="119">
        <v>1729</v>
      </c>
      <c r="E1742" s="25" t="str">
        <f>Tp_Non_CHG!S136</f>
        <v>Transition Probability from state 4 to state 4 on day 30 (Non-CHG)</v>
      </c>
      <c r="F1742" s="40">
        <f t="shared" si="251"/>
        <v>0</v>
      </c>
      <c r="G1742" s="156">
        <v>1</v>
      </c>
      <c r="H1742" s="120">
        <f>Tp_Non_CHG!V136</f>
        <v>0</v>
      </c>
      <c r="I1742" s="40" t="s">
        <v>58</v>
      </c>
      <c r="J1742" s="40">
        <f t="shared" si="255"/>
        <v>0</v>
      </c>
      <c r="K1742" s="40">
        <f t="shared" si="256"/>
        <v>0</v>
      </c>
      <c r="L1742" s="40" t="s">
        <v>58</v>
      </c>
      <c r="M1742" s="50" t="s">
        <v>266</v>
      </c>
      <c r="N1742" s="190"/>
      <c r="O1742" s="40">
        <f t="shared" ca="1" si="254"/>
        <v>0.91126552110612535</v>
      </c>
      <c r="P1742" s="51">
        <f t="shared" si="252"/>
        <v>0</v>
      </c>
      <c r="Q1742" s="51">
        <f t="shared" si="253"/>
        <v>0</v>
      </c>
      <c r="R1742" s="51">
        <f t="shared" si="257"/>
        <v>0</v>
      </c>
      <c r="S1742"/>
      <c r="T1742" s="83"/>
    </row>
    <row r="1743" spans="1:20" ht="16" x14ac:dyDescent="0.2">
      <c r="A1743"/>
      <c r="B1743" s="103"/>
      <c r="C1743" s="243"/>
      <c r="D1743" s="119">
        <v>1730</v>
      </c>
      <c r="E1743" s="25" t="str">
        <f>Tp_Non_CHG!X107</f>
        <v>Transition Probability from state 6 to state 4 on day 1 (Non-CHG)</v>
      </c>
      <c r="F1743" s="40">
        <f t="shared" ref="F1743:F1806" si="258">IFERROR(CHOOSE(G1743,H1743,J1743,K1743,N1743),0)</f>
        <v>0</v>
      </c>
      <c r="G1743" s="156">
        <v>1</v>
      </c>
      <c r="H1743" s="120">
        <f>Tp_Non_CHG!AA107</f>
        <v>0</v>
      </c>
      <c r="I1743" s="40" t="s">
        <v>58</v>
      </c>
      <c r="J1743" s="40">
        <f t="shared" si="255"/>
        <v>0</v>
      </c>
      <c r="K1743" s="40">
        <f t="shared" si="256"/>
        <v>0</v>
      </c>
      <c r="L1743" s="40" t="s">
        <v>58</v>
      </c>
      <c r="M1743" s="50" t="s">
        <v>266</v>
      </c>
      <c r="N1743" s="190"/>
      <c r="O1743" s="40">
        <f t="shared" ca="1" si="254"/>
        <v>0.3088947566848137</v>
      </c>
      <c r="P1743" s="51">
        <f t="shared" si="252"/>
        <v>0</v>
      </c>
      <c r="Q1743" s="51">
        <f t="shared" si="253"/>
        <v>0</v>
      </c>
      <c r="R1743" s="51">
        <f t="shared" si="257"/>
        <v>0</v>
      </c>
      <c r="S1743"/>
      <c r="T1743" s="83"/>
    </row>
    <row r="1744" spans="1:20" ht="16" x14ac:dyDescent="0.2">
      <c r="A1744"/>
      <c r="B1744" s="103"/>
      <c r="C1744" s="243"/>
      <c r="D1744" s="119">
        <v>1731</v>
      </c>
      <c r="E1744" s="25" t="str">
        <f>Tp_Non_CHG!X108</f>
        <v>Transition Probability from state 6 to state 4 on day 2 (Non-CHG)</v>
      </c>
      <c r="F1744" s="40">
        <f t="shared" si="258"/>
        <v>0</v>
      </c>
      <c r="G1744" s="156">
        <v>1</v>
      </c>
      <c r="H1744" s="120">
        <f>Tp_Non_CHG!AA108</f>
        <v>0</v>
      </c>
      <c r="I1744" s="40" t="s">
        <v>58</v>
      </c>
      <c r="J1744" s="40">
        <f t="shared" si="255"/>
        <v>0</v>
      </c>
      <c r="K1744" s="40">
        <f t="shared" si="256"/>
        <v>0</v>
      </c>
      <c r="L1744" s="40" t="s">
        <v>58</v>
      </c>
      <c r="M1744" s="50" t="s">
        <v>266</v>
      </c>
      <c r="N1744" s="190"/>
      <c r="O1744" s="40">
        <f t="shared" ca="1" si="254"/>
        <v>0.7359001968156853</v>
      </c>
      <c r="P1744" s="51">
        <f t="shared" si="252"/>
        <v>0</v>
      </c>
      <c r="Q1744" s="51">
        <f t="shared" si="253"/>
        <v>0</v>
      </c>
      <c r="R1744" s="51">
        <f t="shared" si="257"/>
        <v>0</v>
      </c>
      <c r="S1744"/>
      <c r="T1744" s="83"/>
    </row>
    <row r="1745" spans="1:20" ht="16" x14ac:dyDescent="0.2">
      <c r="A1745"/>
      <c r="B1745" s="103"/>
      <c r="C1745" s="243"/>
      <c r="D1745" s="119">
        <v>1732</v>
      </c>
      <c r="E1745" s="25" t="str">
        <f>Tp_Non_CHG!X109</f>
        <v>Transition Probability from state 6 to state 4 on day 3 (Non-CHG)</v>
      </c>
      <c r="F1745" s="40">
        <f t="shared" si="258"/>
        <v>0</v>
      </c>
      <c r="G1745" s="156">
        <v>1</v>
      </c>
      <c r="H1745" s="120">
        <f>Tp_Non_CHG!AA109</f>
        <v>0</v>
      </c>
      <c r="I1745" s="40" t="s">
        <v>58</v>
      </c>
      <c r="J1745" s="40">
        <f t="shared" si="255"/>
        <v>0</v>
      </c>
      <c r="K1745" s="40">
        <f t="shared" si="256"/>
        <v>0</v>
      </c>
      <c r="L1745" s="40" t="s">
        <v>58</v>
      </c>
      <c r="M1745" s="50" t="s">
        <v>266</v>
      </c>
      <c r="N1745" s="190"/>
      <c r="O1745" s="40">
        <f t="shared" ca="1" si="254"/>
        <v>0.60227795359242486</v>
      </c>
      <c r="P1745" s="51">
        <f t="shared" ref="P1745:P1808" si="259">IFERROR(H1745*((H1745*(1-H1745)/(R1745^2))-1),0)</f>
        <v>0</v>
      </c>
      <c r="Q1745" s="51">
        <f t="shared" ref="Q1745:Q1808" si="260">IFERROR((1-H1745)*((H1745*(1-H1745))/(R1745^2)-1),0)</f>
        <v>0</v>
      </c>
      <c r="R1745" s="51">
        <f t="shared" si="257"/>
        <v>0</v>
      </c>
      <c r="S1745"/>
      <c r="T1745" s="83"/>
    </row>
    <row r="1746" spans="1:20" ht="16" x14ac:dyDescent="0.2">
      <c r="A1746"/>
      <c r="B1746" s="103"/>
      <c r="C1746" s="243"/>
      <c r="D1746" s="119">
        <v>1733</v>
      </c>
      <c r="E1746" s="25" t="str">
        <f>Tp_Non_CHG!X110</f>
        <v>Transition Probability from state 6 to state 4 on day 4 (Non-CHG)</v>
      </c>
      <c r="F1746" s="40">
        <f t="shared" si="258"/>
        <v>0</v>
      </c>
      <c r="G1746" s="156">
        <v>1</v>
      </c>
      <c r="H1746" s="120">
        <f>Tp_Non_CHG!AA110</f>
        <v>0</v>
      </c>
      <c r="I1746" s="40" t="s">
        <v>58</v>
      </c>
      <c r="J1746" s="40">
        <f t="shared" si="255"/>
        <v>0</v>
      </c>
      <c r="K1746" s="40">
        <f t="shared" si="256"/>
        <v>0</v>
      </c>
      <c r="L1746" s="40" t="s">
        <v>58</v>
      </c>
      <c r="M1746" s="50" t="s">
        <v>266</v>
      </c>
      <c r="N1746" s="190"/>
      <c r="O1746" s="40">
        <f t="shared" ca="1" si="254"/>
        <v>0.68385944766891693</v>
      </c>
      <c r="P1746" s="51">
        <f t="shared" si="259"/>
        <v>0</v>
      </c>
      <c r="Q1746" s="51">
        <f t="shared" si="260"/>
        <v>0</v>
      </c>
      <c r="R1746" s="51">
        <f t="shared" si="257"/>
        <v>0</v>
      </c>
      <c r="S1746"/>
      <c r="T1746" s="83"/>
    </row>
    <row r="1747" spans="1:20" ht="16" x14ac:dyDescent="0.2">
      <c r="A1747"/>
      <c r="B1747" s="103"/>
      <c r="C1747" s="243"/>
      <c r="D1747" s="119">
        <v>1734</v>
      </c>
      <c r="E1747" s="25" t="str">
        <f>Tp_Non_CHG!X111</f>
        <v>Transition Probability from state 6 to state 4 on day 5 (Non-CHG)</v>
      </c>
      <c r="F1747" s="40">
        <f t="shared" si="258"/>
        <v>0</v>
      </c>
      <c r="G1747" s="156">
        <v>1</v>
      </c>
      <c r="H1747" s="120">
        <f>Tp_Non_CHG!AA111</f>
        <v>0</v>
      </c>
      <c r="I1747" s="40" t="s">
        <v>58</v>
      </c>
      <c r="J1747" s="40">
        <f t="shared" si="255"/>
        <v>0</v>
      </c>
      <c r="K1747" s="40">
        <f t="shared" si="256"/>
        <v>0</v>
      </c>
      <c r="L1747" s="40" t="s">
        <v>58</v>
      </c>
      <c r="M1747" s="50" t="s">
        <v>266</v>
      </c>
      <c r="N1747" s="190"/>
      <c r="O1747" s="40">
        <f t="shared" ca="1" si="254"/>
        <v>0.92235888285812639</v>
      </c>
      <c r="P1747" s="51">
        <f t="shared" si="259"/>
        <v>0</v>
      </c>
      <c r="Q1747" s="51">
        <f t="shared" si="260"/>
        <v>0</v>
      </c>
      <c r="R1747" s="51">
        <f t="shared" si="257"/>
        <v>0</v>
      </c>
      <c r="S1747"/>
      <c r="T1747" s="83"/>
    </row>
    <row r="1748" spans="1:20" ht="16" x14ac:dyDescent="0.2">
      <c r="A1748"/>
      <c r="B1748" s="103"/>
      <c r="C1748" s="243"/>
      <c r="D1748" s="119">
        <v>1735</v>
      </c>
      <c r="E1748" s="25" t="str">
        <f>Tp_Non_CHG!X112</f>
        <v>Transition Probability from state 6 to state 4 on day 6 (Non-CHG)</v>
      </c>
      <c r="F1748" s="40">
        <f t="shared" si="258"/>
        <v>0</v>
      </c>
      <c r="G1748" s="156">
        <v>1</v>
      </c>
      <c r="H1748" s="120">
        <f>Tp_Non_CHG!AA112</f>
        <v>0</v>
      </c>
      <c r="I1748" s="40" t="s">
        <v>58</v>
      </c>
      <c r="J1748" s="40">
        <f t="shared" si="255"/>
        <v>0</v>
      </c>
      <c r="K1748" s="40">
        <f t="shared" si="256"/>
        <v>0</v>
      </c>
      <c r="L1748" s="40" t="s">
        <v>58</v>
      </c>
      <c r="M1748" s="50" t="s">
        <v>266</v>
      </c>
      <c r="N1748" s="190"/>
      <c r="O1748" s="40">
        <f t="shared" ca="1" si="254"/>
        <v>5.5666491496086934E-2</v>
      </c>
      <c r="P1748" s="51">
        <f t="shared" si="259"/>
        <v>0</v>
      </c>
      <c r="Q1748" s="51">
        <f t="shared" si="260"/>
        <v>0</v>
      </c>
      <c r="R1748" s="51">
        <f t="shared" si="257"/>
        <v>0</v>
      </c>
      <c r="S1748"/>
      <c r="T1748" s="83"/>
    </row>
    <row r="1749" spans="1:20" ht="16" x14ac:dyDescent="0.2">
      <c r="A1749"/>
      <c r="B1749" s="103"/>
      <c r="C1749" s="243"/>
      <c r="D1749" s="119">
        <v>1736</v>
      </c>
      <c r="E1749" s="25" t="str">
        <f>Tp_Non_CHG!X113</f>
        <v>Transition Probability from state 6 to state 4 on day 7 (Non-CHG)</v>
      </c>
      <c r="F1749" s="40">
        <f t="shared" si="258"/>
        <v>0</v>
      </c>
      <c r="G1749" s="156">
        <v>1</v>
      </c>
      <c r="H1749" s="120">
        <f>Tp_Non_CHG!AA113</f>
        <v>0</v>
      </c>
      <c r="I1749" s="40" t="s">
        <v>58</v>
      </c>
      <c r="J1749" s="40">
        <f t="shared" si="255"/>
        <v>0</v>
      </c>
      <c r="K1749" s="40">
        <f t="shared" si="256"/>
        <v>0</v>
      </c>
      <c r="L1749" s="40" t="s">
        <v>58</v>
      </c>
      <c r="M1749" s="50" t="s">
        <v>266</v>
      </c>
      <c r="N1749" s="190"/>
      <c r="O1749" s="40">
        <f t="shared" ca="1" si="254"/>
        <v>0.3652671064171471</v>
      </c>
      <c r="P1749" s="51">
        <f t="shared" si="259"/>
        <v>0</v>
      </c>
      <c r="Q1749" s="51">
        <f t="shared" si="260"/>
        <v>0</v>
      </c>
      <c r="R1749" s="51">
        <f t="shared" si="257"/>
        <v>0</v>
      </c>
      <c r="S1749"/>
      <c r="T1749" s="83"/>
    </row>
    <row r="1750" spans="1:20" ht="16" x14ac:dyDescent="0.2">
      <c r="A1750"/>
      <c r="B1750" s="103"/>
      <c r="C1750" s="243"/>
      <c r="D1750" s="119">
        <v>1737</v>
      </c>
      <c r="E1750" s="25" t="str">
        <f>Tp_Non_CHG!X114</f>
        <v>Transition Probability from state 6 to state 4 on day 8 (Non-CHG)</v>
      </c>
      <c r="F1750" s="40">
        <f t="shared" si="258"/>
        <v>0</v>
      </c>
      <c r="G1750" s="156">
        <v>1</v>
      </c>
      <c r="H1750" s="120">
        <f>Tp_Non_CHG!AA114</f>
        <v>0</v>
      </c>
      <c r="I1750" s="40" t="s">
        <v>58</v>
      </c>
      <c r="J1750" s="40">
        <f t="shared" si="255"/>
        <v>0</v>
      </c>
      <c r="K1750" s="40">
        <f t="shared" si="256"/>
        <v>0</v>
      </c>
      <c r="L1750" s="40" t="s">
        <v>58</v>
      </c>
      <c r="M1750" s="50" t="s">
        <v>266</v>
      </c>
      <c r="N1750" s="190"/>
      <c r="O1750" s="40">
        <f t="shared" ca="1" si="254"/>
        <v>0.80864441688180511</v>
      </c>
      <c r="P1750" s="51">
        <f t="shared" si="259"/>
        <v>0</v>
      </c>
      <c r="Q1750" s="51">
        <f t="shared" si="260"/>
        <v>0</v>
      </c>
      <c r="R1750" s="51">
        <f t="shared" si="257"/>
        <v>0</v>
      </c>
      <c r="S1750"/>
      <c r="T1750" s="83"/>
    </row>
    <row r="1751" spans="1:20" ht="16" x14ac:dyDescent="0.2">
      <c r="A1751"/>
      <c r="B1751" s="103"/>
      <c r="C1751" s="243"/>
      <c r="D1751" s="119">
        <v>1738</v>
      </c>
      <c r="E1751" s="25" t="str">
        <f>Tp_Non_CHG!X115</f>
        <v>Transition Probability from state 6 to state 4 on day 9 (Non-CHG)</v>
      </c>
      <c r="F1751" s="40">
        <f t="shared" si="258"/>
        <v>0</v>
      </c>
      <c r="G1751" s="156">
        <v>1</v>
      </c>
      <c r="H1751" s="120">
        <f>Tp_Non_CHG!AA115</f>
        <v>0</v>
      </c>
      <c r="I1751" s="40" t="s">
        <v>58</v>
      </c>
      <c r="J1751" s="40">
        <f t="shared" si="255"/>
        <v>0</v>
      </c>
      <c r="K1751" s="40">
        <f t="shared" si="256"/>
        <v>0</v>
      </c>
      <c r="L1751" s="40" t="s">
        <v>58</v>
      </c>
      <c r="M1751" s="50" t="s">
        <v>266</v>
      </c>
      <c r="N1751" s="190"/>
      <c r="O1751" s="40">
        <f t="shared" ca="1" si="254"/>
        <v>0.21620831866229306</v>
      </c>
      <c r="P1751" s="51">
        <f t="shared" si="259"/>
        <v>0</v>
      </c>
      <c r="Q1751" s="51">
        <f t="shared" si="260"/>
        <v>0</v>
      </c>
      <c r="R1751" s="51">
        <f t="shared" si="257"/>
        <v>0</v>
      </c>
      <c r="S1751"/>
      <c r="T1751" s="83"/>
    </row>
    <row r="1752" spans="1:20" ht="16" x14ac:dyDescent="0.2">
      <c r="A1752"/>
      <c r="B1752" s="103"/>
      <c r="C1752" s="243"/>
      <c r="D1752" s="119">
        <v>1739</v>
      </c>
      <c r="E1752" s="25" t="str">
        <f>Tp_Non_CHG!X116</f>
        <v>Transition Probability from state 6 to state 4 on day 10 (Non-CHG)</v>
      </c>
      <c r="F1752" s="40">
        <f t="shared" si="258"/>
        <v>0</v>
      </c>
      <c r="G1752" s="156">
        <v>1</v>
      </c>
      <c r="H1752" s="120">
        <f>Tp_Non_CHG!AA116</f>
        <v>0</v>
      </c>
      <c r="I1752" s="40" t="s">
        <v>58</v>
      </c>
      <c r="J1752" s="40">
        <f t="shared" si="255"/>
        <v>0</v>
      </c>
      <c r="K1752" s="40">
        <f t="shared" si="256"/>
        <v>0</v>
      </c>
      <c r="L1752" s="40" t="s">
        <v>58</v>
      </c>
      <c r="M1752" s="50" t="s">
        <v>266</v>
      </c>
      <c r="N1752" s="190"/>
      <c r="O1752" s="40">
        <f t="shared" ca="1" si="254"/>
        <v>0.78304815019537588</v>
      </c>
      <c r="P1752" s="51">
        <f t="shared" si="259"/>
        <v>0</v>
      </c>
      <c r="Q1752" s="51">
        <f t="shared" si="260"/>
        <v>0</v>
      </c>
      <c r="R1752" s="51">
        <f t="shared" si="257"/>
        <v>0</v>
      </c>
      <c r="S1752"/>
      <c r="T1752" s="83"/>
    </row>
    <row r="1753" spans="1:20" ht="16" x14ac:dyDescent="0.2">
      <c r="A1753"/>
      <c r="B1753" s="103"/>
      <c r="C1753" s="243"/>
      <c r="D1753" s="119">
        <v>1740</v>
      </c>
      <c r="E1753" s="25" t="str">
        <f>Tp_Non_CHG!X117</f>
        <v>Transition Probability from state 6 to state 4 on day 11 (Non-CHG)</v>
      </c>
      <c r="F1753" s="40">
        <f t="shared" si="258"/>
        <v>0</v>
      </c>
      <c r="G1753" s="156">
        <v>1</v>
      </c>
      <c r="H1753" s="120">
        <f>Tp_Non_CHG!AA117</f>
        <v>0</v>
      </c>
      <c r="I1753" s="40" t="s">
        <v>58</v>
      </c>
      <c r="J1753" s="40">
        <f t="shared" si="255"/>
        <v>0</v>
      </c>
      <c r="K1753" s="40">
        <f t="shared" si="256"/>
        <v>0</v>
      </c>
      <c r="L1753" s="40" t="s">
        <v>58</v>
      </c>
      <c r="M1753" s="50" t="s">
        <v>266</v>
      </c>
      <c r="N1753" s="190"/>
      <c r="O1753" s="40">
        <f t="shared" ca="1" si="254"/>
        <v>0.65141607994926953</v>
      </c>
      <c r="P1753" s="51">
        <f t="shared" si="259"/>
        <v>0</v>
      </c>
      <c r="Q1753" s="51">
        <f t="shared" si="260"/>
        <v>0</v>
      </c>
      <c r="R1753" s="51">
        <f t="shared" si="257"/>
        <v>0</v>
      </c>
      <c r="S1753"/>
      <c r="T1753" s="83"/>
    </row>
    <row r="1754" spans="1:20" ht="16" x14ac:dyDescent="0.2">
      <c r="A1754"/>
      <c r="B1754" s="103"/>
      <c r="C1754" s="243"/>
      <c r="D1754" s="119">
        <v>1741</v>
      </c>
      <c r="E1754" s="25" t="str">
        <f>Tp_Non_CHG!X118</f>
        <v>Transition Probability from state 6 to state 4 on day 12 (Non-CHG)</v>
      </c>
      <c r="F1754" s="40">
        <f t="shared" si="258"/>
        <v>0</v>
      </c>
      <c r="G1754" s="156">
        <v>1</v>
      </c>
      <c r="H1754" s="120">
        <f>Tp_Non_CHG!AA118</f>
        <v>0</v>
      </c>
      <c r="I1754" s="40" t="s">
        <v>58</v>
      </c>
      <c r="J1754" s="40">
        <f t="shared" si="255"/>
        <v>0</v>
      </c>
      <c r="K1754" s="40">
        <f t="shared" si="256"/>
        <v>0</v>
      </c>
      <c r="L1754" s="40" t="s">
        <v>58</v>
      </c>
      <c r="M1754" s="50" t="s">
        <v>266</v>
      </c>
      <c r="N1754" s="190"/>
      <c r="O1754" s="40">
        <f t="shared" ca="1" si="254"/>
        <v>0.68764874327317349</v>
      </c>
      <c r="P1754" s="51">
        <f t="shared" si="259"/>
        <v>0</v>
      </c>
      <c r="Q1754" s="51">
        <f t="shared" si="260"/>
        <v>0</v>
      </c>
      <c r="R1754" s="51">
        <f t="shared" si="257"/>
        <v>0</v>
      </c>
      <c r="S1754"/>
      <c r="T1754" s="83"/>
    </row>
    <row r="1755" spans="1:20" ht="16" x14ac:dyDescent="0.2">
      <c r="A1755"/>
      <c r="B1755" s="103"/>
      <c r="C1755" s="243"/>
      <c r="D1755" s="119">
        <v>1742</v>
      </c>
      <c r="E1755" s="25" t="str">
        <f>Tp_Non_CHG!X119</f>
        <v>Transition Probability from state 6 to state 4 on day 13 (Non-CHG)</v>
      </c>
      <c r="F1755" s="40">
        <f t="shared" si="258"/>
        <v>0</v>
      </c>
      <c r="G1755" s="156">
        <v>1</v>
      </c>
      <c r="H1755" s="120">
        <f>Tp_Non_CHG!AA119</f>
        <v>0</v>
      </c>
      <c r="I1755" s="40" t="s">
        <v>58</v>
      </c>
      <c r="J1755" s="40">
        <f t="shared" si="255"/>
        <v>0</v>
      </c>
      <c r="K1755" s="40">
        <f t="shared" si="256"/>
        <v>0</v>
      </c>
      <c r="L1755" s="40" t="s">
        <v>58</v>
      </c>
      <c r="M1755" s="50" t="s">
        <v>266</v>
      </c>
      <c r="N1755" s="190"/>
      <c r="O1755" s="40">
        <f t="shared" ca="1" si="254"/>
        <v>0.57789922738806898</v>
      </c>
      <c r="P1755" s="51">
        <f t="shared" si="259"/>
        <v>0</v>
      </c>
      <c r="Q1755" s="51">
        <f t="shared" si="260"/>
        <v>0</v>
      </c>
      <c r="R1755" s="51">
        <f t="shared" si="257"/>
        <v>0</v>
      </c>
      <c r="S1755"/>
      <c r="T1755" s="83"/>
    </row>
    <row r="1756" spans="1:20" ht="16" x14ac:dyDescent="0.2">
      <c r="A1756"/>
      <c r="B1756" s="103"/>
      <c r="C1756" s="243"/>
      <c r="D1756" s="119">
        <v>1743</v>
      </c>
      <c r="E1756" s="25" t="str">
        <f>Tp_Non_CHG!X120</f>
        <v>Transition Probability from state 6 to state 4 on day 14 (Non-CHG)</v>
      </c>
      <c r="F1756" s="40">
        <f t="shared" si="258"/>
        <v>0</v>
      </c>
      <c r="G1756" s="156">
        <v>1</v>
      </c>
      <c r="H1756" s="120">
        <f>Tp_Non_CHG!AA120</f>
        <v>0</v>
      </c>
      <c r="I1756" s="40" t="s">
        <v>58</v>
      </c>
      <c r="J1756" s="40">
        <f t="shared" si="255"/>
        <v>0</v>
      </c>
      <c r="K1756" s="40">
        <f t="shared" si="256"/>
        <v>0</v>
      </c>
      <c r="L1756" s="40" t="s">
        <v>58</v>
      </c>
      <c r="M1756" s="50" t="s">
        <v>266</v>
      </c>
      <c r="N1756" s="190"/>
      <c r="O1756" s="40">
        <f t="shared" ca="1" si="254"/>
        <v>0.8711698745731572</v>
      </c>
      <c r="P1756" s="51">
        <f t="shared" si="259"/>
        <v>0</v>
      </c>
      <c r="Q1756" s="51">
        <f t="shared" si="260"/>
        <v>0</v>
      </c>
      <c r="R1756" s="51">
        <f t="shared" si="257"/>
        <v>0</v>
      </c>
      <c r="S1756"/>
      <c r="T1756" s="83"/>
    </row>
    <row r="1757" spans="1:20" ht="16" x14ac:dyDescent="0.2">
      <c r="A1757"/>
      <c r="B1757" s="103"/>
      <c r="C1757" s="243"/>
      <c r="D1757" s="119">
        <v>1744</v>
      </c>
      <c r="E1757" s="25" t="str">
        <f>Tp_Non_CHG!X121</f>
        <v>Transition Probability from state 6 to state 4 on day 15 (Non-CHG)</v>
      </c>
      <c r="F1757" s="40">
        <f t="shared" si="258"/>
        <v>0</v>
      </c>
      <c r="G1757" s="156">
        <v>1</v>
      </c>
      <c r="H1757" s="120">
        <f>Tp_Non_CHG!AA121</f>
        <v>0</v>
      </c>
      <c r="I1757" s="40" t="s">
        <v>58</v>
      </c>
      <c r="J1757" s="40">
        <f t="shared" si="255"/>
        <v>0</v>
      </c>
      <c r="K1757" s="40">
        <f t="shared" si="256"/>
        <v>0</v>
      </c>
      <c r="L1757" s="40" t="s">
        <v>58</v>
      </c>
      <c r="M1757" s="50" t="s">
        <v>266</v>
      </c>
      <c r="N1757" s="190"/>
      <c r="O1757" s="40">
        <f t="shared" ca="1" si="254"/>
        <v>0.93172580219512868</v>
      </c>
      <c r="P1757" s="51">
        <f t="shared" si="259"/>
        <v>0</v>
      </c>
      <c r="Q1757" s="51">
        <f t="shared" si="260"/>
        <v>0</v>
      </c>
      <c r="R1757" s="51">
        <f t="shared" si="257"/>
        <v>0</v>
      </c>
      <c r="S1757"/>
      <c r="T1757" s="83"/>
    </row>
    <row r="1758" spans="1:20" ht="16" x14ac:dyDescent="0.2">
      <c r="A1758"/>
      <c r="B1758" s="103"/>
      <c r="C1758" s="243"/>
      <c r="D1758" s="119">
        <v>1745</v>
      </c>
      <c r="E1758" s="25" t="str">
        <f>Tp_Non_CHG!X122</f>
        <v>Transition Probability from state 6 to state 4 on day 16 (Non-CHG)</v>
      </c>
      <c r="F1758" s="40">
        <f t="shared" si="258"/>
        <v>0</v>
      </c>
      <c r="G1758" s="156">
        <v>1</v>
      </c>
      <c r="H1758" s="120">
        <f>Tp_Non_CHG!AA122</f>
        <v>0</v>
      </c>
      <c r="I1758" s="40" t="s">
        <v>58</v>
      </c>
      <c r="J1758" s="40">
        <f t="shared" si="255"/>
        <v>0</v>
      </c>
      <c r="K1758" s="40">
        <f t="shared" si="256"/>
        <v>0</v>
      </c>
      <c r="L1758" s="40" t="s">
        <v>58</v>
      </c>
      <c r="M1758" s="50" t="s">
        <v>266</v>
      </c>
      <c r="N1758" s="190"/>
      <c r="O1758" s="40">
        <f t="shared" ca="1" si="254"/>
        <v>0.4682570610697665</v>
      </c>
      <c r="P1758" s="51">
        <f t="shared" si="259"/>
        <v>0</v>
      </c>
      <c r="Q1758" s="51">
        <f t="shared" si="260"/>
        <v>0</v>
      </c>
      <c r="R1758" s="51">
        <f t="shared" si="257"/>
        <v>0</v>
      </c>
      <c r="S1758"/>
      <c r="T1758" s="83"/>
    </row>
    <row r="1759" spans="1:20" ht="16" x14ac:dyDescent="0.2">
      <c r="A1759"/>
      <c r="B1759" s="103"/>
      <c r="C1759" s="243"/>
      <c r="D1759" s="119">
        <v>1746</v>
      </c>
      <c r="E1759" s="25" t="str">
        <f>Tp_Non_CHG!X123</f>
        <v>Transition Probability from state 6 to state 4 on day 17 (Non-CHG)</v>
      </c>
      <c r="F1759" s="40">
        <f t="shared" si="258"/>
        <v>0</v>
      </c>
      <c r="G1759" s="156">
        <v>1</v>
      </c>
      <c r="H1759" s="120">
        <f>Tp_Non_CHG!AA123</f>
        <v>0</v>
      </c>
      <c r="I1759" s="40" t="s">
        <v>58</v>
      </c>
      <c r="J1759" s="40">
        <f t="shared" si="255"/>
        <v>0</v>
      </c>
      <c r="K1759" s="40">
        <f t="shared" si="256"/>
        <v>0</v>
      </c>
      <c r="L1759" s="40" t="s">
        <v>58</v>
      </c>
      <c r="M1759" s="50" t="s">
        <v>266</v>
      </c>
      <c r="N1759" s="190"/>
      <c r="O1759" s="40">
        <f t="shared" ca="1" si="254"/>
        <v>0.9616898078780135</v>
      </c>
      <c r="P1759" s="51">
        <f t="shared" si="259"/>
        <v>0</v>
      </c>
      <c r="Q1759" s="51">
        <f t="shared" si="260"/>
        <v>0</v>
      </c>
      <c r="R1759" s="51">
        <f t="shared" si="257"/>
        <v>0</v>
      </c>
      <c r="S1759"/>
      <c r="T1759" s="83"/>
    </row>
    <row r="1760" spans="1:20" ht="16" x14ac:dyDescent="0.2">
      <c r="A1760"/>
      <c r="B1760" s="103"/>
      <c r="C1760" s="243"/>
      <c r="D1760" s="119">
        <v>1747</v>
      </c>
      <c r="E1760" s="25" t="str">
        <f>Tp_Non_CHG!X124</f>
        <v>Transition Probability from state 6 to state 4 on day 18 (Non-CHG)</v>
      </c>
      <c r="F1760" s="40">
        <f t="shared" si="258"/>
        <v>0</v>
      </c>
      <c r="G1760" s="156">
        <v>1</v>
      </c>
      <c r="H1760" s="120">
        <f>Tp_Non_CHG!AA124</f>
        <v>0</v>
      </c>
      <c r="I1760" s="40" t="s">
        <v>58</v>
      </c>
      <c r="J1760" s="40">
        <f t="shared" si="255"/>
        <v>0</v>
      </c>
      <c r="K1760" s="40">
        <f t="shared" si="256"/>
        <v>0</v>
      </c>
      <c r="L1760" s="40" t="s">
        <v>58</v>
      </c>
      <c r="M1760" s="50" t="s">
        <v>266</v>
      </c>
      <c r="N1760" s="190"/>
      <c r="O1760" s="40">
        <f t="shared" ca="1" si="254"/>
        <v>0.8464627052134247</v>
      </c>
      <c r="P1760" s="51">
        <f t="shared" si="259"/>
        <v>0</v>
      </c>
      <c r="Q1760" s="51">
        <f t="shared" si="260"/>
        <v>0</v>
      </c>
      <c r="R1760" s="51">
        <f t="shared" si="257"/>
        <v>0</v>
      </c>
      <c r="S1760"/>
      <c r="T1760" s="83"/>
    </row>
    <row r="1761" spans="1:20" ht="16" x14ac:dyDescent="0.2">
      <c r="A1761"/>
      <c r="B1761" s="103"/>
      <c r="C1761" s="243"/>
      <c r="D1761" s="119">
        <v>1748</v>
      </c>
      <c r="E1761" s="25" t="str">
        <f>Tp_Non_CHG!X125</f>
        <v>Transition Probability from state 6 to state 4 on day 19 (Non-CHG)</v>
      </c>
      <c r="F1761" s="40">
        <f t="shared" si="258"/>
        <v>0</v>
      </c>
      <c r="G1761" s="156">
        <v>1</v>
      </c>
      <c r="H1761" s="120">
        <f>Tp_Non_CHG!AA125</f>
        <v>0</v>
      </c>
      <c r="I1761" s="40" t="s">
        <v>58</v>
      </c>
      <c r="J1761" s="40">
        <f t="shared" si="255"/>
        <v>0</v>
      </c>
      <c r="K1761" s="40">
        <f t="shared" si="256"/>
        <v>0</v>
      </c>
      <c r="L1761" s="40" t="s">
        <v>58</v>
      </c>
      <c r="M1761" s="50" t="s">
        <v>266</v>
      </c>
      <c r="N1761" s="190"/>
      <c r="O1761" s="40">
        <f t="shared" ca="1" si="254"/>
        <v>0.77698670749660159</v>
      </c>
      <c r="P1761" s="51">
        <f t="shared" si="259"/>
        <v>0</v>
      </c>
      <c r="Q1761" s="51">
        <f t="shared" si="260"/>
        <v>0</v>
      </c>
      <c r="R1761" s="51">
        <f t="shared" si="257"/>
        <v>0</v>
      </c>
      <c r="S1761"/>
      <c r="T1761" s="83"/>
    </row>
    <row r="1762" spans="1:20" ht="16" x14ac:dyDescent="0.2">
      <c r="A1762"/>
      <c r="B1762" s="103"/>
      <c r="C1762" s="243"/>
      <c r="D1762" s="119">
        <v>1749</v>
      </c>
      <c r="E1762" s="25" t="str">
        <f>Tp_Non_CHG!X126</f>
        <v>Transition Probability from state 6 to state 4 on day 20 (Non-CHG)</v>
      </c>
      <c r="F1762" s="40">
        <f t="shared" si="258"/>
        <v>0</v>
      </c>
      <c r="G1762" s="156">
        <v>1</v>
      </c>
      <c r="H1762" s="120">
        <f>Tp_Non_CHG!AA126</f>
        <v>0</v>
      </c>
      <c r="I1762" s="40" t="s">
        <v>58</v>
      </c>
      <c r="J1762" s="40">
        <f t="shared" si="255"/>
        <v>0</v>
      </c>
      <c r="K1762" s="40">
        <f t="shared" si="256"/>
        <v>0</v>
      </c>
      <c r="L1762" s="40" t="s">
        <v>58</v>
      </c>
      <c r="M1762" s="50" t="s">
        <v>266</v>
      </c>
      <c r="N1762" s="190"/>
      <c r="O1762" s="40">
        <f t="shared" ca="1" si="254"/>
        <v>0.44564114513446018</v>
      </c>
      <c r="P1762" s="51">
        <f t="shared" si="259"/>
        <v>0</v>
      </c>
      <c r="Q1762" s="51">
        <f t="shared" si="260"/>
        <v>0</v>
      </c>
      <c r="R1762" s="51">
        <f t="shared" si="257"/>
        <v>0</v>
      </c>
      <c r="S1762"/>
      <c r="T1762" s="83"/>
    </row>
    <row r="1763" spans="1:20" ht="16" x14ac:dyDescent="0.2">
      <c r="A1763"/>
      <c r="B1763" s="103"/>
      <c r="C1763" s="243"/>
      <c r="D1763" s="119">
        <v>1750</v>
      </c>
      <c r="E1763" s="25" t="str">
        <f>Tp_Non_CHG!X127</f>
        <v>Transition Probability from state 6 to state 4 on day 21 (Non-CHG)</v>
      </c>
      <c r="F1763" s="40">
        <f t="shared" si="258"/>
        <v>0</v>
      </c>
      <c r="G1763" s="156">
        <v>1</v>
      </c>
      <c r="H1763" s="120">
        <f>Tp_Non_CHG!AA127</f>
        <v>0</v>
      </c>
      <c r="I1763" s="40" t="s">
        <v>58</v>
      </c>
      <c r="J1763" s="40">
        <f t="shared" si="255"/>
        <v>0</v>
      </c>
      <c r="K1763" s="40">
        <f t="shared" si="256"/>
        <v>0</v>
      </c>
      <c r="L1763" s="40" t="s">
        <v>58</v>
      </c>
      <c r="M1763" s="50" t="s">
        <v>266</v>
      </c>
      <c r="N1763" s="190"/>
      <c r="O1763" s="40">
        <f t="shared" ref="O1763:O1816" ca="1" si="261">RAND()</f>
        <v>0.72177794927874039</v>
      </c>
      <c r="P1763" s="51">
        <f t="shared" si="259"/>
        <v>0</v>
      </c>
      <c r="Q1763" s="51">
        <f t="shared" si="260"/>
        <v>0</v>
      </c>
      <c r="R1763" s="51">
        <f t="shared" si="257"/>
        <v>0</v>
      </c>
      <c r="S1763"/>
      <c r="T1763" s="83"/>
    </row>
    <row r="1764" spans="1:20" ht="16" x14ac:dyDescent="0.2">
      <c r="A1764"/>
      <c r="B1764" s="103"/>
      <c r="C1764" s="243"/>
      <c r="D1764" s="119">
        <v>1751</v>
      </c>
      <c r="E1764" s="25" t="str">
        <f>Tp_Non_CHG!X128</f>
        <v>Transition Probability from state 6 to state 4 on day 22 (Non-CHG)</v>
      </c>
      <c r="F1764" s="40">
        <f t="shared" si="258"/>
        <v>0</v>
      </c>
      <c r="G1764" s="156">
        <v>1</v>
      </c>
      <c r="H1764" s="120">
        <f>Tp_Non_CHG!AA128</f>
        <v>0</v>
      </c>
      <c r="I1764" s="40" t="s">
        <v>58</v>
      </c>
      <c r="J1764" s="40">
        <f t="shared" si="255"/>
        <v>0</v>
      </c>
      <c r="K1764" s="40">
        <f t="shared" si="256"/>
        <v>0</v>
      </c>
      <c r="L1764" s="40" t="s">
        <v>58</v>
      </c>
      <c r="M1764" s="50" t="s">
        <v>266</v>
      </c>
      <c r="N1764" s="190"/>
      <c r="O1764" s="40">
        <f t="shared" ca="1" si="261"/>
        <v>0.24750218991074002</v>
      </c>
      <c r="P1764" s="51">
        <f t="shared" si="259"/>
        <v>0</v>
      </c>
      <c r="Q1764" s="51">
        <f t="shared" si="260"/>
        <v>0</v>
      </c>
      <c r="R1764" s="51">
        <f t="shared" si="257"/>
        <v>0</v>
      </c>
      <c r="S1764"/>
      <c r="T1764" s="83"/>
    </row>
    <row r="1765" spans="1:20" ht="16" x14ac:dyDescent="0.2">
      <c r="A1765"/>
      <c r="B1765" s="103"/>
      <c r="C1765" s="243"/>
      <c r="D1765" s="119">
        <v>1752</v>
      </c>
      <c r="E1765" s="25" t="str">
        <f>Tp_Non_CHG!X129</f>
        <v>Transition Probability from state 6 to state 4 on day 23 (Non-CHG)</v>
      </c>
      <c r="F1765" s="40">
        <f t="shared" si="258"/>
        <v>0</v>
      </c>
      <c r="G1765" s="156">
        <v>1</v>
      </c>
      <c r="H1765" s="120">
        <f>Tp_Non_CHG!AA129</f>
        <v>0</v>
      </c>
      <c r="I1765" s="40" t="s">
        <v>58</v>
      </c>
      <c r="J1765" s="40">
        <f t="shared" si="255"/>
        <v>0</v>
      </c>
      <c r="K1765" s="40">
        <f t="shared" si="256"/>
        <v>0</v>
      </c>
      <c r="L1765" s="40" t="s">
        <v>58</v>
      </c>
      <c r="M1765" s="50" t="s">
        <v>266</v>
      </c>
      <c r="N1765" s="190"/>
      <c r="O1765" s="40">
        <f t="shared" ca="1" si="261"/>
        <v>0.71543762488918983</v>
      </c>
      <c r="P1765" s="51">
        <f t="shared" si="259"/>
        <v>0</v>
      </c>
      <c r="Q1765" s="51">
        <f t="shared" si="260"/>
        <v>0</v>
      </c>
      <c r="R1765" s="51">
        <f t="shared" si="257"/>
        <v>0</v>
      </c>
      <c r="S1765"/>
      <c r="T1765" s="83"/>
    </row>
    <row r="1766" spans="1:20" ht="16" x14ac:dyDescent="0.2">
      <c r="A1766"/>
      <c r="B1766" s="103"/>
      <c r="C1766" s="243"/>
      <c r="D1766" s="119">
        <v>1753</v>
      </c>
      <c r="E1766" s="25" t="str">
        <f>Tp_Non_CHG!X130</f>
        <v>Transition Probability from state 6 to state 4 on day 24 (Non-CHG)</v>
      </c>
      <c r="F1766" s="40">
        <f t="shared" si="258"/>
        <v>0</v>
      </c>
      <c r="G1766" s="156">
        <v>1</v>
      </c>
      <c r="H1766" s="120">
        <f>Tp_Non_CHG!AA130</f>
        <v>0</v>
      </c>
      <c r="I1766" s="40" t="s">
        <v>58</v>
      </c>
      <c r="J1766" s="40">
        <f t="shared" si="255"/>
        <v>0</v>
      </c>
      <c r="K1766" s="40">
        <f t="shared" si="256"/>
        <v>0</v>
      </c>
      <c r="L1766" s="40" t="s">
        <v>58</v>
      </c>
      <c r="M1766" s="50" t="s">
        <v>266</v>
      </c>
      <c r="N1766" s="190"/>
      <c r="O1766" s="40">
        <f t="shared" ca="1" si="261"/>
        <v>0.29706828186082568</v>
      </c>
      <c r="P1766" s="51">
        <f t="shared" si="259"/>
        <v>0</v>
      </c>
      <c r="Q1766" s="51">
        <f t="shared" si="260"/>
        <v>0</v>
      </c>
      <c r="R1766" s="51">
        <f t="shared" si="257"/>
        <v>0</v>
      </c>
      <c r="S1766"/>
      <c r="T1766" s="83"/>
    </row>
    <row r="1767" spans="1:20" ht="16" x14ac:dyDescent="0.2">
      <c r="A1767"/>
      <c r="B1767" s="103"/>
      <c r="C1767" s="243"/>
      <c r="D1767" s="119">
        <v>1754</v>
      </c>
      <c r="E1767" s="25" t="str">
        <f>Tp_Non_CHG!X131</f>
        <v>Transition Probability from state 6 to state 4 on day 25 (Non-CHG)</v>
      </c>
      <c r="F1767" s="40">
        <f t="shared" si="258"/>
        <v>0</v>
      </c>
      <c r="G1767" s="156">
        <v>1</v>
      </c>
      <c r="H1767" s="120">
        <f>Tp_Non_CHG!AA131</f>
        <v>0</v>
      </c>
      <c r="I1767" s="40" t="s">
        <v>58</v>
      </c>
      <c r="J1767" s="40">
        <f t="shared" si="255"/>
        <v>0</v>
      </c>
      <c r="K1767" s="40">
        <f t="shared" si="256"/>
        <v>0</v>
      </c>
      <c r="L1767" s="40" t="s">
        <v>58</v>
      </c>
      <c r="M1767" s="50" t="s">
        <v>266</v>
      </c>
      <c r="N1767" s="190"/>
      <c r="O1767" s="40">
        <f t="shared" ca="1" si="261"/>
        <v>0.1750868270411764</v>
      </c>
      <c r="P1767" s="51">
        <f t="shared" si="259"/>
        <v>0</v>
      </c>
      <c r="Q1767" s="51">
        <f t="shared" si="260"/>
        <v>0</v>
      </c>
      <c r="R1767" s="51">
        <f t="shared" si="257"/>
        <v>0</v>
      </c>
      <c r="S1767"/>
      <c r="T1767" s="83"/>
    </row>
    <row r="1768" spans="1:20" ht="16" x14ac:dyDescent="0.2">
      <c r="A1768"/>
      <c r="B1768" s="103"/>
      <c r="C1768" s="243"/>
      <c r="D1768" s="119">
        <v>1755</v>
      </c>
      <c r="E1768" s="25" t="str">
        <f>Tp_Non_CHG!X132</f>
        <v>Transition Probability from state 6 to state 4 on day 26 (Non-CHG)</v>
      </c>
      <c r="F1768" s="40">
        <f t="shared" si="258"/>
        <v>0</v>
      </c>
      <c r="G1768" s="156">
        <v>1</v>
      </c>
      <c r="H1768" s="120">
        <f>Tp_Non_CHG!AA132</f>
        <v>0</v>
      </c>
      <c r="I1768" s="40" t="s">
        <v>58</v>
      </c>
      <c r="J1768" s="40">
        <f t="shared" si="255"/>
        <v>0</v>
      </c>
      <c r="K1768" s="40">
        <f t="shared" si="256"/>
        <v>0</v>
      </c>
      <c r="L1768" s="40" t="s">
        <v>58</v>
      </c>
      <c r="M1768" s="50" t="s">
        <v>266</v>
      </c>
      <c r="N1768" s="190"/>
      <c r="O1768" s="40">
        <f t="shared" ca="1" si="261"/>
        <v>0.49012651179998423</v>
      </c>
      <c r="P1768" s="51">
        <f t="shared" si="259"/>
        <v>0</v>
      </c>
      <c r="Q1768" s="51">
        <f t="shared" si="260"/>
        <v>0</v>
      </c>
      <c r="R1768" s="51">
        <f t="shared" si="257"/>
        <v>0</v>
      </c>
      <c r="S1768"/>
      <c r="T1768" s="83"/>
    </row>
    <row r="1769" spans="1:20" ht="16" x14ac:dyDescent="0.2">
      <c r="A1769"/>
      <c r="B1769" s="103"/>
      <c r="C1769" s="243"/>
      <c r="D1769" s="119">
        <v>1756</v>
      </c>
      <c r="E1769" s="25" t="str">
        <f>Tp_Non_CHG!X133</f>
        <v>Transition Probability from state 6 to state 4 on day 27 (Non-CHG)</v>
      </c>
      <c r="F1769" s="40">
        <f t="shared" si="258"/>
        <v>0</v>
      </c>
      <c r="G1769" s="156">
        <v>1</v>
      </c>
      <c r="H1769" s="120">
        <f>Tp_Non_CHG!AA133</f>
        <v>0</v>
      </c>
      <c r="I1769" s="40" t="s">
        <v>58</v>
      </c>
      <c r="J1769" s="40">
        <f t="shared" si="255"/>
        <v>0</v>
      </c>
      <c r="K1769" s="40">
        <f t="shared" si="256"/>
        <v>0</v>
      </c>
      <c r="L1769" s="40" t="s">
        <v>58</v>
      </c>
      <c r="M1769" s="50" t="s">
        <v>266</v>
      </c>
      <c r="N1769" s="190"/>
      <c r="O1769" s="40">
        <f t="shared" ca="1" si="261"/>
        <v>0.96596661994832744</v>
      </c>
      <c r="P1769" s="51">
        <f t="shared" si="259"/>
        <v>0</v>
      </c>
      <c r="Q1769" s="51">
        <f t="shared" si="260"/>
        <v>0</v>
      </c>
      <c r="R1769" s="51">
        <f t="shared" si="257"/>
        <v>0</v>
      </c>
      <c r="S1769"/>
      <c r="T1769" s="83"/>
    </row>
    <row r="1770" spans="1:20" ht="16" x14ac:dyDescent="0.2">
      <c r="A1770"/>
      <c r="B1770" s="103"/>
      <c r="C1770" s="243"/>
      <c r="D1770" s="119">
        <v>1757</v>
      </c>
      <c r="E1770" s="25" t="str">
        <f>Tp_Non_CHG!X134</f>
        <v>Transition Probability from state 6 to state 4 on day 28 (Non-CHG)</v>
      </c>
      <c r="F1770" s="40">
        <f t="shared" si="258"/>
        <v>0</v>
      </c>
      <c r="G1770" s="156">
        <v>1</v>
      </c>
      <c r="H1770" s="120">
        <f>Tp_Non_CHG!AA134</f>
        <v>0</v>
      </c>
      <c r="I1770" s="40" t="s">
        <v>58</v>
      </c>
      <c r="J1770" s="40">
        <f t="shared" si="255"/>
        <v>0</v>
      </c>
      <c r="K1770" s="40">
        <f t="shared" si="256"/>
        <v>0</v>
      </c>
      <c r="L1770" s="40" t="s">
        <v>58</v>
      </c>
      <c r="M1770" s="50" t="s">
        <v>266</v>
      </c>
      <c r="N1770" s="190"/>
      <c r="O1770" s="40">
        <f t="shared" ca="1" si="261"/>
        <v>0.87506429825041332</v>
      </c>
      <c r="P1770" s="51">
        <f t="shared" si="259"/>
        <v>0</v>
      </c>
      <c r="Q1770" s="51">
        <f t="shared" si="260"/>
        <v>0</v>
      </c>
      <c r="R1770" s="51">
        <f t="shared" si="257"/>
        <v>0</v>
      </c>
      <c r="S1770"/>
      <c r="T1770" s="83"/>
    </row>
    <row r="1771" spans="1:20" ht="16" x14ac:dyDescent="0.2">
      <c r="A1771"/>
      <c r="B1771" s="103"/>
      <c r="C1771" s="243"/>
      <c r="D1771" s="119">
        <v>1758</v>
      </c>
      <c r="E1771" s="25" t="str">
        <f>Tp_Non_CHG!X135</f>
        <v>Transition Probability from state 6 to state 4 on day 29 (Non-CHG)</v>
      </c>
      <c r="F1771" s="40">
        <f t="shared" si="258"/>
        <v>0</v>
      </c>
      <c r="G1771" s="156">
        <v>1</v>
      </c>
      <c r="H1771" s="120">
        <f>Tp_Non_CHG!AA135</f>
        <v>0</v>
      </c>
      <c r="I1771" s="40" t="s">
        <v>58</v>
      </c>
      <c r="J1771" s="40">
        <f t="shared" si="255"/>
        <v>0</v>
      </c>
      <c r="K1771" s="40">
        <f t="shared" si="256"/>
        <v>0</v>
      </c>
      <c r="L1771" s="40" t="s">
        <v>58</v>
      </c>
      <c r="M1771" s="50" t="s">
        <v>266</v>
      </c>
      <c r="N1771" s="190"/>
      <c r="O1771" s="40">
        <f t="shared" ca="1" si="261"/>
        <v>0.59441127003465855</v>
      </c>
      <c r="P1771" s="51">
        <f t="shared" si="259"/>
        <v>0</v>
      </c>
      <c r="Q1771" s="51">
        <f t="shared" si="260"/>
        <v>0</v>
      </c>
      <c r="R1771" s="51">
        <f t="shared" si="257"/>
        <v>0</v>
      </c>
      <c r="S1771"/>
      <c r="T1771" s="83"/>
    </row>
    <row r="1772" spans="1:20" ht="16" x14ac:dyDescent="0.2">
      <c r="A1772"/>
      <c r="B1772" s="103"/>
      <c r="C1772" s="243"/>
      <c r="D1772" s="119">
        <v>1759</v>
      </c>
      <c r="E1772" s="25" t="str">
        <f>Tp_Non_CHG!X136</f>
        <v>Transition Probability from state 6 to state 4 on day 30 (Non-CHG)</v>
      </c>
      <c r="F1772" s="40">
        <f t="shared" si="258"/>
        <v>0</v>
      </c>
      <c r="G1772" s="156">
        <v>1</v>
      </c>
      <c r="H1772" s="120">
        <f>Tp_Non_CHG!AA136</f>
        <v>0</v>
      </c>
      <c r="I1772" s="40" t="s">
        <v>58</v>
      </c>
      <c r="J1772" s="40">
        <f t="shared" si="255"/>
        <v>0</v>
      </c>
      <c r="K1772" s="40">
        <f t="shared" si="256"/>
        <v>0</v>
      </c>
      <c r="L1772" s="40" t="s">
        <v>58</v>
      </c>
      <c r="M1772" s="50" t="s">
        <v>266</v>
      </c>
      <c r="N1772" s="190"/>
      <c r="O1772" s="40">
        <f t="shared" ca="1" si="261"/>
        <v>0.75756590812815972</v>
      </c>
      <c r="P1772" s="51">
        <f t="shared" si="259"/>
        <v>0</v>
      </c>
      <c r="Q1772" s="51">
        <f t="shared" si="260"/>
        <v>0</v>
      </c>
      <c r="R1772" s="51">
        <f t="shared" si="257"/>
        <v>0</v>
      </c>
      <c r="S1772"/>
      <c r="T1772" s="83"/>
    </row>
    <row r="1773" spans="1:20" ht="16" x14ac:dyDescent="0.2">
      <c r="A1773"/>
      <c r="B1773" s="103"/>
      <c r="C1773" s="243"/>
      <c r="D1773" s="119">
        <v>1760</v>
      </c>
      <c r="E1773" s="25" t="str">
        <f>Tp_Non_CHG!D139</f>
        <v>Transition Probability from state 1 to state 5 on day 1 (Non-CHG)</v>
      </c>
      <c r="F1773" s="40">
        <f t="shared" si="258"/>
        <v>0</v>
      </c>
      <c r="G1773" s="156">
        <v>1</v>
      </c>
      <c r="H1773" s="120">
        <f>Tp_Non_CHG!G139</f>
        <v>0</v>
      </c>
      <c r="I1773" s="40" t="s">
        <v>58</v>
      </c>
      <c r="J1773" s="40">
        <f t="shared" si="255"/>
        <v>0</v>
      </c>
      <c r="K1773" s="40">
        <f t="shared" si="256"/>
        <v>0</v>
      </c>
      <c r="L1773" s="40" t="s">
        <v>58</v>
      </c>
      <c r="M1773" s="50" t="s">
        <v>266</v>
      </c>
      <c r="N1773" s="190"/>
      <c r="O1773" s="40">
        <f t="shared" ca="1" si="261"/>
        <v>0.36738553533923513</v>
      </c>
      <c r="P1773" s="51">
        <f t="shared" si="259"/>
        <v>0</v>
      </c>
      <c r="Q1773" s="51">
        <f t="shared" si="260"/>
        <v>0</v>
      </c>
      <c r="R1773" s="51">
        <f t="shared" si="257"/>
        <v>0</v>
      </c>
      <c r="S1773"/>
      <c r="T1773" s="83"/>
    </row>
    <row r="1774" spans="1:20" ht="16" x14ac:dyDescent="0.2">
      <c r="A1774"/>
      <c r="B1774" s="103"/>
      <c r="C1774" s="243"/>
      <c r="D1774" s="119">
        <v>1761</v>
      </c>
      <c r="E1774" s="25" t="str">
        <f>Tp_Non_CHG!D140</f>
        <v>Transition Probability from state 1 to state 5 on day 2 (Non-CHG)</v>
      </c>
      <c r="F1774" s="40">
        <f t="shared" si="258"/>
        <v>0</v>
      </c>
      <c r="G1774" s="156">
        <v>1</v>
      </c>
      <c r="H1774" s="120">
        <f>Tp_Non_CHG!G140</f>
        <v>0</v>
      </c>
      <c r="I1774" s="40" t="s">
        <v>58</v>
      </c>
      <c r="J1774" s="40">
        <f t="shared" si="255"/>
        <v>0</v>
      </c>
      <c r="K1774" s="40">
        <f t="shared" si="256"/>
        <v>0</v>
      </c>
      <c r="L1774" s="40" t="s">
        <v>58</v>
      </c>
      <c r="M1774" s="50" t="s">
        <v>266</v>
      </c>
      <c r="N1774" s="190"/>
      <c r="O1774" s="40">
        <f t="shared" ca="1" si="261"/>
        <v>0.18787087831475546</v>
      </c>
      <c r="P1774" s="51">
        <f t="shared" si="259"/>
        <v>0</v>
      </c>
      <c r="Q1774" s="51">
        <f t="shared" si="260"/>
        <v>0</v>
      </c>
      <c r="R1774" s="51">
        <f t="shared" si="257"/>
        <v>0</v>
      </c>
      <c r="S1774"/>
      <c r="T1774" s="83"/>
    </row>
    <row r="1775" spans="1:20" ht="16" x14ac:dyDescent="0.2">
      <c r="A1775"/>
      <c r="B1775" s="103"/>
      <c r="C1775" s="243"/>
      <c r="D1775" s="119">
        <v>1762</v>
      </c>
      <c r="E1775" s="25" t="str">
        <f>Tp_Non_CHG!D141</f>
        <v>Transition Probability from state 1 to state 5 on day 3 (Non-CHG)</v>
      </c>
      <c r="F1775" s="40">
        <f t="shared" si="258"/>
        <v>0</v>
      </c>
      <c r="G1775" s="156">
        <v>1</v>
      </c>
      <c r="H1775" s="120">
        <f>Tp_Non_CHG!G141</f>
        <v>0</v>
      </c>
      <c r="I1775" s="40" t="s">
        <v>58</v>
      </c>
      <c r="J1775" s="40">
        <f t="shared" si="255"/>
        <v>0</v>
      </c>
      <c r="K1775" s="40">
        <f t="shared" si="256"/>
        <v>0</v>
      </c>
      <c r="L1775" s="40" t="s">
        <v>58</v>
      </c>
      <c r="M1775" s="50" t="s">
        <v>266</v>
      </c>
      <c r="N1775" s="190"/>
      <c r="O1775" s="40">
        <f t="shared" ca="1" si="261"/>
        <v>0.88789270713026536</v>
      </c>
      <c r="P1775" s="51">
        <f t="shared" si="259"/>
        <v>0</v>
      </c>
      <c r="Q1775" s="51">
        <f t="shared" si="260"/>
        <v>0</v>
      </c>
      <c r="R1775" s="51">
        <f t="shared" si="257"/>
        <v>0</v>
      </c>
      <c r="S1775"/>
      <c r="T1775" s="83"/>
    </row>
    <row r="1776" spans="1:20" ht="16" x14ac:dyDescent="0.2">
      <c r="A1776"/>
      <c r="B1776" s="103"/>
      <c r="C1776" s="243"/>
      <c r="D1776" s="119">
        <v>1763</v>
      </c>
      <c r="E1776" s="25" t="str">
        <f>Tp_Non_CHG!D142</f>
        <v>Transition Probability from state 1 to state 5 on day 4 (Non-CHG)</v>
      </c>
      <c r="F1776" s="40">
        <f t="shared" si="258"/>
        <v>0</v>
      </c>
      <c r="G1776" s="156">
        <v>1</v>
      </c>
      <c r="H1776" s="120">
        <f>Tp_Non_CHG!G142</f>
        <v>0</v>
      </c>
      <c r="I1776" s="40" t="s">
        <v>58</v>
      </c>
      <c r="J1776" s="40">
        <f t="shared" si="255"/>
        <v>0</v>
      </c>
      <c r="K1776" s="40">
        <f t="shared" si="256"/>
        <v>0</v>
      </c>
      <c r="L1776" s="40" t="s">
        <v>58</v>
      </c>
      <c r="M1776" s="50" t="s">
        <v>266</v>
      </c>
      <c r="N1776" s="190"/>
      <c r="O1776" s="40">
        <f t="shared" ca="1" si="261"/>
        <v>0.87945737397515877</v>
      </c>
      <c r="P1776" s="51">
        <f t="shared" si="259"/>
        <v>0</v>
      </c>
      <c r="Q1776" s="51">
        <f t="shared" si="260"/>
        <v>0</v>
      </c>
      <c r="R1776" s="51">
        <f t="shared" si="257"/>
        <v>0</v>
      </c>
      <c r="S1776"/>
      <c r="T1776" s="83"/>
    </row>
    <row r="1777" spans="1:20" ht="16" x14ac:dyDescent="0.2">
      <c r="A1777"/>
      <c r="B1777" s="103"/>
      <c r="C1777" s="243"/>
      <c r="D1777" s="119">
        <v>1764</v>
      </c>
      <c r="E1777" s="25" t="str">
        <f>Tp_Non_CHG!D143</f>
        <v>Transition Probability from state 1 to state 5 on day 5 (Non-CHG)</v>
      </c>
      <c r="F1777" s="40">
        <f t="shared" si="258"/>
        <v>0</v>
      </c>
      <c r="G1777" s="156">
        <v>1</v>
      </c>
      <c r="H1777" s="120">
        <f>Tp_Non_CHG!G143</f>
        <v>0</v>
      </c>
      <c r="I1777" s="40" t="s">
        <v>58</v>
      </c>
      <c r="J1777" s="40">
        <f t="shared" si="255"/>
        <v>0</v>
      </c>
      <c r="K1777" s="40">
        <f t="shared" si="256"/>
        <v>0</v>
      </c>
      <c r="L1777" s="40" t="s">
        <v>58</v>
      </c>
      <c r="M1777" s="50" t="s">
        <v>266</v>
      </c>
      <c r="N1777" s="190"/>
      <c r="O1777" s="40">
        <f t="shared" ca="1" si="261"/>
        <v>0.61994985048248974</v>
      </c>
      <c r="P1777" s="51">
        <f t="shared" si="259"/>
        <v>0</v>
      </c>
      <c r="Q1777" s="51">
        <f t="shared" si="260"/>
        <v>0</v>
      </c>
      <c r="R1777" s="51">
        <f t="shared" si="257"/>
        <v>0</v>
      </c>
      <c r="S1777"/>
      <c r="T1777" s="83"/>
    </row>
    <row r="1778" spans="1:20" ht="16" x14ac:dyDescent="0.2">
      <c r="A1778"/>
      <c r="B1778" s="103"/>
      <c r="C1778" s="243"/>
      <c r="D1778" s="119">
        <v>1765</v>
      </c>
      <c r="E1778" s="25" t="str">
        <f>Tp_Non_CHG!D146</f>
        <v>Transition Probability from state 1 to state 5 on day 8 (Non-CHG)</v>
      </c>
      <c r="F1778" s="40">
        <f t="shared" si="258"/>
        <v>0</v>
      </c>
      <c r="G1778" s="156">
        <v>1</v>
      </c>
      <c r="H1778" s="120">
        <f>Tp_Non_CHG!G146</f>
        <v>0</v>
      </c>
      <c r="I1778" s="40" t="s">
        <v>58</v>
      </c>
      <c r="J1778" s="40">
        <f t="shared" si="255"/>
        <v>0</v>
      </c>
      <c r="K1778" s="40">
        <f t="shared" si="256"/>
        <v>0</v>
      </c>
      <c r="L1778" s="40" t="s">
        <v>58</v>
      </c>
      <c r="M1778" s="50" t="s">
        <v>266</v>
      </c>
      <c r="N1778" s="190"/>
      <c r="O1778" s="40">
        <f t="shared" ca="1" si="261"/>
        <v>0.44360890490073868</v>
      </c>
      <c r="P1778" s="51">
        <f t="shared" si="259"/>
        <v>0</v>
      </c>
      <c r="Q1778" s="51">
        <f t="shared" si="260"/>
        <v>0</v>
      </c>
      <c r="R1778" s="51">
        <f t="shared" si="257"/>
        <v>0</v>
      </c>
      <c r="S1778"/>
      <c r="T1778" s="83"/>
    </row>
    <row r="1779" spans="1:20" ht="16" x14ac:dyDescent="0.2">
      <c r="A1779"/>
      <c r="B1779" s="103"/>
      <c r="C1779" s="243"/>
      <c r="D1779" s="119">
        <v>1766</v>
      </c>
      <c r="E1779" s="25" t="str">
        <f>Tp_Non_CHG!D147</f>
        <v>Transition Probability from state 1 to state 5 on day 9 (Non-CHG)</v>
      </c>
      <c r="F1779" s="40">
        <f t="shared" si="258"/>
        <v>0</v>
      </c>
      <c r="G1779" s="156">
        <v>1</v>
      </c>
      <c r="H1779" s="120">
        <f>Tp_Non_CHG!G147</f>
        <v>0</v>
      </c>
      <c r="I1779" s="40" t="s">
        <v>58</v>
      </c>
      <c r="J1779" s="40">
        <f t="shared" si="255"/>
        <v>0</v>
      </c>
      <c r="K1779" s="40">
        <f t="shared" si="256"/>
        <v>0</v>
      </c>
      <c r="L1779" s="40" t="s">
        <v>58</v>
      </c>
      <c r="M1779" s="50" t="s">
        <v>266</v>
      </c>
      <c r="N1779" s="190"/>
      <c r="O1779" s="40">
        <f t="shared" ca="1" si="261"/>
        <v>0.43761629463450202</v>
      </c>
      <c r="P1779" s="51">
        <f t="shared" si="259"/>
        <v>0</v>
      </c>
      <c r="Q1779" s="51">
        <f t="shared" si="260"/>
        <v>0</v>
      </c>
      <c r="R1779" s="51">
        <f t="shared" si="257"/>
        <v>0</v>
      </c>
      <c r="S1779"/>
      <c r="T1779" s="83"/>
    </row>
    <row r="1780" spans="1:20" ht="16" x14ac:dyDescent="0.2">
      <c r="A1780"/>
      <c r="B1780" s="103"/>
      <c r="C1780" s="243"/>
      <c r="D1780" s="119">
        <v>1767</v>
      </c>
      <c r="E1780" s="25" t="str">
        <f>Tp_Non_CHG!D148</f>
        <v>Transition Probability from state 1 to state 5 on day 10 (Non-CHG)</v>
      </c>
      <c r="F1780" s="40">
        <f t="shared" si="258"/>
        <v>0</v>
      </c>
      <c r="G1780" s="156">
        <v>1</v>
      </c>
      <c r="H1780" s="120">
        <f>Tp_Non_CHG!G148</f>
        <v>0</v>
      </c>
      <c r="I1780" s="40" t="s">
        <v>58</v>
      </c>
      <c r="J1780" s="40">
        <f t="shared" si="255"/>
        <v>0</v>
      </c>
      <c r="K1780" s="40">
        <f t="shared" si="256"/>
        <v>0</v>
      </c>
      <c r="L1780" s="40" t="s">
        <v>58</v>
      </c>
      <c r="M1780" s="50" t="s">
        <v>266</v>
      </c>
      <c r="N1780" s="190"/>
      <c r="O1780" s="40">
        <f t="shared" ca="1" si="261"/>
        <v>0.78694287788193462</v>
      </c>
      <c r="P1780" s="51">
        <f t="shared" si="259"/>
        <v>0</v>
      </c>
      <c r="Q1780" s="51">
        <f t="shared" si="260"/>
        <v>0</v>
      </c>
      <c r="R1780" s="51">
        <f t="shared" si="257"/>
        <v>0</v>
      </c>
      <c r="S1780"/>
      <c r="T1780" s="83"/>
    </row>
    <row r="1781" spans="1:20" ht="16" x14ac:dyDescent="0.2">
      <c r="A1781"/>
      <c r="B1781" s="103"/>
      <c r="C1781" s="243"/>
      <c r="D1781" s="119">
        <v>1768</v>
      </c>
      <c r="E1781" s="25" t="str">
        <f>Tp_Non_CHG!D149</f>
        <v>Transition Probability from state 1 to state 5 on day 11 (Non-CHG)</v>
      </c>
      <c r="F1781" s="40">
        <f t="shared" si="258"/>
        <v>0</v>
      </c>
      <c r="G1781" s="156">
        <v>1</v>
      </c>
      <c r="H1781" s="120">
        <f>Tp_Non_CHG!G149</f>
        <v>0</v>
      </c>
      <c r="I1781" s="40" t="s">
        <v>58</v>
      </c>
      <c r="J1781" s="40">
        <f t="shared" si="255"/>
        <v>0</v>
      </c>
      <c r="K1781" s="40">
        <f t="shared" si="256"/>
        <v>0</v>
      </c>
      <c r="L1781" s="40" t="s">
        <v>58</v>
      </c>
      <c r="M1781" s="50" t="s">
        <v>266</v>
      </c>
      <c r="N1781" s="190"/>
      <c r="O1781" s="40">
        <f t="shared" ca="1" si="261"/>
        <v>0.7723953968752818</v>
      </c>
      <c r="P1781" s="51">
        <f t="shared" si="259"/>
        <v>0</v>
      </c>
      <c r="Q1781" s="51">
        <f t="shared" si="260"/>
        <v>0</v>
      </c>
      <c r="R1781" s="51">
        <f t="shared" si="257"/>
        <v>0</v>
      </c>
      <c r="S1781"/>
      <c r="T1781" s="83"/>
    </row>
    <row r="1782" spans="1:20" ht="16" x14ac:dyDescent="0.2">
      <c r="A1782"/>
      <c r="B1782" s="103"/>
      <c r="C1782" s="243"/>
      <c r="D1782" s="119">
        <v>1769</v>
      </c>
      <c r="E1782" s="25" t="str">
        <f>Tp_Non_CHG!D151</f>
        <v>Transition Probability from state 1 to state 5 on day 13 (Non-CHG)</v>
      </c>
      <c r="F1782" s="40">
        <f t="shared" si="258"/>
        <v>0</v>
      </c>
      <c r="G1782" s="156">
        <v>1</v>
      </c>
      <c r="H1782" s="120">
        <f>Tp_Non_CHG!G151</f>
        <v>0</v>
      </c>
      <c r="I1782" s="40" t="s">
        <v>58</v>
      </c>
      <c r="J1782" s="40">
        <f t="shared" si="255"/>
        <v>0</v>
      </c>
      <c r="K1782" s="40">
        <f t="shared" si="256"/>
        <v>0</v>
      </c>
      <c r="L1782" s="40" t="s">
        <v>58</v>
      </c>
      <c r="M1782" s="50" t="s">
        <v>266</v>
      </c>
      <c r="N1782" s="190"/>
      <c r="O1782" s="40">
        <f t="shared" ca="1" si="261"/>
        <v>0.12762089313124991</v>
      </c>
      <c r="P1782" s="51">
        <f t="shared" si="259"/>
        <v>0</v>
      </c>
      <c r="Q1782" s="51">
        <f t="shared" si="260"/>
        <v>0</v>
      </c>
      <c r="R1782" s="51">
        <f t="shared" si="257"/>
        <v>0</v>
      </c>
      <c r="S1782"/>
      <c r="T1782" s="83"/>
    </row>
    <row r="1783" spans="1:20" ht="16" x14ac:dyDescent="0.2">
      <c r="A1783"/>
      <c r="B1783" s="103"/>
      <c r="C1783" s="243"/>
      <c r="D1783" s="119">
        <v>1770</v>
      </c>
      <c r="E1783" s="25" t="str">
        <f>Tp_Non_CHG!D152</f>
        <v>Transition Probability from state 1 to state 5 on day 14 (Non-CHG)</v>
      </c>
      <c r="F1783" s="40">
        <f t="shared" si="258"/>
        <v>0</v>
      </c>
      <c r="G1783" s="156">
        <v>1</v>
      </c>
      <c r="H1783" s="120">
        <f>Tp_Non_CHG!G152</f>
        <v>0</v>
      </c>
      <c r="I1783" s="40" t="s">
        <v>58</v>
      </c>
      <c r="J1783" s="40">
        <f t="shared" si="255"/>
        <v>0</v>
      </c>
      <c r="K1783" s="40">
        <f t="shared" si="256"/>
        <v>0</v>
      </c>
      <c r="L1783" s="40" t="s">
        <v>58</v>
      </c>
      <c r="M1783" s="50" t="s">
        <v>266</v>
      </c>
      <c r="N1783" s="190"/>
      <c r="O1783" s="40">
        <f t="shared" ca="1" si="261"/>
        <v>0.9102374436232713</v>
      </c>
      <c r="P1783" s="51">
        <f t="shared" si="259"/>
        <v>0</v>
      </c>
      <c r="Q1783" s="51">
        <f t="shared" si="260"/>
        <v>0</v>
      </c>
      <c r="R1783" s="51">
        <f t="shared" si="257"/>
        <v>0</v>
      </c>
      <c r="S1783"/>
      <c r="T1783" s="83"/>
    </row>
    <row r="1784" spans="1:20" ht="16" x14ac:dyDescent="0.2">
      <c r="A1784"/>
      <c r="B1784" s="103"/>
      <c r="C1784" s="243"/>
      <c r="D1784" s="119">
        <v>1771</v>
      </c>
      <c r="E1784" s="25" t="str">
        <f>Tp_Non_CHG!D153</f>
        <v>Transition Probability from state 1 to state 5 on day 15 (Non-CHG)</v>
      </c>
      <c r="F1784" s="40">
        <f t="shared" si="258"/>
        <v>0</v>
      </c>
      <c r="G1784" s="156">
        <v>1</v>
      </c>
      <c r="H1784" s="120">
        <f>Tp_Non_CHG!G153</f>
        <v>0</v>
      </c>
      <c r="I1784" s="40" t="s">
        <v>58</v>
      </c>
      <c r="J1784" s="40">
        <f t="shared" si="255"/>
        <v>0</v>
      </c>
      <c r="K1784" s="40">
        <f t="shared" si="256"/>
        <v>0</v>
      </c>
      <c r="L1784" s="40" t="s">
        <v>58</v>
      </c>
      <c r="M1784" s="50" t="s">
        <v>266</v>
      </c>
      <c r="N1784" s="190"/>
      <c r="O1784" s="40">
        <f t="shared" ca="1" si="261"/>
        <v>0.73765429043262365</v>
      </c>
      <c r="P1784" s="51">
        <f t="shared" si="259"/>
        <v>0</v>
      </c>
      <c r="Q1784" s="51">
        <f t="shared" si="260"/>
        <v>0</v>
      </c>
      <c r="R1784" s="51">
        <f t="shared" si="257"/>
        <v>0</v>
      </c>
      <c r="S1784"/>
      <c r="T1784" s="83"/>
    </row>
    <row r="1785" spans="1:20" ht="16" x14ac:dyDescent="0.2">
      <c r="A1785"/>
      <c r="B1785" s="103"/>
      <c r="C1785" s="243"/>
      <c r="D1785" s="119">
        <v>1772</v>
      </c>
      <c r="E1785" s="25" t="str">
        <f>Tp_Non_CHG!D154</f>
        <v>Transition Probability from state 1 to state 5 on day 16 (Non-CHG)</v>
      </c>
      <c r="F1785" s="40">
        <f t="shared" si="258"/>
        <v>0</v>
      </c>
      <c r="G1785" s="156">
        <v>1</v>
      </c>
      <c r="H1785" s="120">
        <f>Tp_Non_CHG!G154</f>
        <v>0</v>
      </c>
      <c r="I1785" s="40" t="s">
        <v>58</v>
      </c>
      <c r="J1785" s="40">
        <f t="shared" si="255"/>
        <v>0</v>
      </c>
      <c r="K1785" s="40">
        <f t="shared" si="256"/>
        <v>0</v>
      </c>
      <c r="L1785" s="40" t="s">
        <v>58</v>
      </c>
      <c r="M1785" s="50" t="s">
        <v>266</v>
      </c>
      <c r="N1785" s="190"/>
      <c r="O1785" s="40">
        <f t="shared" ca="1" si="261"/>
        <v>4.9586058824974133E-2</v>
      </c>
      <c r="P1785" s="51">
        <f t="shared" si="259"/>
        <v>0</v>
      </c>
      <c r="Q1785" s="51">
        <f t="shared" si="260"/>
        <v>0</v>
      </c>
      <c r="R1785" s="51">
        <f t="shared" si="257"/>
        <v>0</v>
      </c>
      <c r="S1785"/>
      <c r="T1785" s="83"/>
    </row>
    <row r="1786" spans="1:20" ht="16" x14ac:dyDescent="0.2">
      <c r="A1786"/>
      <c r="B1786" s="103"/>
      <c r="C1786" s="243"/>
      <c r="D1786" s="119">
        <v>1773</v>
      </c>
      <c r="E1786" s="25" t="str">
        <f>Tp_Non_CHG!D156</f>
        <v>Transition Probability from state 1 to state 5 on day 18 (Non-CHG)</v>
      </c>
      <c r="F1786" s="40">
        <f t="shared" si="258"/>
        <v>0</v>
      </c>
      <c r="G1786" s="156">
        <v>1</v>
      </c>
      <c r="H1786" s="120">
        <f>Tp_Non_CHG!G156</f>
        <v>0</v>
      </c>
      <c r="I1786" s="40" t="s">
        <v>58</v>
      </c>
      <c r="J1786" s="40">
        <f t="shared" si="255"/>
        <v>0</v>
      </c>
      <c r="K1786" s="40">
        <f t="shared" si="256"/>
        <v>0</v>
      </c>
      <c r="L1786" s="40" t="s">
        <v>58</v>
      </c>
      <c r="M1786" s="50" t="s">
        <v>266</v>
      </c>
      <c r="N1786" s="190"/>
      <c r="O1786" s="40">
        <f t="shared" ca="1" si="261"/>
        <v>0.28291744367109728</v>
      </c>
      <c r="P1786" s="51">
        <f t="shared" si="259"/>
        <v>0</v>
      </c>
      <c r="Q1786" s="51">
        <f t="shared" si="260"/>
        <v>0</v>
      </c>
      <c r="R1786" s="51">
        <f t="shared" si="257"/>
        <v>0</v>
      </c>
      <c r="S1786"/>
      <c r="T1786" s="83"/>
    </row>
    <row r="1787" spans="1:20" ht="16" x14ac:dyDescent="0.2">
      <c r="A1787"/>
      <c r="B1787" s="103"/>
      <c r="C1787" s="243"/>
      <c r="D1787" s="119">
        <v>1774</v>
      </c>
      <c r="E1787" s="25" t="str">
        <f>Tp_Non_CHG!D157</f>
        <v>Transition Probability from state 1 to state 5 on day 19 (Non-CHG)</v>
      </c>
      <c r="F1787" s="40">
        <f t="shared" si="258"/>
        <v>0</v>
      </c>
      <c r="G1787" s="156">
        <v>1</v>
      </c>
      <c r="H1787" s="120">
        <f>Tp_Non_CHG!G157</f>
        <v>0</v>
      </c>
      <c r="I1787" s="40" t="s">
        <v>58</v>
      </c>
      <c r="J1787" s="40">
        <f t="shared" si="255"/>
        <v>0</v>
      </c>
      <c r="K1787" s="40">
        <f t="shared" si="256"/>
        <v>0</v>
      </c>
      <c r="L1787" s="40" t="s">
        <v>58</v>
      </c>
      <c r="M1787" s="50" t="s">
        <v>266</v>
      </c>
      <c r="N1787" s="190"/>
      <c r="O1787" s="40">
        <f t="shared" ca="1" si="261"/>
        <v>4.3930410370000339E-2</v>
      </c>
      <c r="P1787" s="51">
        <f t="shared" si="259"/>
        <v>0</v>
      </c>
      <c r="Q1787" s="51">
        <f t="shared" si="260"/>
        <v>0</v>
      </c>
      <c r="R1787" s="51">
        <f t="shared" si="257"/>
        <v>0</v>
      </c>
      <c r="S1787"/>
      <c r="T1787" s="83"/>
    </row>
    <row r="1788" spans="1:20" ht="16" x14ac:dyDescent="0.2">
      <c r="A1788"/>
      <c r="B1788" s="103"/>
      <c r="C1788" s="243"/>
      <c r="D1788" s="119">
        <v>1775</v>
      </c>
      <c r="E1788" s="25" t="str">
        <f>Tp_Non_CHG!D159</f>
        <v>Transition Probability from state 1 to state 5 on day 21 (Non-CHG)</v>
      </c>
      <c r="F1788" s="40">
        <f t="shared" si="258"/>
        <v>0</v>
      </c>
      <c r="G1788" s="156">
        <v>1</v>
      </c>
      <c r="H1788" s="120">
        <f>Tp_Non_CHG!G159</f>
        <v>0</v>
      </c>
      <c r="I1788" s="40" t="s">
        <v>58</v>
      </c>
      <c r="J1788" s="40">
        <f t="shared" ref="J1788:J1846" si="262">IF(H1788=0,0,_xlfn.NORM.INV(0.025,H1788,R1788))</f>
        <v>0</v>
      </c>
      <c r="K1788" s="40">
        <f t="shared" ref="K1788:K1846" si="263">IF(H1788=0,0,_xlfn.NORM.INV(0.975,H1788,R1788))</f>
        <v>0</v>
      </c>
      <c r="L1788" s="40" t="s">
        <v>58</v>
      </c>
      <c r="M1788" s="50" t="s">
        <v>266</v>
      </c>
      <c r="N1788" s="190"/>
      <c r="O1788" s="40">
        <f t="shared" ca="1" si="261"/>
        <v>0.97551958053899401</v>
      </c>
      <c r="P1788" s="51">
        <f t="shared" si="259"/>
        <v>0</v>
      </c>
      <c r="Q1788" s="51">
        <f t="shared" si="260"/>
        <v>0</v>
      </c>
      <c r="R1788" s="51">
        <f t="shared" ref="R1788:R1846" si="264">assumedSE*H1788</f>
        <v>0</v>
      </c>
      <c r="S1788"/>
      <c r="T1788" s="83"/>
    </row>
    <row r="1789" spans="1:20" ht="16" x14ac:dyDescent="0.2">
      <c r="A1789"/>
      <c r="B1789" s="103"/>
      <c r="C1789" s="243"/>
      <c r="D1789" s="119">
        <v>1776</v>
      </c>
      <c r="E1789" s="25" t="str">
        <f>Tp_Non_CHG!D160</f>
        <v>Transition Probability from state 1 to state 5 on day 22 (Non-CHG)</v>
      </c>
      <c r="F1789" s="40">
        <f t="shared" si="258"/>
        <v>0</v>
      </c>
      <c r="G1789" s="156">
        <v>1</v>
      </c>
      <c r="H1789" s="120">
        <f>Tp_Non_CHG!G160</f>
        <v>0</v>
      </c>
      <c r="I1789" s="40" t="s">
        <v>58</v>
      </c>
      <c r="J1789" s="40">
        <f t="shared" si="262"/>
        <v>0</v>
      </c>
      <c r="K1789" s="40">
        <f t="shared" si="263"/>
        <v>0</v>
      </c>
      <c r="L1789" s="40" t="s">
        <v>58</v>
      </c>
      <c r="M1789" s="50" t="s">
        <v>266</v>
      </c>
      <c r="N1789" s="190"/>
      <c r="O1789" s="40">
        <f t="shared" ca="1" si="261"/>
        <v>0.18638133023461068</v>
      </c>
      <c r="P1789" s="51">
        <f t="shared" si="259"/>
        <v>0</v>
      </c>
      <c r="Q1789" s="51">
        <f t="shared" si="260"/>
        <v>0</v>
      </c>
      <c r="R1789" s="51">
        <f t="shared" si="264"/>
        <v>0</v>
      </c>
      <c r="S1789"/>
      <c r="T1789" s="83"/>
    </row>
    <row r="1790" spans="1:20" ht="16" x14ac:dyDescent="0.2">
      <c r="A1790"/>
      <c r="B1790" s="103"/>
      <c r="C1790" s="243"/>
      <c r="D1790" s="119">
        <v>1777</v>
      </c>
      <c r="E1790" s="25" t="str">
        <f>Tp_Non_CHG!D162</f>
        <v>Transition Probability from state 1 to state 5 on day 24 (Non-CHG)</v>
      </c>
      <c r="F1790" s="40">
        <f t="shared" si="258"/>
        <v>0</v>
      </c>
      <c r="G1790" s="156">
        <v>1</v>
      </c>
      <c r="H1790" s="120">
        <f>Tp_Non_CHG!G162</f>
        <v>0</v>
      </c>
      <c r="I1790" s="40" t="s">
        <v>58</v>
      </c>
      <c r="J1790" s="40">
        <f t="shared" si="262"/>
        <v>0</v>
      </c>
      <c r="K1790" s="40">
        <f t="shared" si="263"/>
        <v>0</v>
      </c>
      <c r="L1790" s="40" t="s">
        <v>58</v>
      </c>
      <c r="M1790" s="50" t="s">
        <v>266</v>
      </c>
      <c r="N1790" s="190"/>
      <c r="O1790" s="40">
        <f t="shared" ca="1" si="261"/>
        <v>0.21983292380067876</v>
      </c>
      <c r="P1790" s="51">
        <f t="shared" si="259"/>
        <v>0</v>
      </c>
      <c r="Q1790" s="51">
        <f t="shared" si="260"/>
        <v>0</v>
      </c>
      <c r="R1790" s="51">
        <f t="shared" si="264"/>
        <v>0</v>
      </c>
      <c r="S1790"/>
      <c r="T1790" s="83"/>
    </row>
    <row r="1791" spans="1:20" ht="16" x14ac:dyDescent="0.2">
      <c r="A1791"/>
      <c r="B1791" s="103"/>
      <c r="C1791" s="243"/>
      <c r="D1791" s="119">
        <v>1778</v>
      </c>
      <c r="E1791" s="25" t="str">
        <f>Tp_Non_CHG!D164</f>
        <v>Transition Probability from state 1 to state 5 on day 26 (Non-CHG)</v>
      </c>
      <c r="F1791" s="40">
        <f t="shared" si="258"/>
        <v>0</v>
      </c>
      <c r="G1791" s="156">
        <v>1</v>
      </c>
      <c r="H1791" s="120">
        <f>Tp_Non_CHG!G164</f>
        <v>0</v>
      </c>
      <c r="I1791" s="40" t="s">
        <v>58</v>
      </c>
      <c r="J1791" s="40">
        <f t="shared" si="262"/>
        <v>0</v>
      </c>
      <c r="K1791" s="40">
        <f t="shared" si="263"/>
        <v>0</v>
      </c>
      <c r="L1791" s="40" t="s">
        <v>58</v>
      </c>
      <c r="M1791" s="50" t="s">
        <v>266</v>
      </c>
      <c r="N1791" s="190"/>
      <c r="O1791" s="40">
        <f t="shared" ca="1" si="261"/>
        <v>0.89155837941273175</v>
      </c>
      <c r="P1791" s="51">
        <f t="shared" si="259"/>
        <v>0</v>
      </c>
      <c r="Q1791" s="51">
        <f t="shared" si="260"/>
        <v>0</v>
      </c>
      <c r="R1791" s="51">
        <f t="shared" si="264"/>
        <v>0</v>
      </c>
      <c r="S1791"/>
      <c r="T1791" s="83"/>
    </row>
    <row r="1792" spans="1:20" ht="16" x14ac:dyDescent="0.2">
      <c r="A1792"/>
      <c r="B1792" s="103"/>
      <c r="C1792" s="243"/>
      <c r="D1792" s="119">
        <v>1779</v>
      </c>
      <c r="E1792" s="25" t="str">
        <f>Tp_Non_CHG!D165</f>
        <v>Transition Probability from state 1 to state 5 on day 27 (Non-CHG)</v>
      </c>
      <c r="F1792" s="40">
        <f t="shared" si="258"/>
        <v>0</v>
      </c>
      <c r="G1792" s="156">
        <v>1</v>
      </c>
      <c r="H1792" s="120">
        <f>Tp_Non_CHG!G165</f>
        <v>0</v>
      </c>
      <c r="I1792" s="40" t="s">
        <v>58</v>
      </c>
      <c r="J1792" s="40">
        <f t="shared" si="262"/>
        <v>0</v>
      </c>
      <c r="K1792" s="40">
        <f t="shared" si="263"/>
        <v>0</v>
      </c>
      <c r="L1792" s="40" t="s">
        <v>58</v>
      </c>
      <c r="M1792" s="50" t="s">
        <v>266</v>
      </c>
      <c r="N1792" s="190"/>
      <c r="O1792" s="40">
        <f t="shared" ca="1" si="261"/>
        <v>0.34298890096320744</v>
      </c>
      <c r="P1792" s="51">
        <f t="shared" si="259"/>
        <v>0</v>
      </c>
      <c r="Q1792" s="51">
        <f t="shared" si="260"/>
        <v>0</v>
      </c>
      <c r="R1792" s="51">
        <f t="shared" si="264"/>
        <v>0</v>
      </c>
      <c r="S1792"/>
      <c r="T1792" s="83"/>
    </row>
    <row r="1793" spans="1:20" ht="16" x14ac:dyDescent="0.2">
      <c r="A1793"/>
      <c r="B1793" s="103"/>
      <c r="C1793" s="243"/>
      <c r="D1793" s="119">
        <v>1780</v>
      </c>
      <c r="E1793" s="25" t="str">
        <f>Tp_Non_CHG!D168</f>
        <v>Transition Probability from state 1 to state 5 on day 30 (Non-CHG)</v>
      </c>
      <c r="F1793" s="40">
        <f t="shared" si="258"/>
        <v>0</v>
      </c>
      <c r="G1793" s="156">
        <v>1</v>
      </c>
      <c r="H1793" s="120">
        <f>Tp_Non_CHG!G168</f>
        <v>0</v>
      </c>
      <c r="I1793" s="40" t="s">
        <v>58</v>
      </c>
      <c r="J1793" s="40">
        <f t="shared" si="262"/>
        <v>0</v>
      </c>
      <c r="K1793" s="40">
        <f t="shared" si="263"/>
        <v>0</v>
      </c>
      <c r="L1793" s="40" t="s">
        <v>58</v>
      </c>
      <c r="M1793" s="50" t="s">
        <v>266</v>
      </c>
      <c r="N1793" s="190"/>
      <c r="O1793" s="40">
        <f t="shared" ca="1" si="261"/>
        <v>0.4277338758721505</v>
      </c>
      <c r="P1793" s="51">
        <f t="shared" si="259"/>
        <v>0</v>
      </c>
      <c r="Q1793" s="51">
        <f t="shared" si="260"/>
        <v>0</v>
      </c>
      <c r="R1793" s="51">
        <f t="shared" si="264"/>
        <v>0</v>
      </c>
      <c r="S1793"/>
      <c r="T1793" s="83"/>
    </row>
    <row r="1794" spans="1:20" ht="16" x14ac:dyDescent="0.2">
      <c r="A1794"/>
      <c r="B1794" s="103"/>
      <c r="C1794" s="243"/>
      <c r="D1794" s="119">
        <v>1781</v>
      </c>
      <c r="E1794" s="25" t="str">
        <f>Tp_Non_CHG!I139</f>
        <v>Transition Probability from state 2 to state 5 on day 1 (Non-CHG)</v>
      </c>
      <c r="F1794" s="40">
        <f t="shared" si="258"/>
        <v>0</v>
      </c>
      <c r="G1794" s="156">
        <v>1</v>
      </c>
      <c r="H1794" s="120">
        <f>Tp_Non_CHG!L139</f>
        <v>0</v>
      </c>
      <c r="I1794" s="40" t="s">
        <v>58</v>
      </c>
      <c r="J1794" s="40">
        <f t="shared" si="262"/>
        <v>0</v>
      </c>
      <c r="K1794" s="40">
        <f t="shared" si="263"/>
        <v>0</v>
      </c>
      <c r="L1794" s="40" t="s">
        <v>58</v>
      </c>
      <c r="M1794" s="50" t="s">
        <v>266</v>
      </c>
      <c r="N1794" s="190"/>
      <c r="O1794" s="40">
        <f t="shared" ca="1" si="261"/>
        <v>0.35028208269374816</v>
      </c>
      <c r="P1794" s="51">
        <f t="shared" si="259"/>
        <v>0</v>
      </c>
      <c r="Q1794" s="51">
        <f t="shared" si="260"/>
        <v>0</v>
      </c>
      <c r="R1794" s="51">
        <f t="shared" si="264"/>
        <v>0</v>
      </c>
      <c r="S1794"/>
      <c r="T1794" s="83"/>
    </row>
    <row r="1795" spans="1:20" ht="16" x14ac:dyDescent="0.2">
      <c r="A1795"/>
      <c r="B1795" s="103"/>
      <c r="C1795" s="243"/>
      <c r="D1795" s="119">
        <v>1782</v>
      </c>
      <c r="E1795" s="25" t="str">
        <f>Tp_Non_CHG!I140</f>
        <v>Transition Probability from state 2 to state 5 on day 2 (Non-CHG)</v>
      </c>
      <c r="F1795" s="40">
        <f t="shared" si="258"/>
        <v>0</v>
      </c>
      <c r="G1795" s="156">
        <v>1</v>
      </c>
      <c r="H1795" s="120">
        <f>Tp_Non_CHG!L140</f>
        <v>0</v>
      </c>
      <c r="I1795" s="40" t="s">
        <v>58</v>
      </c>
      <c r="J1795" s="40">
        <f t="shared" si="262"/>
        <v>0</v>
      </c>
      <c r="K1795" s="40">
        <f t="shared" si="263"/>
        <v>0</v>
      </c>
      <c r="L1795" s="40" t="s">
        <v>58</v>
      </c>
      <c r="M1795" s="50" t="s">
        <v>266</v>
      </c>
      <c r="N1795" s="190"/>
      <c r="O1795" s="40">
        <f t="shared" ca="1" si="261"/>
        <v>0.76477608760959292</v>
      </c>
      <c r="P1795" s="51">
        <f t="shared" si="259"/>
        <v>0</v>
      </c>
      <c r="Q1795" s="51">
        <f t="shared" si="260"/>
        <v>0</v>
      </c>
      <c r="R1795" s="51">
        <f t="shared" si="264"/>
        <v>0</v>
      </c>
      <c r="S1795"/>
      <c r="T1795" s="83"/>
    </row>
    <row r="1796" spans="1:20" ht="16" x14ac:dyDescent="0.2">
      <c r="A1796"/>
      <c r="B1796" s="103"/>
      <c r="C1796" s="243"/>
      <c r="D1796" s="119">
        <v>1783</v>
      </c>
      <c r="E1796" s="25" t="str">
        <f>Tp_Non_CHG!I141</f>
        <v>Transition Probability from state 2 to state 5 on day 3 (Non-CHG)</v>
      </c>
      <c r="F1796" s="40">
        <f t="shared" si="258"/>
        <v>0</v>
      </c>
      <c r="G1796" s="156">
        <v>1</v>
      </c>
      <c r="H1796" s="120">
        <f>Tp_Non_CHG!L141</f>
        <v>0</v>
      </c>
      <c r="I1796" s="40" t="s">
        <v>58</v>
      </c>
      <c r="J1796" s="40">
        <f t="shared" si="262"/>
        <v>0</v>
      </c>
      <c r="K1796" s="40">
        <f t="shared" si="263"/>
        <v>0</v>
      </c>
      <c r="L1796" s="40" t="s">
        <v>58</v>
      </c>
      <c r="M1796" s="50" t="s">
        <v>266</v>
      </c>
      <c r="N1796" s="190"/>
      <c r="O1796" s="40">
        <f t="shared" ca="1" si="261"/>
        <v>0.33401960120400409</v>
      </c>
      <c r="P1796" s="51">
        <f t="shared" si="259"/>
        <v>0</v>
      </c>
      <c r="Q1796" s="51">
        <f t="shared" si="260"/>
        <v>0</v>
      </c>
      <c r="R1796" s="51">
        <f t="shared" si="264"/>
        <v>0</v>
      </c>
      <c r="S1796"/>
      <c r="T1796" s="83"/>
    </row>
    <row r="1797" spans="1:20" ht="16" x14ac:dyDescent="0.2">
      <c r="A1797"/>
      <c r="B1797" s="103"/>
      <c r="C1797" s="243"/>
      <c r="D1797" s="119">
        <v>1784</v>
      </c>
      <c r="E1797" s="25" t="str">
        <f>Tp_Non_CHG!I142</f>
        <v>Transition Probability from state 2 to state 5 on day 4 (Non-CHG)</v>
      </c>
      <c r="F1797" s="40">
        <f t="shared" si="258"/>
        <v>0</v>
      </c>
      <c r="G1797" s="156">
        <v>1</v>
      </c>
      <c r="H1797" s="120">
        <f>Tp_Non_CHG!L142</f>
        <v>0</v>
      </c>
      <c r="I1797" s="40" t="s">
        <v>58</v>
      </c>
      <c r="J1797" s="40">
        <f t="shared" si="262"/>
        <v>0</v>
      </c>
      <c r="K1797" s="40">
        <f t="shared" si="263"/>
        <v>0</v>
      </c>
      <c r="L1797" s="40" t="s">
        <v>58</v>
      </c>
      <c r="M1797" s="50" t="s">
        <v>266</v>
      </c>
      <c r="N1797" s="190"/>
      <c r="O1797" s="40">
        <f t="shared" ca="1" si="261"/>
        <v>0.94764528722430441</v>
      </c>
      <c r="P1797" s="51">
        <f t="shared" si="259"/>
        <v>0</v>
      </c>
      <c r="Q1797" s="51">
        <f t="shared" si="260"/>
        <v>0</v>
      </c>
      <c r="R1797" s="51">
        <f t="shared" si="264"/>
        <v>0</v>
      </c>
      <c r="S1797"/>
      <c r="T1797" s="83"/>
    </row>
    <row r="1798" spans="1:20" ht="16" x14ac:dyDescent="0.2">
      <c r="A1798"/>
      <c r="B1798" s="103"/>
      <c r="C1798" s="243"/>
      <c r="D1798" s="119">
        <v>1785</v>
      </c>
      <c r="E1798" s="25" t="str">
        <f>Tp_Non_CHG!I143</f>
        <v>Transition Probability from state 2 to state 5 on day 5 (Non-CHG)</v>
      </c>
      <c r="F1798" s="40">
        <f t="shared" si="258"/>
        <v>0</v>
      </c>
      <c r="G1798" s="156">
        <v>1</v>
      </c>
      <c r="H1798" s="120">
        <f>Tp_Non_CHG!L143</f>
        <v>0</v>
      </c>
      <c r="I1798" s="40" t="s">
        <v>58</v>
      </c>
      <c r="J1798" s="40">
        <f t="shared" si="262"/>
        <v>0</v>
      </c>
      <c r="K1798" s="40">
        <f t="shared" si="263"/>
        <v>0</v>
      </c>
      <c r="L1798" s="40" t="s">
        <v>58</v>
      </c>
      <c r="M1798" s="50" t="s">
        <v>266</v>
      </c>
      <c r="N1798" s="190"/>
      <c r="O1798" s="40">
        <f t="shared" ca="1" si="261"/>
        <v>1.2899172183523322E-2</v>
      </c>
      <c r="P1798" s="51">
        <f t="shared" si="259"/>
        <v>0</v>
      </c>
      <c r="Q1798" s="51">
        <f t="shared" si="260"/>
        <v>0</v>
      </c>
      <c r="R1798" s="51">
        <f t="shared" si="264"/>
        <v>0</v>
      </c>
      <c r="S1798"/>
      <c r="T1798" s="83"/>
    </row>
    <row r="1799" spans="1:20" ht="16" x14ac:dyDescent="0.2">
      <c r="A1799"/>
      <c r="B1799" s="103"/>
      <c r="C1799" s="243"/>
      <c r="D1799" s="119">
        <v>1786</v>
      </c>
      <c r="E1799" s="25" t="str">
        <f>Tp_Non_CHG!I144</f>
        <v>Transition Probability from state 2 to state 5 on day 6 (Non-CHG)</v>
      </c>
      <c r="F1799" s="40">
        <f t="shared" si="258"/>
        <v>0</v>
      </c>
      <c r="G1799" s="156">
        <v>1</v>
      </c>
      <c r="H1799" s="120">
        <f>Tp_Non_CHG!L144</f>
        <v>0</v>
      </c>
      <c r="I1799" s="40" t="s">
        <v>58</v>
      </c>
      <c r="J1799" s="40">
        <f t="shared" si="262"/>
        <v>0</v>
      </c>
      <c r="K1799" s="40">
        <f t="shared" si="263"/>
        <v>0</v>
      </c>
      <c r="L1799" s="40" t="s">
        <v>58</v>
      </c>
      <c r="M1799" s="50" t="s">
        <v>266</v>
      </c>
      <c r="N1799" s="190"/>
      <c r="O1799" s="40">
        <f t="shared" ca="1" si="261"/>
        <v>0.37974924820046196</v>
      </c>
      <c r="P1799" s="51">
        <f t="shared" si="259"/>
        <v>0</v>
      </c>
      <c r="Q1799" s="51">
        <f t="shared" si="260"/>
        <v>0</v>
      </c>
      <c r="R1799" s="51">
        <f t="shared" si="264"/>
        <v>0</v>
      </c>
      <c r="S1799"/>
      <c r="T1799" s="83"/>
    </row>
    <row r="1800" spans="1:20" ht="16" x14ac:dyDescent="0.2">
      <c r="A1800"/>
      <c r="B1800" s="103"/>
      <c r="C1800" s="243"/>
      <c r="D1800" s="119">
        <v>1787</v>
      </c>
      <c r="E1800" s="25" t="str">
        <f>Tp_Non_CHG!I145</f>
        <v>Transition Probability from state 2 to state 5 on day 7 (Non-CHG)</v>
      </c>
      <c r="F1800" s="40">
        <f t="shared" si="258"/>
        <v>0</v>
      </c>
      <c r="G1800" s="156">
        <v>1</v>
      </c>
      <c r="H1800" s="120">
        <f>Tp_Non_CHG!L145</f>
        <v>0</v>
      </c>
      <c r="I1800" s="40" t="s">
        <v>58</v>
      </c>
      <c r="J1800" s="40">
        <f t="shared" si="262"/>
        <v>0</v>
      </c>
      <c r="K1800" s="40">
        <f t="shared" si="263"/>
        <v>0</v>
      </c>
      <c r="L1800" s="40" t="s">
        <v>58</v>
      </c>
      <c r="M1800" s="50" t="s">
        <v>266</v>
      </c>
      <c r="N1800" s="190"/>
      <c r="O1800" s="40">
        <f t="shared" ca="1" si="261"/>
        <v>1.9077087286045402E-2</v>
      </c>
      <c r="P1800" s="51">
        <f t="shared" si="259"/>
        <v>0</v>
      </c>
      <c r="Q1800" s="51">
        <f t="shared" si="260"/>
        <v>0</v>
      </c>
      <c r="R1800" s="51">
        <f t="shared" si="264"/>
        <v>0</v>
      </c>
      <c r="S1800"/>
      <c r="T1800" s="83"/>
    </row>
    <row r="1801" spans="1:20" ht="16" x14ac:dyDescent="0.2">
      <c r="A1801"/>
      <c r="B1801" s="103"/>
      <c r="C1801" s="243"/>
      <c r="D1801" s="119">
        <v>1788</v>
      </c>
      <c r="E1801" s="25" t="str">
        <f>Tp_Non_CHG!I146</f>
        <v>Transition Probability from state 2 to state 5 on day 8 (Non-CHG)</v>
      </c>
      <c r="F1801" s="40">
        <f t="shared" si="258"/>
        <v>0</v>
      </c>
      <c r="G1801" s="156">
        <v>1</v>
      </c>
      <c r="H1801" s="120">
        <f>Tp_Non_CHG!L146</f>
        <v>0</v>
      </c>
      <c r="I1801" s="40" t="s">
        <v>58</v>
      </c>
      <c r="J1801" s="40">
        <f t="shared" si="262"/>
        <v>0</v>
      </c>
      <c r="K1801" s="40">
        <f t="shared" si="263"/>
        <v>0</v>
      </c>
      <c r="L1801" s="40" t="s">
        <v>58</v>
      </c>
      <c r="M1801" s="50" t="s">
        <v>266</v>
      </c>
      <c r="N1801" s="190"/>
      <c r="O1801" s="40">
        <f t="shared" ca="1" si="261"/>
        <v>0.33694497105847687</v>
      </c>
      <c r="P1801" s="51">
        <f t="shared" si="259"/>
        <v>0</v>
      </c>
      <c r="Q1801" s="51">
        <f t="shared" si="260"/>
        <v>0</v>
      </c>
      <c r="R1801" s="51">
        <f t="shared" si="264"/>
        <v>0</v>
      </c>
      <c r="S1801"/>
      <c r="T1801" s="83"/>
    </row>
    <row r="1802" spans="1:20" ht="16" x14ac:dyDescent="0.2">
      <c r="A1802"/>
      <c r="B1802" s="103"/>
      <c r="C1802" s="243"/>
      <c r="D1802" s="119">
        <v>1789</v>
      </c>
      <c r="E1802" s="25" t="str">
        <f>Tp_Non_CHG!I148</f>
        <v>Transition Probability from state 2 to state 5 on day 10 (Non-CHG)</v>
      </c>
      <c r="F1802" s="40">
        <f t="shared" si="258"/>
        <v>0</v>
      </c>
      <c r="G1802" s="156">
        <v>1</v>
      </c>
      <c r="H1802" s="120">
        <f>Tp_Non_CHG!L148</f>
        <v>0</v>
      </c>
      <c r="I1802" s="40" t="s">
        <v>58</v>
      </c>
      <c r="J1802" s="40">
        <f t="shared" si="262"/>
        <v>0</v>
      </c>
      <c r="K1802" s="40">
        <f t="shared" si="263"/>
        <v>0</v>
      </c>
      <c r="L1802" s="40" t="s">
        <v>58</v>
      </c>
      <c r="M1802" s="50" t="s">
        <v>266</v>
      </c>
      <c r="N1802" s="190"/>
      <c r="O1802" s="40">
        <f t="shared" ca="1" si="261"/>
        <v>0.68491182822448349</v>
      </c>
      <c r="P1802" s="51">
        <f t="shared" si="259"/>
        <v>0</v>
      </c>
      <c r="Q1802" s="51">
        <f t="shared" si="260"/>
        <v>0</v>
      </c>
      <c r="R1802" s="51">
        <f t="shared" si="264"/>
        <v>0</v>
      </c>
      <c r="S1802"/>
      <c r="T1802" s="83"/>
    </row>
    <row r="1803" spans="1:20" ht="16" x14ac:dyDescent="0.2">
      <c r="A1803"/>
      <c r="B1803" s="103"/>
      <c r="C1803" s="243"/>
      <c r="D1803" s="119">
        <v>1790</v>
      </c>
      <c r="E1803" s="25" t="str">
        <f>Tp_Non_CHG!I149</f>
        <v>Transition Probability from state 2 to state 5 on day 11 (Non-CHG)</v>
      </c>
      <c r="F1803" s="40">
        <f t="shared" si="258"/>
        <v>0</v>
      </c>
      <c r="G1803" s="156">
        <v>1</v>
      </c>
      <c r="H1803" s="120">
        <f>Tp_Non_CHG!L149</f>
        <v>0</v>
      </c>
      <c r="I1803" s="40" t="s">
        <v>58</v>
      </c>
      <c r="J1803" s="40">
        <f t="shared" si="262"/>
        <v>0</v>
      </c>
      <c r="K1803" s="40">
        <f t="shared" si="263"/>
        <v>0</v>
      </c>
      <c r="L1803" s="40" t="s">
        <v>58</v>
      </c>
      <c r="M1803" s="50" t="s">
        <v>266</v>
      </c>
      <c r="N1803" s="190"/>
      <c r="O1803" s="40">
        <f t="shared" ca="1" si="261"/>
        <v>0.55891541018903712</v>
      </c>
      <c r="P1803" s="51">
        <f t="shared" si="259"/>
        <v>0</v>
      </c>
      <c r="Q1803" s="51">
        <f t="shared" si="260"/>
        <v>0</v>
      </c>
      <c r="R1803" s="51">
        <f t="shared" si="264"/>
        <v>0</v>
      </c>
      <c r="S1803"/>
      <c r="T1803" s="83"/>
    </row>
    <row r="1804" spans="1:20" ht="16" x14ac:dyDescent="0.2">
      <c r="A1804"/>
      <c r="B1804" s="103"/>
      <c r="C1804" s="243"/>
      <c r="D1804" s="119">
        <v>1791</v>
      </c>
      <c r="E1804" s="25" t="str">
        <f>Tp_Non_CHG!I150</f>
        <v>Transition Probability from state 2 to state 5 on day 12 (Non-CHG)</v>
      </c>
      <c r="F1804" s="40">
        <f t="shared" si="258"/>
        <v>0</v>
      </c>
      <c r="G1804" s="156">
        <v>1</v>
      </c>
      <c r="H1804" s="120">
        <f>Tp_Non_CHG!L150</f>
        <v>0</v>
      </c>
      <c r="I1804" s="40" t="s">
        <v>58</v>
      </c>
      <c r="J1804" s="40">
        <f t="shared" si="262"/>
        <v>0</v>
      </c>
      <c r="K1804" s="40">
        <f t="shared" si="263"/>
        <v>0</v>
      </c>
      <c r="L1804" s="40" t="s">
        <v>58</v>
      </c>
      <c r="M1804" s="50" t="s">
        <v>266</v>
      </c>
      <c r="N1804" s="190"/>
      <c r="O1804" s="40">
        <f t="shared" ca="1" si="261"/>
        <v>0.45273249228019496</v>
      </c>
      <c r="P1804" s="51">
        <f t="shared" si="259"/>
        <v>0</v>
      </c>
      <c r="Q1804" s="51">
        <f t="shared" si="260"/>
        <v>0</v>
      </c>
      <c r="R1804" s="51">
        <f t="shared" si="264"/>
        <v>0</v>
      </c>
      <c r="S1804"/>
      <c r="T1804" s="83"/>
    </row>
    <row r="1805" spans="1:20" ht="16" x14ac:dyDescent="0.2">
      <c r="A1805"/>
      <c r="B1805" s="103"/>
      <c r="C1805" s="243"/>
      <c r="D1805" s="119">
        <v>1792</v>
      </c>
      <c r="E1805" s="25" t="str">
        <f>Tp_Non_CHG!I151</f>
        <v>Transition Probability from state 2 to state 5 on day 13 (Non-CHG)</v>
      </c>
      <c r="F1805" s="40">
        <f t="shared" si="258"/>
        <v>0</v>
      </c>
      <c r="G1805" s="156">
        <v>1</v>
      </c>
      <c r="H1805" s="120">
        <f>Tp_Non_CHG!L151</f>
        <v>0</v>
      </c>
      <c r="I1805" s="40" t="s">
        <v>58</v>
      </c>
      <c r="J1805" s="40">
        <f t="shared" si="262"/>
        <v>0</v>
      </c>
      <c r="K1805" s="40">
        <f t="shared" si="263"/>
        <v>0</v>
      </c>
      <c r="L1805" s="40" t="s">
        <v>58</v>
      </c>
      <c r="M1805" s="50" t="s">
        <v>266</v>
      </c>
      <c r="N1805" s="190"/>
      <c r="O1805" s="40">
        <f t="shared" ca="1" si="261"/>
        <v>0.23049245494393489</v>
      </c>
      <c r="P1805" s="51">
        <f t="shared" si="259"/>
        <v>0</v>
      </c>
      <c r="Q1805" s="51">
        <f t="shared" si="260"/>
        <v>0</v>
      </c>
      <c r="R1805" s="51">
        <f t="shared" si="264"/>
        <v>0</v>
      </c>
      <c r="S1805"/>
      <c r="T1805" s="83"/>
    </row>
    <row r="1806" spans="1:20" ht="16" x14ac:dyDescent="0.2">
      <c r="A1806"/>
      <c r="B1806" s="103"/>
      <c r="C1806" s="243"/>
      <c r="D1806" s="119">
        <v>1793</v>
      </c>
      <c r="E1806" s="25" t="str">
        <f>Tp_Non_CHG!I152</f>
        <v>Transition Probability from state 2 to state 5 on day 14 (Non-CHG)</v>
      </c>
      <c r="F1806" s="40">
        <f t="shared" si="258"/>
        <v>0</v>
      </c>
      <c r="G1806" s="156">
        <v>1</v>
      </c>
      <c r="H1806" s="120">
        <f>Tp_Non_CHG!L152</f>
        <v>0</v>
      </c>
      <c r="I1806" s="40" t="s">
        <v>58</v>
      </c>
      <c r="J1806" s="40">
        <f t="shared" si="262"/>
        <v>0</v>
      </c>
      <c r="K1806" s="40">
        <f t="shared" si="263"/>
        <v>0</v>
      </c>
      <c r="L1806" s="40" t="s">
        <v>58</v>
      </c>
      <c r="M1806" s="50" t="s">
        <v>266</v>
      </c>
      <c r="N1806" s="190"/>
      <c r="O1806" s="40">
        <f t="shared" ca="1" si="261"/>
        <v>0.41675068368607648</v>
      </c>
      <c r="P1806" s="51">
        <f t="shared" si="259"/>
        <v>0</v>
      </c>
      <c r="Q1806" s="51">
        <f t="shared" si="260"/>
        <v>0</v>
      </c>
      <c r="R1806" s="51">
        <f t="shared" si="264"/>
        <v>0</v>
      </c>
      <c r="S1806"/>
      <c r="T1806" s="83"/>
    </row>
    <row r="1807" spans="1:20" ht="16" x14ac:dyDescent="0.2">
      <c r="A1807"/>
      <c r="B1807" s="103"/>
      <c r="C1807" s="243"/>
      <c r="D1807" s="119">
        <v>1794</v>
      </c>
      <c r="E1807" s="25" t="str">
        <f>Tp_Non_CHG!I153</f>
        <v>Transition Probability from state 2 to state 5 on day 15 (Non-CHG)</v>
      </c>
      <c r="F1807" s="40">
        <f t="shared" ref="F1807:F1870" si="265">IFERROR(CHOOSE(G1807,H1807,J1807,K1807,N1807),0)</f>
        <v>0</v>
      </c>
      <c r="G1807" s="156">
        <v>1</v>
      </c>
      <c r="H1807" s="120">
        <f>Tp_Non_CHG!L153</f>
        <v>0</v>
      </c>
      <c r="I1807" s="40" t="s">
        <v>58</v>
      </c>
      <c r="J1807" s="40">
        <f t="shared" si="262"/>
        <v>0</v>
      </c>
      <c r="K1807" s="40">
        <f t="shared" si="263"/>
        <v>0</v>
      </c>
      <c r="L1807" s="40" t="s">
        <v>58</v>
      </c>
      <c r="M1807" s="50" t="s">
        <v>266</v>
      </c>
      <c r="N1807" s="190"/>
      <c r="O1807" s="40">
        <f t="shared" ca="1" si="261"/>
        <v>0.19197834751760767</v>
      </c>
      <c r="P1807" s="51">
        <f t="shared" si="259"/>
        <v>0</v>
      </c>
      <c r="Q1807" s="51">
        <f t="shared" si="260"/>
        <v>0</v>
      </c>
      <c r="R1807" s="51">
        <f t="shared" si="264"/>
        <v>0</v>
      </c>
      <c r="S1807"/>
      <c r="T1807" s="83"/>
    </row>
    <row r="1808" spans="1:20" ht="16" x14ac:dyDescent="0.2">
      <c r="A1808"/>
      <c r="B1808" s="103"/>
      <c r="C1808" s="243"/>
      <c r="D1808" s="119">
        <v>1795</v>
      </c>
      <c r="E1808" s="25" t="str">
        <f>Tp_Non_CHG!I154</f>
        <v>Transition Probability from state 2 to state 5 on day 16 (Non-CHG)</v>
      </c>
      <c r="F1808" s="40">
        <f t="shared" si="265"/>
        <v>0</v>
      </c>
      <c r="G1808" s="156">
        <v>1</v>
      </c>
      <c r="H1808" s="120">
        <f>Tp_Non_CHG!L154</f>
        <v>0</v>
      </c>
      <c r="I1808" s="40" t="s">
        <v>58</v>
      </c>
      <c r="J1808" s="40">
        <f t="shared" si="262"/>
        <v>0</v>
      </c>
      <c r="K1808" s="40">
        <f t="shared" si="263"/>
        <v>0</v>
      </c>
      <c r="L1808" s="40" t="s">
        <v>58</v>
      </c>
      <c r="M1808" s="50" t="s">
        <v>266</v>
      </c>
      <c r="N1808" s="190"/>
      <c r="O1808" s="40">
        <f t="shared" ca="1" si="261"/>
        <v>0.8084937374380522</v>
      </c>
      <c r="P1808" s="51">
        <f t="shared" si="259"/>
        <v>0</v>
      </c>
      <c r="Q1808" s="51">
        <f t="shared" si="260"/>
        <v>0</v>
      </c>
      <c r="R1808" s="51">
        <f t="shared" si="264"/>
        <v>0</v>
      </c>
      <c r="S1808"/>
      <c r="T1808" s="83"/>
    </row>
    <row r="1809" spans="1:20" ht="16" x14ac:dyDescent="0.2">
      <c r="A1809"/>
      <c r="B1809" s="103"/>
      <c r="C1809" s="243"/>
      <c r="D1809" s="119">
        <v>1796</v>
      </c>
      <c r="E1809" s="25" t="str">
        <f>Tp_Non_CHG!I155</f>
        <v>Transition Probability from state 2 to state 5 on day 17 (Non-CHG)</v>
      </c>
      <c r="F1809" s="40">
        <f t="shared" si="265"/>
        <v>0</v>
      </c>
      <c r="G1809" s="156">
        <v>1</v>
      </c>
      <c r="H1809" s="120">
        <f>Tp_Non_CHG!L155</f>
        <v>0</v>
      </c>
      <c r="I1809" s="40" t="s">
        <v>58</v>
      </c>
      <c r="J1809" s="40">
        <f t="shared" si="262"/>
        <v>0</v>
      </c>
      <c r="K1809" s="40">
        <f t="shared" si="263"/>
        <v>0</v>
      </c>
      <c r="L1809" s="40" t="s">
        <v>58</v>
      </c>
      <c r="M1809" s="50" t="s">
        <v>266</v>
      </c>
      <c r="N1809" s="190"/>
      <c r="O1809" s="40">
        <f t="shared" ca="1" si="261"/>
        <v>0.42197869228996931</v>
      </c>
      <c r="P1809" s="51">
        <f t="shared" ref="P1809:P1872" si="266">IFERROR(H1809*((H1809*(1-H1809)/(R1809^2))-1),0)</f>
        <v>0</v>
      </c>
      <c r="Q1809" s="51">
        <f t="shared" ref="Q1809:Q1872" si="267">IFERROR((1-H1809)*((H1809*(1-H1809))/(R1809^2)-1),0)</f>
        <v>0</v>
      </c>
      <c r="R1809" s="51">
        <f t="shared" si="264"/>
        <v>0</v>
      </c>
      <c r="S1809"/>
      <c r="T1809" s="83"/>
    </row>
    <row r="1810" spans="1:20" ht="16" x14ac:dyDescent="0.2">
      <c r="A1810"/>
      <c r="B1810" s="103"/>
      <c r="C1810" s="243"/>
      <c r="D1810" s="119">
        <v>1797</v>
      </c>
      <c r="E1810" s="25" t="str">
        <f>Tp_Non_CHG!I156</f>
        <v>Transition Probability from state 2 to state 5 on day 18 (Non-CHG)</v>
      </c>
      <c r="F1810" s="40">
        <f t="shared" si="265"/>
        <v>0</v>
      </c>
      <c r="G1810" s="156">
        <v>1</v>
      </c>
      <c r="H1810" s="120">
        <f>Tp_Non_CHG!L156</f>
        <v>0</v>
      </c>
      <c r="I1810" s="40" t="s">
        <v>58</v>
      </c>
      <c r="J1810" s="40">
        <f t="shared" si="262"/>
        <v>0</v>
      </c>
      <c r="K1810" s="40">
        <f t="shared" si="263"/>
        <v>0</v>
      </c>
      <c r="L1810" s="40" t="s">
        <v>58</v>
      </c>
      <c r="M1810" s="50" t="s">
        <v>266</v>
      </c>
      <c r="N1810" s="190"/>
      <c r="O1810" s="40">
        <f t="shared" ca="1" si="261"/>
        <v>0.3434532024179533</v>
      </c>
      <c r="P1810" s="51">
        <f t="shared" si="266"/>
        <v>0</v>
      </c>
      <c r="Q1810" s="51">
        <f t="shared" si="267"/>
        <v>0</v>
      </c>
      <c r="R1810" s="51">
        <f t="shared" si="264"/>
        <v>0</v>
      </c>
      <c r="S1810"/>
      <c r="T1810" s="83"/>
    </row>
    <row r="1811" spans="1:20" ht="16" x14ac:dyDescent="0.2">
      <c r="A1811"/>
      <c r="B1811" s="103"/>
      <c r="C1811" s="243"/>
      <c r="D1811" s="119">
        <v>1798</v>
      </c>
      <c r="E1811" s="25" t="str">
        <f>Tp_Non_CHG!I157</f>
        <v>Transition Probability from state 2 to state 5 on day 19 (Non-CHG)</v>
      </c>
      <c r="F1811" s="40">
        <f t="shared" si="265"/>
        <v>0</v>
      </c>
      <c r="G1811" s="156">
        <v>1</v>
      </c>
      <c r="H1811" s="120">
        <f>Tp_Non_CHG!L157</f>
        <v>0</v>
      </c>
      <c r="I1811" s="40" t="s">
        <v>58</v>
      </c>
      <c r="J1811" s="40">
        <f t="shared" si="262"/>
        <v>0</v>
      </c>
      <c r="K1811" s="40">
        <f t="shared" si="263"/>
        <v>0</v>
      </c>
      <c r="L1811" s="40" t="s">
        <v>58</v>
      </c>
      <c r="M1811" s="50" t="s">
        <v>266</v>
      </c>
      <c r="N1811" s="190"/>
      <c r="O1811" s="40">
        <f t="shared" ca="1" si="261"/>
        <v>0.85432926150965793</v>
      </c>
      <c r="P1811" s="51">
        <f t="shared" si="266"/>
        <v>0</v>
      </c>
      <c r="Q1811" s="51">
        <f t="shared" si="267"/>
        <v>0</v>
      </c>
      <c r="R1811" s="51">
        <f t="shared" si="264"/>
        <v>0</v>
      </c>
      <c r="S1811"/>
      <c r="T1811" s="83"/>
    </row>
    <row r="1812" spans="1:20" ht="16" x14ac:dyDescent="0.2">
      <c r="A1812"/>
      <c r="B1812" s="103"/>
      <c r="C1812" s="243"/>
      <c r="D1812" s="119">
        <v>1799</v>
      </c>
      <c r="E1812" s="25" t="str">
        <f>Tp_Non_CHG!I158</f>
        <v>Transition Probability from state 2 to state 5 on day 20 (Non-CHG)</v>
      </c>
      <c r="F1812" s="40">
        <f t="shared" si="265"/>
        <v>0</v>
      </c>
      <c r="G1812" s="156">
        <v>1</v>
      </c>
      <c r="H1812" s="120">
        <f>Tp_Non_CHG!L158</f>
        <v>0</v>
      </c>
      <c r="I1812" s="40" t="s">
        <v>58</v>
      </c>
      <c r="J1812" s="40">
        <f t="shared" si="262"/>
        <v>0</v>
      </c>
      <c r="K1812" s="40">
        <f t="shared" si="263"/>
        <v>0</v>
      </c>
      <c r="L1812" s="40" t="s">
        <v>58</v>
      </c>
      <c r="M1812" s="50" t="s">
        <v>266</v>
      </c>
      <c r="N1812" s="190"/>
      <c r="O1812" s="40">
        <f t="shared" ca="1" si="261"/>
        <v>0.75955642009094637</v>
      </c>
      <c r="P1812" s="51">
        <f t="shared" si="266"/>
        <v>0</v>
      </c>
      <c r="Q1812" s="51">
        <f t="shared" si="267"/>
        <v>0</v>
      </c>
      <c r="R1812" s="51">
        <f t="shared" si="264"/>
        <v>0</v>
      </c>
      <c r="S1812"/>
      <c r="T1812" s="83"/>
    </row>
    <row r="1813" spans="1:20" ht="16" x14ac:dyDescent="0.2">
      <c r="A1813"/>
      <c r="B1813" s="103"/>
      <c r="C1813" s="243"/>
      <c r="D1813" s="119">
        <v>1800</v>
      </c>
      <c r="E1813" s="25" t="str">
        <f>Tp_Non_CHG!I159</f>
        <v>Transition Probability from state 2 to state 5 on day 21 (Non-CHG)</v>
      </c>
      <c r="F1813" s="40">
        <f t="shared" si="265"/>
        <v>0</v>
      </c>
      <c r="G1813" s="156">
        <v>1</v>
      </c>
      <c r="H1813" s="120">
        <f>Tp_Non_CHG!L159</f>
        <v>0</v>
      </c>
      <c r="I1813" s="40" t="s">
        <v>58</v>
      </c>
      <c r="J1813" s="40">
        <f t="shared" si="262"/>
        <v>0</v>
      </c>
      <c r="K1813" s="40">
        <f t="shared" si="263"/>
        <v>0</v>
      </c>
      <c r="L1813" s="40" t="s">
        <v>58</v>
      </c>
      <c r="M1813" s="50" t="s">
        <v>266</v>
      </c>
      <c r="N1813" s="190"/>
      <c r="O1813" s="40">
        <f t="shared" ca="1" si="261"/>
        <v>0.53650811605808357</v>
      </c>
      <c r="P1813" s="51">
        <f t="shared" si="266"/>
        <v>0</v>
      </c>
      <c r="Q1813" s="51">
        <f t="shared" si="267"/>
        <v>0</v>
      </c>
      <c r="R1813" s="51">
        <f t="shared" si="264"/>
        <v>0</v>
      </c>
      <c r="S1813"/>
      <c r="T1813" s="83"/>
    </row>
    <row r="1814" spans="1:20" ht="16" x14ac:dyDescent="0.2">
      <c r="A1814"/>
      <c r="B1814" s="103"/>
      <c r="C1814" s="243"/>
      <c r="D1814" s="119">
        <v>1801</v>
      </c>
      <c r="E1814" s="25" t="str">
        <f>Tp_Non_CHG!I160</f>
        <v>Transition Probability from state 2 to state 5 on day 22 (Non-CHG)</v>
      </c>
      <c r="F1814" s="40">
        <f t="shared" si="265"/>
        <v>0</v>
      </c>
      <c r="G1814" s="156">
        <v>1</v>
      </c>
      <c r="H1814" s="120">
        <f>Tp_Non_CHG!L160</f>
        <v>0</v>
      </c>
      <c r="I1814" s="40" t="s">
        <v>58</v>
      </c>
      <c r="J1814" s="40">
        <f t="shared" si="262"/>
        <v>0</v>
      </c>
      <c r="K1814" s="40">
        <f t="shared" si="263"/>
        <v>0</v>
      </c>
      <c r="L1814" s="40" t="s">
        <v>58</v>
      </c>
      <c r="M1814" s="50" t="s">
        <v>266</v>
      </c>
      <c r="N1814" s="190"/>
      <c r="O1814" s="40">
        <f t="shared" ca="1" si="261"/>
        <v>0.60071324542795235</v>
      </c>
      <c r="P1814" s="51">
        <f t="shared" si="266"/>
        <v>0</v>
      </c>
      <c r="Q1814" s="51">
        <f t="shared" si="267"/>
        <v>0</v>
      </c>
      <c r="R1814" s="51">
        <f t="shared" si="264"/>
        <v>0</v>
      </c>
      <c r="S1814"/>
      <c r="T1814" s="83"/>
    </row>
    <row r="1815" spans="1:20" ht="16" x14ac:dyDescent="0.2">
      <c r="A1815"/>
      <c r="B1815" s="103"/>
      <c r="C1815" s="243"/>
      <c r="D1815" s="119">
        <v>1802</v>
      </c>
      <c r="E1815" s="25" t="str">
        <f>Tp_Non_CHG!I161</f>
        <v>Transition Probability from state 2 to state 5 on day 23 (Non-CHG)</v>
      </c>
      <c r="F1815" s="40">
        <f t="shared" si="265"/>
        <v>0</v>
      </c>
      <c r="G1815" s="156">
        <v>1</v>
      </c>
      <c r="H1815" s="120">
        <f>Tp_Non_CHG!L161</f>
        <v>0</v>
      </c>
      <c r="I1815" s="40" t="s">
        <v>58</v>
      </c>
      <c r="J1815" s="40">
        <f t="shared" si="262"/>
        <v>0</v>
      </c>
      <c r="K1815" s="40">
        <f t="shared" si="263"/>
        <v>0</v>
      </c>
      <c r="L1815" s="40" t="s">
        <v>58</v>
      </c>
      <c r="M1815" s="50" t="s">
        <v>266</v>
      </c>
      <c r="N1815" s="190"/>
      <c r="O1815" s="40">
        <f t="shared" ca="1" si="261"/>
        <v>0.29959502146697292</v>
      </c>
      <c r="P1815" s="51">
        <f t="shared" si="266"/>
        <v>0</v>
      </c>
      <c r="Q1815" s="51">
        <f t="shared" si="267"/>
        <v>0</v>
      </c>
      <c r="R1815" s="51">
        <f t="shared" si="264"/>
        <v>0</v>
      </c>
      <c r="S1815"/>
      <c r="T1815" s="83"/>
    </row>
    <row r="1816" spans="1:20" ht="16" x14ac:dyDescent="0.2">
      <c r="A1816"/>
      <c r="B1816" s="103"/>
      <c r="C1816" s="243"/>
      <c r="D1816" s="119">
        <v>1803</v>
      </c>
      <c r="E1816" s="25" t="str">
        <f>Tp_Non_CHG!I162</f>
        <v>Transition Probability from state 2 to state 5 on day 24 (Non-CHG)</v>
      </c>
      <c r="F1816" s="40">
        <f t="shared" si="265"/>
        <v>0</v>
      </c>
      <c r="G1816" s="156">
        <v>1</v>
      </c>
      <c r="H1816" s="120">
        <f>Tp_Non_CHG!L162</f>
        <v>0</v>
      </c>
      <c r="I1816" s="40" t="s">
        <v>58</v>
      </c>
      <c r="J1816" s="40">
        <f t="shared" si="262"/>
        <v>0</v>
      </c>
      <c r="K1816" s="40">
        <f t="shared" si="263"/>
        <v>0</v>
      </c>
      <c r="L1816" s="40" t="s">
        <v>58</v>
      </c>
      <c r="M1816" s="50" t="s">
        <v>266</v>
      </c>
      <c r="N1816" s="190"/>
      <c r="O1816" s="40">
        <f t="shared" ca="1" si="261"/>
        <v>0.42683087083176419</v>
      </c>
      <c r="P1816" s="51">
        <f t="shared" si="266"/>
        <v>0</v>
      </c>
      <c r="Q1816" s="51">
        <f t="shared" si="267"/>
        <v>0</v>
      </c>
      <c r="R1816" s="51">
        <f t="shared" si="264"/>
        <v>0</v>
      </c>
      <c r="S1816"/>
      <c r="T1816" s="83"/>
    </row>
    <row r="1817" spans="1:20" ht="16" x14ac:dyDescent="0.2">
      <c r="A1817"/>
      <c r="B1817" s="103"/>
      <c r="C1817" s="243"/>
      <c r="D1817" s="119">
        <v>1804</v>
      </c>
      <c r="E1817" s="25" t="str">
        <f>Tp_Non_CHG!I163</f>
        <v>Transition Probability from state 2 to state 5 on day 25 (Non-CHG)</v>
      </c>
      <c r="F1817" s="40">
        <f t="shared" si="265"/>
        <v>0</v>
      </c>
      <c r="G1817" s="156">
        <v>1</v>
      </c>
      <c r="H1817" s="120">
        <f>Tp_Non_CHG!L163</f>
        <v>0</v>
      </c>
      <c r="I1817" s="40" t="s">
        <v>58</v>
      </c>
      <c r="J1817" s="40">
        <f t="shared" si="262"/>
        <v>0</v>
      </c>
      <c r="K1817" s="40">
        <f t="shared" si="263"/>
        <v>0</v>
      </c>
      <c r="L1817" s="40" t="s">
        <v>58</v>
      </c>
      <c r="M1817" s="50" t="s">
        <v>266</v>
      </c>
      <c r="N1817" s="190"/>
      <c r="O1817" s="40">
        <f t="shared" ref="O1817:O1880" ca="1" si="268">RAND()</f>
        <v>0.64722672512390267</v>
      </c>
      <c r="P1817" s="51">
        <f t="shared" si="266"/>
        <v>0</v>
      </c>
      <c r="Q1817" s="51">
        <f t="shared" si="267"/>
        <v>0</v>
      </c>
      <c r="R1817" s="51">
        <f t="shared" si="264"/>
        <v>0</v>
      </c>
      <c r="S1817"/>
      <c r="T1817" s="83"/>
    </row>
    <row r="1818" spans="1:20" ht="16" x14ac:dyDescent="0.2">
      <c r="A1818"/>
      <c r="B1818" s="103"/>
      <c r="C1818" s="243"/>
      <c r="D1818" s="119">
        <v>1805</v>
      </c>
      <c r="E1818" s="25" t="str">
        <f>Tp_Non_CHG!I164</f>
        <v>Transition Probability from state 2 to state 5 on day 26 (Non-CHG)</v>
      </c>
      <c r="F1818" s="40">
        <f t="shared" si="265"/>
        <v>0</v>
      </c>
      <c r="G1818" s="156">
        <v>1</v>
      </c>
      <c r="H1818" s="120">
        <f>Tp_Non_CHG!L164</f>
        <v>0</v>
      </c>
      <c r="I1818" s="40" t="s">
        <v>58</v>
      </c>
      <c r="J1818" s="40">
        <f t="shared" si="262"/>
        <v>0</v>
      </c>
      <c r="K1818" s="40">
        <f t="shared" si="263"/>
        <v>0</v>
      </c>
      <c r="L1818" s="40" t="s">
        <v>58</v>
      </c>
      <c r="M1818" s="50" t="s">
        <v>266</v>
      </c>
      <c r="N1818" s="190"/>
      <c r="O1818" s="40">
        <f t="shared" ca="1" si="268"/>
        <v>0.29490726759663843</v>
      </c>
      <c r="P1818" s="51">
        <f t="shared" si="266"/>
        <v>0</v>
      </c>
      <c r="Q1818" s="51">
        <f t="shared" si="267"/>
        <v>0</v>
      </c>
      <c r="R1818" s="51">
        <f t="shared" si="264"/>
        <v>0</v>
      </c>
      <c r="S1818"/>
      <c r="T1818" s="83"/>
    </row>
    <row r="1819" spans="1:20" ht="16" x14ac:dyDescent="0.2">
      <c r="A1819"/>
      <c r="B1819" s="103"/>
      <c r="C1819" s="243"/>
      <c r="D1819" s="119">
        <v>1806</v>
      </c>
      <c r="E1819" s="25" t="str">
        <f>Tp_Non_CHG!I165</f>
        <v>Transition Probability from state 2 to state 5 on day 27 (Non-CHG)</v>
      </c>
      <c r="F1819" s="40">
        <f t="shared" si="265"/>
        <v>0</v>
      </c>
      <c r="G1819" s="156">
        <v>1</v>
      </c>
      <c r="H1819" s="120">
        <f>Tp_Non_CHG!L165</f>
        <v>0</v>
      </c>
      <c r="I1819" s="40" t="s">
        <v>58</v>
      </c>
      <c r="J1819" s="40">
        <f t="shared" si="262"/>
        <v>0</v>
      </c>
      <c r="K1819" s="40">
        <f t="shared" si="263"/>
        <v>0</v>
      </c>
      <c r="L1819" s="40" t="s">
        <v>58</v>
      </c>
      <c r="M1819" s="50" t="s">
        <v>266</v>
      </c>
      <c r="N1819" s="190"/>
      <c r="O1819" s="40">
        <f t="shared" ca="1" si="268"/>
        <v>8.3669687607744958E-2</v>
      </c>
      <c r="P1819" s="51">
        <f t="shared" si="266"/>
        <v>0</v>
      </c>
      <c r="Q1819" s="51">
        <f t="shared" si="267"/>
        <v>0</v>
      </c>
      <c r="R1819" s="51">
        <f t="shared" si="264"/>
        <v>0</v>
      </c>
      <c r="S1819"/>
      <c r="T1819" s="83"/>
    </row>
    <row r="1820" spans="1:20" ht="16" x14ac:dyDescent="0.2">
      <c r="A1820"/>
      <c r="B1820" s="103"/>
      <c r="C1820" s="243"/>
      <c r="D1820" s="119">
        <v>1807</v>
      </c>
      <c r="E1820" s="25" t="str">
        <f>Tp_Non_CHG!I166</f>
        <v>Transition Probability from state 2 to state 5 on day 28 (Non-CHG)</v>
      </c>
      <c r="F1820" s="40">
        <f t="shared" si="265"/>
        <v>0</v>
      </c>
      <c r="G1820" s="156">
        <v>1</v>
      </c>
      <c r="H1820" s="120">
        <f>Tp_Non_CHG!L166</f>
        <v>0</v>
      </c>
      <c r="I1820" s="40" t="s">
        <v>58</v>
      </c>
      <c r="J1820" s="40">
        <f t="shared" si="262"/>
        <v>0</v>
      </c>
      <c r="K1820" s="40">
        <f t="shared" si="263"/>
        <v>0</v>
      </c>
      <c r="L1820" s="40" t="s">
        <v>58</v>
      </c>
      <c r="M1820" s="50" t="s">
        <v>266</v>
      </c>
      <c r="N1820" s="190"/>
      <c r="O1820" s="40">
        <f t="shared" ca="1" si="268"/>
        <v>0.18361844459836096</v>
      </c>
      <c r="P1820" s="51">
        <f t="shared" si="266"/>
        <v>0</v>
      </c>
      <c r="Q1820" s="51">
        <f t="shared" si="267"/>
        <v>0</v>
      </c>
      <c r="R1820" s="51">
        <f t="shared" si="264"/>
        <v>0</v>
      </c>
      <c r="S1820"/>
      <c r="T1820" s="83"/>
    </row>
    <row r="1821" spans="1:20" ht="16" x14ac:dyDescent="0.2">
      <c r="A1821"/>
      <c r="B1821" s="103"/>
      <c r="C1821" s="243"/>
      <c r="D1821" s="119">
        <v>1808</v>
      </c>
      <c r="E1821" s="25" t="str">
        <f>Tp_Non_CHG!I167</f>
        <v>Transition Probability from state 2 to state 5 on day 29 (Non-CHG)</v>
      </c>
      <c r="F1821" s="40">
        <f t="shared" si="265"/>
        <v>0</v>
      </c>
      <c r="G1821" s="156">
        <v>1</v>
      </c>
      <c r="H1821" s="120">
        <f>Tp_Non_CHG!L167</f>
        <v>0</v>
      </c>
      <c r="I1821" s="40" t="s">
        <v>58</v>
      </c>
      <c r="J1821" s="40">
        <f t="shared" si="262"/>
        <v>0</v>
      </c>
      <c r="K1821" s="40">
        <f t="shared" si="263"/>
        <v>0</v>
      </c>
      <c r="L1821" s="40" t="s">
        <v>58</v>
      </c>
      <c r="M1821" s="50" t="s">
        <v>266</v>
      </c>
      <c r="N1821" s="190"/>
      <c r="O1821" s="40">
        <f t="shared" ca="1" si="268"/>
        <v>0.82892234358055938</v>
      </c>
      <c r="P1821" s="51">
        <f t="shared" si="266"/>
        <v>0</v>
      </c>
      <c r="Q1821" s="51">
        <f t="shared" si="267"/>
        <v>0</v>
      </c>
      <c r="R1821" s="51">
        <f t="shared" si="264"/>
        <v>0</v>
      </c>
      <c r="S1821"/>
      <c r="T1821" s="83"/>
    </row>
    <row r="1822" spans="1:20" ht="16" x14ac:dyDescent="0.2">
      <c r="A1822"/>
      <c r="B1822" s="103"/>
      <c r="C1822" s="243"/>
      <c r="D1822" s="119">
        <v>1809</v>
      </c>
      <c r="E1822" s="25" t="str">
        <f>Tp_Non_CHG!I168</f>
        <v>Transition Probability from state 2 to state 5 on day 30 (Non-CHG)</v>
      </c>
      <c r="F1822" s="40">
        <f t="shared" si="265"/>
        <v>0</v>
      </c>
      <c r="G1822" s="156">
        <v>1</v>
      </c>
      <c r="H1822" s="120">
        <f>Tp_Non_CHG!L168</f>
        <v>0</v>
      </c>
      <c r="I1822" s="40" t="s">
        <v>58</v>
      </c>
      <c r="J1822" s="40">
        <f t="shared" si="262"/>
        <v>0</v>
      </c>
      <c r="K1822" s="40">
        <f t="shared" si="263"/>
        <v>0</v>
      </c>
      <c r="L1822" s="40" t="s">
        <v>58</v>
      </c>
      <c r="M1822" s="50" t="s">
        <v>266</v>
      </c>
      <c r="N1822" s="190"/>
      <c r="O1822" s="40">
        <f t="shared" ca="1" si="268"/>
        <v>0.34413749511516567</v>
      </c>
      <c r="P1822" s="51">
        <f t="shared" si="266"/>
        <v>0</v>
      </c>
      <c r="Q1822" s="51">
        <f t="shared" si="267"/>
        <v>0</v>
      </c>
      <c r="R1822" s="51">
        <f t="shared" si="264"/>
        <v>0</v>
      </c>
      <c r="S1822"/>
      <c r="T1822" s="83"/>
    </row>
    <row r="1823" spans="1:20" ht="16" x14ac:dyDescent="0.2">
      <c r="A1823"/>
      <c r="B1823" s="103"/>
      <c r="C1823" s="243"/>
      <c r="D1823" s="119">
        <v>1810</v>
      </c>
      <c r="E1823" s="25" t="str">
        <f>Tp_Non_CHG!N139</f>
        <v>Transition Probability from state 3 to state 5 on day 1 (Non-CHG)</v>
      </c>
      <c r="F1823" s="40">
        <f t="shared" si="265"/>
        <v>0</v>
      </c>
      <c r="G1823" s="156">
        <v>1</v>
      </c>
      <c r="H1823" s="120">
        <f>Tp_Non_CHG!Q139</f>
        <v>0</v>
      </c>
      <c r="I1823" s="40" t="s">
        <v>58</v>
      </c>
      <c r="J1823" s="40">
        <f t="shared" si="262"/>
        <v>0</v>
      </c>
      <c r="K1823" s="40">
        <f t="shared" si="263"/>
        <v>0</v>
      </c>
      <c r="L1823" s="40" t="s">
        <v>58</v>
      </c>
      <c r="M1823" s="50" t="s">
        <v>266</v>
      </c>
      <c r="N1823" s="190"/>
      <c r="O1823" s="40">
        <f t="shared" ca="1" si="268"/>
        <v>0.98187457091818331</v>
      </c>
      <c r="P1823" s="51">
        <f t="shared" si="266"/>
        <v>0</v>
      </c>
      <c r="Q1823" s="51">
        <f t="shared" si="267"/>
        <v>0</v>
      </c>
      <c r="R1823" s="51">
        <f t="shared" si="264"/>
        <v>0</v>
      </c>
      <c r="S1823"/>
      <c r="T1823" s="83"/>
    </row>
    <row r="1824" spans="1:20" ht="16" x14ac:dyDescent="0.2">
      <c r="A1824"/>
      <c r="B1824" s="103"/>
      <c r="C1824" s="243"/>
      <c r="D1824" s="119">
        <v>1811</v>
      </c>
      <c r="E1824" s="25" t="str">
        <f>Tp_Non_CHG!N140</f>
        <v>Transition Probability from state 3 to state 5 on day 2 (Non-CHG)</v>
      </c>
      <c r="F1824" s="40">
        <f t="shared" si="265"/>
        <v>0</v>
      </c>
      <c r="G1824" s="156">
        <v>1</v>
      </c>
      <c r="H1824" s="120">
        <f>Tp_Non_CHG!Q140</f>
        <v>0</v>
      </c>
      <c r="I1824" s="40" t="s">
        <v>58</v>
      </c>
      <c r="J1824" s="40">
        <f t="shared" si="262"/>
        <v>0</v>
      </c>
      <c r="K1824" s="40">
        <f t="shared" si="263"/>
        <v>0</v>
      </c>
      <c r="L1824" s="40" t="s">
        <v>58</v>
      </c>
      <c r="M1824" s="50" t="s">
        <v>266</v>
      </c>
      <c r="N1824" s="190"/>
      <c r="O1824" s="40">
        <f t="shared" ca="1" si="268"/>
        <v>8.8284807460015546E-2</v>
      </c>
      <c r="P1824" s="51">
        <f t="shared" si="266"/>
        <v>0</v>
      </c>
      <c r="Q1824" s="51">
        <f t="shared" si="267"/>
        <v>0</v>
      </c>
      <c r="R1824" s="51">
        <f t="shared" si="264"/>
        <v>0</v>
      </c>
      <c r="S1824"/>
      <c r="T1824" s="83"/>
    </row>
    <row r="1825" spans="1:20" ht="16" x14ac:dyDescent="0.2">
      <c r="A1825"/>
      <c r="B1825" s="103"/>
      <c r="C1825" s="243"/>
      <c r="D1825" s="119">
        <v>1812</v>
      </c>
      <c r="E1825" s="25" t="str">
        <f>Tp_Non_CHG!N141</f>
        <v>Transition Probability from state 3 to state 5 on day 3 (Non-CHG)</v>
      </c>
      <c r="F1825" s="40">
        <f t="shared" si="265"/>
        <v>0</v>
      </c>
      <c r="G1825" s="156">
        <v>1</v>
      </c>
      <c r="H1825" s="120">
        <f>Tp_Non_CHG!Q141</f>
        <v>0</v>
      </c>
      <c r="I1825" s="40" t="s">
        <v>58</v>
      </c>
      <c r="J1825" s="40">
        <f t="shared" si="262"/>
        <v>0</v>
      </c>
      <c r="K1825" s="40">
        <f t="shared" si="263"/>
        <v>0</v>
      </c>
      <c r="L1825" s="40" t="s">
        <v>58</v>
      </c>
      <c r="M1825" s="50" t="s">
        <v>266</v>
      </c>
      <c r="N1825" s="190"/>
      <c r="O1825" s="40">
        <f t="shared" ca="1" si="268"/>
        <v>0.52770977656280371</v>
      </c>
      <c r="P1825" s="51">
        <f t="shared" si="266"/>
        <v>0</v>
      </c>
      <c r="Q1825" s="51">
        <f t="shared" si="267"/>
        <v>0</v>
      </c>
      <c r="R1825" s="51">
        <f t="shared" si="264"/>
        <v>0</v>
      </c>
      <c r="S1825"/>
      <c r="T1825" s="83"/>
    </row>
    <row r="1826" spans="1:20" ht="16" x14ac:dyDescent="0.2">
      <c r="A1826"/>
      <c r="B1826" s="103"/>
      <c r="C1826" s="243"/>
      <c r="D1826" s="119">
        <v>1813</v>
      </c>
      <c r="E1826" s="25" t="str">
        <f>Tp_Non_CHG!N142</f>
        <v>Transition Probability from state 3 to state 5 on day 4 (Non-CHG)</v>
      </c>
      <c r="F1826" s="40">
        <f t="shared" si="265"/>
        <v>0</v>
      </c>
      <c r="G1826" s="156">
        <v>1</v>
      </c>
      <c r="H1826" s="120">
        <f>Tp_Non_CHG!Q142</f>
        <v>0</v>
      </c>
      <c r="I1826" s="40" t="s">
        <v>58</v>
      </c>
      <c r="J1826" s="40">
        <f t="shared" si="262"/>
        <v>0</v>
      </c>
      <c r="K1826" s="40">
        <f t="shared" si="263"/>
        <v>0</v>
      </c>
      <c r="L1826" s="40" t="s">
        <v>58</v>
      </c>
      <c r="M1826" s="50" t="s">
        <v>266</v>
      </c>
      <c r="N1826" s="190"/>
      <c r="O1826" s="40">
        <f t="shared" ca="1" si="268"/>
        <v>0.31838305777296794</v>
      </c>
      <c r="P1826" s="51">
        <f t="shared" si="266"/>
        <v>0</v>
      </c>
      <c r="Q1826" s="51">
        <f t="shared" si="267"/>
        <v>0</v>
      </c>
      <c r="R1826" s="51">
        <f t="shared" si="264"/>
        <v>0</v>
      </c>
      <c r="S1826"/>
      <c r="T1826" s="83"/>
    </row>
    <row r="1827" spans="1:20" ht="16" x14ac:dyDescent="0.2">
      <c r="A1827"/>
      <c r="B1827" s="103"/>
      <c r="C1827" s="243"/>
      <c r="D1827" s="119">
        <v>1814</v>
      </c>
      <c r="E1827" s="25" t="str">
        <f>Tp_Non_CHG!N143</f>
        <v>Transition Probability from state 3 to state 5 on day 5 (Non-CHG)</v>
      </c>
      <c r="F1827" s="40">
        <f t="shared" si="265"/>
        <v>0</v>
      </c>
      <c r="G1827" s="156">
        <v>1</v>
      </c>
      <c r="H1827" s="120">
        <f>Tp_Non_CHG!Q143</f>
        <v>0</v>
      </c>
      <c r="I1827" s="40" t="s">
        <v>58</v>
      </c>
      <c r="J1827" s="40">
        <f t="shared" si="262"/>
        <v>0</v>
      </c>
      <c r="K1827" s="40">
        <f t="shared" si="263"/>
        <v>0</v>
      </c>
      <c r="L1827" s="40" t="s">
        <v>58</v>
      </c>
      <c r="M1827" s="50" t="s">
        <v>266</v>
      </c>
      <c r="N1827" s="190"/>
      <c r="O1827" s="40">
        <f t="shared" ca="1" si="268"/>
        <v>0.73518260326928242</v>
      </c>
      <c r="P1827" s="51">
        <f t="shared" si="266"/>
        <v>0</v>
      </c>
      <c r="Q1827" s="51">
        <f t="shared" si="267"/>
        <v>0</v>
      </c>
      <c r="R1827" s="51">
        <f t="shared" si="264"/>
        <v>0</v>
      </c>
      <c r="S1827"/>
      <c r="T1827" s="83"/>
    </row>
    <row r="1828" spans="1:20" ht="16" x14ac:dyDescent="0.2">
      <c r="A1828"/>
      <c r="B1828" s="103"/>
      <c r="C1828" s="243"/>
      <c r="D1828" s="119">
        <v>1815</v>
      </c>
      <c r="E1828" s="25" t="str">
        <f>Tp_Non_CHG!N144</f>
        <v>Transition Probability from state 3 to state 5 on day 6 (Non-CHG)</v>
      </c>
      <c r="F1828" s="40">
        <f t="shared" si="265"/>
        <v>0</v>
      </c>
      <c r="G1828" s="156">
        <v>1</v>
      </c>
      <c r="H1828" s="120">
        <f>Tp_Non_CHG!Q144</f>
        <v>0</v>
      </c>
      <c r="I1828" s="40" t="s">
        <v>58</v>
      </c>
      <c r="J1828" s="40">
        <f t="shared" si="262"/>
        <v>0</v>
      </c>
      <c r="K1828" s="40">
        <f t="shared" si="263"/>
        <v>0</v>
      </c>
      <c r="L1828" s="40" t="s">
        <v>58</v>
      </c>
      <c r="M1828" s="50" t="s">
        <v>266</v>
      </c>
      <c r="N1828" s="190"/>
      <c r="O1828" s="40">
        <f t="shared" ca="1" si="268"/>
        <v>0.13778767257508473</v>
      </c>
      <c r="P1828" s="51">
        <f t="shared" si="266"/>
        <v>0</v>
      </c>
      <c r="Q1828" s="51">
        <f t="shared" si="267"/>
        <v>0</v>
      </c>
      <c r="R1828" s="51">
        <f t="shared" si="264"/>
        <v>0</v>
      </c>
      <c r="S1828"/>
      <c r="T1828" s="83"/>
    </row>
    <row r="1829" spans="1:20" ht="16" x14ac:dyDescent="0.2">
      <c r="A1829"/>
      <c r="B1829" s="103"/>
      <c r="C1829" s="243"/>
      <c r="D1829" s="119">
        <v>1816</v>
      </c>
      <c r="E1829" s="25" t="str">
        <f>Tp_Non_CHG!N145</f>
        <v>Transition Probability from state 3 to state 5 on day 7 (Non-CHG)</v>
      </c>
      <c r="F1829" s="40">
        <f t="shared" si="265"/>
        <v>0</v>
      </c>
      <c r="G1829" s="156">
        <v>1</v>
      </c>
      <c r="H1829" s="120">
        <f>Tp_Non_CHG!Q145</f>
        <v>0</v>
      </c>
      <c r="I1829" s="40" t="s">
        <v>58</v>
      </c>
      <c r="J1829" s="40">
        <f t="shared" si="262"/>
        <v>0</v>
      </c>
      <c r="K1829" s="40">
        <f t="shared" si="263"/>
        <v>0</v>
      </c>
      <c r="L1829" s="40" t="s">
        <v>58</v>
      </c>
      <c r="M1829" s="50" t="s">
        <v>266</v>
      </c>
      <c r="N1829" s="190"/>
      <c r="O1829" s="40">
        <f t="shared" ca="1" si="268"/>
        <v>0.49561886051048631</v>
      </c>
      <c r="P1829" s="51">
        <f t="shared" si="266"/>
        <v>0</v>
      </c>
      <c r="Q1829" s="51">
        <f t="shared" si="267"/>
        <v>0</v>
      </c>
      <c r="R1829" s="51">
        <f t="shared" si="264"/>
        <v>0</v>
      </c>
      <c r="S1829"/>
      <c r="T1829" s="83"/>
    </row>
    <row r="1830" spans="1:20" ht="16" x14ac:dyDescent="0.2">
      <c r="A1830"/>
      <c r="B1830" s="103"/>
      <c r="C1830" s="243"/>
      <c r="D1830" s="119">
        <v>1817</v>
      </c>
      <c r="E1830" s="25" t="str">
        <f>Tp_Non_CHG!N146</f>
        <v>Transition Probability from state 3 to state 5 on day 8 (Non-CHG)</v>
      </c>
      <c r="F1830" s="40">
        <f t="shared" si="265"/>
        <v>0</v>
      </c>
      <c r="G1830" s="156">
        <v>1</v>
      </c>
      <c r="H1830" s="120">
        <f>Tp_Non_CHG!Q146</f>
        <v>0</v>
      </c>
      <c r="I1830" s="40" t="s">
        <v>58</v>
      </c>
      <c r="J1830" s="40">
        <f t="shared" si="262"/>
        <v>0</v>
      </c>
      <c r="K1830" s="40">
        <f t="shared" si="263"/>
        <v>0</v>
      </c>
      <c r="L1830" s="40" t="s">
        <v>58</v>
      </c>
      <c r="M1830" s="50" t="s">
        <v>266</v>
      </c>
      <c r="N1830" s="190"/>
      <c r="O1830" s="40">
        <f t="shared" ca="1" si="268"/>
        <v>0.19148412778378643</v>
      </c>
      <c r="P1830" s="51">
        <f t="shared" si="266"/>
        <v>0</v>
      </c>
      <c r="Q1830" s="51">
        <f t="shared" si="267"/>
        <v>0</v>
      </c>
      <c r="R1830" s="51">
        <f t="shared" si="264"/>
        <v>0</v>
      </c>
      <c r="S1830"/>
      <c r="T1830" s="83"/>
    </row>
    <row r="1831" spans="1:20" ht="16" x14ac:dyDescent="0.2">
      <c r="A1831"/>
      <c r="B1831" s="103"/>
      <c r="C1831" s="243"/>
      <c r="D1831" s="119">
        <v>1818</v>
      </c>
      <c r="E1831" s="25" t="str">
        <f>Tp_Non_CHG!N147</f>
        <v>Transition Probability from state 3 to state 5 on day 9 (Non-CHG)</v>
      </c>
      <c r="F1831" s="40">
        <f t="shared" si="265"/>
        <v>0</v>
      </c>
      <c r="G1831" s="156">
        <v>1</v>
      </c>
      <c r="H1831" s="120">
        <f>Tp_Non_CHG!Q147</f>
        <v>0</v>
      </c>
      <c r="I1831" s="40" t="s">
        <v>58</v>
      </c>
      <c r="J1831" s="40">
        <f t="shared" si="262"/>
        <v>0</v>
      </c>
      <c r="K1831" s="40">
        <f t="shared" si="263"/>
        <v>0</v>
      </c>
      <c r="L1831" s="40" t="s">
        <v>58</v>
      </c>
      <c r="M1831" s="50" t="s">
        <v>266</v>
      </c>
      <c r="N1831" s="190"/>
      <c r="O1831" s="40">
        <f t="shared" ca="1" si="268"/>
        <v>0.30562022109702991</v>
      </c>
      <c r="P1831" s="51">
        <f t="shared" si="266"/>
        <v>0</v>
      </c>
      <c r="Q1831" s="51">
        <f t="shared" si="267"/>
        <v>0</v>
      </c>
      <c r="R1831" s="51">
        <f t="shared" si="264"/>
        <v>0</v>
      </c>
      <c r="S1831"/>
      <c r="T1831" s="83"/>
    </row>
    <row r="1832" spans="1:20" ht="16" x14ac:dyDescent="0.2">
      <c r="A1832"/>
      <c r="B1832" s="103"/>
      <c r="C1832" s="243"/>
      <c r="D1832" s="119">
        <v>1819</v>
      </c>
      <c r="E1832" s="25" t="str">
        <f>Tp_Non_CHG!N148</f>
        <v>Transition Probability from state 3 to state 5 on day 10 (Non-CHG)</v>
      </c>
      <c r="F1832" s="40">
        <f t="shared" si="265"/>
        <v>0</v>
      </c>
      <c r="G1832" s="156">
        <v>1</v>
      </c>
      <c r="H1832" s="120">
        <f>Tp_Non_CHG!Q148</f>
        <v>0</v>
      </c>
      <c r="I1832" s="40" t="s">
        <v>58</v>
      </c>
      <c r="J1832" s="40">
        <f t="shared" si="262"/>
        <v>0</v>
      </c>
      <c r="K1832" s="40">
        <f t="shared" si="263"/>
        <v>0</v>
      </c>
      <c r="L1832" s="40" t="s">
        <v>58</v>
      </c>
      <c r="M1832" s="50" t="s">
        <v>266</v>
      </c>
      <c r="N1832" s="190"/>
      <c r="O1832" s="40">
        <f t="shared" ca="1" si="268"/>
        <v>0.66655946880345973</v>
      </c>
      <c r="P1832" s="51">
        <f t="shared" si="266"/>
        <v>0</v>
      </c>
      <c r="Q1832" s="51">
        <f t="shared" si="267"/>
        <v>0</v>
      </c>
      <c r="R1832" s="51">
        <f t="shared" si="264"/>
        <v>0</v>
      </c>
      <c r="S1832"/>
      <c r="T1832" s="83"/>
    </row>
    <row r="1833" spans="1:20" ht="16" x14ac:dyDescent="0.2">
      <c r="A1833"/>
      <c r="B1833" s="103"/>
      <c r="C1833" s="243"/>
      <c r="D1833" s="119">
        <v>1820</v>
      </c>
      <c r="E1833" s="25" t="str">
        <f>Tp_Non_CHG!N149</f>
        <v>Transition Probability from state 3 to state 5 on day 11 (Non-CHG)</v>
      </c>
      <c r="F1833" s="40">
        <f t="shared" si="265"/>
        <v>0</v>
      </c>
      <c r="G1833" s="156">
        <v>1</v>
      </c>
      <c r="H1833" s="120">
        <f>Tp_Non_CHG!Q149</f>
        <v>0</v>
      </c>
      <c r="I1833" s="40" t="s">
        <v>58</v>
      </c>
      <c r="J1833" s="40">
        <f t="shared" si="262"/>
        <v>0</v>
      </c>
      <c r="K1833" s="40">
        <f t="shared" si="263"/>
        <v>0</v>
      </c>
      <c r="L1833" s="40" t="s">
        <v>58</v>
      </c>
      <c r="M1833" s="50" t="s">
        <v>266</v>
      </c>
      <c r="N1833" s="190"/>
      <c r="O1833" s="40">
        <f t="shared" ca="1" si="268"/>
        <v>0.7431510107761774</v>
      </c>
      <c r="P1833" s="51">
        <f t="shared" si="266"/>
        <v>0</v>
      </c>
      <c r="Q1833" s="51">
        <f t="shared" si="267"/>
        <v>0</v>
      </c>
      <c r="R1833" s="51">
        <f t="shared" si="264"/>
        <v>0</v>
      </c>
      <c r="S1833"/>
      <c r="T1833" s="83"/>
    </row>
    <row r="1834" spans="1:20" ht="16" x14ac:dyDescent="0.2">
      <c r="A1834"/>
      <c r="B1834" s="103"/>
      <c r="C1834" s="243"/>
      <c r="D1834" s="119">
        <v>1821</v>
      </c>
      <c r="E1834" s="25" t="str">
        <f>Tp_Non_CHG!N150</f>
        <v>Transition Probability from state 3 to state 5 on day 12 (Non-CHG)</v>
      </c>
      <c r="F1834" s="40">
        <f t="shared" si="265"/>
        <v>0</v>
      </c>
      <c r="G1834" s="156">
        <v>1</v>
      </c>
      <c r="H1834" s="120">
        <f>Tp_Non_CHG!Q150</f>
        <v>0</v>
      </c>
      <c r="I1834" s="40" t="s">
        <v>58</v>
      </c>
      <c r="J1834" s="40">
        <f t="shared" si="262"/>
        <v>0</v>
      </c>
      <c r="K1834" s="40">
        <f t="shared" si="263"/>
        <v>0</v>
      </c>
      <c r="L1834" s="40" t="s">
        <v>58</v>
      </c>
      <c r="M1834" s="50" t="s">
        <v>266</v>
      </c>
      <c r="N1834" s="190"/>
      <c r="O1834" s="40">
        <f t="shared" ca="1" si="268"/>
        <v>0.21535224860212143</v>
      </c>
      <c r="P1834" s="51">
        <f t="shared" si="266"/>
        <v>0</v>
      </c>
      <c r="Q1834" s="51">
        <f t="shared" si="267"/>
        <v>0</v>
      </c>
      <c r="R1834" s="51">
        <f t="shared" si="264"/>
        <v>0</v>
      </c>
      <c r="S1834"/>
      <c r="T1834" s="83"/>
    </row>
    <row r="1835" spans="1:20" ht="16" x14ac:dyDescent="0.2">
      <c r="A1835"/>
      <c r="B1835" s="103"/>
      <c r="C1835" s="243"/>
      <c r="D1835" s="119">
        <v>1822</v>
      </c>
      <c r="E1835" s="25" t="str">
        <f>Tp_Non_CHG!N151</f>
        <v>Transition Probability from state 3 to state 5 on day 13 (Non-CHG)</v>
      </c>
      <c r="F1835" s="40">
        <f t="shared" si="265"/>
        <v>0</v>
      </c>
      <c r="G1835" s="156">
        <v>1</v>
      </c>
      <c r="H1835" s="120">
        <f>Tp_Non_CHG!Q151</f>
        <v>0</v>
      </c>
      <c r="I1835" s="40" t="s">
        <v>58</v>
      </c>
      <c r="J1835" s="40">
        <f t="shared" si="262"/>
        <v>0</v>
      </c>
      <c r="K1835" s="40">
        <f t="shared" si="263"/>
        <v>0</v>
      </c>
      <c r="L1835" s="40" t="s">
        <v>58</v>
      </c>
      <c r="M1835" s="50" t="s">
        <v>266</v>
      </c>
      <c r="N1835" s="190"/>
      <c r="O1835" s="40">
        <f t="shared" ca="1" si="268"/>
        <v>0.59146889718260764</v>
      </c>
      <c r="P1835" s="51">
        <f t="shared" si="266"/>
        <v>0</v>
      </c>
      <c r="Q1835" s="51">
        <f t="shared" si="267"/>
        <v>0</v>
      </c>
      <c r="R1835" s="51">
        <f t="shared" si="264"/>
        <v>0</v>
      </c>
      <c r="S1835"/>
      <c r="T1835" s="83"/>
    </row>
    <row r="1836" spans="1:20" ht="16" x14ac:dyDescent="0.2">
      <c r="A1836"/>
      <c r="B1836" s="103"/>
      <c r="C1836" s="243"/>
      <c r="D1836" s="119">
        <v>1823</v>
      </c>
      <c r="E1836" s="25" t="str">
        <f>Tp_Non_CHG!N152</f>
        <v>Transition Probability from state 3 to state 5 on day 14 (Non-CHG)</v>
      </c>
      <c r="F1836" s="40">
        <f t="shared" si="265"/>
        <v>0</v>
      </c>
      <c r="G1836" s="156">
        <v>1</v>
      </c>
      <c r="H1836" s="120">
        <f>Tp_Non_CHG!Q152</f>
        <v>0</v>
      </c>
      <c r="I1836" s="40" t="s">
        <v>58</v>
      </c>
      <c r="J1836" s="40">
        <f t="shared" si="262"/>
        <v>0</v>
      </c>
      <c r="K1836" s="40">
        <f t="shared" si="263"/>
        <v>0</v>
      </c>
      <c r="L1836" s="40" t="s">
        <v>58</v>
      </c>
      <c r="M1836" s="50" t="s">
        <v>266</v>
      </c>
      <c r="N1836" s="190"/>
      <c r="O1836" s="40">
        <f t="shared" ca="1" si="268"/>
        <v>5.6409101333847245E-2</v>
      </c>
      <c r="P1836" s="51">
        <f t="shared" si="266"/>
        <v>0</v>
      </c>
      <c r="Q1836" s="51">
        <f t="shared" si="267"/>
        <v>0</v>
      </c>
      <c r="R1836" s="51">
        <f t="shared" si="264"/>
        <v>0</v>
      </c>
      <c r="S1836"/>
      <c r="T1836" s="83"/>
    </row>
    <row r="1837" spans="1:20" ht="16" x14ac:dyDescent="0.2">
      <c r="A1837"/>
      <c r="B1837" s="103"/>
      <c r="C1837" s="243"/>
      <c r="D1837" s="119">
        <v>1824</v>
      </c>
      <c r="E1837" s="25" t="str">
        <f>Tp_Non_CHG!N153</f>
        <v>Transition Probability from state 3 to state 5 on day 15 (Non-CHG)</v>
      </c>
      <c r="F1837" s="40">
        <f t="shared" si="265"/>
        <v>0</v>
      </c>
      <c r="G1837" s="156">
        <v>1</v>
      </c>
      <c r="H1837" s="120">
        <f>Tp_Non_CHG!Q153</f>
        <v>0</v>
      </c>
      <c r="I1837" s="40" t="s">
        <v>58</v>
      </c>
      <c r="J1837" s="40">
        <f t="shared" si="262"/>
        <v>0</v>
      </c>
      <c r="K1837" s="40">
        <f t="shared" si="263"/>
        <v>0</v>
      </c>
      <c r="L1837" s="40" t="s">
        <v>58</v>
      </c>
      <c r="M1837" s="50" t="s">
        <v>266</v>
      </c>
      <c r="N1837" s="190"/>
      <c r="O1837" s="40">
        <f t="shared" ca="1" si="268"/>
        <v>0.24155338048235864</v>
      </c>
      <c r="P1837" s="51">
        <f t="shared" si="266"/>
        <v>0</v>
      </c>
      <c r="Q1837" s="51">
        <f t="shared" si="267"/>
        <v>0</v>
      </c>
      <c r="R1837" s="51">
        <f t="shared" si="264"/>
        <v>0</v>
      </c>
      <c r="S1837"/>
      <c r="T1837" s="83"/>
    </row>
    <row r="1838" spans="1:20" ht="16" x14ac:dyDescent="0.2">
      <c r="A1838"/>
      <c r="B1838" s="103"/>
      <c r="C1838" s="243"/>
      <c r="D1838" s="119">
        <v>1825</v>
      </c>
      <c r="E1838" s="25" t="str">
        <f>Tp_Non_CHG!N154</f>
        <v>Transition Probability from state 3 to state 5 on day 16 (Non-CHG)</v>
      </c>
      <c r="F1838" s="40">
        <f t="shared" si="265"/>
        <v>0</v>
      </c>
      <c r="G1838" s="156">
        <v>1</v>
      </c>
      <c r="H1838" s="120">
        <f>Tp_Non_CHG!Q154</f>
        <v>0</v>
      </c>
      <c r="I1838" s="40" t="s">
        <v>58</v>
      </c>
      <c r="J1838" s="40">
        <f t="shared" si="262"/>
        <v>0</v>
      </c>
      <c r="K1838" s="40">
        <f t="shared" si="263"/>
        <v>0</v>
      </c>
      <c r="L1838" s="40" t="s">
        <v>58</v>
      </c>
      <c r="M1838" s="50" t="s">
        <v>266</v>
      </c>
      <c r="N1838" s="190"/>
      <c r="O1838" s="40">
        <f t="shared" ca="1" si="268"/>
        <v>0.35425693328838581</v>
      </c>
      <c r="P1838" s="51">
        <f t="shared" si="266"/>
        <v>0</v>
      </c>
      <c r="Q1838" s="51">
        <f t="shared" si="267"/>
        <v>0</v>
      </c>
      <c r="R1838" s="51">
        <f t="shared" si="264"/>
        <v>0</v>
      </c>
      <c r="S1838"/>
      <c r="T1838" s="83"/>
    </row>
    <row r="1839" spans="1:20" ht="16" x14ac:dyDescent="0.2">
      <c r="A1839"/>
      <c r="B1839" s="103"/>
      <c r="C1839" s="243"/>
      <c r="D1839" s="119">
        <v>1826</v>
      </c>
      <c r="E1839" s="25" t="str">
        <f>Tp_Non_CHG!N155</f>
        <v>Transition Probability from state 3 to state 5 on day 17 (Non-CHG)</v>
      </c>
      <c r="F1839" s="40">
        <f t="shared" si="265"/>
        <v>0</v>
      </c>
      <c r="G1839" s="156">
        <v>1</v>
      </c>
      <c r="H1839" s="120">
        <f>Tp_Non_CHG!Q155</f>
        <v>0</v>
      </c>
      <c r="I1839" s="40" t="s">
        <v>58</v>
      </c>
      <c r="J1839" s="40">
        <f t="shared" si="262"/>
        <v>0</v>
      </c>
      <c r="K1839" s="40">
        <f t="shared" si="263"/>
        <v>0</v>
      </c>
      <c r="L1839" s="40" t="s">
        <v>58</v>
      </c>
      <c r="M1839" s="50" t="s">
        <v>266</v>
      </c>
      <c r="N1839" s="190"/>
      <c r="O1839" s="40">
        <f t="shared" ca="1" si="268"/>
        <v>0.11854423872428399</v>
      </c>
      <c r="P1839" s="51">
        <f t="shared" si="266"/>
        <v>0</v>
      </c>
      <c r="Q1839" s="51">
        <f t="shared" si="267"/>
        <v>0</v>
      </c>
      <c r="R1839" s="51">
        <f t="shared" si="264"/>
        <v>0</v>
      </c>
      <c r="S1839"/>
      <c r="T1839" s="83"/>
    </row>
    <row r="1840" spans="1:20" ht="16" x14ac:dyDescent="0.2">
      <c r="A1840"/>
      <c r="B1840" s="103"/>
      <c r="C1840" s="243"/>
      <c r="D1840" s="119">
        <v>1827</v>
      </c>
      <c r="E1840" s="25" t="str">
        <f>Tp_Non_CHG!N156</f>
        <v>Transition Probability from state 3 to state 5 on day 18 (Non-CHG)</v>
      </c>
      <c r="F1840" s="40">
        <f t="shared" si="265"/>
        <v>0</v>
      </c>
      <c r="G1840" s="156">
        <v>1</v>
      </c>
      <c r="H1840" s="120">
        <f>Tp_Non_CHG!Q156</f>
        <v>0</v>
      </c>
      <c r="I1840" s="40" t="s">
        <v>58</v>
      </c>
      <c r="J1840" s="40">
        <f t="shared" si="262"/>
        <v>0</v>
      </c>
      <c r="K1840" s="40">
        <f t="shared" si="263"/>
        <v>0</v>
      </c>
      <c r="L1840" s="40" t="s">
        <v>58</v>
      </c>
      <c r="M1840" s="50" t="s">
        <v>266</v>
      </c>
      <c r="N1840" s="190"/>
      <c r="O1840" s="40">
        <f t="shared" ca="1" si="268"/>
        <v>0.693386959757336</v>
      </c>
      <c r="P1840" s="51">
        <f t="shared" si="266"/>
        <v>0</v>
      </c>
      <c r="Q1840" s="51">
        <f t="shared" si="267"/>
        <v>0</v>
      </c>
      <c r="R1840" s="51">
        <f t="shared" si="264"/>
        <v>0</v>
      </c>
      <c r="S1840"/>
      <c r="T1840" s="83"/>
    </row>
    <row r="1841" spans="1:20" ht="16" x14ac:dyDescent="0.2">
      <c r="A1841"/>
      <c r="B1841" s="103"/>
      <c r="C1841" s="243"/>
      <c r="D1841" s="119">
        <v>1828</v>
      </c>
      <c r="E1841" s="25" t="str">
        <f>Tp_Non_CHG!N157</f>
        <v>Transition Probability from state 3 to state 5 on day 19 (Non-CHG)</v>
      </c>
      <c r="F1841" s="40">
        <f t="shared" si="265"/>
        <v>0</v>
      </c>
      <c r="G1841" s="156">
        <v>1</v>
      </c>
      <c r="H1841" s="120">
        <f>Tp_Non_CHG!Q157</f>
        <v>0</v>
      </c>
      <c r="I1841" s="40" t="s">
        <v>58</v>
      </c>
      <c r="J1841" s="40">
        <f t="shared" si="262"/>
        <v>0</v>
      </c>
      <c r="K1841" s="40">
        <f t="shared" si="263"/>
        <v>0</v>
      </c>
      <c r="L1841" s="40" t="s">
        <v>58</v>
      </c>
      <c r="M1841" s="50" t="s">
        <v>266</v>
      </c>
      <c r="N1841" s="190"/>
      <c r="O1841" s="40">
        <f t="shared" ca="1" si="268"/>
        <v>0.1572783027983532</v>
      </c>
      <c r="P1841" s="51">
        <f t="shared" si="266"/>
        <v>0</v>
      </c>
      <c r="Q1841" s="51">
        <f t="shared" si="267"/>
        <v>0</v>
      </c>
      <c r="R1841" s="51">
        <f t="shared" si="264"/>
        <v>0</v>
      </c>
      <c r="S1841"/>
      <c r="T1841" s="83"/>
    </row>
    <row r="1842" spans="1:20" ht="16" x14ac:dyDescent="0.2">
      <c r="A1842"/>
      <c r="B1842" s="103"/>
      <c r="C1842" s="243"/>
      <c r="D1842" s="119">
        <v>1829</v>
      </c>
      <c r="E1842" s="25" t="str">
        <f>Tp_Non_CHG!N158</f>
        <v>Transition Probability from state 3 to state 5 on day 20 (Non-CHG)</v>
      </c>
      <c r="F1842" s="40">
        <f t="shared" si="265"/>
        <v>0</v>
      </c>
      <c r="G1842" s="156">
        <v>1</v>
      </c>
      <c r="H1842" s="120">
        <f>Tp_Non_CHG!Q158</f>
        <v>0</v>
      </c>
      <c r="I1842" s="40" t="s">
        <v>58</v>
      </c>
      <c r="J1842" s="40">
        <f t="shared" si="262"/>
        <v>0</v>
      </c>
      <c r="K1842" s="40">
        <f t="shared" si="263"/>
        <v>0</v>
      </c>
      <c r="L1842" s="40" t="s">
        <v>58</v>
      </c>
      <c r="M1842" s="50" t="s">
        <v>266</v>
      </c>
      <c r="N1842" s="190"/>
      <c r="O1842" s="40">
        <f t="shared" ca="1" si="268"/>
        <v>0.1457565183612598</v>
      </c>
      <c r="P1842" s="51">
        <f t="shared" si="266"/>
        <v>0</v>
      </c>
      <c r="Q1842" s="51">
        <f t="shared" si="267"/>
        <v>0</v>
      </c>
      <c r="R1842" s="51">
        <f t="shared" si="264"/>
        <v>0</v>
      </c>
      <c r="S1842"/>
      <c r="T1842" s="83"/>
    </row>
    <row r="1843" spans="1:20" ht="16" x14ac:dyDescent="0.2">
      <c r="A1843"/>
      <c r="B1843" s="103"/>
      <c r="C1843" s="243"/>
      <c r="D1843" s="119">
        <v>1830</v>
      </c>
      <c r="E1843" s="25" t="str">
        <f>Tp_Non_CHG!N159</f>
        <v>Transition Probability from state 3 to state 5 on day 21 (Non-CHG)</v>
      </c>
      <c r="F1843" s="40">
        <f t="shared" si="265"/>
        <v>0</v>
      </c>
      <c r="G1843" s="156">
        <v>1</v>
      </c>
      <c r="H1843" s="120">
        <f>Tp_Non_CHG!Q159</f>
        <v>0</v>
      </c>
      <c r="I1843" s="40" t="s">
        <v>58</v>
      </c>
      <c r="J1843" s="40">
        <f t="shared" si="262"/>
        <v>0</v>
      </c>
      <c r="K1843" s="40">
        <f t="shared" si="263"/>
        <v>0</v>
      </c>
      <c r="L1843" s="40" t="s">
        <v>58</v>
      </c>
      <c r="M1843" s="50" t="s">
        <v>266</v>
      </c>
      <c r="N1843" s="190"/>
      <c r="O1843" s="40">
        <f t="shared" ca="1" si="268"/>
        <v>0.26828787128297571</v>
      </c>
      <c r="P1843" s="51">
        <f t="shared" si="266"/>
        <v>0</v>
      </c>
      <c r="Q1843" s="51">
        <f t="shared" si="267"/>
        <v>0</v>
      </c>
      <c r="R1843" s="51">
        <f t="shared" si="264"/>
        <v>0</v>
      </c>
      <c r="S1843"/>
      <c r="T1843" s="83"/>
    </row>
    <row r="1844" spans="1:20" ht="16" x14ac:dyDescent="0.2">
      <c r="A1844"/>
      <c r="B1844" s="103"/>
      <c r="C1844" s="243"/>
      <c r="D1844" s="119">
        <v>1831</v>
      </c>
      <c r="E1844" s="25" t="str">
        <f>Tp_Non_CHG!N160</f>
        <v>Transition Probability from state 3 to state 5 on day 22 (Non-CHG)</v>
      </c>
      <c r="F1844" s="40">
        <f t="shared" si="265"/>
        <v>0</v>
      </c>
      <c r="G1844" s="156">
        <v>1</v>
      </c>
      <c r="H1844" s="120">
        <f>Tp_Non_CHG!Q160</f>
        <v>0</v>
      </c>
      <c r="I1844" s="40" t="s">
        <v>58</v>
      </c>
      <c r="J1844" s="40">
        <f t="shared" si="262"/>
        <v>0</v>
      </c>
      <c r="K1844" s="40">
        <f t="shared" si="263"/>
        <v>0</v>
      </c>
      <c r="L1844" s="40" t="s">
        <v>58</v>
      </c>
      <c r="M1844" s="50" t="s">
        <v>266</v>
      </c>
      <c r="N1844" s="190"/>
      <c r="O1844" s="40">
        <f t="shared" ca="1" si="268"/>
        <v>0.66644006683496115</v>
      </c>
      <c r="P1844" s="51">
        <f t="shared" si="266"/>
        <v>0</v>
      </c>
      <c r="Q1844" s="51">
        <f t="shared" si="267"/>
        <v>0</v>
      </c>
      <c r="R1844" s="51">
        <f t="shared" si="264"/>
        <v>0</v>
      </c>
      <c r="S1844"/>
      <c r="T1844" s="83"/>
    </row>
    <row r="1845" spans="1:20" ht="16" x14ac:dyDescent="0.2">
      <c r="A1845"/>
      <c r="B1845" s="103"/>
      <c r="C1845" s="243"/>
      <c r="D1845" s="119">
        <v>1832</v>
      </c>
      <c r="E1845" s="25" t="str">
        <f>Tp_Non_CHG!N161</f>
        <v>Transition Probability from state 3 to state 5 on day 23 (Non-CHG)</v>
      </c>
      <c r="F1845" s="40">
        <f t="shared" si="265"/>
        <v>0</v>
      </c>
      <c r="G1845" s="156">
        <v>1</v>
      </c>
      <c r="H1845" s="120">
        <f>Tp_Non_CHG!Q161</f>
        <v>0</v>
      </c>
      <c r="I1845" s="40" t="s">
        <v>58</v>
      </c>
      <c r="J1845" s="40">
        <f t="shared" si="262"/>
        <v>0</v>
      </c>
      <c r="K1845" s="40">
        <f t="shared" si="263"/>
        <v>0</v>
      </c>
      <c r="L1845" s="40" t="s">
        <v>58</v>
      </c>
      <c r="M1845" s="50" t="s">
        <v>266</v>
      </c>
      <c r="N1845" s="190"/>
      <c r="O1845" s="40">
        <f t="shared" ca="1" si="268"/>
        <v>0.87824273572361455</v>
      </c>
      <c r="P1845" s="51">
        <f t="shared" si="266"/>
        <v>0</v>
      </c>
      <c r="Q1845" s="51">
        <f t="shared" si="267"/>
        <v>0</v>
      </c>
      <c r="R1845" s="51">
        <f t="shared" si="264"/>
        <v>0</v>
      </c>
      <c r="S1845"/>
      <c r="T1845" s="83"/>
    </row>
    <row r="1846" spans="1:20" ht="16" x14ac:dyDescent="0.2">
      <c r="A1846"/>
      <c r="B1846" s="103"/>
      <c r="C1846" s="243"/>
      <c r="D1846" s="119">
        <v>1833</v>
      </c>
      <c r="E1846" s="25" t="str">
        <f>Tp_Non_CHG!N162</f>
        <v>Transition Probability from state 3 to state 5 on day 24 (Non-CHG)</v>
      </c>
      <c r="F1846" s="40">
        <f t="shared" si="265"/>
        <v>0</v>
      </c>
      <c r="G1846" s="156">
        <v>1</v>
      </c>
      <c r="H1846" s="120">
        <f>Tp_Non_CHG!Q162</f>
        <v>0</v>
      </c>
      <c r="I1846" s="40" t="s">
        <v>58</v>
      </c>
      <c r="J1846" s="40">
        <f t="shared" si="262"/>
        <v>0</v>
      </c>
      <c r="K1846" s="40">
        <f t="shared" si="263"/>
        <v>0</v>
      </c>
      <c r="L1846" s="40" t="s">
        <v>58</v>
      </c>
      <c r="M1846" s="50" t="s">
        <v>266</v>
      </c>
      <c r="N1846" s="190"/>
      <c r="O1846" s="40">
        <f t="shared" ca="1" si="268"/>
        <v>0.56077248236650801</v>
      </c>
      <c r="P1846" s="51">
        <f t="shared" si="266"/>
        <v>0</v>
      </c>
      <c r="Q1846" s="51">
        <f t="shared" si="267"/>
        <v>0</v>
      </c>
      <c r="R1846" s="51">
        <f t="shared" si="264"/>
        <v>0</v>
      </c>
      <c r="S1846"/>
      <c r="T1846" s="83"/>
    </row>
    <row r="1847" spans="1:20" ht="16" x14ac:dyDescent="0.2">
      <c r="A1847"/>
      <c r="B1847" s="103"/>
      <c r="C1847" s="243"/>
      <c r="D1847" s="119">
        <v>1834</v>
      </c>
      <c r="E1847" s="25" t="str">
        <f>Tp_Non_CHG!N163</f>
        <v>Transition Probability from state 3 to state 5 on day 25 (Non-CHG)</v>
      </c>
      <c r="F1847" s="40">
        <f t="shared" si="265"/>
        <v>0</v>
      </c>
      <c r="G1847" s="156">
        <v>1</v>
      </c>
      <c r="H1847" s="120">
        <f>Tp_Non_CHG!Q163</f>
        <v>0</v>
      </c>
      <c r="I1847" s="40" t="s">
        <v>58</v>
      </c>
      <c r="J1847" s="40">
        <f t="shared" ref="J1847:J1909" si="269">IF(H1847=0,0,_xlfn.NORM.INV(0.025,H1847,R1847))</f>
        <v>0</v>
      </c>
      <c r="K1847" s="40">
        <f t="shared" ref="K1847:K1909" si="270">IF(H1847=0,0,_xlfn.NORM.INV(0.975,H1847,R1847))</f>
        <v>0</v>
      </c>
      <c r="L1847" s="40" t="s">
        <v>58</v>
      </c>
      <c r="M1847" s="50" t="s">
        <v>266</v>
      </c>
      <c r="N1847" s="190"/>
      <c r="O1847" s="40">
        <f t="shared" ca="1" si="268"/>
        <v>0.97891919080370016</v>
      </c>
      <c r="P1847" s="51">
        <f t="shared" si="266"/>
        <v>0</v>
      </c>
      <c r="Q1847" s="51">
        <f t="shared" si="267"/>
        <v>0</v>
      </c>
      <c r="R1847" s="51">
        <f t="shared" ref="R1847:R1909" si="271">assumedSE*H1847</f>
        <v>0</v>
      </c>
      <c r="S1847"/>
      <c r="T1847" s="83"/>
    </row>
    <row r="1848" spans="1:20" ht="16" x14ac:dyDescent="0.2">
      <c r="A1848"/>
      <c r="B1848" s="103"/>
      <c r="C1848" s="243"/>
      <c r="D1848" s="119">
        <v>1835</v>
      </c>
      <c r="E1848" s="25" t="str">
        <f>Tp_Non_CHG!N164</f>
        <v>Transition Probability from state 3 to state 5 on day 26 (Non-CHG)</v>
      </c>
      <c r="F1848" s="40">
        <f t="shared" si="265"/>
        <v>0</v>
      </c>
      <c r="G1848" s="156">
        <v>1</v>
      </c>
      <c r="H1848" s="120">
        <f>Tp_Non_CHG!Q164</f>
        <v>0</v>
      </c>
      <c r="I1848" s="40" t="s">
        <v>58</v>
      </c>
      <c r="J1848" s="40">
        <f t="shared" si="269"/>
        <v>0</v>
      </c>
      <c r="K1848" s="40">
        <f t="shared" si="270"/>
        <v>0</v>
      </c>
      <c r="L1848" s="40" t="s">
        <v>58</v>
      </c>
      <c r="M1848" s="50" t="s">
        <v>266</v>
      </c>
      <c r="N1848" s="190"/>
      <c r="O1848" s="40">
        <f t="shared" ca="1" si="268"/>
        <v>3.628840184374027E-2</v>
      </c>
      <c r="P1848" s="51">
        <f t="shared" si="266"/>
        <v>0</v>
      </c>
      <c r="Q1848" s="51">
        <f t="shared" si="267"/>
        <v>0</v>
      </c>
      <c r="R1848" s="51">
        <f t="shared" si="271"/>
        <v>0</v>
      </c>
      <c r="S1848"/>
      <c r="T1848" s="83"/>
    </row>
    <row r="1849" spans="1:20" ht="16" x14ac:dyDescent="0.2">
      <c r="A1849"/>
      <c r="B1849" s="103"/>
      <c r="C1849" s="243"/>
      <c r="D1849" s="119">
        <v>1836</v>
      </c>
      <c r="E1849" s="25" t="str">
        <f>Tp_Non_CHG!N165</f>
        <v>Transition Probability from state 3 to state 5 on day 27 (Non-CHG)</v>
      </c>
      <c r="F1849" s="40">
        <f t="shared" si="265"/>
        <v>0</v>
      </c>
      <c r="G1849" s="156">
        <v>1</v>
      </c>
      <c r="H1849" s="120">
        <f>Tp_Non_CHG!Q165</f>
        <v>0</v>
      </c>
      <c r="I1849" s="40" t="s">
        <v>58</v>
      </c>
      <c r="J1849" s="40">
        <f t="shared" si="269"/>
        <v>0</v>
      </c>
      <c r="K1849" s="40">
        <f t="shared" si="270"/>
        <v>0</v>
      </c>
      <c r="L1849" s="40" t="s">
        <v>58</v>
      </c>
      <c r="M1849" s="50" t="s">
        <v>266</v>
      </c>
      <c r="N1849" s="190"/>
      <c r="O1849" s="40">
        <f t="shared" ca="1" si="268"/>
        <v>0.64938791148931296</v>
      </c>
      <c r="P1849" s="51">
        <f t="shared" si="266"/>
        <v>0</v>
      </c>
      <c r="Q1849" s="51">
        <f t="shared" si="267"/>
        <v>0</v>
      </c>
      <c r="R1849" s="51">
        <f t="shared" si="271"/>
        <v>0</v>
      </c>
      <c r="S1849"/>
      <c r="T1849" s="83"/>
    </row>
    <row r="1850" spans="1:20" ht="16" x14ac:dyDescent="0.2">
      <c r="A1850"/>
      <c r="B1850" s="103"/>
      <c r="C1850" s="243"/>
      <c r="D1850" s="119">
        <v>1837</v>
      </c>
      <c r="E1850" s="25" t="str">
        <f>Tp_Non_CHG!N166</f>
        <v>Transition Probability from state 3 to state 5 on day 28 (Non-CHG)</v>
      </c>
      <c r="F1850" s="40">
        <f t="shared" si="265"/>
        <v>0</v>
      </c>
      <c r="G1850" s="156">
        <v>1</v>
      </c>
      <c r="H1850" s="120">
        <f>Tp_Non_CHG!Q166</f>
        <v>0</v>
      </c>
      <c r="I1850" s="40" t="s">
        <v>58</v>
      </c>
      <c r="J1850" s="40">
        <f t="shared" si="269"/>
        <v>0</v>
      </c>
      <c r="K1850" s="40">
        <f t="shared" si="270"/>
        <v>0</v>
      </c>
      <c r="L1850" s="40" t="s">
        <v>58</v>
      </c>
      <c r="M1850" s="50" t="s">
        <v>266</v>
      </c>
      <c r="N1850" s="190"/>
      <c r="O1850" s="40">
        <f t="shared" ca="1" si="268"/>
        <v>0.77520188468477591</v>
      </c>
      <c r="P1850" s="51">
        <f t="shared" si="266"/>
        <v>0</v>
      </c>
      <c r="Q1850" s="51">
        <f t="shared" si="267"/>
        <v>0</v>
      </c>
      <c r="R1850" s="51">
        <f t="shared" si="271"/>
        <v>0</v>
      </c>
      <c r="S1850"/>
      <c r="T1850" s="83"/>
    </row>
    <row r="1851" spans="1:20" ht="16" x14ac:dyDescent="0.2">
      <c r="A1851"/>
      <c r="B1851" s="103"/>
      <c r="C1851" s="243"/>
      <c r="D1851" s="119">
        <v>1838</v>
      </c>
      <c r="E1851" s="25" t="str">
        <f>Tp_Non_CHG!N167</f>
        <v>Transition Probability from state 3 to state 5 on day 29 (Non-CHG)</v>
      </c>
      <c r="F1851" s="40">
        <f t="shared" si="265"/>
        <v>0</v>
      </c>
      <c r="G1851" s="156">
        <v>1</v>
      </c>
      <c r="H1851" s="120">
        <f>Tp_Non_CHG!Q167</f>
        <v>0</v>
      </c>
      <c r="I1851" s="40" t="s">
        <v>58</v>
      </c>
      <c r="J1851" s="40">
        <f t="shared" si="269"/>
        <v>0</v>
      </c>
      <c r="K1851" s="40">
        <f t="shared" si="270"/>
        <v>0</v>
      </c>
      <c r="L1851" s="40" t="s">
        <v>58</v>
      </c>
      <c r="M1851" s="50" t="s">
        <v>266</v>
      </c>
      <c r="N1851" s="190"/>
      <c r="O1851" s="40">
        <f t="shared" ca="1" si="268"/>
        <v>0.69115842492236201</v>
      </c>
      <c r="P1851" s="51">
        <f t="shared" si="266"/>
        <v>0</v>
      </c>
      <c r="Q1851" s="51">
        <f t="shared" si="267"/>
        <v>0</v>
      </c>
      <c r="R1851" s="51">
        <f t="shared" si="271"/>
        <v>0</v>
      </c>
      <c r="S1851"/>
      <c r="T1851" s="83"/>
    </row>
    <row r="1852" spans="1:20" ht="16" x14ac:dyDescent="0.2">
      <c r="A1852"/>
      <c r="B1852" s="103"/>
      <c r="C1852" s="243"/>
      <c r="D1852" s="119">
        <v>1839</v>
      </c>
      <c r="E1852" s="25" t="str">
        <f>Tp_Non_CHG!N168</f>
        <v>Transition Probability from state 3 to state 5 on day 30 (Non-CHG)</v>
      </c>
      <c r="F1852" s="40">
        <f t="shared" si="265"/>
        <v>0</v>
      </c>
      <c r="G1852" s="156">
        <v>1</v>
      </c>
      <c r="H1852" s="120">
        <f>Tp_Non_CHG!Q168</f>
        <v>0</v>
      </c>
      <c r="I1852" s="40" t="s">
        <v>58</v>
      </c>
      <c r="J1852" s="40">
        <f t="shared" si="269"/>
        <v>0</v>
      </c>
      <c r="K1852" s="40">
        <f t="shared" si="270"/>
        <v>0</v>
      </c>
      <c r="L1852" s="40" t="s">
        <v>58</v>
      </c>
      <c r="M1852" s="50" t="s">
        <v>266</v>
      </c>
      <c r="N1852" s="190"/>
      <c r="O1852" s="40">
        <f t="shared" ca="1" si="268"/>
        <v>0.52587194832123252</v>
      </c>
      <c r="P1852" s="51">
        <f t="shared" si="266"/>
        <v>0</v>
      </c>
      <c r="Q1852" s="51">
        <f t="shared" si="267"/>
        <v>0</v>
      </c>
      <c r="R1852" s="51">
        <f t="shared" si="271"/>
        <v>0</v>
      </c>
      <c r="S1852"/>
      <c r="T1852" s="83"/>
    </row>
    <row r="1853" spans="1:20" ht="16" x14ac:dyDescent="0.2">
      <c r="A1853"/>
      <c r="B1853" s="103"/>
      <c r="C1853" s="243"/>
      <c r="D1853" s="119">
        <v>1840</v>
      </c>
      <c r="E1853" s="25" t="str">
        <f>Tp_Non_CHG!S139</f>
        <v>Transition Probability from state 4 to state 5 on day 1 (Non-CHG)</v>
      </c>
      <c r="F1853" s="40">
        <f t="shared" si="265"/>
        <v>0</v>
      </c>
      <c r="G1853" s="156">
        <v>1</v>
      </c>
      <c r="H1853" s="120">
        <f>Tp_Non_CHG!V139</f>
        <v>0</v>
      </c>
      <c r="I1853" s="40" t="s">
        <v>58</v>
      </c>
      <c r="J1853" s="40">
        <f t="shared" si="269"/>
        <v>0</v>
      </c>
      <c r="K1853" s="40">
        <f t="shared" si="270"/>
        <v>0</v>
      </c>
      <c r="L1853" s="40" t="s">
        <v>58</v>
      </c>
      <c r="M1853" s="50" t="s">
        <v>266</v>
      </c>
      <c r="N1853" s="190"/>
      <c r="O1853" s="40">
        <f t="shared" ca="1" si="268"/>
        <v>0.84697536341440616</v>
      </c>
      <c r="P1853" s="51">
        <f t="shared" si="266"/>
        <v>0</v>
      </c>
      <c r="Q1853" s="51">
        <f t="shared" si="267"/>
        <v>0</v>
      </c>
      <c r="R1853" s="51">
        <f t="shared" si="271"/>
        <v>0</v>
      </c>
      <c r="S1853"/>
      <c r="T1853" s="83"/>
    </row>
    <row r="1854" spans="1:20" ht="16" x14ac:dyDescent="0.2">
      <c r="A1854"/>
      <c r="B1854" s="103"/>
      <c r="C1854" s="243"/>
      <c r="D1854" s="119">
        <v>1841</v>
      </c>
      <c r="E1854" s="25" t="str">
        <f>Tp_Non_CHG!S140</f>
        <v>Transition Probability from state 4 to state 5 on day 2 (Non-CHG)</v>
      </c>
      <c r="F1854" s="40">
        <f t="shared" si="265"/>
        <v>0</v>
      </c>
      <c r="G1854" s="156">
        <v>1</v>
      </c>
      <c r="H1854" s="120">
        <f>Tp_Non_CHG!V140</f>
        <v>0</v>
      </c>
      <c r="I1854" s="40" t="s">
        <v>58</v>
      </c>
      <c r="J1854" s="40">
        <f t="shared" si="269"/>
        <v>0</v>
      </c>
      <c r="K1854" s="40">
        <f t="shared" si="270"/>
        <v>0</v>
      </c>
      <c r="L1854" s="40" t="s">
        <v>58</v>
      </c>
      <c r="M1854" s="50" t="s">
        <v>266</v>
      </c>
      <c r="N1854" s="190"/>
      <c r="O1854" s="40">
        <f t="shared" ca="1" si="268"/>
        <v>0.31388286496710582</v>
      </c>
      <c r="P1854" s="51">
        <f t="shared" si="266"/>
        <v>0</v>
      </c>
      <c r="Q1854" s="51">
        <f t="shared" si="267"/>
        <v>0</v>
      </c>
      <c r="R1854" s="51">
        <f t="shared" si="271"/>
        <v>0</v>
      </c>
      <c r="S1854"/>
      <c r="T1854" s="83"/>
    </row>
    <row r="1855" spans="1:20" ht="16" x14ac:dyDescent="0.2">
      <c r="A1855"/>
      <c r="B1855" s="103"/>
      <c r="C1855" s="243"/>
      <c r="D1855" s="119">
        <v>1842</v>
      </c>
      <c r="E1855" s="25" t="str">
        <f>Tp_Non_CHG!S141</f>
        <v>Transition Probability from state 4 to state 5 on day 3 (Non-CHG)</v>
      </c>
      <c r="F1855" s="40">
        <f t="shared" si="265"/>
        <v>0</v>
      </c>
      <c r="G1855" s="156">
        <v>1</v>
      </c>
      <c r="H1855" s="120">
        <f>Tp_Non_CHG!V141</f>
        <v>0</v>
      </c>
      <c r="I1855" s="40" t="s">
        <v>58</v>
      </c>
      <c r="J1855" s="40">
        <f t="shared" si="269"/>
        <v>0</v>
      </c>
      <c r="K1855" s="40">
        <f t="shared" si="270"/>
        <v>0</v>
      </c>
      <c r="L1855" s="40" t="s">
        <v>58</v>
      </c>
      <c r="M1855" s="50" t="s">
        <v>266</v>
      </c>
      <c r="N1855" s="190"/>
      <c r="O1855" s="40">
        <f t="shared" ca="1" si="268"/>
        <v>0.42083997760241199</v>
      </c>
      <c r="P1855" s="51">
        <f t="shared" si="266"/>
        <v>0</v>
      </c>
      <c r="Q1855" s="51">
        <f t="shared" si="267"/>
        <v>0</v>
      </c>
      <c r="R1855" s="51">
        <f t="shared" si="271"/>
        <v>0</v>
      </c>
      <c r="S1855"/>
      <c r="T1855" s="83"/>
    </row>
    <row r="1856" spans="1:20" ht="16" x14ac:dyDescent="0.2">
      <c r="A1856"/>
      <c r="B1856" s="103"/>
      <c r="C1856" s="243"/>
      <c r="D1856" s="119">
        <v>1843</v>
      </c>
      <c r="E1856" s="25" t="str">
        <f>Tp_Non_CHG!S142</f>
        <v>Transition Probability from state 4 to state 5 on day 4 (Non-CHG)</v>
      </c>
      <c r="F1856" s="40">
        <f t="shared" si="265"/>
        <v>0</v>
      </c>
      <c r="G1856" s="156">
        <v>1</v>
      </c>
      <c r="H1856" s="120">
        <f>Tp_Non_CHG!V142</f>
        <v>0</v>
      </c>
      <c r="I1856" s="40" t="s">
        <v>58</v>
      </c>
      <c r="J1856" s="40">
        <f t="shared" si="269"/>
        <v>0</v>
      </c>
      <c r="K1856" s="40">
        <f t="shared" si="270"/>
        <v>0</v>
      </c>
      <c r="L1856" s="40" t="s">
        <v>58</v>
      </c>
      <c r="M1856" s="50" t="s">
        <v>266</v>
      </c>
      <c r="N1856" s="190"/>
      <c r="O1856" s="40">
        <f t="shared" ca="1" si="268"/>
        <v>0.51823854385962664</v>
      </c>
      <c r="P1856" s="51">
        <f t="shared" si="266"/>
        <v>0</v>
      </c>
      <c r="Q1856" s="51">
        <f t="shared" si="267"/>
        <v>0</v>
      </c>
      <c r="R1856" s="51">
        <f t="shared" si="271"/>
        <v>0</v>
      </c>
      <c r="S1856"/>
      <c r="T1856" s="83"/>
    </row>
    <row r="1857" spans="1:20" ht="16" x14ac:dyDescent="0.2">
      <c r="A1857"/>
      <c r="B1857" s="103"/>
      <c r="C1857" s="243"/>
      <c r="D1857" s="119">
        <v>1844</v>
      </c>
      <c r="E1857" s="25" t="str">
        <f>Tp_Non_CHG!S143</f>
        <v>Transition Probability from state 4 to state 5 on day 5 (Non-CHG)</v>
      </c>
      <c r="F1857" s="40">
        <f t="shared" si="265"/>
        <v>0</v>
      </c>
      <c r="G1857" s="156">
        <v>1</v>
      </c>
      <c r="H1857" s="120">
        <f>Tp_Non_CHG!V143</f>
        <v>0</v>
      </c>
      <c r="I1857" s="40" t="s">
        <v>58</v>
      </c>
      <c r="J1857" s="40">
        <f t="shared" si="269"/>
        <v>0</v>
      </c>
      <c r="K1857" s="40">
        <f t="shared" si="270"/>
        <v>0</v>
      </c>
      <c r="L1857" s="40" t="s">
        <v>58</v>
      </c>
      <c r="M1857" s="50" t="s">
        <v>266</v>
      </c>
      <c r="N1857" s="190"/>
      <c r="O1857" s="40">
        <f t="shared" ca="1" si="268"/>
        <v>0.7167106483747826</v>
      </c>
      <c r="P1857" s="51">
        <f t="shared" si="266"/>
        <v>0</v>
      </c>
      <c r="Q1857" s="51">
        <f t="shared" si="267"/>
        <v>0</v>
      </c>
      <c r="R1857" s="51">
        <f t="shared" si="271"/>
        <v>0</v>
      </c>
      <c r="S1857"/>
      <c r="T1857" s="83"/>
    </row>
    <row r="1858" spans="1:20" ht="16" x14ac:dyDescent="0.2">
      <c r="A1858"/>
      <c r="B1858" s="103"/>
      <c r="C1858" s="243"/>
      <c r="D1858" s="119">
        <v>1845</v>
      </c>
      <c r="E1858" s="25" t="str">
        <f>Tp_Non_CHG!S144</f>
        <v>Transition Probability from state 4 to state 5 on day 6 (Non-CHG)</v>
      </c>
      <c r="F1858" s="40">
        <f t="shared" si="265"/>
        <v>0</v>
      </c>
      <c r="G1858" s="156">
        <v>1</v>
      </c>
      <c r="H1858" s="120">
        <f>Tp_Non_CHG!V144</f>
        <v>0</v>
      </c>
      <c r="I1858" s="40" t="s">
        <v>58</v>
      </c>
      <c r="J1858" s="40">
        <f t="shared" si="269"/>
        <v>0</v>
      </c>
      <c r="K1858" s="40">
        <f t="shared" si="270"/>
        <v>0</v>
      </c>
      <c r="L1858" s="40" t="s">
        <v>58</v>
      </c>
      <c r="M1858" s="50" t="s">
        <v>266</v>
      </c>
      <c r="N1858" s="190"/>
      <c r="O1858" s="40">
        <f t="shared" ca="1" si="268"/>
        <v>0.4287602110432589</v>
      </c>
      <c r="P1858" s="51">
        <f t="shared" si="266"/>
        <v>0</v>
      </c>
      <c r="Q1858" s="51">
        <f t="shared" si="267"/>
        <v>0</v>
      </c>
      <c r="R1858" s="51">
        <f t="shared" si="271"/>
        <v>0</v>
      </c>
      <c r="S1858"/>
      <c r="T1858" s="83"/>
    </row>
    <row r="1859" spans="1:20" ht="16" x14ac:dyDescent="0.2">
      <c r="A1859"/>
      <c r="B1859" s="103"/>
      <c r="C1859" s="243"/>
      <c r="D1859" s="119">
        <v>1846</v>
      </c>
      <c r="E1859" s="25" t="str">
        <f>Tp_Non_CHG!S145</f>
        <v>Transition Probability from state 4 to state 5 on day 7 (Non-CHG)</v>
      </c>
      <c r="F1859" s="40">
        <f t="shared" si="265"/>
        <v>0</v>
      </c>
      <c r="G1859" s="156">
        <v>1</v>
      </c>
      <c r="H1859" s="120">
        <f>Tp_Non_CHG!V145</f>
        <v>0</v>
      </c>
      <c r="I1859" s="40" t="s">
        <v>58</v>
      </c>
      <c r="J1859" s="40">
        <f t="shared" si="269"/>
        <v>0</v>
      </c>
      <c r="K1859" s="40">
        <f t="shared" si="270"/>
        <v>0</v>
      </c>
      <c r="L1859" s="40" t="s">
        <v>58</v>
      </c>
      <c r="M1859" s="50" t="s">
        <v>266</v>
      </c>
      <c r="N1859" s="190"/>
      <c r="O1859" s="40">
        <f t="shared" ca="1" si="268"/>
        <v>0.97038621531724634</v>
      </c>
      <c r="P1859" s="51">
        <f t="shared" si="266"/>
        <v>0</v>
      </c>
      <c r="Q1859" s="51">
        <f t="shared" si="267"/>
        <v>0</v>
      </c>
      <c r="R1859" s="51">
        <f t="shared" si="271"/>
        <v>0</v>
      </c>
      <c r="S1859"/>
      <c r="T1859" s="83"/>
    </row>
    <row r="1860" spans="1:20" ht="16" x14ac:dyDescent="0.2">
      <c r="A1860"/>
      <c r="B1860" s="103"/>
      <c r="C1860" s="243"/>
      <c r="D1860" s="119">
        <v>1847</v>
      </c>
      <c r="E1860" s="25" t="str">
        <f>Tp_Non_CHG!S146</f>
        <v>Transition Probability from state 4 to state 5 on day 8 (Non-CHG)</v>
      </c>
      <c r="F1860" s="40">
        <f t="shared" si="265"/>
        <v>0</v>
      </c>
      <c r="G1860" s="156">
        <v>1</v>
      </c>
      <c r="H1860" s="120">
        <f>Tp_Non_CHG!V146</f>
        <v>0</v>
      </c>
      <c r="I1860" s="40" t="s">
        <v>58</v>
      </c>
      <c r="J1860" s="40">
        <f t="shared" si="269"/>
        <v>0</v>
      </c>
      <c r="K1860" s="40">
        <f t="shared" si="270"/>
        <v>0</v>
      </c>
      <c r="L1860" s="40" t="s">
        <v>58</v>
      </c>
      <c r="M1860" s="50" t="s">
        <v>266</v>
      </c>
      <c r="N1860" s="190"/>
      <c r="O1860" s="40">
        <f t="shared" ca="1" si="268"/>
        <v>0.86799263563909546</v>
      </c>
      <c r="P1860" s="51">
        <f t="shared" si="266"/>
        <v>0</v>
      </c>
      <c r="Q1860" s="51">
        <f t="shared" si="267"/>
        <v>0</v>
      </c>
      <c r="R1860" s="51">
        <f t="shared" si="271"/>
        <v>0</v>
      </c>
      <c r="S1860"/>
      <c r="T1860" s="83"/>
    </row>
    <row r="1861" spans="1:20" ht="16" x14ac:dyDescent="0.2">
      <c r="A1861"/>
      <c r="B1861" s="103"/>
      <c r="C1861" s="243"/>
      <c r="D1861" s="119">
        <v>1848</v>
      </c>
      <c r="E1861" s="25" t="str">
        <f>Tp_Non_CHG!S147</f>
        <v>Transition Probability from state 4 to state 5 on day 9 (Non-CHG)</v>
      </c>
      <c r="F1861" s="40">
        <f t="shared" si="265"/>
        <v>0</v>
      </c>
      <c r="G1861" s="156">
        <v>1</v>
      </c>
      <c r="H1861" s="120">
        <f>Tp_Non_CHG!V147</f>
        <v>0</v>
      </c>
      <c r="I1861" s="40" t="s">
        <v>58</v>
      </c>
      <c r="J1861" s="40">
        <f t="shared" si="269"/>
        <v>0</v>
      </c>
      <c r="K1861" s="40">
        <f t="shared" si="270"/>
        <v>0</v>
      </c>
      <c r="L1861" s="40" t="s">
        <v>58</v>
      </c>
      <c r="M1861" s="50" t="s">
        <v>266</v>
      </c>
      <c r="N1861" s="190"/>
      <c r="O1861" s="40">
        <f t="shared" ca="1" si="268"/>
        <v>0.18938772591000186</v>
      </c>
      <c r="P1861" s="51">
        <f t="shared" si="266"/>
        <v>0</v>
      </c>
      <c r="Q1861" s="51">
        <f t="shared" si="267"/>
        <v>0</v>
      </c>
      <c r="R1861" s="51">
        <f t="shared" si="271"/>
        <v>0</v>
      </c>
      <c r="S1861"/>
      <c r="T1861" s="83"/>
    </row>
    <row r="1862" spans="1:20" ht="16" x14ac:dyDescent="0.2">
      <c r="A1862"/>
      <c r="B1862" s="103"/>
      <c r="C1862" s="243"/>
      <c r="D1862" s="119">
        <v>1849</v>
      </c>
      <c r="E1862" s="25" t="str">
        <f>Tp_Non_CHG!S148</f>
        <v>Transition Probability from state 4 to state 5 on day 10 (Non-CHG)</v>
      </c>
      <c r="F1862" s="40">
        <f t="shared" si="265"/>
        <v>0</v>
      </c>
      <c r="G1862" s="156">
        <v>1</v>
      </c>
      <c r="H1862" s="120">
        <f>Tp_Non_CHG!V148</f>
        <v>0</v>
      </c>
      <c r="I1862" s="40" t="s">
        <v>58</v>
      </c>
      <c r="J1862" s="40">
        <f t="shared" si="269"/>
        <v>0</v>
      </c>
      <c r="K1862" s="40">
        <f t="shared" si="270"/>
        <v>0</v>
      </c>
      <c r="L1862" s="40" t="s">
        <v>58</v>
      </c>
      <c r="M1862" s="50" t="s">
        <v>266</v>
      </c>
      <c r="N1862" s="190"/>
      <c r="O1862" s="40">
        <f t="shared" ca="1" si="268"/>
        <v>0.31352383462849476</v>
      </c>
      <c r="P1862" s="51">
        <f t="shared" si="266"/>
        <v>0</v>
      </c>
      <c r="Q1862" s="51">
        <f t="shared" si="267"/>
        <v>0</v>
      </c>
      <c r="R1862" s="51">
        <f t="shared" si="271"/>
        <v>0</v>
      </c>
      <c r="S1862"/>
      <c r="T1862" s="83"/>
    </row>
    <row r="1863" spans="1:20" ht="16" x14ac:dyDescent="0.2">
      <c r="A1863"/>
      <c r="B1863" s="103"/>
      <c r="C1863" s="243"/>
      <c r="D1863" s="119">
        <v>1850</v>
      </c>
      <c r="E1863" s="25" t="str">
        <f>Tp_Non_CHG!S149</f>
        <v>Transition Probability from state 4 to state 5 on day 11 (Non-CHG)</v>
      </c>
      <c r="F1863" s="40">
        <f t="shared" si="265"/>
        <v>0</v>
      </c>
      <c r="G1863" s="156">
        <v>1</v>
      </c>
      <c r="H1863" s="120">
        <f>Tp_Non_CHG!V149</f>
        <v>0</v>
      </c>
      <c r="I1863" s="40" t="s">
        <v>58</v>
      </c>
      <c r="J1863" s="40">
        <f t="shared" si="269"/>
        <v>0</v>
      </c>
      <c r="K1863" s="40">
        <f t="shared" si="270"/>
        <v>0</v>
      </c>
      <c r="L1863" s="40" t="s">
        <v>58</v>
      </c>
      <c r="M1863" s="50" t="s">
        <v>266</v>
      </c>
      <c r="N1863" s="190"/>
      <c r="O1863" s="40">
        <f t="shared" ca="1" si="268"/>
        <v>0.73211460389007788</v>
      </c>
      <c r="P1863" s="51">
        <f t="shared" si="266"/>
        <v>0</v>
      </c>
      <c r="Q1863" s="51">
        <f t="shared" si="267"/>
        <v>0</v>
      </c>
      <c r="R1863" s="51">
        <f t="shared" si="271"/>
        <v>0</v>
      </c>
      <c r="S1863"/>
      <c r="T1863" s="83"/>
    </row>
    <row r="1864" spans="1:20" ht="16" x14ac:dyDescent="0.2">
      <c r="A1864"/>
      <c r="B1864" s="103"/>
      <c r="C1864" s="243"/>
      <c r="D1864" s="119">
        <v>1851</v>
      </c>
      <c r="E1864" s="25" t="str">
        <f>Tp_Non_CHG!S150</f>
        <v>Transition Probability from state 4 to state 5 on day 12 (Non-CHG)</v>
      </c>
      <c r="F1864" s="40">
        <f t="shared" si="265"/>
        <v>0</v>
      </c>
      <c r="G1864" s="156">
        <v>1</v>
      </c>
      <c r="H1864" s="120">
        <f>Tp_Non_CHG!V150</f>
        <v>0</v>
      </c>
      <c r="I1864" s="40" t="s">
        <v>58</v>
      </c>
      <c r="J1864" s="40">
        <f t="shared" si="269"/>
        <v>0</v>
      </c>
      <c r="K1864" s="40">
        <f t="shared" si="270"/>
        <v>0</v>
      </c>
      <c r="L1864" s="40" t="s">
        <v>58</v>
      </c>
      <c r="M1864" s="50" t="s">
        <v>266</v>
      </c>
      <c r="N1864" s="190"/>
      <c r="O1864" s="40">
        <f t="shared" ca="1" si="268"/>
        <v>0.16711458448875738</v>
      </c>
      <c r="P1864" s="51">
        <f t="shared" si="266"/>
        <v>0</v>
      </c>
      <c r="Q1864" s="51">
        <f t="shared" si="267"/>
        <v>0</v>
      </c>
      <c r="R1864" s="51">
        <f t="shared" si="271"/>
        <v>0</v>
      </c>
      <c r="S1864"/>
      <c r="T1864" s="83"/>
    </row>
    <row r="1865" spans="1:20" ht="16" x14ac:dyDescent="0.2">
      <c r="A1865"/>
      <c r="B1865" s="103"/>
      <c r="C1865" s="243"/>
      <c r="D1865" s="119">
        <v>1852</v>
      </c>
      <c r="E1865" s="25" t="str">
        <f>Tp_Non_CHG!S151</f>
        <v>Transition Probability from state 4 to state 5 on day 13 (Non-CHG)</v>
      </c>
      <c r="F1865" s="40">
        <f t="shared" si="265"/>
        <v>0</v>
      </c>
      <c r="G1865" s="156">
        <v>1</v>
      </c>
      <c r="H1865" s="120">
        <f>Tp_Non_CHG!V151</f>
        <v>0</v>
      </c>
      <c r="I1865" s="40" t="s">
        <v>58</v>
      </c>
      <c r="J1865" s="40">
        <f t="shared" si="269"/>
        <v>0</v>
      </c>
      <c r="K1865" s="40">
        <f t="shared" si="270"/>
        <v>0</v>
      </c>
      <c r="L1865" s="40" t="s">
        <v>58</v>
      </c>
      <c r="M1865" s="50" t="s">
        <v>266</v>
      </c>
      <c r="N1865" s="190"/>
      <c r="O1865" s="40">
        <f t="shared" ca="1" si="268"/>
        <v>0.2110860785584564</v>
      </c>
      <c r="P1865" s="51">
        <f t="shared" si="266"/>
        <v>0</v>
      </c>
      <c r="Q1865" s="51">
        <f t="shared" si="267"/>
        <v>0</v>
      </c>
      <c r="R1865" s="51">
        <f t="shared" si="271"/>
        <v>0</v>
      </c>
      <c r="S1865"/>
      <c r="T1865" s="83"/>
    </row>
    <row r="1866" spans="1:20" ht="16" x14ac:dyDescent="0.2">
      <c r="A1866"/>
      <c r="B1866" s="103"/>
      <c r="C1866" s="243"/>
      <c r="D1866" s="119">
        <v>1853</v>
      </c>
      <c r="E1866" s="25" t="str">
        <f>Tp_Non_CHG!S152</f>
        <v>Transition Probability from state 4 to state 5 on day 14 (Non-CHG)</v>
      </c>
      <c r="F1866" s="40">
        <f t="shared" si="265"/>
        <v>0</v>
      </c>
      <c r="G1866" s="156">
        <v>1</v>
      </c>
      <c r="H1866" s="120">
        <f>Tp_Non_CHG!V152</f>
        <v>0</v>
      </c>
      <c r="I1866" s="40" t="s">
        <v>58</v>
      </c>
      <c r="J1866" s="40">
        <f t="shared" si="269"/>
        <v>0</v>
      </c>
      <c r="K1866" s="40">
        <f t="shared" si="270"/>
        <v>0</v>
      </c>
      <c r="L1866" s="40" t="s">
        <v>58</v>
      </c>
      <c r="M1866" s="50" t="s">
        <v>266</v>
      </c>
      <c r="N1866" s="190"/>
      <c r="O1866" s="40">
        <f t="shared" ca="1" si="268"/>
        <v>0.6401820748772189</v>
      </c>
      <c r="P1866" s="51">
        <f t="shared" si="266"/>
        <v>0</v>
      </c>
      <c r="Q1866" s="51">
        <f t="shared" si="267"/>
        <v>0</v>
      </c>
      <c r="R1866" s="51">
        <f t="shared" si="271"/>
        <v>0</v>
      </c>
      <c r="S1866"/>
      <c r="T1866" s="83"/>
    </row>
    <row r="1867" spans="1:20" ht="16" x14ac:dyDescent="0.2">
      <c r="A1867"/>
      <c r="B1867" s="103"/>
      <c r="C1867" s="243"/>
      <c r="D1867" s="119">
        <v>1854</v>
      </c>
      <c r="E1867" s="25" t="str">
        <f>Tp_Non_CHG!S153</f>
        <v>Transition Probability from state 4 to state 5 on day 15 (Non-CHG)</v>
      </c>
      <c r="F1867" s="40">
        <f t="shared" si="265"/>
        <v>0</v>
      </c>
      <c r="G1867" s="156">
        <v>1</v>
      </c>
      <c r="H1867" s="120">
        <f>Tp_Non_CHG!V153</f>
        <v>0</v>
      </c>
      <c r="I1867" s="40" t="s">
        <v>58</v>
      </c>
      <c r="J1867" s="40">
        <f t="shared" si="269"/>
        <v>0</v>
      </c>
      <c r="K1867" s="40">
        <f t="shared" si="270"/>
        <v>0</v>
      </c>
      <c r="L1867" s="40" t="s">
        <v>58</v>
      </c>
      <c r="M1867" s="50" t="s">
        <v>266</v>
      </c>
      <c r="N1867" s="190"/>
      <c r="O1867" s="40">
        <f t="shared" ca="1" si="268"/>
        <v>0.65049991832983078</v>
      </c>
      <c r="P1867" s="51">
        <f t="shared" si="266"/>
        <v>0</v>
      </c>
      <c r="Q1867" s="51">
        <f t="shared" si="267"/>
        <v>0</v>
      </c>
      <c r="R1867" s="51">
        <f t="shared" si="271"/>
        <v>0</v>
      </c>
      <c r="S1867"/>
      <c r="T1867" s="83"/>
    </row>
    <row r="1868" spans="1:20" ht="16" x14ac:dyDescent="0.2">
      <c r="A1868"/>
      <c r="B1868" s="103"/>
      <c r="C1868" s="243"/>
      <c r="D1868" s="119">
        <v>1855</v>
      </c>
      <c r="E1868" s="25" t="str">
        <f>Tp_Non_CHG!S154</f>
        <v>Transition Probability from state 4 to state 5 on day 16 (Non-CHG)</v>
      </c>
      <c r="F1868" s="40">
        <f t="shared" si="265"/>
        <v>0</v>
      </c>
      <c r="G1868" s="156">
        <v>1</v>
      </c>
      <c r="H1868" s="120">
        <f>Tp_Non_CHG!V154</f>
        <v>0</v>
      </c>
      <c r="I1868" s="40" t="s">
        <v>58</v>
      </c>
      <c r="J1868" s="40">
        <f t="shared" si="269"/>
        <v>0</v>
      </c>
      <c r="K1868" s="40">
        <f t="shared" si="270"/>
        <v>0</v>
      </c>
      <c r="L1868" s="40" t="s">
        <v>58</v>
      </c>
      <c r="M1868" s="50" t="s">
        <v>266</v>
      </c>
      <c r="N1868" s="190"/>
      <c r="O1868" s="40">
        <f t="shared" ca="1" si="268"/>
        <v>0.26677659027925904</v>
      </c>
      <c r="P1868" s="51">
        <f t="shared" si="266"/>
        <v>0</v>
      </c>
      <c r="Q1868" s="51">
        <f t="shared" si="267"/>
        <v>0</v>
      </c>
      <c r="R1868" s="51">
        <f t="shared" si="271"/>
        <v>0</v>
      </c>
      <c r="S1868"/>
      <c r="T1868" s="83"/>
    </row>
    <row r="1869" spans="1:20" ht="16" x14ac:dyDescent="0.2">
      <c r="A1869"/>
      <c r="B1869" s="103"/>
      <c r="C1869" s="243"/>
      <c r="D1869" s="119">
        <v>1856</v>
      </c>
      <c r="E1869" s="25" t="str">
        <f>Tp_Non_CHG!S155</f>
        <v>Transition Probability from state 4 to state 5 on day 17 (Non-CHG)</v>
      </c>
      <c r="F1869" s="40">
        <f t="shared" si="265"/>
        <v>0</v>
      </c>
      <c r="G1869" s="156">
        <v>1</v>
      </c>
      <c r="H1869" s="120">
        <f>Tp_Non_CHG!V155</f>
        <v>0</v>
      </c>
      <c r="I1869" s="40" t="s">
        <v>58</v>
      </c>
      <c r="J1869" s="40">
        <f t="shared" si="269"/>
        <v>0</v>
      </c>
      <c r="K1869" s="40">
        <f t="shared" si="270"/>
        <v>0</v>
      </c>
      <c r="L1869" s="40" t="s">
        <v>58</v>
      </c>
      <c r="M1869" s="50" t="s">
        <v>266</v>
      </c>
      <c r="N1869" s="190"/>
      <c r="O1869" s="40">
        <f t="shared" ca="1" si="268"/>
        <v>0.34312133715489279</v>
      </c>
      <c r="P1869" s="51">
        <f t="shared" si="266"/>
        <v>0</v>
      </c>
      <c r="Q1869" s="51">
        <f t="shared" si="267"/>
        <v>0</v>
      </c>
      <c r="R1869" s="51">
        <f t="shared" si="271"/>
        <v>0</v>
      </c>
      <c r="S1869"/>
      <c r="T1869" s="83"/>
    </row>
    <row r="1870" spans="1:20" ht="16" x14ac:dyDescent="0.2">
      <c r="A1870"/>
      <c r="B1870" s="103"/>
      <c r="C1870" s="243"/>
      <c r="D1870" s="119">
        <v>1857</v>
      </c>
      <c r="E1870" s="25" t="str">
        <f>Tp_Non_CHG!S156</f>
        <v>Transition Probability from state 4 to state 5 on day 18 (Non-CHG)</v>
      </c>
      <c r="F1870" s="40">
        <f t="shared" si="265"/>
        <v>0</v>
      </c>
      <c r="G1870" s="156">
        <v>1</v>
      </c>
      <c r="H1870" s="120">
        <f>Tp_Non_CHG!V156</f>
        <v>0</v>
      </c>
      <c r="I1870" s="40" t="s">
        <v>58</v>
      </c>
      <c r="J1870" s="40">
        <f t="shared" si="269"/>
        <v>0</v>
      </c>
      <c r="K1870" s="40">
        <f t="shared" si="270"/>
        <v>0</v>
      </c>
      <c r="L1870" s="40" t="s">
        <v>58</v>
      </c>
      <c r="M1870" s="50" t="s">
        <v>266</v>
      </c>
      <c r="N1870" s="190"/>
      <c r="O1870" s="40">
        <f t="shared" ca="1" si="268"/>
        <v>0.86261394725639962</v>
      </c>
      <c r="P1870" s="51">
        <f t="shared" si="266"/>
        <v>0</v>
      </c>
      <c r="Q1870" s="51">
        <f t="shared" si="267"/>
        <v>0</v>
      </c>
      <c r="R1870" s="51">
        <f t="shared" si="271"/>
        <v>0</v>
      </c>
      <c r="S1870"/>
      <c r="T1870" s="83"/>
    </row>
    <row r="1871" spans="1:20" ht="16" x14ac:dyDescent="0.2">
      <c r="A1871"/>
      <c r="B1871" s="103"/>
      <c r="C1871" s="243"/>
      <c r="D1871" s="119">
        <v>1858</v>
      </c>
      <c r="E1871" s="25" t="str">
        <f>Tp_Non_CHG!S157</f>
        <v>Transition Probability from state 4 to state 5 on day 19 (Non-CHG)</v>
      </c>
      <c r="F1871" s="40">
        <f t="shared" ref="F1871:F1934" si="272">IFERROR(CHOOSE(G1871,H1871,J1871,K1871,N1871),0)</f>
        <v>0</v>
      </c>
      <c r="G1871" s="156">
        <v>1</v>
      </c>
      <c r="H1871" s="120">
        <f>Tp_Non_CHG!V157</f>
        <v>0</v>
      </c>
      <c r="I1871" s="40" t="s">
        <v>58</v>
      </c>
      <c r="J1871" s="40">
        <f t="shared" si="269"/>
        <v>0</v>
      </c>
      <c r="K1871" s="40">
        <f t="shared" si="270"/>
        <v>0</v>
      </c>
      <c r="L1871" s="40" t="s">
        <v>58</v>
      </c>
      <c r="M1871" s="50" t="s">
        <v>266</v>
      </c>
      <c r="N1871" s="190"/>
      <c r="O1871" s="40">
        <f t="shared" ca="1" si="268"/>
        <v>0.94307792214591568</v>
      </c>
      <c r="P1871" s="51">
        <f t="shared" si="266"/>
        <v>0</v>
      </c>
      <c r="Q1871" s="51">
        <f t="shared" si="267"/>
        <v>0</v>
      </c>
      <c r="R1871" s="51">
        <f t="shared" si="271"/>
        <v>0</v>
      </c>
      <c r="S1871"/>
      <c r="T1871" s="83"/>
    </row>
    <row r="1872" spans="1:20" ht="16" x14ac:dyDescent="0.2">
      <c r="A1872"/>
      <c r="B1872" s="103"/>
      <c r="C1872" s="243"/>
      <c r="D1872" s="119">
        <v>1859</v>
      </c>
      <c r="E1872" s="25" t="str">
        <f>Tp_Non_CHG!S158</f>
        <v>Transition Probability from state 4 to state 5 on day 20 (Non-CHG)</v>
      </c>
      <c r="F1872" s="40">
        <f t="shared" si="272"/>
        <v>0</v>
      </c>
      <c r="G1872" s="156">
        <v>1</v>
      </c>
      <c r="H1872" s="120">
        <f>Tp_Non_CHG!V158</f>
        <v>0</v>
      </c>
      <c r="I1872" s="40" t="s">
        <v>58</v>
      </c>
      <c r="J1872" s="40">
        <f t="shared" si="269"/>
        <v>0</v>
      </c>
      <c r="K1872" s="40">
        <f t="shared" si="270"/>
        <v>0</v>
      </c>
      <c r="L1872" s="40" t="s">
        <v>58</v>
      </c>
      <c r="M1872" s="50" t="s">
        <v>266</v>
      </c>
      <c r="N1872" s="190"/>
      <c r="O1872" s="40">
        <f t="shared" ca="1" si="268"/>
        <v>0.53524293405385415</v>
      </c>
      <c r="P1872" s="51">
        <f t="shared" si="266"/>
        <v>0</v>
      </c>
      <c r="Q1872" s="51">
        <f t="shared" si="267"/>
        <v>0</v>
      </c>
      <c r="R1872" s="51">
        <f t="shared" si="271"/>
        <v>0</v>
      </c>
      <c r="S1872"/>
      <c r="T1872" s="83"/>
    </row>
    <row r="1873" spans="1:20" ht="16" x14ac:dyDescent="0.2">
      <c r="A1873"/>
      <c r="B1873" s="103"/>
      <c r="C1873" s="243"/>
      <c r="D1873" s="119">
        <v>1860</v>
      </c>
      <c r="E1873" s="25" t="str">
        <f>Tp_Non_CHG!S159</f>
        <v>Transition Probability from state 4 to state 5 on day 21 (Non-CHG)</v>
      </c>
      <c r="F1873" s="40">
        <f t="shared" si="272"/>
        <v>0</v>
      </c>
      <c r="G1873" s="156">
        <v>1</v>
      </c>
      <c r="H1873" s="120">
        <f>Tp_Non_CHG!V159</f>
        <v>0</v>
      </c>
      <c r="I1873" s="40" t="s">
        <v>58</v>
      </c>
      <c r="J1873" s="40">
        <f t="shared" si="269"/>
        <v>0</v>
      </c>
      <c r="K1873" s="40">
        <f t="shared" si="270"/>
        <v>0</v>
      </c>
      <c r="L1873" s="40" t="s">
        <v>58</v>
      </c>
      <c r="M1873" s="50" t="s">
        <v>266</v>
      </c>
      <c r="N1873" s="190"/>
      <c r="O1873" s="40">
        <f t="shared" ca="1" si="268"/>
        <v>0.94294350281808992</v>
      </c>
      <c r="P1873" s="51">
        <f t="shared" ref="P1873:P1936" si="273">IFERROR(H1873*((H1873*(1-H1873)/(R1873^2))-1),0)</f>
        <v>0</v>
      </c>
      <c r="Q1873" s="51">
        <f t="shared" ref="Q1873:Q1936" si="274">IFERROR((1-H1873)*((H1873*(1-H1873))/(R1873^2)-1),0)</f>
        <v>0</v>
      </c>
      <c r="R1873" s="51">
        <f t="shared" si="271"/>
        <v>0</v>
      </c>
      <c r="S1873"/>
      <c r="T1873" s="83"/>
    </row>
    <row r="1874" spans="1:20" ht="16" x14ac:dyDescent="0.2">
      <c r="A1874"/>
      <c r="B1874" s="103"/>
      <c r="C1874" s="243"/>
      <c r="D1874" s="119">
        <v>1861</v>
      </c>
      <c r="E1874" s="25" t="str">
        <f>Tp_Non_CHG!S160</f>
        <v>Transition Probability from state 4 to state 5 on day 22 (Non-CHG)</v>
      </c>
      <c r="F1874" s="40">
        <f t="shared" si="272"/>
        <v>0</v>
      </c>
      <c r="G1874" s="156">
        <v>1</v>
      </c>
      <c r="H1874" s="120">
        <f>Tp_Non_CHG!V160</f>
        <v>0</v>
      </c>
      <c r="I1874" s="40" t="s">
        <v>58</v>
      </c>
      <c r="J1874" s="40">
        <f t="shared" si="269"/>
        <v>0</v>
      </c>
      <c r="K1874" s="40">
        <f t="shared" si="270"/>
        <v>0</v>
      </c>
      <c r="L1874" s="40" t="s">
        <v>58</v>
      </c>
      <c r="M1874" s="50" t="s">
        <v>266</v>
      </c>
      <c r="N1874" s="190"/>
      <c r="O1874" s="40">
        <f t="shared" ca="1" si="268"/>
        <v>0.84826592471037576</v>
      </c>
      <c r="P1874" s="51">
        <f t="shared" si="273"/>
        <v>0</v>
      </c>
      <c r="Q1874" s="51">
        <f t="shared" si="274"/>
        <v>0</v>
      </c>
      <c r="R1874" s="51">
        <f t="shared" si="271"/>
        <v>0</v>
      </c>
      <c r="S1874"/>
      <c r="T1874" s="83"/>
    </row>
    <row r="1875" spans="1:20" ht="16" x14ac:dyDescent="0.2">
      <c r="A1875"/>
      <c r="B1875" s="103"/>
      <c r="C1875" s="243"/>
      <c r="D1875" s="119">
        <v>1862</v>
      </c>
      <c r="E1875" s="25" t="str">
        <f>Tp_Non_CHG!S161</f>
        <v>Transition Probability from state 4 to state 5 on day 23 (Non-CHG)</v>
      </c>
      <c r="F1875" s="40">
        <f t="shared" si="272"/>
        <v>0</v>
      </c>
      <c r="G1875" s="156">
        <v>1</v>
      </c>
      <c r="H1875" s="120">
        <f>Tp_Non_CHG!V161</f>
        <v>0</v>
      </c>
      <c r="I1875" s="40" t="s">
        <v>58</v>
      </c>
      <c r="J1875" s="40">
        <f t="shared" si="269"/>
        <v>0</v>
      </c>
      <c r="K1875" s="40">
        <f t="shared" si="270"/>
        <v>0</v>
      </c>
      <c r="L1875" s="40" t="s">
        <v>58</v>
      </c>
      <c r="M1875" s="50" t="s">
        <v>266</v>
      </c>
      <c r="N1875" s="190"/>
      <c r="O1875" s="40">
        <f t="shared" ca="1" si="268"/>
        <v>0.70120633620685091</v>
      </c>
      <c r="P1875" s="51">
        <f t="shared" si="273"/>
        <v>0</v>
      </c>
      <c r="Q1875" s="51">
        <f t="shared" si="274"/>
        <v>0</v>
      </c>
      <c r="R1875" s="51">
        <f t="shared" si="271"/>
        <v>0</v>
      </c>
      <c r="S1875"/>
      <c r="T1875" s="83"/>
    </row>
    <row r="1876" spans="1:20" ht="16" x14ac:dyDescent="0.2">
      <c r="A1876"/>
      <c r="B1876" s="103"/>
      <c r="C1876" s="243"/>
      <c r="D1876" s="119">
        <v>1863</v>
      </c>
      <c r="E1876" s="25" t="str">
        <f>Tp_Non_CHG!S162</f>
        <v>Transition Probability from state 4 to state 5 on day 24 (Non-CHG)</v>
      </c>
      <c r="F1876" s="40">
        <f t="shared" si="272"/>
        <v>0</v>
      </c>
      <c r="G1876" s="156">
        <v>1</v>
      </c>
      <c r="H1876" s="120">
        <f>Tp_Non_CHG!V162</f>
        <v>0</v>
      </c>
      <c r="I1876" s="40" t="s">
        <v>58</v>
      </c>
      <c r="J1876" s="40">
        <f t="shared" si="269"/>
        <v>0</v>
      </c>
      <c r="K1876" s="40">
        <f t="shared" si="270"/>
        <v>0</v>
      </c>
      <c r="L1876" s="40" t="s">
        <v>58</v>
      </c>
      <c r="M1876" s="50" t="s">
        <v>266</v>
      </c>
      <c r="N1876" s="190"/>
      <c r="O1876" s="40">
        <f t="shared" ca="1" si="268"/>
        <v>0.23315843560521943</v>
      </c>
      <c r="P1876" s="51">
        <f t="shared" si="273"/>
        <v>0</v>
      </c>
      <c r="Q1876" s="51">
        <f t="shared" si="274"/>
        <v>0</v>
      </c>
      <c r="R1876" s="51">
        <f t="shared" si="271"/>
        <v>0</v>
      </c>
      <c r="S1876"/>
      <c r="T1876" s="83"/>
    </row>
    <row r="1877" spans="1:20" ht="16" x14ac:dyDescent="0.2">
      <c r="A1877"/>
      <c r="B1877" s="103"/>
      <c r="C1877" s="243"/>
      <c r="D1877" s="119">
        <v>1864</v>
      </c>
      <c r="E1877" s="25" t="str">
        <f>Tp_Non_CHG!S163</f>
        <v>Transition Probability from state 4 to state 5 on day 25 (Non-CHG)</v>
      </c>
      <c r="F1877" s="40">
        <f t="shared" si="272"/>
        <v>0</v>
      </c>
      <c r="G1877" s="156">
        <v>1</v>
      </c>
      <c r="H1877" s="120">
        <f>Tp_Non_CHG!V163</f>
        <v>0</v>
      </c>
      <c r="I1877" s="40" t="s">
        <v>58</v>
      </c>
      <c r="J1877" s="40">
        <f t="shared" si="269"/>
        <v>0</v>
      </c>
      <c r="K1877" s="40">
        <f t="shared" si="270"/>
        <v>0</v>
      </c>
      <c r="L1877" s="40" t="s">
        <v>58</v>
      </c>
      <c r="M1877" s="50" t="s">
        <v>266</v>
      </c>
      <c r="N1877" s="190"/>
      <c r="O1877" s="40">
        <f t="shared" ca="1" si="268"/>
        <v>0.58468092683377115</v>
      </c>
      <c r="P1877" s="51">
        <f t="shared" si="273"/>
        <v>0</v>
      </c>
      <c r="Q1877" s="51">
        <f t="shared" si="274"/>
        <v>0</v>
      </c>
      <c r="R1877" s="51">
        <f t="shared" si="271"/>
        <v>0</v>
      </c>
      <c r="S1877"/>
      <c r="T1877" s="83"/>
    </row>
    <row r="1878" spans="1:20" ht="16" x14ac:dyDescent="0.2">
      <c r="A1878"/>
      <c r="B1878" s="103"/>
      <c r="C1878" s="243"/>
      <c r="D1878" s="119">
        <v>1865</v>
      </c>
      <c r="E1878" s="25" t="str">
        <f>Tp_Non_CHG!S164</f>
        <v>Transition Probability from state 4 to state 5 on day 26 (Non-CHG)</v>
      </c>
      <c r="F1878" s="40">
        <f t="shared" si="272"/>
        <v>0</v>
      </c>
      <c r="G1878" s="156">
        <v>1</v>
      </c>
      <c r="H1878" s="120">
        <f>Tp_Non_CHG!V164</f>
        <v>0</v>
      </c>
      <c r="I1878" s="40" t="s">
        <v>58</v>
      </c>
      <c r="J1878" s="40">
        <f t="shared" si="269"/>
        <v>0</v>
      </c>
      <c r="K1878" s="40">
        <f t="shared" si="270"/>
        <v>0</v>
      </c>
      <c r="L1878" s="40" t="s">
        <v>58</v>
      </c>
      <c r="M1878" s="50" t="s">
        <v>266</v>
      </c>
      <c r="N1878" s="190"/>
      <c r="O1878" s="40">
        <f t="shared" ca="1" si="268"/>
        <v>0.11518957799650109</v>
      </c>
      <c r="P1878" s="51">
        <f t="shared" si="273"/>
        <v>0</v>
      </c>
      <c r="Q1878" s="51">
        <f t="shared" si="274"/>
        <v>0</v>
      </c>
      <c r="R1878" s="51">
        <f t="shared" si="271"/>
        <v>0</v>
      </c>
      <c r="S1878"/>
      <c r="T1878" s="83"/>
    </row>
    <row r="1879" spans="1:20" ht="16" x14ac:dyDescent="0.2">
      <c r="A1879"/>
      <c r="B1879" s="103"/>
      <c r="C1879" s="243"/>
      <c r="D1879" s="119">
        <v>1866</v>
      </c>
      <c r="E1879" s="25" t="str">
        <f>Tp_Non_CHG!S165</f>
        <v>Transition Probability from state 4 to state 5 on day 27 (Non-CHG)</v>
      </c>
      <c r="F1879" s="40">
        <f t="shared" si="272"/>
        <v>0</v>
      </c>
      <c r="G1879" s="156">
        <v>1</v>
      </c>
      <c r="H1879" s="120">
        <f>Tp_Non_CHG!V165</f>
        <v>0</v>
      </c>
      <c r="I1879" s="40" t="s">
        <v>58</v>
      </c>
      <c r="J1879" s="40">
        <f t="shared" si="269"/>
        <v>0</v>
      </c>
      <c r="K1879" s="40">
        <f t="shared" si="270"/>
        <v>0</v>
      </c>
      <c r="L1879" s="40" t="s">
        <v>58</v>
      </c>
      <c r="M1879" s="50" t="s">
        <v>266</v>
      </c>
      <c r="N1879" s="190"/>
      <c r="O1879" s="40">
        <f t="shared" ca="1" si="268"/>
        <v>0.10319784298041002</v>
      </c>
      <c r="P1879" s="51">
        <f t="shared" si="273"/>
        <v>0</v>
      </c>
      <c r="Q1879" s="51">
        <f t="shared" si="274"/>
        <v>0</v>
      </c>
      <c r="R1879" s="51">
        <f t="shared" si="271"/>
        <v>0</v>
      </c>
      <c r="S1879"/>
      <c r="T1879" s="83"/>
    </row>
    <row r="1880" spans="1:20" ht="16" x14ac:dyDescent="0.2">
      <c r="A1880"/>
      <c r="B1880" s="103"/>
      <c r="C1880" s="243"/>
      <c r="D1880" s="119">
        <v>1867</v>
      </c>
      <c r="E1880" s="25" t="str">
        <f>Tp_Non_CHG!S166</f>
        <v>Transition Probability from state 4 to state 5 on day 28 (Non-CHG)</v>
      </c>
      <c r="F1880" s="40">
        <f t="shared" si="272"/>
        <v>0</v>
      </c>
      <c r="G1880" s="156">
        <v>1</v>
      </c>
      <c r="H1880" s="120">
        <f>Tp_Non_CHG!V166</f>
        <v>0</v>
      </c>
      <c r="I1880" s="40" t="s">
        <v>58</v>
      </c>
      <c r="J1880" s="40">
        <f t="shared" si="269"/>
        <v>0</v>
      </c>
      <c r="K1880" s="40">
        <f t="shared" si="270"/>
        <v>0</v>
      </c>
      <c r="L1880" s="40" t="s">
        <v>58</v>
      </c>
      <c r="M1880" s="50" t="s">
        <v>266</v>
      </c>
      <c r="N1880" s="190"/>
      <c r="O1880" s="40">
        <f t="shared" ca="1" si="268"/>
        <v>0.87390508969051306</v>
      </c>
      <c r="P1880" s="51">
        <f t="shared" si="273"/>
        <v>0</v>
      </c>
      <c r="Q1880" s="51">
        <f t="shared" si="274"/>
        <v>0</v>
      </c>
      <c r="R1880" s="51">
        <f t="shared" si="271"/>
        <v>0</v>
      </c>
      <c r="S1880"/>
      <c r="T1880" s="83"/>
    </row>
    <row r="1881" spans="1:20" ht="16" x14ac:dyDescent="0.2">
      <c r="A1881"/>
      <c r="B1881" s="103"/>
      <c r="C1881" s="243"/>
      <c r="D1881" s="119">
        <v>1868</v>
      </c>
      <c r="E1881" s="25" t="str">
        <f>Tp_Non_CHG!S167</f>
        <v>Transition Probability from state 4 to state 5 on day 29 (Non-CHG)</v>
      </c>
      <c r="F1881" s="40">
        <f t="shared" si="272"/>
        <v>0</v>
      </c>
      <c r="G1881" s="156">
        <v>1</v>
      </c>
      <c r="H1881" s="120">
        <f>Tp_Non_CHG!V167</f>
        <v>0</v>
      </c>
      <c r="I1881" s="40" t="s">
        <v>58</v>
      </c>
      <c r="J1881" s="40">
        <f t="shared" si="269"/>
        <v>0</v>
      </c>
      <c r="K1881" s="40">
        <f t="shared" si="270"/>
        <v>0</v>
      </c>
      <c r="L1881" s="40" t="s">
        <v>58</v>
      </c>
      <c r="M1881" s="50" t="s">
        <v>266</v>
      </c>
      <c r="N1881" s="190"/>
      <c r="O1881" s="40">
        <f t="shared" ref="O1881:O1940" ca="1" si="275">RAND()</f>
        <v>0.53830952183071756</v>
      </c>
      <c r="P1881" s="51">
        <f t="shared" si="273"/>
        <v>0</v>
      </c>
      <c r="Q1881" s="51">
        <f t="shared" si="274"/>
        <v>0</v>
      </c>
      <c r="R1881" s="51">
        <f t="shared" si="271"/>
        <v>0</v>
      </c>
      <c r="S1881"/>
      <c r="T1881" s="83"/>
    </row>
    <row r="1882" spans="1:20" ht="16" x14ac:dyDescent="0.2">
      <c r="A1882"/>
      <c r="B1882" s="103"/>
      <c r="C1882" s="243"/>
      <c r="D1882" s="119">
        <v>1869</v>
      </c>
      <c r="E1882" s="25" t="str">
        <f>Tp_Non_CHG!S168</f>
        <v>Transition Probability from state 4 to state 5 on day 30 (Non-CHG)</v>
      </c>
      <c r="F1882" s="40">
        <f t="shared" si="272"/>
        <v>0</v>
      </c>
      <c r="G1882" s="156">
        <v>1</v>
      </c>
      <c r="H1882" s="120">
        <f>Tp_Non_CHG!V168</f>
        <v>0</v>
      </c>
      <c r="I1882" s="40" t="s">
        <v>58</v>
      </c>
      <c r="J1882" s="40">
        <f t="shared" si="269"/>
        <v>0</v>
      </c>
      <c r="K1882" s="40">
        <f t="shared" si="270"/>
        <v>0</v>
      </c>
      <c r="L1882" s="40" t="s">
        <v>58</v>
      </c>
      <c r="M1882" s="50" t="s">
        <v>266</v>
      </c>
      <c r="N1882" s="190"/>
      <c r="O1882" s="40">
        <f t="shared" ca="1" si="275"/>
        <v>0.15282813440432974</v>
      </c>
      <c r="P1882" s="51">
        <f t="shared" si="273"/>
        <v>0</v>
      </c>
      <c r="Q1882" s="51">
        <f t="shared" si="274"/>
        <v>0</v>
      </c>
      <c r="R1882" s="51">
        <f t="shared" si="271"/>
        <v>0</v>
      </c>
      <c r="S1882"/>
      <c r="T1882" s="83"/>
    </row>
    <row r="1883" spans="1:20" ht="16" x14ac:dyDescent="0.2">
      <c r="A1883"/>
      <c r="B1883" s="103"/>
      <c r="C1883" s="243"/>
      <c r="D1883" s="119">
        <v>1870</v>
      </c>
      <c r="E1883" s="25" t="str">
        <f>Tp_Non_CHG!X139</f>
        <v>Transition Probability from state 6 to state 5 on day 1 (Non-CHG)</v>
      </c>
      <c r="F1883" s="40">
        <f t="shared" si="272"/>
        <v>0</v>
      </c>
      <c r="G1883" s="156">
        <v>1</v>
      </c>
      <c r="H1883" s="120">
        <f>Tp_Non_CHG!AA139</f>
        <v>0</v>
      </c>
      <c r="I1883" s="40" t="s">
        <v>58</v>
      </c>
      <c r="J1883" s="40">
        <f t="shared" si="269"/>
        <v>0</v>
      </c>
      <c r="K1883" s="40">
        <f t="shared" si="270"/>
        <v>0</v>
      </c>
      <c r="L1883" s="40" t="s">
        <v>58</v>
      </c>
      <c r="M1883" s="50" t="s">
        <v>266</v>
      </c>
      <c r="N1883" s="190"/>
      <c r="O1883" s="40">
        <f t="shared" ca="1" si="275"/>
        <v>0.28247350407148375</v>
      </c>
      <c r="P1883" s="51">
        <f t="shared" si="273"/>
        <v>0</v>
      </c>
      <c r="Q1883" s="51">
        <f t="shared" si="274"/>
        <v>0</v>
      </c>
      <c r="R1883" s="51">
        <f t="shared" si="271"/>
        <v>0</v>
      </c>
      <c r="S1883"/>
      <c r="T1883" s="83"/>
    </row>
    <row r="1884" spans="1:20" ht="16" x14ac:dyDescent="0.2">
      <c r="A1884"/>
      <c r="B1884" s="103"/>
      <c r="C1884" s="243"/>
      <c r="D1884" s="119">
        <v>1871</v>
      </c>
      <c r="E1884" s="25" t="str">
        <f>Tp_Non_CHG!X140</f>
        <v>Transition Probability from state 6 to state 5 on day 2 (Non-CHG)</v>
      </c>
      <c r="F1884" s="40">
        <f t="shared" si="272"/>
        <v>0</v>
      </c>
      <c r="G1884" s="156">
        <v>1</v>
      </c>
      <c r="H1884" s="120">
        <f>Tp_Non_CHG!AA140</f>
        <v>0</v>
      </c>
      <c r="I1884" s="40" t="s">
        <v>58</v>
      </c>
      <c r="J1884" s="40">
        <f t="shared" si="269"/>
        <v>0</v>
      </c>
      <c r="K1884" s="40">
        <f t="shared" si="270"/>
        <v>0</v>
      </c>
      <c r="L1884" s="40" t="s">
        <v>58</v>
      </c>
      <c r="M1884" s="50" t="s">
        <v>266</v>
      </c>
      <c r="N1884" s="190"/>
      <c r="O1884" s="40">
        <f t="shared" ca="1" si="275"/>
        <v>0.70034342326586274</v>
      </c>
      <c r="P1884" s="51">
        <f t="shared" si="273"/>
        <v>0</v>
      </c>
      <c r="Q1884" s="51">
        <f t="shared" si="274"/>
        <v>0</v>
      </c>
      <c r="R1884" s="51">
        <f t="shared" si="271"/>
        <v>0</v>
      </c>
      <c r="S1884"/>
      <c r="T1884" s="83"/>
    </row>
    <row r="1885" spans="1:20" ht="16" x14ac:dyDescent="0.2">
      <c r="A1885"/>
      <c r="B1885" s="103"/>
      <c r="C1885" s="243"/>
      <c r="D1885" s="119">
        <v>1872</v>
      </c>
      <c r="E1885" s="25" t="str">
        <f>Tp_Non_CHG!X141</f>
        <v>Transition Probability from state 6 to state 5 on day 3 (Non-CHG)</v>
      </c>
      <c r="F1885" s="40">
        <f t="shared" si="272"/>
        <v>0</v>
      </c>
      <c r="G1885" s="156">
        <v>1</v>
      </c>
      <c r="H1885" s="120">
        <f>Tp_Non_CHG!AA141</f>
        <v>0</v>
      </c>
      <c r="I1885" s="40" t="s">
        <v>58</v>
      </c>
      <c r="J1885" s="40">
        <f t="shared" si="269"/>
        <v>0</v>
      </c>
      <c r="K1885" s="40">
        <f t="shared" si="270"/>
        <v>0</v>
      </c>
      <c r="L1885" s="40" t="s">
        <v>58</v>
      </c>
      <c r="M1885" s="50" t="s">
        <v>266</v>
      </c>
      <c r="N1885" s="190"/>
      <c r="O1885" s="40">
        <f t="shared" ca="1" si="275"/>
        <v>0.8981114832029049</v>
      </c>
      <c r="P1885" s="51">
        <f t="shared" si="273"/>
        <v>0</v>
      </c>
      <c r="Q1885" s="51">
        <f t="shared" si="274"/>
        <v>0</v>
      </c>
      <c r="R1885" s="51">
        <f t="shared" si="271"/>
        <v>0</v>
      </c>
      <c r="S1885"/>
      <c r="T1885" s="83"/>
    </row>
    <row r="1886" spans="1:20" ht="16" x14ac:dyDescent="0.2">
      <c r="A1886"/>
      <c r="B1886" s="103"/>
      <c r="C1886" s="243"/>
      <c r="D1886" s="119">
        <v>1873</v>
      </c>
      <c r="E1886" s="25" t="str">
        <f>Tp_Non_CHG!X142</f>
        <v>Transition Probability from state 6 to state 5 on day 4 (Non-CHG)</v>
      </c>
      <c r="F1886" s="40">
        <f t="shared" si="272"/>
        <v>0</v>
      </c>
      <c r="G1886" s="156">
        <v>1</v>
      </c>
      <c r="H1886" s="120">
        <f>Tp_Non_CHG!AA142</f>
        <v>0</v>
      </c>
      <c r="I1886" s="40" t="s">
        <v>58</v>
      </c>
      <c r="J1886" s="40">
        <f t="shared" si="269"/>
        <v>0</v>
      </c>
      <c r="K1886" s="40">
        <f t="shared" si="270"/>
        <v>0</v>
      </c>
      <c r="L1886" s="40" t="s">
        <v>58</v>
      </c>
      <c r="M1886" s="50" t="s">
        <v>266</v>
      </c>
      <c r="N1886" s="190"/>
      <c r="O1886" s="40">
        <f t="shared" ca="1" si="275"/>
        <v>0.46296337460504466</v>
      </c>
      <c r="P1886" s="51">
        <f t="shared" si="273"/>
        <v>0</v>
      </c>
      <c r="Q1886" s="51">
        <f t="shared" si="274"/>
        <v>0</v>
      </c>
      <c r="R1886" s="51">
        <f t="shared" si="271"/>
        <v>0</v>
      </c>
      <c r="S1886"/>
      <c r="T1886" s="83"/>
    </row>
    <row r="1887" spans="1:20" ht="16" x14ac:dyDescent="0.2">
      <c r="A1887"/>
      <c r="B1887" s="103"/>
      <c r="C1887" s="243"/>
      <c r="D1887" s="119">
        <v>1874</v>
      </c>
      <c r="E1887" s="25" t="str">
        <f>Tp_Non_CHG!X143</f>
        <v>Transition Probability from state 6 to state 5 on day 5 (Non-CHG)</v>
      </c>
      <c r="F1887" s="40">
        <f t="shared" si="272"/>
        <v>0</v>
      </c>
      <c r="G1887" s="156">
        <v>1</v>
      </c>
      <c r="H1887" s="120">
        <f>Tp_Non_CHG!AA143</f>
        <v>0</v>
      </c>
      <c r="I1887" s="40" t="s">
        <v>58</v>
      </c>
      <c r="J1887" s="40">
        <f t="shared" si="269"/>
        <v>0</v>
      </c>
      <c r="K1887" s="40">
        <f t="shared" si="270"/>
        <v>0</v>
      </c>
      <c r="L1887" s="40" t="s">
        <v>58</v>
      </c>
      <c r="M1887" s="50" t="s">
        <v>266</v>
      </c>
      <c r="N1887" s="190"/>
      <c r="O1887" s="40">
        <f t="shared" ca="1" si="275"/>
        <v>0.15423556581317421</v>
      </c>
      <c r="P1887" s="51">
        <f t="shared" si="273"/>
        <v>0</v>
      </c>
      <c r="Q1887" s="51">
        <f t="shared" si="274"/>
        <v>0</v>
      </c>
      <c r="R1887" s="51">
        <f t="shared" si="271"/>
        <v>0</v>
      </c>
      <c r="S1887"/>
      <c r="T1887" s="83"/>
    </row>
    <row r="1888" spans="1:20" ht="16" x14ac:dyDescent="0.2">
      <c r="A1888"/>
      <c r="B1888" s="103"/>
      <c r="C1888" s="243"/>
      <c r="D1888" s="119">
        <v>1875</v>
      </c>
      <c r="E1888" s="25" t="str">
        <f>Tp_Non_CHG!X144</f>
        <v>Transition Probability from state 6 to state 5 on day 6 (Non-CHG)</v>
      </c>
      <c r="F1888" s="40">
        <f t="shared" si="272"/>
        <v>0</v>
      </c>
      <c r="G1888" s="156">
        <v>1</v>
      </c>
      <c r="H1888" s="120">
        <f>Tp_Non_CHG!AA144</f>
        <v>0</v>
      </c>
      <c r="I1888" s="40" t="s">
        <v>58</v>
      </c>
      <c r="J1888" s="40">
        <f t="shared" si="269"/>
        <v>0</v>
      </c>
      <c r="K1888" s="40">
        <f t="shared" si="270"/>
        <v>0</v>
      </c>
      <c r="L1888" s="40" t="s">
        <v>58</v>
      </c>
      <c r="M1888" s="50" t="s">
        <v>266</v>
      </c>
      <c r="N1888" s="190"/>
      <c r="O1888" s="40">
        <f t="shared" ca="1" si="275"/>
        <v>0.94510949863375582</v>
      </c>
      <c r="P1888" s="51">
        <f t="shared" si="273"/>
        <v>0</v>
      </c>
      <c r="Q1888" s="51">
        <f t="shared" si="274"/>
        <v>0</v>
      </c>
      <c r="R1888" s="51">
        <f t="shared" si="271"/>
        <v>0</v>
      </c>
      <c r="S1888"/>
      <c r="T1888" s="83"/>
    </row>
    <row r="1889" spans="1:20" ht="16" x14ac:dyDescent="0.2">
      <c r="A1889"/>
      <c r="B1889" s="103"/>
      <c r="C1889" s="243"/>
      <c r="D1889" s="119">
        <v>1876</v>
      </c>
      <c r="E1889" s="25" t="str">
        <f>Tp_Non_CHG!X145</f>
        <v>Transition Probability from state 6 to state 5 on day 7 (Non-CHG)</v>
      </c>
      <c r="F1889" s="40">
        <f t="shared" si="272"/>
        <v>0</v>
      </c>
      <c r="G1889" s="156">
        <v>1</v>
      </c>
      <c r="H1889" s="120">
        <f>Tp_Non_CHG!AA145</f>
        <v>0</v>
      </c>
      <c r="I1889" s="40" t="s">
        <v>58</v>
      </c>
      <c r="J1889" s="40">
        <f t="shared" si="269"/>
        <v>0</v>
      </c>
      <c r="K1889" s="40">
        <f t="shared" si="270"/>
        <v>0</v>
      </c>
      <c r="L1889" s="40" t="s">
        <v>58</v>
      </c>
      <c r="M1889" s="50" t="s">
        <v>266</v>
      </c>
      <c r="N1889" s="190"/>
      <c r="O1889" s="40">
        <f t="shared" ca="1" si="275"/>
        <v>0.93938908079555694</v>
      </c>
      <c r="P1889" s="51">
        <f t="shared" si="273"/>
        <v>0</v>
      </c>
      <c r="Q1889" s="51">
        <f t="shared" si="274"/>
        <v>0</v>
      </c>
      <c r="R1889" s="51">
        <f t="shared" si="271"/>
        <v>0</v>
      </c>
      <c r="S1889"/>
      <c r="T1889" s="83"/>
    </row>
    <row r="1890" spans="1:20" ht="16" x14ac:dyDescent="0.2">
      <c r="A1890"/>
      <c r="B1890" s="103"/>
      <c r="C1890" s="243"/>
      <c r="D1890" s="119">
        <v>1877</v>
      </c>
      <c r="E1890" s="25" t="str">
        <f>Tp_Non_CHG!X146</f>
        <v>Transition Probability from state 6 to state 5 on day 8 (Non-CHG)</v>
      </c>
      <c r="F1890" s="40">
        <f t="shared" si="272"/>
        <v>0</v>
      </c>
      <c r="G1890" s="156">
        <v>1</v>
      </c>
      <c r="H1890" s="120">
        <f>Tp_Non_CHG!AA146</f>
        <v>0</v>
      </c>
      <c r="I1890" s="40" t="s">
        <v>58</v>
      </c>
      <c r="J1890" s="40">
        <f t="shared" si="269"/>
        <v>0</v>
      </c>
      <c r="K1890" s="40">
        <f t="shared" si="270"/>
        <v>0</v>
      </c>
      <c r="L1890" s="40" t="s">
        <v>58</v>
      </c>
      <c r="M1890" s="50" t="s">
        <v>266</v>
      </c>
      <c r="N1890" s="190"/>
      <c r="O1890" s="40">
        <f t="shared" ca="1" si="275"/>
        <v>0.55209842456069791</v>
      </c>
      <c r="P1890" s="51">
        <f t="shared" si="273"/>
        <v>0</v>
      </c>
      <c r="Q1890" s="51">
        <f t="shared" si="274"/>
        <v>0</v>
      </c>
      <c r="R1890" s="51">
        <f t="shared" si="271"/>
        <v>0</v>
      </c>
      <c r="S1890"/>
      <c r="T1890" s="83"/>
    </row>
    <row r="1891" spans="1:20" ht="16" x14ac:dyDescent="0.2">
      <c r="A1891"/>
      <c r="B1891" s="103"/>
      <c r="C1891" s="243"/>
      <c r="D1891" s="119">
        <v>1878</v>
      </c>
      <c r="E1891" s="25" t="str">
        <f>Tp_Non_CHG!X147</f>
        <v>Transition Probability from state 6 to state 5 on day 9 (Non-CHG)</v>
      </c>
      <c r="F1891" s="40">
        <f t="shared" si="272"/>
        <v>0</v>
      </c>
      <c r="G1891" s="156">
        <v>1</v>
      </c>
      <c r="H1891" s="120">
        <f>Tp_Non_CHG!AA147</f>
        <v>0</v>
      </c>
      <c r="I1891" s="40" t="s">
        <v>58</v>
      </c>
      <c r="J1891" s="40">
        <f t="shared" si="269"/>
        <v>0</v>
      </c>
      <c r="K1891" s="40">
        <f t="shared" si="270"/>
        <v>0</v>
      </c>
      <c r="L1891" s="40" t="s">
        <v>58</v>
      </c>
      <c r="M1891" s="50" t="s">
        <v>266</v>
      </c>
      <c r="N1891" s="190"/>
      <c r="O1891" s="40">
        <f t="shared" ca="1" si="275"/>
        <v>0.24223847455611802</v>
      </c>
      <c r="P1891" s="51">
        <f t="shared" si="273"/>
        <v>0</v>
      </c>
      <c r="Q1891" s="51">
        <f t="shared" si="274"/>
        <v>0</v>
      </c>
      <c r="R1891" s="51">
        <f t="shared" si="271"/>
        <v>0</v>
      </c>
      <c r="S1891"/>
      <c r="T1891" s="83"/>
    </row>
    <row r="1892" spans="1:20" ht="16" x14ac:dyDescent="0.2">
      <c r="A1892"/>
      <c r="B1892" s="103"/>
      <c r="C1892" s="243"/>
      <c r="D1892" s="119">
        <v>1879</v>
      </c>
      <c r="E1892" s="25" t="str">
        <f>Tp_Non_CHG!X148</f>
        <v>Transition Probability from state 6 to state 5 on day 10 (Non-CHG)</v>
      </c>
      <c r="F1892" s="40">
        <f t="shared" si="272"/>
        <v>0</v>
      </c>
      <c r="G1892" s="156">
        <v>1</v>
      </c>
      <c r="H1892" s="120">
        <f>Tp_Non_CHG!AA148</f>
        <v>0</v>
      </c>
      <c r="I1892" s="40" t="s">
        <v>58</v>
      </c>
      <c r="J1892" s="40">
        <f t="shared" si="269"/>
        <v>0</v>
      </c>
      <c r="K1892" s="40">
        <f t="shared" si="270"/>
        <v>0</v>
      </c>
      <c r="L1892" s="40" t="s">
        <v>58</v>
      </c>
      <c r="M1892" s="50" t="s">
        <v>266</v>
      </c>
      <c r="N1892" s="190"/>
      <c r="O1892" s="40">
        <f t="shared" ca="1" si="275"/>
        <v>0.28017722706817638</v>
      </c>
      <c r="P1892" s="51">
        <f t="shared" si="273"/>
        <v>0</v>
      </c>
      <c r="Q1892" s="51">
        <f t="shared" si="274"/>
        <v>0</v>
      </c>
      <c r="R1892" s="51">
        <f t="shared" si="271"/>
        <v>0</v>
      </c>
      <c r="S1892"/>
      <c r="T1892" s="83"/>
    </row>
    <row r="1893" spans="1:20" ht="16" x14ac:dyDescent="0.2">
      <c r="A1893"/>
      <c r="B1893" s="103"/>
      <c r="C1893" s="243"/>
      <c r="D1893" s="119">
        <v>1880</v>
      </c>
      <c r="E1893" s="25" t="str">
        <f>Tp_Non_CHG!X149</f>
        <v>Transition Probability from state 6 to state 5 on day 11 (Non-CHG)</v>
      </c>
      <c r="F1893" s="40">
        <f t="shared" si="272"/>
        <v>0</v>
      </c>
      <c r="G1893" s="156">
        <v>1</v>
      </c>
      <c r="H1893" s="120">
        <f>Tp_Non_CHG!AA149</f>
        <v>0</v>
      </c>
      <c r="I1893" s="40" t="s">
        <v>58</v>
      </c>
      <c r="J1893" s="40">
        <f t="shared" si="269"/>
        <v>0</v>
      </c>
      <c r="K1893" s="40">
        <f t="shared" si="270"/>
        <v>0</v>
      </c>
      <c r="L1893" s="40" t="s">
        <v>58</v>
      </c>
      <c r="M1893" s="50" t="s">
        <v>266</v>
      </c>
      <c r="N1893" s="190"/>
      <c r="O1893" s="40">
        <f t="shared" ca="1" si="275"/>
        <v>0.59693817969724217</v>
      </c>
      <c r="P1893" s="51">
        <f t="shared" si="273"/>
        <v>0</v>
      </c>
      <c r="Q1893" s="51">
        <f t="shared" si="274"/>
        <v>0</v>
      </c>
      <c r="R1893" s="51">
        <f t="shared" si="271"/>
        <v>0</v>
      </c>
      <c r="S1893"/>
      <c r="T1893" s="83"/>
    </row>
    <row r="1894" spans="1:20" ht="16" x14ac:dyDescent="0.2">
      <c r="A1894"/>
      <c r="B1894" s="103"/>
      <c r="C1894" s="243"/>
      <c r="D1894" s="119">
        <v>1881</v>
      </c>
      <c r="E1894" s="25" t="str">
        <f>Tp_Non_CHG!X150</f>
        <v>Transition Probability from state 6 to state 5 on day 12 (Non-CHG)</v>
      </c>
      <c r="F1894" s="40">
        <f t="shared" si="272"/>
        <v>0</v>
      </c>
      <c r="G1894" s="156">
        <v>1</v>
      </c>
      <c r="H1894" s="120">
        <f>Tp_Non_CHG!AA150</f>
        <v>0</v>
      </c>
      <c r="I1894" s="40" t="s">
        <v>58</v>
      </c>
      <c r="J1894" s="40">
        <f t="shared" si="269"/>
        <v>0</v>
      </c>
      <c r="K1894" s="40">
        <f t="shared" si="270"/>
        <v>0</v>
      </c>
      <c r="L1894" s="40" t="s">
        <v>58</v>
      </c>
      <c r="M1894" s="50" t="s">
        <v>266</v>
      </c>
      <c r="N1894" s="190"/>
      <c r="O1894" s="40">
        <f t="shared" ca="1" si="275"/>
        <v>0.64042642240133774</v>
      </c>
      <c r="P1894" s="51">
        <f t="shared" si="273"/>
        <v>0</v>
      </c>
      <c r="Q1894" s="51">
        <f t="shared" si="274"/>
        <v>0</v>
      </c>
      <c r="R1894" s="51">
        <f t="shared" si="271"/>
        <v>0</v>
      </c>
      <c r="S1894"/>
      <c r="T1894" s="83"/>
    </row>
    <row r="1895" spans="1:20" ht="16" x14ac:dyDescent="0.2">
      <c r="A1895"/>
      <c r="B1895" s="103"/>
      <c r="C1895" s="243"/>
      <c r="D1895" s="119">
        <v>1882</v>
      </c>
      <c r="E1895" s="25" t="str">
        <f>Tp_Non_CHG!X151</f>
        <v>Transition Probability from state 6 to state 5 on day 13 (Non-CHG)</v>
      </c>
      <c r="F1895" s="40">
        <f t="shared" si="272"/>
        <v>0</v>
      </c>
      <c r="G1895" s="156">
        <v>1</v>
      </c>
      <c r="H1895" s="120">
        <f>Tp_Non_CHG!AA151</f>
        <v>0</v>
      </c>
      <c r="I1895" s="40" t="s">
        <v>58</v>
      </c>
      <c r="J1895" s="40">
        <f t="shared" si="269"/>
        <v>0</v>
      </c>
      <c r="K1895" s="40">
        <f t="shared" si="270"/>
        <v>0</v>
      </c>
      <c r="L1895" s="40" t="s">
        <v>58</v>
      </c>
      <c r="M1895" s="50" t="s">
        <v>266</v>
      </c>
      <c r="N1895" s="190"/>
      <c r="O1895" s="40">
        <f t="shared" ca="1" si="275"/>
        <v>7.8993270985568298E-2</v>
      </c>
      <c r="P1895" s="51">
        <f t="shared" si="273"/>
        <v>0</v>
      </c>
      <c r="Q1895" s="51">
        <f t="shared" si="274"/>
        <v>0</v>
      </c>
      <c r="R1895" s="51">
        <f t="shared" si="271"/>
        <v>0</v>
      </c>
      <c r="S1895"/>
      <c r="T1895" s="83"/>
    </row>
    <row r="1896" spans="1:20" ht="16" x14ac:dyDescent="0.2">
      <c r="A1896"/>
      <c r="B1896" s="103"/>
      <c r="C1896" s="243"/>
      <c r="D1896" s="119">
        <v>1883</v>
      </c>
      <c r="E1896" s="25" t="str">
        <f>Tp_Non_CHG!X152</f>
        <v>Transition Probability from state 6 to state 5 on day 14 (Non-CHG)</v>
      </c>
      <c r="F1896" s="40">
        <f t="shared" si="272"/>
        <v>0</v>
      </c>
      <c r="G1896" s="156">
        <v>1</v>
      </c>
      <c r="H1896" s="120">
        <f>Tp_Non_CHG!AA152</f>
        <v>0</v>
      </c>
      <c r="I1896" s="40" t="s">
        <v>58</v>
      </c>
      <c r="J1896" s="40">
        <f t="shared" si="269"/>
        <v>0</v>
      </c>
      <c r="K1896" s="40">
        <f t="shared" si="270"/>
        <v>0</v>
      </c>
      <c r="L1896" s="40" t="s">
        <v>58</v>
      </c>
      <c r="M1896" s="50" t="s">
        <v>266</v>
      </c>
      <c r="N1896" s="190"/>
      <c r="O1896" s="40">
        <f t="shared" ca="1" si="275"/>
        <v>2.0448494845524023E-2</v>
      </c>
      <c r="P1896" s="51">
        <f t="shared" si="273"/>
        <v>0</v>
      </c>
      <c r="Q1896" s="51">
        <f t="shared" si="274"/>
        <v>0</v>
      </c>
      <c r="R1896" s="51">
        <f t="shared" si="271"/>
        <v>0</v>
      </c>
      <c r="S1896"/>
      <c r="T1896" s="83"/>
    </row>
    <row r="1897" spans="1:20" ht="16" x14ac:dyDescent="0.2">
      <c r="A1897"/>
      <c r="B1897" s="103"/>
      <c r="C1897" s="243"/>
      <c r="D1897" s="119">
        <v>1884</v>
      </c>
      <c r="E1897" s="25" t="str">
        <f>Tp_Non_CHG!X153</f>
        <v>Transition Probability from state 6 to state 5 on day 15 (Non-CHG)</v>
      </c>
      <c r="F1897" s="40">
        <f t="shared" si="272"/>
        <v>0</v>
      </c>
      <c r="G1897" s="156">
        <v>1</v>
      </c>
      <c r="H1897" s="120">
        <f>Tp_Non_CHG!AA153</f>
        <v>0</v>
      </c>
      <c r="I1897" s="40" t="s">
        <v>58</v>
      </c>
      <c r="J1897" s="40">
        <f t="shared" si="269"/>
        <v>0</v>
      </c>
      <c r="K1897" s="40">
        <f t="shared" si="270"/>
        <v>0</v>
      </c>
      <c r="L1897" s="40" t="s">
        <v>58</v>
      </c>
      <c r="M1897" s="50" t="s">
        <v>266</v>
      </c>
      <c r="N1897" s="190"/>
      <c r="O1897" s="40">
        <f t="shared" ca="1" si="275"/>
        <v>5.1552387223067653E-2</v>
      </c>
      <c r="P1897" s="51">
        <f t="shared" si="273"/>
        <v>0</v>
      </c>
      <c r="Q1897" s="51">
        <f t="shared" si="274"/>
        <v>0</v>
      </c>
      <c r="R1897" s="51">
        <f t="shared" si="271"/>
        <v>0</v>
      </c>
      <c r="S1897"/>
      <c r="T1897" s="83"/>
    </row>
    <row r="1898" spans="1:20" ht="16" x14ac:dyDescent="0.2">
      <c r="A1898"/>
      <c r="B1898" s="103"/>
      <c r="C1898" s="243"/>
      <c r="D1898" s="119">
        <v>1885</v>
      </c>
      <c r="E1898" s="25" t="str">
        <f>Tp_Non_CHG!X154</f>
        <v>Transition Probability from state 6 to state 5 on day 16 (Non-CHG)</v>
      </c>
      <c r="F1898" s="40">
        <f t="shared" si="272"/>
        <v>0</v>
      </c>
      <c r="G1898" s="156">
        <v>1</v>
      </c>
      <c r="H1898" s="120">
        <f>Tp_Non_CHG!AA154</f>
        <v>0</v>
      </c>
      <c r="I1898" s="40" t="s">
        <v>58</v>
      </c>
      <c r="J1898" s="40">
        <f t="shared" si="269"/>
        <v>0</v>
      </c>
      <c r="K1898" s="40">
        <f t="shared" si="270"/>
        <v>0</v>
      </c>
      <c r="L1898" s="40" t="s">
        <v>58</v>
      </c>
      <c r="M1898" s="50" t="s">
        <v>266</v>
      </c>
      <c r="N1898" s="190"/>
      <c r="O1898" s="40">
        <f t="shared" ca="1" si="275"/>
        <v>0.47177697092563076</v>
      </c>
      <c r="P1898" s="51">
        <f t="shared" si="273"/>
        <v>0</v>
      </c>
      <c r="Q1898" s="51">
        <f t="shared" si="274"/>
        <v>0</v>
      </c>
      <c r="R1898" s="51">
        <f t="shared" si="271"/>
        <v>0</v>
      </c>
      <c r="S1898"/>
      <c r="T1898" s="83"/>
    </row>
    <row r="1899" spans="1:20" ht="16" x14ac:dyDescent="0.2">
      <c r="A1899"/>
      <c r="B1899" s="103"/>
      <c r="C1899" s="243"/>
      <c r="D1899" s="119">
        <v>1886</v>
      </c>
      <c r="E1899" s="25" t="str">
        <f>Tp_Non_CHG!X155</f>
        <v>Transition Probability from state 6 to state 5 on day 17 (Non-CHG)</v>
      </c>
      <c r="F1899" s="40">
        <f t="shared" si="272"/>
        <v>0</v>
      </c>
      <c r="G1899" s="156">
        <v>1</v>
      </c>
      <c r="H1899" s="120">
        <f>Tp_Non_CHG!AA155</f>
        <v>0</v>
      </c>
      <c r="I1899" s="40" t="s">
        <v>58</v>
      </c>
      <c r="J1899" s="40">
        <f t="shared" si="269"/>
        <v>0</v>
      </c>
      <c r="K1899" s="40">
        <f t="shared" si="270"/>
        <v>0</v>
      </c>
      <c r="L1899" s="40" t="s">
        <v>58</v>
      </c>
      <c r="M1899" s="50" t="s">
        <v>266</v>
      </c>
      <c r="N1899" s="190"/>
      <c r="O1899" s="40">
        <f t="shared" ca="1" si="275"/>
        <v>9.1533643101457618E-2</v>
      </c>
      <c r="P1899" s="51">
        <f t="shared" si="273"/>
        <v>0</v>
      </c>
      <c r="Q1899" s="51">
        <f t="shared" si="274"/>
        <v>0</v>
      </c>
      <c r="R1899" s="51">
        <f t="shared" si="271"/>
        <v>0</v>
      </c>
      <c r="S1899"/>
      <c r="T1899" s="83"/>
    </row>
    <row r="1900" spans="1:20" ht="16" x14ac:dyDescent="0.2">
      <c r="A1900"/>
      <c r="B1900" s="103"/>
      <c r="C1900" s="243"/>
      <c r="D1900" s="119">
        <v>1887</v>
      </c>
      <c r="E1900" s="25" t="str">
        <f>Tp_Non_CHG!X156</f>
        <v>Transition Probability from state 6 to state 5 on day 18 (Non-CHG)</v>
      </c>
      <c r="F1900" s="40">
        <f t="shared" si="272"/>
        <v>0</v>
      </c>
      <c r="G1900" s="156">
        <v>1</v>
      </c>
      <c r="H1900" s="120">
        <f>Tp_Non_CHG!AA156</f>
        <v>0</v>
      </c>
      <c r="I1900" s="40" t="s">
        <v>58</v>
      </c>
      <c r="J1900" s="40">
        <f t="shared" si="269"/>
        <v>0</v>
      </c>
      <c r="K1900" s="40">
        <f t="shared" si="270"/>
        <v>0</v>
      </c>
      <c r="L1900" s="40" t="s">
        <v>58</v>
      </c>
      <c r="M1900" s="50" t="s">
        <v>266</v>
      </c>
      <c r="N1900" s="190"/>
      <c r="O1900" s="40">
        <f t="shared" ca="1" si="275"/>
        <v>0.73156521139655972</v>
      </c>
      <c r="P1900" s="51">
        <f t="shared" si="273"/>
        <v>0</v>
      </c>
      <c r="Q1900" s="51">
        <f t="shared" si="274"/>
        <v>0</v>
      </c>
      <c r="R1900" s="51">
        <f t="shared" si="271"/>
        <v>0</v>
      </c>
      <c r="S1900"/>
      <c r="T1900" s="83"/>
    </row>
    <row r="1901" spans="1:20" ht="16" x14ac:dyDescent="0.2">
      <c r="A1901"/>
      <c r="B1901" s="103"/>
      <c r="C1901" s="243"/>
      <c r="D1901" s="119">
        <v>1888</v>
      </c>
      <c r="E1901" s="25" t="str">
        <f>Tp_Non_CHG!X157</f>
        <v>Transition Probability from state 6 to state 5 on day 19 (Non-CHG)</v>
      </c>
      <c r="F1901" s="40">
        <f t="shared" si="272"/>
        <v>0</v>
      </c>
      <c r="G1901" s="156">
        <v>1</v>
      </c>
      <c r="H1901" s="120">
        <f>Tp_Non_CHG!AA157</f>
        <v>0</v>
      </c>
      <c r="I1901" s="40" t="s">
        <v>58</v>
      </c>
      <c r="J1901" s="40">
        <f t="shared" si="269"/>
        <v>0</v>
      </c>
      <c r="K1901" s="40">
        <f t="shared" si="270"/>
        <v>0</v>
      </c>
      <c r="L1901" s="40" t="s">
        <v>58</v>
      </c>
      <c r="M1901" s="50" t="s">
        <v>266</v>
      </c>
      <c r="N1901" s="190"/>
      <c r="O1901" s="40">
        <f t="shared" ca="1" si="275"/>
        <v>0.54419971298722936</v>
      </c>
      <c r="P1901" s="51">
        <f t="shared" si="273"/>
        <v>0</v>
      </c>
      <c r="Q1901" s="51">
        <f t="shared" si="274"/>
        <v>0</v>
      </c>
      <c r="R1901" s="51">
        <f t="shared" si="271"/>
        <v>0</v>
      </c>
      <c r="S1901"/>
      <c r="T1901" s="83"/>
    </row>
    <row r="1902" spans="1:20" ht="16" x14ac:dyDescent="0.2">
      <c r="A1902"/>
      <c r="B1902" s="103"/>
      <c r="C1902" s="243"/>
      <c r="D1902" s="119">
        <v>1889</v>
      </c>
      <c r="E1902" s="25" t="str">
        <f>Tp_Non_CHG!X158</f>
        <v>Transition Probability from state 6 to state 5 on day 20 (Non-CHG)</v>
      </c>
      <c r="F1902" s="40">
        <f t="shared" si="272"/>
        <v>0</v>
      </c>
      <c r="G1902" s="156">
        <v>1</v>
      </c>
      <c r="H1902" s="120">
        <f>Tp_Non_CHG!AA158</f>
        <v>0</v>
      </c>
      <c r="I1902" s="40" t="s">
        <v>58</v>
      </c>
      <c r="J1902" s="40">
        <f t="shared" si="269"/>
        <v>0</v>
      </c>
      <c r="K1902" s="40">
        <f t="shared" si="270"/>
        <v>0</v>
      </c>
      <c r="L1902" s="40" t="s">
        <v>58</v>
      </c>
      <c r="M1902" s="50" t="s">
        <v>266</v>
      </c>
      <c r="N1902" s="190"/>
      <c r="O1902" s="40">
        <f t="shared" ca="1" si="275"/>
        <v>0.96865102825589877</v>
      </c>
      <c r="P1902" s="51">
        <f t="shared" si="273"/>
        <v>0</v>
      </c>
      <c r="Q1902" s="51">
        <f t="shared" si="274"/>
        <v>0</v>
      </c>
      <c r="R1902" s="51">
        <f t="shared" si="271"/>
        <v>0</v>
      </c>
      <c r="S1902"/>
      <c r="T1902" s="83"/>
    </row>
    <row r="1903" spans="1:20" ht="16" x14ac:dyDescent="0.2">
      <c r="A1903"/>
      <c r="B1903" s="103"/>
      <c r="C1903" s="243"/>
      <c r="D1903" s="119">
        <v>1890</v>
      </c>
      <c r="E1903" s="25" t="str">
        <f>Tp_Non_CHG!X159</f>
        <v>Transition Probability from state 6 to state 5 on day 21 (Non-CHG)</v>
      </c>
      <c r="F1903" s="40">
        <f t="shared" si="272"/>
        <v>0</v>
      </c>
      <c r="G1903" s="156">
        <v>1</v>
      </c>
      <c r="H1903" s="120">
        <f>Tp_Non_CHG!AA159</f>
        <v>0</v>
      </c>
      <c r="I1903" s="40" t="s">
        <v>58</v>
      </c>
      <c r="J1903" s="40">
        <f t="shared" si="269"/>
        <v>0</v>
      </c>
      <c r="K1903" s="40">
        <f t="shared" si="270"/>
        <v>0</v>
      </c>
      <c r="L1903" s="40" t="s">
        <v>58</v>
      </c>
      <c r="M1903" s="50" t="s">
        <v>266</v>
      </c>
      <c r="N1903" s="190"/>
      <c r="O1903" s="40">
        <f t="shared" ca="1" si="275"/>
        <v>0.13611273960920467</v>
      </c>
      <c r="P1903" s="51">
        <f t="shared" si="273"/>
        <v>0</v>
      </c>
      <c r="Q1903" s="51">
        <f t="shared" si="274"/>
        <v>0</v>
      </c>
      <c r="R1903" s="51">
        <f t="shared" si="271"/>
        <v>0</v>
      </c>
      <c r="S1903"/>
      <c r="T1903" s="83"/>
    </row>
    <row r="1904" spans="1:20" ht="16" x14ac:dyDescent="0.2">
      <c r="A1904"/>
      <c r="B1904" s="103"/>
      <c r="C1904" s="243"/>
      <c r="D1904" s="119">
        <v>1891</v>
      </c>
      <c r="E1904" s="25" t="str">
        <f>Tp_Non_CHG!X160</f>
        <v>Transition Probability from state 6 to state 5 on day 22 (Non-CHG)</v>
      </c>
      <c r="F1904" s="40">
        <f t="shared" si="272"/>
        <v>0</v>
      </c>
      <c r="G1904" s="156">
        <v>1</v>
      </c>
      <c r="H1904" s="120">
        <f>Tp_Non_CHG!AA160</f>
        <v>0</v>
      </c>
      <c r="I1904" s="40" t="s">
        <v>58</v>
      </c>
      <c r="J1904" s="40">
        <f t="shared" si="269"/>
        <v>0</v>
      </c>
      <c r="K1904" s="40">
        <f t="shared" si="270"/>
        <v>0</v>
      </c>
      <c r="L1904" s="40" t="s">
        <v>58</v>
      </c>
      <c r="M1904" s="50" t="s">
        <v>266</v>
      </c>
      <c r="N1904" s="190"/>
      <c r="O1904" s="40">
        <f t="shared" ca="1" si="275"/>
        <v>0.87273868865728244</v>
      </c>
      <c r="P1904" s="51">
        <f t="shared" si="273"/>
        <v>0</v>
      </c>
      <c r="Q1904" s="51">
        <f t="shared" si="274"/>
        <v>0</v>
      </c>
      <c r="R1904" s="51">
        <f t="shared" si="271"/>
        <v>0</v>
      </c>
      <c r="S1904"/>
      <c r="T1904" s="83"/>
    </row>
    <row r="1905" spans="1:20" ht="16" x14ac:dyDescent="0.2">
      <c r="A1905"/>
      <c r="B1905" s="103"/>
      <c r="C1905" s="243"/>
      <c r="D1905" s="119">
        <v>1892</v>
      </c>
      <c r="E1905" s="25" t="str">
        <f>Tp_Non_CHG!X161</f>
        <v>Transition Probability from state 6 to state 5 on day 23 (Non-CHG)</v>
      </c>
      <c r="F1905" s="40">
        <f t="shared" si="272"/>
        <v>0</v>
      </c>
      <c r="G1905" s="156">
        <v>1</v>
      </c>
      <c r="H1905" s="120">
        <f>Tp_Non_CHG!AA161</f>
        <v>0</v>
      </c>
      <c r="I1905" s="40" t="s">
        <v>58</v>
      </c>
      <c r="J1905" s="40">
        <f t="shared" si="269"/>
        <v>0</v>
      </c>
      <c r="K1905" s="40">
        <f t="shared" si="270"/>
        <v>0</v>
      </c>
      <c r="L1905" s="40" t="s">
        <v>58</v>
      </c>
      <c r="M1905" s="50" t="s">
        <v>266</v>
      </c>
      <c r="N1905" s="190"/>
      <c r="O1905" s="40">
        <f t="shared" ca="1" si="275"/>
        <v>0.17514366112341728</v>
      </c>
      <c r="P1905" s="51">
        <f t="shared" si="273"/>
        <v>0</v>
      </c>
      <c r="Q1905" s="51">
        <f t="shared" si="274"/>
        <v>0</v>
      </c>
      <c r="R1905" s="51">
        <f t="shared" si="271"/>
        <v>0</v>
      </c>
      <c r="S1905"/>
      <c r="T1905" s="83"/>
    </row>
    <row r="1906" spans="1:20" ht="16" x14ac:dyDescent="0.2">
      <c r="A1906"/>
      <c r="B1906" s="103"/>
      <c r="C1906" s="243"/>
      <c r="D1906" s="119">
        <v>1893</v>
      </c>
      <c r="E1906" s="25" t="str">
        <f>Tp_Non_CHG!X162</f>
        <v>Transition Probability from state 6 to state 5 on day 24 (Non-CHG)</v>
      </c>
      <c r="F1906" s="40">
        <f t="shared" si="272"/>
        <v>0</v>
      </c>
      <c r="G1906" s="156">
        <v>1</v>
      </c>
      <c r="H1906" s="120">
        <f>Tp_Non_CHG!AA162</f>
        <v>0</v>
      </c>
      <c r="I1906" s="40" t="s">
        <v>58</v>
      </c>
      <c r="J1906" s="40">
        <f t="shared" si="269"/>
        <v>0</v>
      </c>
      <c r="K1906" s="40">
        <f t="shared" si="270"/>
        <v>0</v>
      </c>
      <c r="L1906" s="40" t="s">
        <v>58</v>
      </c>
      <c r="M1906" s="50" t="s">
        <v>266</v>
      </c>
      <c r="N1906" s="190"/>
      <c r="O1906" s="40">
        <f t="shared" ca="1" si="275"/>
        <v>0.58184654864782503</v>
      </c>
      <c r="P1906" s="51">
        <f t="shared" si="273"/>
        <v>0</v>
      </c>
      <c r="Q1906" s="51">
        <f t="shared" si="274"/>
        <v>0</v>
      </c>
      <c r="R1906" s="51">
        <f t="shared" si="271"/>
        <v>0</v>
      </c>
      <c r="S1906"/>
      <c r="T1906" s="83"/>
    </row>
    <row r="1907" spans="1:20" ht="16" x14ac:dyDescent="0.2">
      <c r="A1907"/>
      <c r="B1907" s="103"/>
      <c r="C1907" s="243"/>
      <c r="D1907" s="119">
        <v>1894</v>
      </c>
      <c r="E1907" s="25" t="str">
        <f>Tp_Non_CHG!X164</f>
        <v>Transition Probability from state 6 to state 5 on day 26 (Non-CHG)</v>
      </c>
      <c r="F1907" s="40">
        <f t="shared" si="272"/>
        <v>0</v>
      </c>
      <c r="G1907" s="156">
        <v>1</v>
      </c>
      <c r="H1907" s="120">
        <f>Tp_Non_CHG!AA164</f>
        <v>0</v>
      </c>
      <c r="I1907" s="40" t="s">
        <v>58</v>
      </c>
      <c r="J1907" s="40">
        <f t="shared" si="269"/>
        <v>0</v>
      </c>
      <c r="K1907" s="40">
        <f t="shared" si="270"/>
        <v>0</v>
      </c>
      <c r="L1907" s="40" t="s">
        <v>58</v>
      </c>
      <c r="M1907" s="50" t="s">
        <v>266</v>
      </c>
      <c r="N1907" s="190"/>
      <c r="O1907" s="40">
        <f t="shared" ca="1" si="275"/>
        <v>0.51859250766488729</v>
      </c>
      <c r="P1907" s="51">
        <f t="shared" si="273"/>
        <v>0</v>
      </c>
      <c r="Q1907" s="51">
        <f t="shared" si="274"/>
        <v>0</v>
      </c>
      <c r="R1907" s="51">
        <f t="shared" si="271"/>
        <v>0</v>
      </c>
      <c r="S1907"/>
      <c r="T1907" s="83"/>
    </row>
    <row r="1908" spans="1:20" ht="16" x14ac:dyDescent="0.2">
      <c r="A1908"/>
      <c r="B1908" s="103"/>
      <c r="C1908" s="243"/>
      <c r="D1908" s="119">
        <v>1895</v>
      </c>
      <c r="E1908" s="25" t="str">
        <f>Tp_Non_CHG!X165</f>
        <v>Transition Probability from state 6 to state 5 on day 27 (Non-CHG)</v>
      </c>
      <c r="F1908" s="40">
        <f t="shared" si="272"/>
        <v>0</v>
      </c>
      <c r="G1908" s="156">
        <v>1</v>
      </c>
      <c r="H1908" s="120">
        <f>Tp_Non_CHG!AA165</f>
        <v>0</v>
      </c>
      <c r="I1908" s="40" t="s">
        <v>58</v>
      </c>
      <c r="J1908" s="40">
        <f t="shared" si="269"/>
        <v>0</v>
      </c>
      <c r="K1908" s="40">
        <f t="shared" si="270"/>
        <v>0</v>
      </c>
      <c r="L1908" s="40" t="s">
        <v>58</v>
      </c>
      <c r="M1908" s="50" t="s">
        <v>266</v>
      </c>
      <c r="N1908" s="190"/>
      <c r="O1908" s="40">
        <f t="shared" ca="1" si="275"/>
        <v>0.26981863775993276</v>
      </c>
      <c r="P1908" s="51">
        <f t="shared" si="273"/>
        <v>0</v>
      </c>
      <c r="Q1908" s="51">
        <f t="shared" si="274"/>
        <v>0</v>
      </c>
      <c r="R1908" s="51">
        <f t="shared" si="271"/>
        <v>0</v>
      </c>
      <c r="S1908"/>
      <c r="T1908" s="83"/>
    </row>
    <row r="1909" spans="1:20" ht="16" x14ac:dyDescent="0.2">
      <c r="A1909"/>
      <c r="B1909" s="103"/>
      <c r="C1909" s="243"/>
      <c r="D1909" s="119">
        <v>1896</v>
      </c>
      <c r="E1909" s="25" t="str">
        <f>Tp_Non_CHG!X166</f>
        <v>Transition Probability from state 6 to state 5 on day 28 (Non-CHG)</v>
      </c>
      <c r="F1909" s="40">
        <f t="shared" si="272"/>
        <v>0</v>
      </c>
      <c r="G1909" s="156">
        <v>1</v>
      </c>
      <c r="H1909" s="120">
        <f>Tp_Non_CHG!AA166</f>
        <v>0</v>
      </c>
      <c r="I1909" s="40" t="s">
        <v>58</v>
      </c>
      <c r="J1909" s="40">
        <f t="shared" si="269"/>
        <v>0</v>
      </c>
      <c r="K1909" s="40">
        <f t="shared" si="270"/>
        <v>0</v>
      </c>
      <c r="L1909" s="40" t="s">
        <v>58</v>
      </c>
      <c r="M1909" s="50" t="s">
        <v>266</v>
      </c>
      <c r="N1909" s="190"/>
      <c r="O1909" s="40">
        <f t="shared" ca="1" si="275"/>
        <v>0.105535347400182</v>
      </c>
      <c r="P1909" s="51">
        <f t="shared" si="273"/>
        <v>0</v>
      </c>
      <c r="Q1909" s="51">
        <f t="shared" si="274"/>
        <v>0</v>
      </c>
      <c r="R1909" s="51">
        <f t="shared" si="271"/>
        <v>0</v>
      </c>
      <c r="S1909"/>
      <c r="T1909" s="83"/>
    </row>
    <row r="1910" spans="1:20" ht="16" x14ac:dyDescent="0.2">
      <c r="A1910"/>
      <c r="B1910" s="103"/>
      <c r="C1910" s="243"/>
      <c r="D1910" s="119">
        <v>1897</v>
      </c>
      <c r="E1910" s="25" t="str">
        <f>Tp_Non_CHG!X167</f>
        <v>Transition Probability from state 6 to state 5 on day 29 (Non-CHG)</v>
      </c>
      <c r="F1910" s="40">
        <f t="shared" si="272"/>
        <v>0</v>
      </c>
      <c r="G1910" s="156">
        <v>1</v>
      </c>
      <c r="H1910" s="120">
        <f>Tp_Non_CHG!AA167</f>
        <v>0</v>
      </c>
      <c r="I1910" s="40" t="s">
        <v>58</v>
      </c>
      <c r="J1910" s="40">
        <f t="shared" ref="J1910:J1942" si="276">IF(H1910=0,0,_xlfn.NORM.INV(0.025,H1910,R1910))</f>
        <v>0</v>
      </c>
      <c r="K1910" s="40">
        <f t="shared" ref="K1910:K1942" si="277">IF(H1910=0,0,_xlfn.NORM.INV(0.975,H1910,R1910))</f>
        <v>0</v>
      </c>
      <c r="L1910" s="40" t="s">
        <v>58</v>
      </c>
      <c r="M1910" s="50" t="s">
        <v>266</v>
      </c>
      <c r="N1910" s="190"/>
      <c r="O1910" s="40">
        <f t="shared" ca="1" si="275"/>
        <v>0.80506545528252593</v>
      </c>
      <c r="P1910" s="51">
        <f t="shared" si="273"/>
        <v>0</v>
      </c>
      <c r="Q1910" s="51">
        <f t="shared" si="274"/>
        <v>0</v>
      </c>
      <c r="R1910" s="51">
        <f t="shared" ref="R1910:R1942" si="278">assumedSE*H1910</f>
        <v>0</v>
      </c>
      <c r="S1910"/>
      <c r="T1910" s="83"/>
    </row>
    <row r="1911" spans="1:20" ht="16" x14ac:dyDescent="0.2">
      <c r="A1911"/>
      <c r="B1911" s="103"/>
      <c r="C1911" s="243"/>
      <c r="D1911" s="119">
        <v>1898</v>
      </c>
      <c r="E1911" s="25" t="str">
        <f>Tp_Non_CHG!D172</f>
        <v>Transition Probability from state 5 to state 6 on day 1 (Non-CHG)</v>
      </c>
      <c r="F1911" s="40">
        <f t="shared" si="272"/>
        <v>0</v>
      </c>
      <c r="G1911" s="156">
        <v>1</v>
      </c>
      <c r="H1911" s="120">
        <f>Tp_Non_CHG!G172</f>
        <v>0</v>
      </c>
      <c r="I1911" s="40" t="s">
        <v>58</v>
      </c>
      <c r="J1911" s="40">
        <f t="shared" si="276"/>
        <v>0</v>
      </c>
      <c r="K1911" s="40">
        <f t="shared" si="277"/>
        <v>0</v>
      </c>
      <c r="L1911" s="40" t="s">
        <v>58</v>
      </c>
      <c r="M1911" s="50" t="s">
        <v>266</v>
      </c>
      <c r="N1911" s="190"/>
      <c r="O1911" s="40">
        <f t="shared" ca="1" si="275"/>
        <v>0.52573010195416425</v>
      </c>
      <c r="P1911" s="51">
        <f t="shared" si="273"/>
        <v>0</v>
      </c>
      <c r="Q1911" s="51">
        <f t="shared" si="274"/>
        <v>0</v>
      </c>
      <c r="R1911" s="51">
        <f t="shared" si="278"/>
        <v>0</v>
      </c>
      <c r="S1911"/>
      <c r="T1911" s="83"/>
    </row>
    <row r="1912" spans="1:20" ht="16" x14ac:dyDescent="0.2">
      <c r="A1912"/>
      <c r="B1912" s="103"/>
      <c r="C1912" s="243"/>
      <c r="D1912" s="119">
        <v>1899</v>
      </c>
      <c r="E1912" s="25" t="str">
        <f>Tp_Non_CHG!D173</f>
        <v>Transition Probability from state 5 to state 6 on day 2 (Non-CHG)</v>
      </c>
      <c r="F1912" s="40">
        <f t="shared" si="272"/>
        <v>0</v>
      </c>
      <c r="G1912" s="156">
        <v>1</v>
      </c>
      <c r="H1912" s="120">
        <f>Tp_Non_CHG!G173</f>
        <v>0</v>
      </c>
      <c r="I1912" s="40" t="s">
        <v>58</v>
      </c>
      <c r="J1912" s="40">
        <f t="shared" si="276"/>
        <v>0</v>
      </c>
      <c r="K1912" s="40">
        <f t="shared" si="277"/>
        <v>0</v>
      </c>
      <c r="L1912" s="40" t="s">
        <v>58</v>
      </c>
      <c r="M1912" s="50" t="s">
        <v>266</v>
      </c>
      <c r="N1912" s="190"/>
      <c r="O1912" s="40">
        <f t="shared" ca="1" si="275"/>
        <v>0.95232963029251094</v>
      </c>
      <c r="P1912" s="51">
        <f t="shared" si="273"/>
        <v>0</v>
      </c>
      <c r="Q1912" s="51">
        <f t="shared" si="274"/>
        <v>0</v>
      </c>
      <c r="R1912" s="51">
        <f t="shared" si="278"/>
        <v>0</v>
      </c>
      <c r="S1912"/>
      <c r="T1912" s="83"/>
    </row>
    <row r="1913" spans="1:20" ht="16" x14ac:dyDescent="0.2">
      <c r="A1913"/>
      <c r="B1913" s="103"/>
      <c r="C1913" s="243"/>
      <c r="D1913" s="119">
        <v>1900</v>
      </c>
      <c r="E1913" s="25" t="str">
        <f>Tp_Non_CHG!D174</f>
        <v>Transition Probability from state 5 to state 6 on day 3 (Non-CHG)</v>
      </c>
      <c r="F1913" s="40">
        <f t="shared" si="272"/>
        <v>0</v>
      </c>
      <c r="G1913" s="156">
        <v>1</v>
      </c>
      <c r="H1913" s="120">
        <f>Tp_Non_CHG!G174</f>
        <v>0</v>
      </c>
      <c r="I1913" s="40" t="s">
        <v>58</v>
      </c>
      <c r="J1913" s="40">
        <f t="shared" si="276"/>
        <v>0</v>
      </c>
      <c r="K1913" s="40">
        <f t="shared" si="277"/>
        <v>0</v>
      </c>
      <c r="L1913" s="40" t="s">
        <v>58</v>
      </c>
      <c r="M1913" s="50" t="s">
        <v>266</v>
      </c>
      <c r="N1913" s="190"/>
      <c r="O1913" s="40">
        <f t="shared" ca="1" si="275"/>
        <v>0.51935240387307435</v>
      </c>
      <c r="P1913" s="51">
        <f t="shared" si="273"/>
        <v>0</v>
      </c>
      <c r="Q1913" s="51">
        <f t="shared" si="274"/>
        <v>0</v>
      </c>
      <c r="R1913" s="51">
        <f t="shared" si="278"/>
        <v>0</v>
      </c>
      <c r="S1913"/>
      <c r="T1913" s="83"/>
    </row>
    <row r="1914" spans="1:20" ht="16" x14ac:dyDescent="0.2">
      <c r="A1914"/>
      <c r="B1914" s="103"/>
      <c r="C1914" s="243"/>
      <c r="D1914" s="119">
        <v>1901</v>
      </c>
      <c r="E1914" s="25" t="str">
        <f>Tp_Non_CHG!D175</f>
        <v>Transition Probability from state 5 to state 6 on day 4 (Non-CHG)</v>
      </c>
      <c r="F1914" s="40">
        <f t="shared" si="272"/>
        <v>0</v>
      </c>
      <c r="G1914" s="156">
        <v>1</v>
      </c>
      <c r="H1914" s="120">
        <f>Tp_Non_CHG!G175</f>
        <v>0</v>
      </c>
      <c r="I1914" s="40" t="s">
        <v>58</v>
      </c>
      <c r="J1914" s="40">
        <f t="shared" si="276"/>
        <v>0</v>
      </c>
      <c r="K1914" s="40">
        <f t="shared" si="277"/>
        <v>0</v>
      </c>
      <c r="L1914" s="40" t="s">
        <v>58</v>
      </c>
      <c r="M1914" s="50" t="s">
        <v>266</v>
      </c>
      <c r="N1914" s="190"/>
      <c r="O1914" s="40">
        <f t="shared" ca="1" si="275"/>
        <v>0.38915250878215657</v>
      </c>
      <c r="P1914" s="51">
        <f t="shared" si="273"/>
        <v>0</v>
      </c>
      <c r="Q1914" s="51">
        <f t="shared" si="274"/>
        <v>0</v>
      </c>
      <c r="R1914" s="51">
        <f t="shared" si="278"/>
        <v>0</v>
      </c>
      <c r="S1914"/>
      <c r="T1914" s="83"/>
    </row>
    <row r="1915" spans="1:20" ht="16" x14ac:dyDescent="0.2">
      <c r="A1915"/>
      <c r="B1915" s="103"/>
      <c r="C1915" s="243"/>
      <c r="D1915" s="119">
        <v>1902</v>
      </c>
      <c r="E1915" s="25" t="str">
        <f>Tp_Non_CHG!D176</f>
        <v>Transition Probability from state 5 to state 6 on day 5 (Non-CHG)</v>
      </c>
      <c r="F1915" s="40">
        <f t="shared" si="272"/>
        <v>0</v>
      </c>
      <c r="G1915" s="156">
        <v>1</v>
      </c>
      <c r="H1915" s="120">
        <f>Tp_Non_CHG!G176</f>
        <v>0</v>
      </c>
      <c r="I1915" s="40" t="s">
        <v>58</v>
      </c>
      <c r="J1915" s="40">
        <f t="shared" si="276"/>
        <v>0</v>
      </c>
      <c r="K1915" s="40">
        <f t="shared" si="277"/>
        <v>0</v>
      </c>
      <c r="L1915" s="40" t="s">
        <v>58</v>
      </c>
      <c r="M1915" s="50" t="s">
        <v>266</v>
      </c>
      <c r="N1915" s="190"/>
      <c r="O1915" s="40">
        <f t="shared" ca="1" si="275"/>
        <v>9.4548653602575805E-2</v>
      </c>
      <c r="P1915" s="51">
        <f t="shared" si="273"/>
        <v>0</v>
      </c>
      <c r="Q1915" s="51">
        <f t="shared" si="274"/>
        <v>0</v>
      </c>
      <c r="R1915" s="51">
        <f t="shared" si="278"/>
        <v>0</v>
      </c>
      <c r="S1915"/>
      <c r="T1915" s="83"/>
    </row>
    <row r="1916" spans="1:20" ht="16" x14ac:dyDescent="0.2">
      <c r="A1916"/>
      <c r="B1916" s="103"/>
      <c r="C1916" s="243"/>
      <c r="D1916" s="119">
        <v>1903</v>
      </c>
      <c r="E1916" s="25" t="str">
        <f>Tp_Non_CHG!D177</f>
        <v>Transition Probability from state 5 to state 6 on day 6 (Non-CHG)</v>
      </c>
      <c r="F1916" s="40">
        <f t="shared" si="272"/>
        <v>0</v>
      </c>
      <c r="G1916" s="156">
        <v>1</v>
      </c>
      <c r="H1916" s="120">
        <f>Tp_Non_CHG!G177</f>
        <v>0</v>
      </c>
      <c r="I1916" s="40" t="s">
        <v>58</v>
      </c>
      <c r="J1916" s="40">
        <f t="shared" si="276"/>
        <v>0</v>
      </c>
      <c r="K1916" s="40">
        <f t="shared" si="277"/>
        <v>0</v>
      </c>
      <c r="L1916" s="40" t="s">
        <v>58</v>
      </c>
      <c r="M1916" s="50" t="s">
        <v>266</v>
      </c>
      <c r="N1916" s="190"/>
      <c r="O1916" s="40">
        <f t="shared" ca="1" si="275"/>
        <v>0.63955862914889294</v>
      </c>
      <c r="P1916" s="51">
        <f t="shared" si="273"/>
        <v>0</v>
      </c>
      <c r="Q1916" s="51">
        <f t="shared" si="274"/>
        <v>0</v>
      </c>
      <c r="R1916" s="51">
        <f t="shared" si="278"/>
        <v>0</v>
      </c>
      <c r="S1916"/>
      <c r="T1916" s="83"/>
    </row>
    <row r="1917" spans="1:20" ht="16" x14ac:dyDescent="0.2">
      <c r="A1917"/>
      <c r="B1917" s="103"/>
      <c r="C1917" s="243"/>
      <c r="D1917" s="119">
        <v>1904</v>
      </c>
      <c r="E1917" s="201" t="str">
        <f>Tp_Non_CHG!D178</f>
        <v>Transition Probability from state 5 to state 6 on day 7 (Non-CHG)</v>
      </c>
      <c r="F1917" s="40">
        <f t="shared" si="272"/>
        <v>1</v>
      </c>
      <c r="G1917" s="156">
        <v>1</v>
      </c>
      <c r="H1917" s="120">
        <f>Tp_Non_CHG!G178</f>
        <v>1</v>
      </c>
      <c r="I1917" s="40" t="s">
        <v>58</v>
      </c>
      <c r="J1917" s="40">
        <f t="shared" si="276"/>
        <v>0.8040036015459946</v>
      </c>
      <c r="K1917" s="40">
        <f t="shared" si="277"/>
        <v>1.1959963984540054</v>
      </c>
      <c r="L1917" s="40" t="s">
        <v>58</v>
      </c>
      <c r="M1917" s="50" t="s">
        <v>266</v>
      </c>
      <c r="N1917" s="190"/>
      <c r="O1917" s="40">
        <f t="shared" ca="1" si="275"/>
        <v>0.55569231022551124</v>
      </c>
      <c r="P1917" s="51">
        <f t="shared" si="273"/>
        <v>-1</v>
      </c>
      <c r="Q1917" s="51">
        <f t="shared" si="274"/>
        <v>0</v>
      </c>
      <c r="R1917" s="51">
        <f t="shared" si="278"/>
        <v>0.1</v>
      </c>
      <c r="S1917"/>
      <c r="T1917" s="83"/>
    </row>
    <row r="1918" spans="1:20" ht="16" x14ac:dyDescent="0.2">
      <c r="A1918"/>
      <c r="B1918" s="103"/>
      <c r="C1918" s="243"/>
      <c r="D1918" s="119">
        <v>1905</v>
      </c>
      <c r="E1918" s="25" t="str">
        <f>Tp_Non_CHG!D179</f>
        <v>Transition Probability from state 5 to state 6 on day 8 (Non-CHG)</v>
      </c>
      <c r="F1918" s="40">
        <f t="shared" si="272"/>
        <v>1</v>
      </c>
      <c r="G1918" s="156">
        <v>1</v>
      </c>
      <c r="H1918" s="120">
        <f>Tp_Non_CHG!G179</f>
        <v>1</v>
      </c>
      <c r="I1918" s="40" t="s">
        <v>58</v>
      </c>
      <c r="J1918" s="40">
        <f t="shared" si="276"/>
        <v>0.8040036015459946</v>
      </c>
      <c r="K1918" s="40">
        <f t="shared" si="277"/>
        <v>1.1959963984540054</v>
      </c>
      <c r="L1918" s="40" t="s">
        <v>58</v>
      </c>
      <c r="M1918" s="50" t="s">
        <v>266</v>
      </c>
      <c r="N1918" s="190"/>
      <c r="O1918" s="40">
        <f t="shared" ca="1" si="275"/>
        <v>0.32956352403022693</v>
      </c>
      <c r="P1918" s="51">
        <f t="shared" si="273"/>
        <v>-1</v>
      </c>
      <c r="Q1918" s="51">
        <f t="shared" si="274"/>
        <v>0</v>
      </c>
      <c r="R1918" s="51">
        <f t="shared" si="278"/>
        <v>0.1</v>
      </c>
      <c r="S1918"/>
      <c r="T1918" s="83"/>
    </row>
    <row r="1919" spans="1:20" ht="16" x14ac:dyDescent="0.2">
      <c r="A1919"/>
      <c r="B1919" s="103"/>
      <c r="C1919" s="243"/>
      <c r="D1919" s="119">
        <v>1906</v>
      </c>
      <c r="E1919" s="25" t="str">
        <f>Tp_Non_CHG!D180</f>
        <v>Transition Probability from state 5 to state 6 on day 9 (Non-CHG)</v>
      </c>
      <c r="F1919" s="40">
        <f t="shared" si="272"/>
        <v>0</v>
      </c>
      <c r="G1919" s="156">
        <v>1</v>
      </c>
      <c r="H1919" s="120">
        <f>Tp_Non_CHG!G180</f>
        <v>0</v>
      </c>
      <c r="I1919" s="40" t="s">
        <v>58</v>
      </c>
      <c r="J1919" s="40">
        <f t="shared" si="276"/>
        <v>0</v>
      </c>
      <c r="K1919" s="40">
        <f t="shared" si="277"/>
        <v>0</v>
      </c>
      <c r="L1919" s="40" t="s">
        <v>58</v>
      </c>
      <c r="M1919" s="50" t="s">
        <v>266</v>
      </c>
      <c r="N1919" s="190"/>
      <c r="O1919" s="40">
        <f t="shared" ca="1" si="275"/>
        <v>0.2129301844023378</v>
      </c>
      <c r="P1919" s="51">
        <f t="shared" si="273"/>
        <v>0</v>
      </c>
      <c r="Q1919" s="51">
        <f t="shared" si="274"/>
        <v>0</v>
      </c>
      <c r="R1919" s="51">
        <f t="shared" si="278"/>
        <v>0</v>
      </c>
      <c r="S1919"/>
      <c r="T1919" s="83"/>
    </row>
    <row r="1920" spans="1:20" ht="16" x14ac:dyDescent="0.2">
      <c r="A1920"/>
      <c r="B1920" s="103"/>
      <c r="C1920" s="243"/>
      <c r="D1920" s="119">
        <v>1907</v>
      </c>
      <c r="E1920" s="25" t="str">
        <f>Tp_Non_CHG!D181</f>
        <v>Transition Probability from state 5 to state 6 on day 10 (Non-CHG)</v>
      </c>
      <c r="F1920" s="40">
        <f t="shared" si="272"/>
        <v>1</v>
      </c>
      <c r="G1920" s="156">
        <v>1</v>
      </c>
      <c r="H1920" s="120">
        <f>Tp_Non_CHG!G181</f>
        <v>1</v>
      </c>
      <c r="I1920" s="40" t="s">
        <v>58</v>
      </c>
      <c r="J1920" s="40">
        <f t="shared" si="276"/>
        <v>0.8040036015459946</v>
      </c>
      <c r="K1920" s="40">
        <f t="shared" si="277"/>
        <v>1.1959963984540054</v>
      </c>
      <c r="L1920" s="40" t="s">
        <v>58</v>
      </c>
      <c r="M1920" s="50" t="s">
        <v>266</v>
      </c>
      <c r="N1920" s="190"/>
      <c r="O1920" s="40">
        <f t="shared" ca="1" si="275"/>
        <v>0.77351089316398236</v>
      </c>
      <c r="P1920" s="51">
        <f t="shared" si="273"/>
        <v>-1</v>
      </c>
      <c r="Q1920" s="51">
        <f t="shared" si="274"/>
        <v>0</v>
      </c>
      <c r="R1920" s="51">
        <f t="shared" si="278"/>
        <v>0.1</v>
      </c>
      <c r="S1920"/>
      <c r="T1920" s="83"/>
    </row>
    <row r="1921" spans="1:20" ht="16" x14ac:dyDescent="0.2">
      <c r="A1921"/>
      <c r="B1921" s="103"/>
      <c r="C1921" s="243"/>
      <c r="D1921" s="119">
        <v>1908</v>
      </c>
      <c r="E1921" s="25" t="str">
        <f>Tp_Non_CHG!D182</f>
        <v>Transition Probability from state 5 to state 6 on day 11 (Non-CHG)</v>
      </c>
      <c r="F1921" s="40">
        <f t="shared" si="272"/>
        <v>0</v>
      </c>
      <c r="G1921" s="156">
        <v>1</v>
      </c>
      <c r="H1921" s="120">
        <f>Tp_Non_CHG!G182</f>
        <v>0</v>
      </c>
      <c r="I1921" s="40" t="s">
        <v>58</v>
      </c>
      <c r="J1921" s="40">
        <f t="shared" si="276"/>
        <v>0</v>
      </c>
      <c r="K1921" s="40">
        <f t="shared" si="277"/>
        <v>0</v>
      </c>
      <c r="L1921" s="40" t="s">
        <v>58</v>
      </c>
      <c r="M1921" s="50" t="s">
        <v>266</v>
      </c>
      <c r="N1921" s="190"/>
      <c r="O1921" s="40">
        <f t="shared" ca="1" si="275"/>
        <v>0.91234597145768981</v>
      </c>
      <c r="P1921" s="51">
        <f t="shared" si="273"/>
        <v>0</v>
      </c>
      <c r="Q1921" s="51">
        <f t="shared" si="274"/>
        <v>0</v>
      </c>
      <c r="R1921" s="51">
        <f t="shared" si="278"/>
        <v>0</v>
      </c>
      <c r="S1921"/>
      <c r="T1921" s="83"/>
    </row>
    <row r="1922" spans="1:20" ht="16" x14ac:dyDescent="0.2">
      <c r="A1922"/>
      <c r="B1922" s="103"/>
      <c r="C1922" s="243"/>
      <c r="D1922" s="119">
        <v>1909</v>
      </c>
      <c r="E1922" s="25" t="str">
        <f>Tp_Non_CHG!D183</f>
        <v>Transition Probability from state 5 to state 6 on day 12 (Non-CHG)</v>
      </c>
      <c r="F1922" s="40">
        <f t="shared" si="272"/>
        <v>0</v>
      </c>
      <c r="G1922" s="156">
        <v>1</v>
      </c>
      <c r="H1922" s="120">
        <f>Tp_Non_CHG!G183</f>
        <v>0</v>
      </c>
      <c r="I1922" s="40" t="s">
        <v>58</v>
      </c>
      <c r="J1922" s="40">
        <f t="shared" si="276"/>
        <v>0</v>
      </c>
      <c r="K1922" s="40">
        <f t="shared" si="277"/>
        <v>0</v>
      </c>
      <c r="L1922" s="40" t="s">
        <v>58</v>
      </c>
      <c r="M1922" s="50" t="s">
        <v>266</v>
      </c>
      <c r="N1922" s="190"/>
      <c r="O1922" s="40">
        <f t="shared" ca="1" si="275"/>
        <v>0.8650599759511225</v>
      </c>
      <c r="P1922" s="51">
        <f t="shared" si="273"/>
        <v>0</v>
      </c>
      <c r="Q1922" s="51">
        <f t="shared" si="274"/>
        <v>0</v>
      </c>
      <c r="R1922" s="51">
        <f t="shared" si="278"/>
        <v>0</v>
      </c>
      <c r="S1922"/>
      <c r="T1922" s="83"/>
    </row>
    <row r="1923" spans="1:20" ht="16" x14ac:dyDescent="0.2">
      <c r="A1923"/>
      <c r="B1923" s="103"/>
      <c r="C1923" s="243"/>
      <c r="D1923" s="119">
        <v>1910</v>
      </c>
      <c r="E1923" s="25" t="str">
        <f>Tp_Non_CHG!D184</f>
        <v>Transition Probability from state 5 to state 6 on day 13 (Non-CHG)</v>
      </c>
      <c r="F1923" s="40">
        <f t="shared" si="272"/>
        <v>1</v>
      </c>
      <c r="G1923" s="156">
        <v>1</v>
      </c>
      <c r="H1923" s="120">
        <f>Tp_Non_CHG!G184</f>
        <v>1</v>
      </c>
      <c r="I1923" s="40" t="s">
        <v>58</v>
      </c>
      <c r="J1923" s="40">
        <f t="shared" si="276"/>
        <v>0.8040036015459946</v>
      </c>
      <c r="K1923" s="40">
        <f t="shared" si="277"/>
        <v>1.1959963984540054</v>
      </c>
      <c r="L1923" s="40" t="s">
        <v>58</v>
      </c>
      <c r="M1923" s="50" t="s">
        <v>266</v>
      </c>
      <c r="N1923" s="190"/>
      <c r="O1923" s="40">
        <f t="shared" ca="1" si="275"/>
        <v>0.59269375210954511</v>
      </c>
      <c r="P1923" s="51">
        <f t="shared" si="273"/>
        <v>-1</v>
      </c>
      <c r="Q1923" s="51">
        <f t="shared" si="274"/>
        <v>0</v>
      </c>
      <c r="R1923" s="51">
        <f t="shared" si="278"/>
        <v>0.1</v>
      </c>
      <c r="S1923"/>
      <c r="T1923" s="83"/>
    </row>
    <row r="1924" spans="1:20" ht="16" x14ac:dyDescent="0.2">
      <c r="A1924"/>
      <c r="B1924" s="103"/>
      <c r="C1924" s="243"/>
      <c r="D1924" s="119">
        <v>1911</v>
      </c>
      <c r="E1924" s="25" t="str">
        <f>Tp_Non_CHG!D185</f>
        <v>Transition Probability from state 5 to state 6 on day 14 (Non-CHG)</v>
      </c>
      <c r="F1924" s="40">
        <f t="shared" si="272"/>
        <v>0</v>
      </c>
      <c r="G1924" s="156">
        <v>1</v>
      </c>
      <c r="H1924" s="120">
        <f>Tp_Non_CHG!G185</f>
        <v>0</v>
      </c>
      <c r="I1924" s="40" t="s">
        <v>58</v>
      </c>
      <c r="J1924" s="40">
        <f t="shared" si="276"/>
        <v>0</v>
      </c>
      <c r="K1924" s="40">
        <f t="shared" si="277"/>
        <v>0</v>
      </c>
      <c r="L1924" s="40" t="s">
        <v>58</v>
      </c>
      <c r="M1924" s="50" t="s">
        <v>266</v>
      </c>
      <c r="N1924" s="190"/>
      <c r="O1924" s="40">
        <f t="shared" ca="1" si="275"/>
        <v>0.26007598812464217</v>
      </c>
      <c r="P1924" s="51">
        <f t="shared" si="273"/>
        <v>0</v>
      </c>
      <c r="Q1924" s="51">
        <f t="shared" si="274"/>
        <v>0</v>
      </c>
      <c r="R1924" s="51">
        <f t="shared" si="278"/>
        <v>0</v>
      </c>
      <c r="S1924"/>
      <c r="T1924" s="83"/>
    </row>
    <row r="1925" spans="1:20" ht="16" x14ac:dyDescent="0.2">
      <c r="A1925"/>
      <c r="B1925" s="103"/>
      <c r="C1925" s="243"/>
      <c r="D1925" s="119">
        <v>1912</v>
      </c>
      <c r="E1925" s="25" t="str">
        <f>Tp_Non_CHG!D186</f>
        <v>Transition Probability from state 5 to state 6 on day 15 (Non-CHG)</v>
      </c>
      <c r="F1925" s="40">
        <f t="shared" si="272"/>
        <v>0</v>
      </c>
      <c r="G1925" s="156">
        <v>1</v>
      </c>
      <c r="H1925" s="120">
        <f>Tp_Non_CHG!G186</f>
        <v>0</v>
      </c>
      <c r="I1925" s="40" t="s">
        <v>58</v>
      </c>
      <c r="J1925" s="40">
        <f t="shared" si="276"/>
        <v>0</v>
      </c>
      <c r="K1925" s="40">
        <f t="shared" si="277"/>
        <v>0</v>
      </c>
      <c r="L1925" s="40" t="s">
        <v>58</v>
      </c>
      <c r="M1925" s="50" t="s">
        <v>266</v>
      </c>
      <c r="N1925" s="190"/>
      <c r="O1925" s="40">
        <f t="shared" ca="1" si="275"/>
        <v>0.26563428696966085</v>
      </c>
      <c r="P1925" s="51">
        <f t="shared" si="273"/>
        <v>0</v>
      </c>
      <c r="Q1925" s="51">
        <f t="shared" si="274"/>
        <v>0</v>
      </c>
      <c r="R1925" s="51">
        <f t="shared" si="278"/>
        <v>0</v>
      </c>
      <c r="S1925"/>
      <c r="T1925" s="83"/>
    </row>
    <row r="1926" spans="1:20" ht="16" x14ac:dyDescent="0.2">
      <c r="A1926"/>
      <c r="B1926" s="103"/>
      <c r="C1926" s="243"/>
      <c r="D1926" s="119">
        <v>1913</v>
      </c>
      <c r="E1926" s="25" t="str">
        <f>Tp_Non_CHG!D187</f>
        <v>Transition Probability from state 5 to state 6 on day 16 (Non-CHG)</v>
      </c>
      <c r="F1926" s="40">
        <f t="shared" si="272"/>
        <v>0</v>
      </c>
      <c r="G1926" s="156">
        <v>1</v>
      </c>
      <c r="H1926" s="120">
        <f>Tp_Non_CHG!G187</f>
        <v>0</v>
      </c>
      <c r="I1926" s="40" t="s">
        <v>58</v>
      </c>
      <c r="J1926" s="40">
        <f t="shared" si="276"/>
        <v>0</v>
      </c>
      <c r="K1926" s="40">
        <f t="shared" si="277"/>
        <v>0</v>
      </c>
      <c r="L1926" s="40" t="s">
        <v>58</v>
      </c>
      <c r="M1926" s="50" t="s">
        <v>266</v>
      </c>
      <c r="N1926" s="190"/>
      <c r="O1926" s="40">
        <f t="shared" ca="1" si="275"/>
        <v>8.8998756697994841E-2</v>
      </c>
      <c r="P1926" s="51">
        <f t="shared" si="273"/>
        <v>0</v>
      </c>
      <c r="Q1926" s="51">
        <f t="shared" si="274"/>
        <v>0</v>
      </c>
      <c r="R1926" s="51">
        <f t="shared" si="278"/>
        <v>0</v>
      </c>
      <c r="S1926"/>
      <c r="T1926" s="83"/>
    </row>
    <row r="1927" spans="1:20" ht="16" x14ac:dyDescent="0.2">
      <c r="A1927"/>
      <c r="B1927" s="103"/>
      <c r="C1927" s="243"/>
      <c r="D1927" s="119">
        <v>1914</v>
      </c>
      <c r="E1927" s="25" t="str">
        <f>Tp_Non_CHG!D188</f>
        <v>Transition Probability from state 5 to state 6 on day 17 (Non-CHG)</v>
      </c>
      <c r="F1927" s="40">
        <f t="shared" si="272"/>
        <v>0</v>
      </c>
      <c r="G1927" s="156">
        <v>1</v>
      </c>
      <c r="H1927" s="120">
        <f>Tp_Non_CHG!G188</f>
        <v>0</v>
      </c>
      <c r="I1927" s="40" t="s">
        <v>58</v>
      </c>
      <c r="J1927" s="40">
        <f t="shared" si="276"/>
        <v>0</v>
      </c>
      <c r="K1927" s="40">
        <f t="shared" si="277"/>
        <v>0</v>
      </c>
      <c r="L1927" s="40" t="s">
        <v>58</v>
      </c>
      <c r="M1927" s="50" t="s">
        <v>266</v>
      </c>
      <c r="N1927" s="190"/>
      <c r="O1927" s="40">
        <f t="shared" ca="1" si="275"/>
        <v>0.19305616593377106</v>
      </c>
      <c r="P1927" s="51">
        <f t="shared" si="273"/>
        <v>0</v>
      </c>
      <c r="Q1927" s="51">
        <f t="shared" si="274"/>
        <v>0</v>
      </c>
      <c r="R1927" s="51">
        <f t="shared" si="278"/>
        <v>0</v>
      </c>
      <c r="S1927"/>
      <c r="T1927" s="83"/>
    </row>
    <row r="1928" spans="1:20" ht="16" x14ac:dyDescent="0.2">
      <c r="A1928"/>
      <c r="B1928" s="103"/>
      <c r="C1928" s="243"/>
      <c r="D1928" s="119">
        <v>1915</v>
      </c>
      <c r="E1928" s="25" t="str">
        <f>Tp_Non_CHG!D189</f>
        <v>Transition Probability from state 5 to state 6 on day 18 (Non-CHG)</v>
      </c>
      <c r="F1928" s="40">
        <f t="shared" si="272"/>
        <v>1</v>
      </c>
      <c r="G1928" s="156">
        <v>1</v>
      </c>
      <c r="H1928" s="120">
        <f>Tp_Non_CHG!G189</f>
        <v>1</v>
      </c>
      <c r="I1928" s="40" t="s">
        <v>58</v>
      </c>
      <c r="J1928" s="40">
        <f t="shared" si="276"/>
        <v>0.8040036015459946</v>
      </c>
      <c r="K1928" s="40">
        <f t="shared" si="277"/>
        <v>1.1959963984540054</v>
      </c>
      <c r="L1928" s="40" t="s">
        <v>58</v>
      </c>
      <c r="M1928" s="50" t="s">
        <v>266</v>
      </c>
      <c r="N1928" s="190"/>
      <c r="O1928" s="40">
        <f t="shared" ca="1" si="275"/>
        <v>0.53314254410653661</v>
      </c>
      <c r="P1928" s="51">
        <f t="shared" si="273"/>
        <v>-1</v>
      </c>
      <c r="Q1928" s="51">
        <f t="shared" si="274"/>
        <v>0</v>
      </c>
      <c r="R1928" s="51">
        <f t="shared" si="278"/>
        <v>0.1</v>
      </c>
      <c r="S1928"/>
      <c r="T1928" s="83"/>
    </row>
    <row r="1929" spans="1:20" ht="16" x14ac:dyDescent="0.2">
      <c r="A1929"/>
      <c r="B1929" s="103"/>
      <c r="C1929" s="243"/>
      <c r="D1929" s="119">
        <v>1916</v>
      </c>
      <c r="E1929" s="25" t="str">
        <f>Tp_Non_CHG!D190</f>
        <v>Transition Probability from state 5 to state 6 on day 19 (Non-CHG)</v>
      </c>
      <c r="F1929" s="40">
        <f t="shared" si="272"/>
        <v>0</v>
      </c>
      <c r="G1929" s="156">
        <v>1</v>
      </c>
      <c r="H1929" s="120">
        <f>Tp_Non_CHG!G190</f>
        <v>0</v>
      </c>
      <c r="I1929" s="40" t="s">
        <v>58</v>
      </c>
      <c r="J1929" s="40">
        <f t="shared" si="276"/>
        <v>0</v>
      </c>
      <c r="K1929" s="40">
        <f t="shared" si="277"/>
        <v>0</v>
      </c>
      <c r="L1929" s="40" t="s">
        <v>58</v>
      </c>
      <c r="M1929" s="50" t="s">
        <v>266</v>
      </c>
      <c r="N1929" s="190"/>
      <c r="O1929" s="40">
        <f t="shared" ca="1" si="275"/>
        <v>0.13402982268974672</v>
      </c>
      <c r="P1929" s="51">
        <f t="shared" si="273"/>
        <v>0</v>
      </c>
      <c r="Q1929" s="51">
        <f t="shared" si="274"/>
        <v>0</v>
      </c>
      <c r="R1929" s="51">
        <f t="shared" si="278"/>
        <v>0</v>
      </c>
      <c r="S1929"/>
      <c r="T1929" s="83"/>
    </row>
    <row r="1930" spans="1:20" ht="16" x14ac:dyDescent="0.2">
      <c r="A1930"/>
      <c r="B1930" s="103"/>
      <c r="C1930" s="243"/>
      <c r="D1930" s="119">
        <v>1917</v>
      </c>
      <c r="E1930" s="25" t="str">
        <f>Tp_Non_CHG!D191</f>
        <v>Transition Probability from state 5 to state 6 on day 20 (Non-CHG)</v>
      </c>
      <c r="F1930" s="40">
        <f t="shared" si="272"/>
        <v>0</v>
      </c>
      <c r="G1930" s="156">
        <v>1</v>
      </c>
      <c r="H1930" s="120">
        <f>Tp_Non_CHG!G191</f>
        <v>0</v>
      </c>
      <c r="I1930" s="40" t="s">
        <v>58</v>
      </c>
      <c r="J1930" s="40">
        <f t="shared" si="276"/>
        <v>0</v>
      </c>
      <c r="K1930" s="40">
        <f t="shared" si="277"/>
        <v>0</v>
      </c>
      <c r="L1930" s="40" t="s">
        <v>58</v>
      </c>
      <c r="M1930" s="50" t="s">
        <v>266</v>
      </c>
      <c r="N1930" s="190"/>
      <c r="O1930" s="40">
        <f t="shared" ca="1" si="275"/>
        <v>0.13580908759592303</v>
      </c>
      <c r="P1930" s="51">
        <f t="shared" si="273"/>
        <v>0</v>
      </c>
      <c r="Q1930" s="51">
        <f t="shared" si="274"/>
        <v>0</v>
      </c>
      <c r="R1930" s="51">
        <f t="shared" si="278"/>
        <v>0</v>
      </c>
      <c r="S1930"/>
      <c r="T1930" s="83"/>
    </row>
    <row r="1931" spans="1:20" ht="16" x14ac:dyDescent="0.2">
      <c r="A1931"/>
      <c r="B1931" s="103"/>
      <c r="C1931" s="243"/>
      <c r="D1931" s="119">
        <v>1918</v>
      </c>
      <c r="E1931" s="25" t="str">
        <f>Tp_Non_CHG!D192</f>
        <v>Transition Probability from state 5 to state 6 on day 21 (Non-CHG)</v>
      </c>
      <c r="F1931" s="40">
        <f t="shared" si="272"/>
        <v>1</v>
      </c>
      <c r="G1931" s="156">
        <v>1</v>
      </c>
      <c r="H1931" s="120">
        <f>Tp_Non_CHG!G192</f>
        <v>1</v>
      </c>
      <c r="I1931" s="40" t="s">
        <v>58</v>
      </c>
      <c r="J1931" s="40">
        <f t="shared" si="276"/>
        <v>0.8040036015459946</v>
      </c>
      <c r="K1931" s="40">
        <f t="shared" si="277"/>
        <v>1.1959963984540054</v>
      </c>
      <c r="L1931" s="40" t="s">
        <v>58</v>
      </c>
      <c r="M1931" s="50" t="s">
        <v>266</v>
      </c>
      <c r="N1931" s="190"/>
      <c r="O1931" s="40">
        <f t="shared" ca="1" si="275"/>
        <v>0.51342581450009406</v>
      </c>
      <c r="P1931" s="51">
        <f t="shared" si="273"/>
        <v>-1</v>
      </c>
      <c r="Q1931" s="51">
        <f t="shared" si="274"/>
        <v>0</v>
      </c>
      <c r="R1931" s="51">
        <f t="shared" si="278"/>
        <v>0.1</v>
      </c>
      <c r="S1931"/>
      <c r="T1931" s="83"/>
    </row>
    <row r="1932" spans="1:20" ht="16" x14ac:dyDescent="0.2">
      <c r="A1932"/>
      <c r="B1932" s="103"/>
      <c r="C1932" s="243"/>
      <c r="D1932" s="119">
        <v>1919</v>
      </c>
      <c r="E1932" s="25" t="str">
        <f>Tp_Non_CHG!D193</f>
        <v>Transition Probability from state 5 to state 6 on day 22 (Non-CHG)</v>
      </c>
      <c r="F1932" s="40">
        <f t="shared" si="272"/>
        <v>0</v>
      </c>
      <c r="G1932" s="156">
        <v>1</v>
      </c>
      <c r="H1932" s="120">
        <f>Tp_Non_CHG!G193</f>
        <v>0</v>
      </c>
      <c r="I1932" s="40" t="s">
        <v>58</v>
      </c>
      <c r="J1932" s="40">
        <f t="shared" si="276"/>
        <v>0</v>
      </c>
      <c r="K1932" s="40">
        <f t="shared" si="277"/>
        <v>0</v>
      </c>
      <c r="L1932" s="40" t="s">
        <v>58</v>
      </c>
      <c r="M1932" s="50" t="s">
        <v>266</v>
      </c>
      <c r="N1932" s="190"/>
      <c r="O1932" s="40">
        <f t="shared" ca="1" si="275"/>
        <v>0.31264887023602228</v>
      </c>
      <c r="P1932" s="51">
        <f t="shared" si="273"/>
        <v>0</v>
      </c>
      <c r="Q1932" s="51">
        <f t="shared" si="274"/>
        <v>0</v>
      </c>
      <c r="R1932" s="51">
        <f t="shared" si="278"/>
        <v>0</v>
      </c>
      <c r="S1932"/>
      <c r="T1932" s="83"/>
    </row>
    <row r="1933" spans="1:20" ht="16" x14ac:dyDescent="0.2">
      <c r="A1933"/>
      <c r="B1933" s="103"/>
      <c r="C1933" s="243"/>
      <c r="D1933" s="119">
        <v>1920</v>
      </c>
      <c r="E1933" s="25" t="str">
        <f>Tp_Non_CHG!D194</f>
        <v>Transition Probability from state 5 to state 6 on day 23 (Non-CHG)</v>
      </c>
      <c r="F1933" s="40">
        <f t="shared" si="272"/>
        <v>0</v>
      </c>
      <c r="G1933" s="156">
        <v>1</v>
      </c>
      <c r="H1933" s="120">
        <f>Tp_Non_CHG!G194</f>
        <v>0</v>
      </c>
      <c r="I1933" s="40" t="s">
        <v>58</v>
      </c>
      <c r="J1933" s="40">
        <f t="shared" si="276"/>
        <v>0</v>
      </c>
      <c r="K1933" s="40">
        <f t="shared" si="277"/>
        <v>0</v>
      </c>
      <c r="L1933" s="40" t="s">
        <v>58</v>
      </c>
      <c r="M1933" s="50" t="s">
        <v>266</v>
      </c>
      <c r="N1933" s="190"/>
      <c r="O1933" s="40">
        <f t="shared" ca="1" si="275"/>
        <v>0.48590299190263719</v>
      </c>
      <c r="P1933" s="51">
        <f t="shared" si="273"/>
        <v>0</v>
      </c>
      <c r="Q1933" s="51">
        <f t="shared" si="274"/>
        <v>0</v>
      </c>
      <c r="R1933" s="51">
        <f t="shared" si="278"/>
        <v>0</v>
      </c>
      <c r="S1933"/>
      <c r="T1933" s="83"/>
    </row>
    <row r="1934" spans="1:20" ht="16" x14ac:dyDescent="0.2">
      <c r="A1934"/>
      <c r="B1934" s="103"/>
      <c r="C1934" s="243"/>
      <c r="D1934" s="119">
        <v>1921</v>
      </c>
      <c r="E1934" s="25" t="str">
        <f>Tp_Non_CHG!D195</f>
        <v>Transition Probability from state 5 to state 6 on day 24 (Non-CHG)</v>
      </c>
      <c r="F1934" s="40">
        <f t="shared" si="272"/>
        <v>1</v>
      </c>
      <c r="G1934" s="156">
        <v>1</v>
      </c>
      <c r="H1934" s="120">
        <f>Tp_Non_CHG!G195</f>
        <v>1</v>
      </c>
      <c r="I1934" s="40" t="s">
        <v>58</v>
      </c>
      <c r="J1934" s="40">
        <f t="shared" si="276"/>
        <v>0.8040036015459946</v>
      </c>
      <c r="K1934" s="40">
        <f t="shared" si="277"/>
        <v>1.1959963984540054</v>
      </c>
      <c r="L1934" s="40" t="s">
        <v>58</v>
      </c>
      <c r="M1934" s="50" t="s">
        <v>266</v>
      </c>
      <c r="N1934" s="190"/>
      <c r="O1934" s="40">
        <f t="shared" ca="1" si="275"/>
        <v>4.3313570917743571E-2</v>
      </c>
      <c r="P1934" s="51">
        <f t="shared" si="273"/>
        <v>-1</v>
      </c>
      <c r="Q1934" s="51">
        <f t="shared" si="274"/>
        <v>0</v>
      </c>
      <c r="R1934" s="51">
        <f t="shared" si="278"/>
        <v>0.1</v>
      </c>
      <c r="S1934"/>
      <c r="T1934" s="83"/>
    </row>
    <row r="1935" spans="1:20" ht="16" x14ac:dyDescent="0.2">
      <c r="A1935"/>
      <c r="B1935" s="103"/>
      <c r="C1935" s="243"/>
      <c r="D1935" s="119">
        <v>1922</v>
      </c>
      <c r="E1935" s="25" t="str">
        <f>Tp_Non_CHG!D196</f>
        <v>Transition Probability from state 5 to state 6 on day 25 (Non-CHG)</v>
      </c>
      <c r="F1935" s="40">
        <f t="shared" ref="F1935:F1998" si="279">IFERROR(CHOOSE(G1935,H1935,J1935,K1935,N1935),0)</f>
        <v>0</v>
      </c>
      <c r="G1935" s="156">
        <v>1</v>
      </c>
      <c r="H1935" s="120">
        <f>Tp_Non_CHG!G196</f>
        <v>0</v>
      </c>
      <c r="I1935" s="40" t="s">
        <v>58</v>
      </c>
      <c r="J1935" s="40">
        <f t="shared" si="276"/>
        <v>0</v>
      </c>
      <c r="K1935" s="40">
        <f t="shared" si="277"/>
        <v>0</v>
      </c>
      <c r="L1935" s="40" t="s">
        <v>58</v>
      </c>
      <c r="M1935" s="50" t="s">
        <v>266</v>
      </c>
      <c r="N1935" s="190"/>
      <c r="O1935" s="40">
        <f t="shared" ca="1" si="275"/>
        <v>0.76558150596418928</v>
      </c>
      <c r="P1935" s="51">
        <f t="shared" si="273"/>
        <v>0</v>
      </c>
      <c r="Q1935" s="51">
        <f t="shared" si="274"/>
        <v>0</v>
      </c>
      <c r="R1935" s="51">
        <f t="shared" si="278"/>
        <v>0</v>
      </c>
      <c r="S1935"/>
      <c r="T1935" s="83"/>
    </row>
    <row r="1936" spans="1:20" ht="16" x14ac:dyDescent="0.2">
      <c r="A1936"/>
      <c r="B1936" s="103"/>
      <c r="C1936" s="243"/>
      <c r="D1936" s="119">
        <v>1923</v>
      </c>
      <c r="E1936" s="25" t="str">
        <f>Tp_Non_CHG!D197</f>
        <v>Transition Probability from state 5 to state 6 on day 26 (Non-CHG)</v>
      </c>
      <c r="F1936" s="40">
        <f t="shared" si="279"/>
        <v>1</v>
      </c>
      <c r="G1936" s="156">
        <v>1</v>
      </c>
      <c r="H1936" s="120">
        <f>Tp_Non_CHG!G197</f>
        <v>1</v>
      </c>
      <c r="I1936" s="40" t="s">
        <v>58</v>
      </c>
      <c r="J1936" s="40">
        <f t="shared" si="276"/>
        <v>0.8040036015459946</v>
      </c>
      <c r="K1936" s="40">
        <f t="shared" si="277"/>
        <v>1.1959963984540054</v>
      </c>
      <c r="L1936" s="40" t="s">
        <v>58</v>
      </c>
      <c r="M1936" s="50" t="s">
        <v>266</v>
      </c>
      <c r="N1936" s="190"/>
      <c r="O1936" s="40">
        <f t="shared" ca="1" si="275"/>
        <v>0.28423133408254853</v>
      </c>
      <c r="P1936" s="51">
        <f t="shared" si="273"/>
        <v>-1</v>
      </c>
      <c r="Q1936" s="51">
        <f t="shared" si="274"/>
        <v>0</v>
      </c>
      <c r="R1936" s="51">
        <f t="shared" si="278"/>
        <v>0.1</v>
      </c>
      <c r="S1936"/>
      <c r="T1936" s="83"/>
    </row>
    <row r="1937" spans="1:20" ht="16" x14ac:dyDescent="0.2">
      <c r="A1937"/>
      <c r="B1937" s="103"/>
      <c r="C1937" s="243"/>
      <c r="D1937" s="119">
        <v>1924</v>
      </c>
      <c r="E1937" s="25" t="str">
        <f>Tp_Non_CHG!D198</f>
        <v>Transition Probability from state 5 to state 6 on day 27 (Non-CHG)</v>
      </c>
      <c r="F1937" s="40">
        <f t="shared" si="279"/>
        <v>0</v>
      </c>
      <c r="G1937" s="156">
        <v>1</v>
      </c>
      <c r="H1937" s="120">
        <f>Tp_Non_CHG!G198</f>
        <v>0</v>
      </c>
      <c r="I1937" s="40" t="s">
        <v>58</v>
      </c>
      <c r="J1937" s="40">
        <f t="shared" si="276"/>
        <v>0</v>
      </c>
      <c r="K1937" s="40">
        <f t="shared" si="277"/>
        <v>0</v>
      </c>
      <c r="L1937" s="40" t="s">
        <v>58</v>
      </c>
      <c r="M1937" s="50" t="s">
        <v>266</v>
      </c>
      <c r="N1937" s="190"/>
      <c r="O1937" s="40">
        <f t="shared" ca="1" si="275"/>
        <v>0.90703698348012585</v>
      </c>
      <c r="P1937" s="51">
        <f t="shared" ref="P1937:P2000" si="280">IFERROR(H1937*((H1937*(1-H1937)/(R1937^2))-1),0)</f>
        <v>0</v>
      </c>
      <c r="Q1937" s="51">
        <f t="shared" ref="Q1937:Q2000" si="281">IFERROR((1-H1937)*((H1937*(1-H1937))/(R1937^2)-1),0)</f>
        <v>0</v>
      </c>
      <c r="R1937" s="51">
        <f t="shared" si="278"/>
        <v>0</v>
      </c>
      <c r="S1937"/>
      <c r="T1937" s="83"/>
    </row>
    <row r="1938" spans="1:20" ht="16" x14ac:dyDescent="0.2">
      <c r="A1938"/>
      <c r="B1938" s="103"/>
      <c r="C1938" s="243"/>
      <c r="D1938" s="119">
        <v>1925</v>
      </c>
      <c r="E1938" s="25" t="str">
        <f>Tp_Non_CHG!D199</f>
        <v>Transition Probability from state 5 to state 6 on day 28 (Non-CHG)</v>
      </c>
      <c r="F1938" s="40">
        <f t="shared" si="279"/>
        <v>0</v>
      </c>
      <c r="G1938" s="156">
        <v>1</v>
      </c>
      <c r="H1938" s="120">
        <f>Tp_Non_CHG!G199</f>
        <v>0</v>
      </c>
      <c r="I1938" s="40" t="s">
        <v>58</v>
      </c>
      <c r="J1938" s="40">
        <f t="shared" si="276"/>
        <v>0</v>
      </c>
      <c r="K1938" s="40">
        <f t="shared" si="277"/>
        <v>0</v>
      </c>
      <c r="L1938" s="40" t="s">
        <v>58</v>
      </c>
      <c r="M1938" s="50" t="s">
        <v>266</v>
      </c>
      <c r="N1938" s="190"/>
      <c r="O1938" s="40">
        <f t="shared" ca="1" si="275"/>
        <v>0.69928621109819067</v>
      </c>
      <c r="P1938" s="51">
        <f t="shared" si="280"/>
        <v>0</v>
      </c>
      <c r="Q1938" s="51">
        <f t="shared" si="281"/>
        <v>0</v>
      </c>
      <c r="R1938" s="51">
        <f t="shared" si="278"/>
        <v>0</v>
      </c>
      <c r="S1938"/>
      <c r="T1938" s="83"/>
    </row>
    <row r="1939" spans="1:20" ht="16" x14ac:dyDescent="0.2">
      <c r="A1939"/>
      <c r="B1939" s="103"/>
      <c r="C1939" s="243"/>
      <c r="D1939" s="119">
        <v>1926</v>
      </c>
      <c r="E1939" s="25" t="str">
        <f>Tp_Non_CHG!D200</f>
        <v>Transition Probability from state 5 to state 6 on day 29 (Non-CHG)</v>
      </c>
      <c r="F1939" s="40">
        <f t="shared" si="279"/>
        <v>1</v>
      </c>
      <c r="G1939" s="156">
        <v>1</v>
      </c>
      <c r="H1939" s="120">
        <f>Tp_Non_CHG!G200</f>
        <v>1</v>
      </c>
      <c r="I1939" s="40" t="s">
        <v>58</v>
      </c>
      <c r="J1939" s="40">
        <f t="shared" si="276"/>
        <v>0.8040036015459946</v>
      </c>
      <c r="K1939" s="40">
        <f t="shared" si="277"/>
        <v>1.1959963984540054</v>
      </c>
      <c r="L1939" s="40" t="s">
        <v>58</v>
      </c>
      <c r="M1939" s="50" t="s">
        <v>266</v>
      </c>
      <c r="N1939" s="190"/>
      <c r="O1939" s="40">
        <f t="shared" ca="1" si="275"/>
        <v>0.59342221854427202</v>
      </c>
      <c r="P1939" s="51">
        <f t="shared" si="280"/>
        <v>-1</v>
      </c>
      <c r="Q1939" s="51">
        <f t="shared" si="281"/>
        <v>0</v>
      </c>
      <c r="R1939" s="51">
        <f t="shared" si="278"/>
        <v>0.1</v>
      </c>
      <c r="S1939"/>
      <c r="T1939" s="83"/>
    </row>
    <row r="1940" spans="1:20" ht="16" x14ac:dyDescent="0.2">
      <c r="A1940"/>
      <c r="B1940" s="103"/>
      <c r="C1940" s="243"/>
      <c r="D1940" s="119">
        <v>1927</v>
      </c>
      <c r="E1940" s="25" t="str">
        <f>Tp_Non_CHG!D201</f>
        <v>Transition Probability from state 5 to state 6 on day 30 (Non-CHG)</v>
      </c>
      <c r="F1940" s="40">
        <f t="shared" si="279"/>
        <v>1</v>
      </c>
      <c r="G1940" s="156">
        <v>1</v>
      </c>
      <c r="H1940" s="120">
        <f>Tp_Non_CHG!G201</f>
        <v>1</v>
      </c>
      <c r="I1940" s="40" t="s">
        <v>58</v>
      </c>
      <c r="J1940" s="40">
        <f t="shared" si="276"/>
        <v>0.8040036015459946</v>
      </c>
      <c r="K1940" s="40">
        <f t="shared" si="277"/>
        <v>1.1959963984540054</v>
      </c>
      <c r="L1940" s="40" t="s">
        <v>58</v>
      </c>
      <c r="M1940" s="50" t="s">
        <v>266</v>
      </c>
      <c r="N1940" s="190"/>
      <c r="O1940" s="40">
        <f t="shared" ca="1" si="275"/>
        <v>0.93631083486326916</v>
      </c>
      <c r="P1940" s="51">
        <f t="shared" si="280"/>
        <v>-1</v>
      </c>
      <c r="Q1940" s="51">
        <f t="shared" si="281"/>
        <v>0</v>
      </c>
      <c r="R1940" s="51">
        <f t="shared" si="278"/>
        <v>0.1</v>
      </c>
      <c r="S1940"/>
      <c r="T1940" s="83"/>
    </row>
    <row r="1941" spans="1:20" ht="16" x14ac:dyDescent="0.2">
      <c r="A1941"/>
      <c r="B1941" s="103"/>
      <c r="C1941" s="243"/>
      <c r="D1941" s="119">
        <v>1928</v>
      </c>
      <c r="E1941" s="25" t="str">
        <f>Tp_Non_CHG!I204</f>
        <v>Transition Probability from state 2 to state 7 on day 1 (Non-CHG)</v>
      </c>
      <c r="F1941" s="40">
        <f t="shared" si="279"/>
        <v>0</v>
      </c>
      <c r="G1941" s="156">
        <v>1</v>
      </c>
      <c r="H1941" s="120">
        <f>Tp_Non_CHG!L204</f>
        <v>0</v>
      </c>
      <c r="I1941" s="40" t="s">
        <v>58</v>
      </c>
      <c r="J1941" s="40">
        <f t="shared" si="276"/>
        <v>0</v>
      </c>
      <c r="K1941" s="40">
        <f t="shared" si="277"/>
        <v>0</v>
      </c>
      <c r="L1941" s="40" t="s">
        <v>58</v>
      </c>
      <c r="M1941" s="50" t="s">
        <v>266</v>
      </c>
      <c r="N1941" s="190"/>
      <c r="O1941" s="40">
        <f t="shared" ref="O1941:O1974" ca="1" si="282">RAND()</f>
        <v>3.8139418924272528E-2</v>
      </c>
      <c r="P1941" s="51">
        <f t="shared" si="280"/>
        <v>0</v>
      </c>
      <c r="Q1941" s="51">
        <f t="shared" si="281"/>
        <v>0</v>
      </c>
      <c r="R1941" s="51">
        <f t="shared" si="278"/>
        <v>0</v>
      </c>
      <c r="S1941"/>
      <c r="T1941" s="83"/>
    </row>
    <row r="1942" spans="1:20" ht="16" x14ac:dyDescent="0.2">
      <c r="A1942"/>
      <c r="B1942" s="103"/>
      <c r="C1942" s="243"/>
      <c r="D1942" s="119">
        <v>1929</v>
      </c>
      <c r="E1942" s="25" t="str">
        <f>Tp_Non_CHG!I205</f>
        <v>Transition Probability from state 2 to state 7 on day 2 (Non-CHG)</v>
      </c>
      <c r="F1942" s="40">
        <f t="shared" si="279"/>
        <v>0</v>
      </c>
      <c r="G1942" s="156">
        <v>1</v>
      </c>
      <c r="H1942" s="120">
        <f>Tp_Non_CHG!L205</f>
        <v>0</v>
      </c>
      <c r="I1942" s="40" t="s">
        <v>58</v>
      </c>
      <c r="J1942" s="40">
        <f t="shared" si="276"/>
        <v>0</v>
      </c>
      <c r="K1942" s="40">
        <f t="shared" si="277"/>
        <v>0</v>
      </c>
      <c r="L1942" s="40" t="s">
        <v>58</v>
      </c>
      <c r="M1942" s="50" t="s">
        <v>266</v>
      </c>
      <c r="N1942" s="190"/>
      <c r="O1942" s="40">
        <f t="shared" ca="1" si="282"/>
        <v>0.70655010025271081</v>
      </c>
      <c r="P1942" s="51">
        <f t="shared" si="280"/>
        <v>0</v>
      </c>
      <c r="Q1942" s="51">
        <f t="shared" si="281"/>
        <v>0</v>
      </c>
      <c r="R1942" s="51">
        <f t="shared" si="278"/>
        <v>0</v>
      </c>
      <c r="S1942"/>
      <c r="T1942" s="83"/>
    </row>
    <row r="1943" spans="1:20" ht="16" x14ac:dyDescent="0.2">
      <c r="A1943"/>
      <c r="B1943" s="103"/>
      <c r="C1943" s="243"/>
      <c r="D1943" s="119">
        <v>1930</v>
      </c>
      <c r="E1943" s="25" t="str">
        <f>Tp_Non_CHG!I206</f>
        <v>Transition Probability from state 2 to state 7 on day 3 (Non-CHG)</v>
      </c>
      <c r="F1943" s="40">
        <f t="shared" si="279"/>
        <v>0</v>
      </c>
      <c r="G1943" s="156">
        <v>1</v>
      </c>
      <c r="H1943" s="120">
        <f>Tp_Non_CHG!L206</f>
        <v>0</v>
      </c>
      <c r="I1943" s="40" t="s">
        <v>58</v>
      </c>
      <c r="J1943" s="40">
        <f t="shared" ref="J1943:J2004" si="283">IF(H1943=0,0,_xlfn.NORM.INV(0.025,H1943,R1943))</f>
        <v>0</v>
      </c>
      <c r="K1943" s="40">
        <f t="shared" ref="K1943:K2004" si="284">IF(H1943=0,0,_xlfn.NORM.INV(0.975,H1943,R1943))</f>
        <v>0</v>
      </c>
      <c r="L1943" s="40" t="s">
        <v>58</v>
      </c>
      <c r="M1943" s="50" t="s">
        <v>266</v>
      </c>
      <c r="N1943" s="190"/>
      <c r="O1943" s="40">
        <f t="shared" ca="1" si="282"/>
        <v>2.5114955993076782E-2</v>
      </c>
      <c r="P1943" s="51">
        <f t="shared" si="280"/>
        <v>0</v>
      </c>
      <c r="Q1943" s="51">
        <f t="shared" si="281"/>
        <v>0</v>
      </c>
      <c r="R1943" s="51">
        <f t="shared" ref="R1943:R2004" si="285">assumedSE*H1943</f>
        <v>0</v>
      </c>
      <c r="S1943"/>
      <c r="T1943" s="83"/>
    </row>
    <row r="1944" spans="1:20" ht="16" x14ac:dyDescent="0.2">
      <c r="A1944"/>
      <c r="B1944" s="103"/>
      <c r="C1944" s="243"/>
      <c r="D1944" s="119">
        <v>1931</v>
      </c>
      <c r="E1944" s="25" t="str">
        <f>Tp_Non_CHG!I207</f>
        <v>Transition Probability from state 2 to state 7 on day 4 (Non-CHG)</v>
      </c>
      <c r="F1944" s="40">
        <f t="shared" si="279"/>
        <v>0</v>
      </c>
      <c r="G1944" s="156">
        <v>1</v>
      </c>
      <c r="H1944" s="120">
        <f>Tp_Non_CHG!L207</f>
        <v>0</v>
      </c>
      <c r="I1944" s="40" t="s">
        <v>58</v>
      </c>
      <c r="J1944" s="40">
        <f t="shared" si="283"/>
        <v>0</v>
      </c>
      <c r="K1944" s="40">
        <f t="shared" si="284"/>
        <v>0</v>
      </c>
      <c r="L1944" s="40" t="s">
        <v>58</v>
      </c>
      <c r="M1944" s="50" t="s">
        <v>266</v>
      </c>
      <c r="N1944" s="190"/>
      <c r="O1944" s="40">
        <f t="shared" ca="1" si="282"/>
        <v>0.75957860941222766</v>
      </c>
      <c r="P1944" s="51">
        <f t="shared" si="280"/>
        <v>0</v>
      </c>
      <c r="Q1944" s="51">
        <f t="shared" si="281"/>
        <v>0</v>
      </c>
      <c r="R1944" s="51">
        <f t="shared" si="285"/>
        <v>0</v>
      </c>
      <c r="S1944"/>
      <c r="T1944" s="83"/>
    </row>
    <row r="1945" spans="1:20" ht="16" x14ac:dyDescent="0.2">
      <c r="A1945"/>
      <c r="B1945" s="103"/>
      <c r="C1945" s="243"/>
      <c r="D1945" s="119">
        <v>1932</v>
      </c>
      <c r="E1945" s="25" t="str">
        <f>Tp_Non_CHG!I208</f>
        <v>Transition Probability from state 2 to state 7 on day 5 (Non-CHG)</v>
      </c>
      <c r="F1945" s="40">
        <f t="shared" si="279"/>
        <v>0</v>
      </c>
      <c r="G1945" s="156">
        <v>1</v>
      </c>
      <c r="H1945" s="120">
        <f>Tp_Non_CHG!L208</f>
        <v>0</v>
      </c>
      <c r="I1945" s="40" t="s">
        <v>58</v>
      </c>
      <c r="J1945" s="40">
        <f t="shared" si="283"/>
        <v>0</v>
      </c>
      <c r="K1945" s="40">
        <f t="shared" si="284"/>
        <v>0</v>
      </c>
      <c r="L1945" s="40" t="s">
        <v>58</v>
      </c>
      <c r="M1945" s="50" t="s">
        <v>266</v>
      </c>
      <c r="N1945" s="190"/>
      <c r="O1945" s="40">
        <f t="shared" ca="1" si="282"/>
        <v>0.2266577775058406</v>
      </c>
      <c r="P1945" s="51">
        <f t="shared" si="280"/>
        <v>0</v>
      </c>
      <c r="Q1945" s="51">
        <f t="shared" si="281"/>
        <v>0</v>
      </c>
      <c r="R1945" s="51">
        <f t="shared" si="285"/>
        <v>0</v>
      </c>
      <c r="S1945"/>
      <c r="T1945" s="83"/>
    </row>
    <row r="1946" spans="1:20" ht="16" x14ac:dyDescent="0.2">
      <c r="A1946"/>
      <c r="B1946" s="103"/>
      <c r="C1946" s="243"/>
      <c r="D1946" s="119">
        <v>1933</v>
      </c>
      <c r="E1946" s="25" t="str">
        <f>Tp_Non_CHG!I209</f>
        <v>Transition Probability from state 2 to state 7 on day 6 (Non-CHG)</v>
      </c>
      <c r="F1946" s="40">
        <f t="shared" si="279"/>
        <v>0</v>
      </c>
      <c r="G1946" s="156">
        <v>1</v>
      </c>
      <c r="H1946" s="120">
        <f>Tp_Non_CHG!L209</f>
        <v>0</v>
      </c>
      <c r="I1946" s="40" t="s">
        <v>58</v>
      </c>
      <c r="J1946" s="40">
        <f t="shared" si="283"/>
        <v>0</v>
      </c>
      <c r="K1946" s="40">
        <f t="shared" si="284"/>
        <v>0</v>
      </c>
      <c r="L1946" s="40" t="s">
        <v>58</v>
      </c>
      <c r="M1946" s="50" t="s">
        <v>266</v>
      </c>
      <c r="N1946" s="190"/>
      <c r="O1946" s="40">
        <f t="shared" ca="1" si="282"/>
        <v>0.55078605850364948</v>
      </c>
      <c r="P1946" s="51">
        <f t="shared" si="280"/>
        <v>0</v>
      </c>
      <c r="Q1946" s="51">
        <f t="shared" si="281"/>
        <v>0</v>
      </c>
      <c r="R1946" s="51">
        <f t="shared" si="285"/>
        <v>0</v>
      </c>
      <c r="S1946"/>
      <c r="T1946" s="83"/>
    </row>
    <row r="1947" spans="1:20" ht="16" x14ac:dyDescent="0.2">
      <c r="A1947"/>
      <c r="B1947" s="103"/>
      <c r="C1947" s="243"/>
      <c r="D1947" s="119">
        <v>1934</v>
      </c>
      <c r="E1947" s="25" t="str">
        <f>Tp_Non_CHG!I210</f>
        <v>Transition Probability from state 2 to state 7 on day 7 (Non-CHG)</v>
      </c>
      <c r="F1947" s="40">
        <f t="shared" si="279"/>
        <v>0</v>
      </c>
      <c r="G1947" s="156">
        <v>1</v>
      </c>
      <c r="H1947" s="120">
        <f>Tp_Non_CHG!L210</f>
        <v>0</v>
      </c>
      <c r="I1947" s="40" t="s">
        <v>58</v>
      </c>
      <c r="J1947" s="40">
        <f t="shared" si="283"/>
        <v>0</v>
      </c>
      <c r="K1947" s="40">
        <f t="shared" si="284"/>
        <v>0</v>
      </c>
      <c r="L1947" s="40" t="s">
        <v>58</v>
      </c>
      <c r="M1947" s="50" t="s">
        <v>266</v>
      </c>
      <c r="N1947" s="190"/>
      <c r="O1947" s="40">
        <f t="shared" ca="1" si="282"/>
        <v>0.96745433497481659</v>
      </c>
      <c r="P1947" s="51">
        <f t="shared" si="280"/>
        <v>0</v>
      </c>
      <c r="Q1947" s="51">
        <f t="shared" si="281"/>
        <v>0</v>
      </c>
      <c r="R1947" s="51">
        <f t="shared" si="285"/>
        <v>0</v>
      </c>
      <c r="S1947"/>
      <c r="T1947" s="83"/>
    </row>
    <row r="1948" spans="1:20" ht="16" x14ac:dyDescent="0.2">
      <c r="A1948"/>
      <c r="B1948" s="103"/>
      <c r="C1948" s="243"/>
      <c r="D1948" s="119">
        <v>1935</v>
      </c>
      <c r="E1948" s="25" t="str">
        <f>Tp_Non_CHG!I211</f>
        <v>Transition Probability from state 2 to state 7 on day 8 (Non-CHG)</v>
      </c>
      <c r="F1948" s="40">
        <f t="shared" si="279"/>
        <v>0</v>
      </c>
      <c r="G1948" s="156">
        <v>1</v>
      </c>
      <c r="H1948" s="120">
        <f>Tp_Non_CHG!L211</f>
        <v>0</v>
      </c>
      <c r="I1948" s="40" t="s">
        <v>58</v>
      </c>
      <c r="J1948" s="40">
        <f t="shared" si="283"/>
        <v>0</v>
      </c>
      <c r="K1948" s="40">
        <f t="shared" si="284"/>
        <v>0</v>
      </c>
      <c r="L1948" s="40" t="s">
        <v>58</v>
      </c>
      <c r="M1948" s="50" t="s">
        <v>266</v>
      </c>
      <c r="N1948" s="190"/>
      <c r="O1948" s="40">
        <f t="shared" ca="1" si="282"/>
        <v>0.8609176623319541</v>
      </c>
      <c r="P1948" s="51">
        <f t="shared" si="280"/>
        <v>0</v>
      </c>
      <c r="Q1948" s="51">
        <f t="shared" si="281"/>
        <v>0</v>
      </c>
      <c r="R1948" s="51">
        <f t="shared" si="285"/>
        <v>0</v>
      </c>
      <c r="S1948"/>
      <c r="T1948" s="83"/>
    </row>
    <row r="1949" spans="1:20" ht="16" x14ac:dyDescent="0.2">
      <c r="A1949"/>
      <c r="B1949" s="103"/>
      <c r="C1949" s="243"/>
      <c r="D1949" s="119">
        <v>1936</v>
      </c>
      <c r="E1949" s="25" t="str">
        <f>Tp_Non_CHG!I212</f>
        <v>Transition Probability from state 2 to state 7 on day 9 (Non-CHG)</v>
      </c>
      <c r="F1949" s="40">
        <f t="shared" si="279"/>
        <v>0</v>
      </c>
      <c r="G1949" s="156">
        <v>1</v>
      </c>
      <c r="H1949" s="120">
        <f>Tp_Non_CHG!L212</f>
        <v>0</v>
      </c>
      <c r="I1949" s="40" t="s">
        <v>58</v>
      </c>
      <c r="J1949" s="40">
        <f t="shared" si="283"/>
        <v>0</v>
      </c>
      <c r="K1949" s="40">
        <f t="shared" si="284"/>
        <v>0</v>
      </c>
      <c r="L1949" s="40" t="s">
        <v>58</v>
      </c>
      <c r="M1949" s="50" t="s">
        <v>266</v>
      </c>
      <c r="N1949" s="190"/>
      <c r="O1949" s="40">
        <f t="shared" ca="1" si="282"/>
        <v>0.5221686364795104</v>
      </c>
      <c r="P1949" s="51">
        <f t="shared" si="280"/>
        <v>0</v>
      </c>
      <c r="Q1949" s="51">
        <f t="shared" si="281"/>
        <v>0</v>
      </c>
      <c r="R1949" s="51">
        <f t="shared" si="285"/>
        <v>0</v>
      </c>
      <c r="S1949"/>
      <c r="T1949" s="83"/>
    </row>
    <row r="1950" spans="1:20" ht="16" x14ac:dyDescent="0.2">
      <c r="A1950"/>
      <c r="B1950" s="103"/>
      <c r="C1950" s="243"/>
      <c r="D1950" s="119">
        <v>1937</v>
      </c>
      <c r="E1950" s="25" t="str">
        <f>Tp_Non_CHG!I213</f>
        <v>Transition Probability from state 2 to state 7 on day 10 (Non-CHG)</v>
      </c>
      <c r="F1950" s="40">
        <f t="shared" si="279"/>
        <v>0</v>
      </c>
      <c r="G1950" s="156">
        <v>1</v>
      </c>
      <c r="H1950" s="120">
        <f>Tp_Non_CHG!L213</f>
        <v>0</v>
      </c>
      <c r="I1950" s="40" t="s">
        <v>58</v>
      </c>
      <c r="J1950" s="40">
        <f t="shared" si="283"/>
        <v>0</v>
      </c>
      <c r="K1950" s="40">
        <f t="shared" si="284"/>
        <v>0</v>
      </c>
      <c r="L1950" s="40" t="s">
        <v>58</v>
      </c>
      <c r="M1950" s="50" t="s">
        <v>266</v>
      </c>
      <c r="N1950" s="190"/>
      <c r="O1950" s="40">
        <f t="shared" ca="1" si="282"/>
        <v>0.10846772599646903</v>
      </c>
      <c r="P1950" s="51">
        <f t="shared" si="280"/>
        <v>0</v>
      </c>
      <c r="Q1950" s="51">
        <f t="shared" si="281"/>
        <v>0</v>
      </c>
      <c r="R1950" s="51">
        <f t="shared" si="285"/>
        <v>0</v>
      </c>
      <c r="S1950"/>
      <c r="T1950" s="83"/>
    </row>
    <row r="1951" spans="1:20" ht="16" x14ac:dyDescent="0.2">
      <c r="A1951"/>
      <c r="B1951" s="103"/>
      <c r="C1951" s="243"/>
      <c r="D1951" s="119">
        <v>1938</v>
      </c>
      <c r="E1951" s="25" t="str">
        <f>Tp_Non_CHG!I214</f>
        <v>Transition Probability from state 2 to state 7 on day 11 (Non-CHG)</v>
      </c>
      <c r="F1951" s="40">
        <f t="shared" si="279"/>
        <v>0</v>
      </c>
      <c r="G1951" s="156">
        <v>1</v>
      </c>
      <c r="H1951" s="120">
        <f>Tp_Non_CHG!L214</f>
        <v>0</v>
      </c>
      <c r="I1951" s="40" t="s">
        <v>58</v>
      </c>
      <c r="J1951" s="40">
        <f t="shared" si="283"/>
        <v>0</v>
      </c>
      <c r="K1951" s="40">
        <f t="shared" si="284"/>
        <v>0</v>
      </c>
      <c r="L1951" s="40" t="s">
        <v>58</v>
      </c>
      <c r="M1951" s="50" t="s">
        <v>266</v>
      </c>
      <c r="N1951" s="190"/>
      <c r="O1951" s="40">
        <f t="shared" ca="1" si="282"/>
        <v>0.32226397394434125</v>
      </c>
      <c r="P1951" s="51">
        <f t="shared" si="280"/>
        <v>0</v>
      </c>
      <c r="Q1951" s="51">
        <f t="shared" si="281"/>
        <v>0</v>
      </c>
      <c r="R1951" s="51">
        <f t="shared" si="285"/>
        <v>0</v>
      </c>
      <c r="S1951"/>
      <c r="T1951" s="83"/>
    </row>
    <row r="1952" spans="1:20" ht="16" x14ac:dyDescent="0.2">
      <c r="A1952"/>
      <c r="B1952" s="103"/>
      <c r="C1952" s="243"/>
      <c r="D1952" s="119">
        <v>1939</v>
      </c>
      <c r="E1952" s="25" t="str">
        <f>Tp_Non_CHG!I215</f>
        <v>Transition Probability from state 2 to state 7 on day 12 (Non-CHG)</v>
      </c>
      <c r="F1952" s="40">
        <f t="shared" si="279"/>
        <v>0</v>
      </c>
      <c r="G1952" s="156">
        <v>1</v>
      </c>
      <c r="H1952" s="120">
        <f>Tp_Non_CHG!L215</f>
        <v>0</v>
      </c>
      <c r="I1952" s="40" t="s">
        <v>58</v>
      </c>
      <c r="J1952" s="40">
        <f t="shared" si="283"/>
        <v>0</v>
      </c>
      <c r="K1952" s="40">
        <f t="shared" si="284"/>
        <v>0</v>
      </c>
      <c r="L1952" s="40" t="s">
        <v>58</v>
      </c>
      <c r="M1952" s="50" t="s">
        <v>266</v>
      </c>
      <c r="N1952" s="190"/>
      <c r="O1952" s="40">
        <f t="shared" ca="1" si="282"/>
        <v>0.55004928873459924</v>
      </c>
      <c r="P1952" s="51">
        <f t="shared" si="280"/>
        <v>0</v>
      </c>
      <c r="Q1952" s="51">
        <f t="shared" si="281"/>
        <v>0</v>
      </c>
      <c r="R1952" s="51">
        <f t="shared" si="285"/>
        <v>0</v>
      </c>
      <c r="S1952"/>
      <c r="T1952" s="83"/>
    </row>
    <row r="1953" spans="1:20" ht="16" x14ac:dyDescent="0.2">
      <c r="A1953"/>
      <c r="B1953" s="103"/>
      <c r="C1953" s="243"/>
      <c r="D1953" s="119">
        <v>1940</v>
      </c>
      <c r="E1953" s="25" t="str">
        <f>Tp_Non_CHG!I216</f>
        <v>Transition Probability from state 2 to state 7 on day 13 (Non-CHG)</v>
      </c>
      <c r="F1953" s="40">
        <f t="shared" si="279"/>
        <v>0</v>
      </c>
      <c r="G1953" s="156">
        <v>1</v>
      </c>
      <c r="H1953" s="120">
        <f>Tp_Non_CHG!L216</f>
        <v>0</v>
      </c>
      <c r="I1953" s="40" t="s">
        <v>58</v>
      </c>
      <c r="J1953" s="40">
        <f t="shared" si="283"/>
        <v>0</v>
      </c>
      <c r="K1953" s="40">
        <f t="shared" si="284"/>
        <v>0</v>
      </c>
      <c r="L1953" s="40" t="s">
        <v>58</v>
      </c>
      <c r="M1953" s="50" t="s">
        <v>266</v>
      </c>
      <c r="N1953" s="190"/>
      <c r="O1953" s="40">
        <f t="shared" ca="1" si="282"/>
        <v>0.52587037647117618</v>
      </c>
      <c r="P1953" s="51">
        <f t="shared" si="280"/>
        <v>0</v>
      </c>
      <c r="Q1953" s="51">
        <f t="shared" si="281"/>
        <v>0</v>
      </c>
      <c r="R1953" s="51">
        <f t="shared" si="285"/>
        <v>0</v>
      </c>
      <c r="S1953"/>
      <c r="T1953" s="83"/>
    </row>
    <row r="1954" spans="1:20" ht="16" x14ac:dyDescent="0.2">
      <c r="A1954"/>
      <c r="B1954" s="103"/>
      <c r="C1954" s="243"/>
      <c r="D1954" s="119">
        <v>1941</v>
      </c>
      <c r="E1954" s="25" t="str">
        <f>Tp_Non_CHG!I219</f>
        <v>Transition Probability from state 2 to state 7 on day 16 (Non-CHG)</v>
      </c>
      <c r="F1954" s="40">
        <f t="shared" si="279"/>
        <v>0</v>
      </c>
      <c r="G1954" s="156">
        <v>1</v>
      </c>
      <c r="H1954" s="120">
        <f>Tp_Non_CHG!L219</f>
        <v>0</v>
      </c>
      <c r="I1954" s="40" t="s">
        <v>58</v>
      </c>
      <c r="J1954" s="40">
        <f t="shared" si="283"/>
        <v>0</v>
      </c>
      <c r="K1954" s="40">
        <f t="shared" si="284"/>
        <v>0</v>
      </c>
      <c r="L1954" s="40" t="s">
        <v>58</v>
      </c>
      <c r="M1954" s="50" t="s">
        <v>266</v>
      </c>
      <c r="N1954" s="190"/>
      <c r="O1954" s="40">
        <f t="shared" ca="1" si="282"/>
        <v>0.3748354235790925</v>
      </c>
      <c r="P1954" s="51">
        <f t="shared" si="280"/>
        <v>0</v>
      </c>
      <c r="Q1954" s="51">
        <f t="shared" si="281"/>
        <v>0</v>
      </c>
      <c r="R1954" s="51">
        <f t="shared" si="285"/>
        <v>0</v>
      </c>
      <c r="S1954"/>
      <c r="T1954" s="83"/>
    </row>
    <row r="1955" spans="1:20" ht="16" x14ac:dyDescent="0.2">
      <c r="A1955"/>
      <c r="B1955" s="103"/>
      <c r="C1955" s="243"/>
      <c r="D1955" s="119">
        <v>1942</v>
      </c>
      <c r="E1955" s="25" t="str">
        <f>Tp_Non_CHG!I220</f>
        <v>Transition Probability from state 2 to state 7 on day 17 (Non-CHG)</v>
      </c>
      <c r="F1955" s="40">
        <f t="shared" si="279"/>
        <v>0</v>
      </c>
      <c r="G1955" s="156">
        <v>1</v>
      </c>
      <c r="H1955" s="120">
        <f>Tp_Non_CHG!L220</f>
        <v>0</v>
      </c>
      <c r="I1955" s="40" t="s">
        <v>58</v>
      </c>
      <c r="J1955" s="40">
        <f t="shared" si="283"/>
        <v>0</v>
      </c>
      <c r="K1955" s="40">
        <f t="shared" si="284"/>
        <v>0</v>
      </c>
      <c r="L1955" s="40" t="s">
        <v>58</v>
      </c>
      <c r="M1955" s="50" t="s">
        <v>266</v>
      </c>
      <c r="N1955" s="190"/>
      <c r="O1955" s="40">
        <f t="shared" ca="1" si="282"/>
        <v>0.23258699995333254</v>
      </c>
      <c r="P1955" s="51">
        <f t="shared" si="280"/>
        <v>0</v>
      </c>
      <c r="Q1955" s="51">
        <f t="shared" si="281"/>
        <v>0</v>
      </c>
      <c r="R1955" s="51">
        <f t="shared" si="285"/>
        <v>0</v>
      </c>
      <c r="S1955"/>
      <c r="T1955" s="83"/>
    </row>
    <row r="1956" spans="1:20" ht="16" x14ac:dyDescent="0.2">
      <c r="A1956"/>
      <c r="B1956" s="103"/>
      <c r="C1956" s="243"/>
      <c r="D1956" s="119">
        <v>1943</v>
      </c>
      <c r="E1956" s="25" t="str">
        <f>Tp_Non_CHG!I221</f>
        <v>Transition Probability from state 2 to state 7 on day 18 (Non-CHG)</v>
      </c>
      <c r="F1956" s="40">
        <f t="shared" si="279"/>
        <v>0</v>
      </c>
      <c r="G1956" s="156">
        <v>1</v>
      </c>
      <c r="H1956" s="120">
        <f>Tp_Non_CHG!L221</f>
        <v>0</v>
      </c>
      <c r="I1956" s="40" t="s">
        <v>58</v>
      </c>
      <c r="J1956" s="40">
        <f t="shared" si="283"/>
        <v>0</v>
      </c>
      <c r="K1956" s="40">
        <f t="shared" si="284"/>
        <v>0</v>
      </c>
      <c r="L1956" s="40" t="s">
        <v>58</v>
      </c>
      <c r="M1956" s="50" t="s">
        <v>266</v>
      </c>
      <c r="N1956" s="190"/>
      <c r="O1956" s="40">
        <f t="shared" ca="1" si="282"/>
        <v>0.7002896542557534</v>
      </c>
      <c r="P1956" s="51">
        <f t="shared" si="280"/>
        <v>0</v>
      </c>
      <c r="Q1956" s="51">
        <f t="shared" si="281"/>
        <v>0</v>
      </c>
      <c r="R1956" s="51">
        <f t="shared" si="285"/>
        <v>0</v>
      </c>
      <c r="S1956"/>
      <c r="T1956" s="83"/>
    </row>
    <row r="1957" spans="1:20" ht="16" x14ac:dyDescent="0.2">
      <c r="A1957"/>
      <c r="B1957" s="103"/>
      <c r="C1957" s="243"/>
      <c r="D1957" s="119">
        <v>1944</v>
      </c>
      <c r="E1957" s="25" t="str">
        <f>Tp_Non_CHG!I222</f>
        <v>Transition Probability from state 2 to state 7 on day 19 (Non-CHG)</v>
      </c>
      <c r="F1957" s="40">
        <f t="shared" si="279"/>
        <v>0</v>
      </c>
      <c r="G1957" s="156">
        <v>1</v>
      </c>
      <c r="H1957" s="120">
        <f>Tp_Non_CHG!L222</f>
        <v>0</v>
      </c>
      <c r="I1957" s="40" t="s">
        <v>58</v>
      </c>
      <c r="J1957" s="40">
        <f t="shared" si="283"/>
        <v>0</v>
      </c>
      <c r="K1957" s="40">
        <f t="shared" si="284"/>
        <v>0</v>
      </c>
      <c r="L1957" s="40" t="s">
        <v>58</v>
      </c>
      <c r="M1957" s="50" t="s">
        <v>266</v>
      </c>
      <c r="N1957" s="190"/>
      <c r="O1957" s="40">
        <f t="shared" ca="1" si="282"/>
        <v>0.7506176501970977</v>
      </c>
      <c r="P1957" s="51">
        <f t="shared" si="280"/>
        <v>0</v>
      </c>
      <c r="Q1957" s="51">
        <f t="shared" si="281"/>
        <v>0</v>
      </c>
      <c r="R1957" s="51">
        <f t="shared" si="285"/>
        <v>0</v>
      </c>
      <c r="S1957"/>
      <c r="T1957" s="83"/>
    </row>
    <row r="1958" spans="1:20" ht="16" x14ac:dyDescent="0.2">
      <c r="A1958"/>
      <c r="B1958" s="103"/>
      <c r="C1958" s="243"/>
      <c r="D1958" s="119">
        <v>1945</v>
      </c>
      <c r="E1958" s="25" t="str">
        <f>Tp_Non_CHG!I223</f>
        <v>Transition Probability from state 2 to state 7 on day 20 (Non-CHG)</v>
      </c>
      <c r="F1958" s="40">
        <f t="shared" si="279"/>
        <v>0</v>
      </c>
      <c r="G1958" s="156">
        <v>1</v>
      </c>
      <c r="H1958" s="120">
        <f>Tp_Non_CHG!L223</f>
        <v>0</v>
      </c>
      <c r="I1958" s="40" t="s">
        <v>58</v>
      </c>
      <c r="J1958" s="40">
        <f t="shared" si="283"/>
        <v>0</v>
      </c>
      <c r="K1958" s="40">
        <f t="shared" si="284"/>
        <v>0</v>
      </c>
      <c r="L1958" s="40" t="s">
        <v>58</v>
      </c>
      <c r="M1958" s="50" t="s">
        <v>266</v>
      </c>
      <c r="N1958" s="190"/>
      <c r="O1958" s="40">
        <f t="shared" ca="1" si="282"/>
        <v>0.98567766571747595</v>
      </c>
      <c r="P1958" s="51">
        <f t="shared" si="280"/>
        <v>0</v>
      </c>
      <c r="Q1958" s="51">
        <f t="shared" si="281"/>
        <v>0</v>
      </c>
      <c r="R1958" s="51">
        <f t="shared" si="285"/>
        <v>0</v>
      </c>
      <c r="S1958"/>
      <c r="T1958" s="83"/>
    </row>
    <row r="1959" spans="1:20" ht="16" x14ac:dyDescent="0.2">
      <c r="A1959"/>
      <c r="B1959" s="103"/>
      <c r="C1959" s="243"/>
      <c r="D1959" s="119">
        <v>1946</v>
      </c>
      <c r="E1959" s="25" t="str">
        <f>Tp_Non_CHG!I224</f>
        <v>Transition Probability from state 2 to state 7 on day 21 (Non-CHG)</v>
      </c>
      <c r="F1959" s="40">
        <f t="shared" si="279"/>
        <v>0</v>
      </c>
      <c r="G1959" s="156">
        <v>1</v>
      </c>
      <c r="H1959" s="120">
        <f>Tp_Non_CHG!L224</f>
        <v>0</v>
      </c>
      <c r="I1959" s="40" t="s">
        <v>58</v>
      </c>
      <c r="J1959" s="40">
        <f t="shared" si="283"/>
        <v>0</v>
      </c>
      <c r="K1959" s="40">
        <f t="shared" si="284"/>
        <v>0</v>
      </c>
      <c r="L1959" s="40" t="s">
        <v>58</v>
      </c>
      <c r="M1959" s="50" t="s">
        <v>266</v>
      </c>
      <c r="N1959" s="190"/>
      <c r="O1959" s="40">
        <f t="shared" ca="1" si="282"/>
        <v>0.80161443789046161</v>
      </c>
      <c r="P1959" s="51">
        <f t="shared" si="280"/>
        <v>0</v>
      </c>
      <c r="Q1959" s="51">
        <f t="shared" si="281"/>
        <v>0</v>
      </c>
      <c r="R1959" s="51">
        <f t="shared" si="285"/>
        <v>0</v>
      </c>
      <c r="S1959"/>
      <c r="T1959" s="83"/>
    </row>
    <row r="1960" spans="1:20" ht="16" x14ac:dyDescent="0.2">
      <c r="A1960"/>
      <c r="B1960" s="103"/>
      <c r="C1960" s="243"/>
      <c r="D1960" s="119">
        <v>1947</v>
      </c>
      <c r="E1960" s="25" t="str">
        <f>Tp_Non_CHG!I225</f>
        <v>Transition Probability from state 2 to state 7 on day 22 (Non-CHG)</v>
      </c>
      <c r="F1960" s="40">
        <f t="shared" si="279"/>
        <v>0</v>
      </c>
      <c r="G1960" s="156">
        <v>1</v>
      </c>
      <c r="H1960" s="120">
        <f>Tp_Non_CHG!L225</f>
        <v>0</v>
      </c>
      <c r="I1960" s="40" t="s">
        <v>58</v>
      </c>
      <c r="J1960" s="40">
        <f t="shared" si="283"/>
        <v>0</v>
      </c>
      <c r="K1960" s="40">
        <f t="shared" si="284"/>
        <v>0</v>
      </c>
      <c r="L1960" s="40" t="s">
        <v>58</v>
      </c>
      <c r="M1960" s="50" t="s">
        <v>266</v>
      </c>
      <c r="N1960" s="190"/>
      <c r="O1960" s="40">
        <f t="shared" ca="1" si="282"/>
        <v>6.9481657827523691E-2</v>
      </c>
      <c r="P1960" s="51">
        <f t="shared" si="280"/>
        <v>0</v>
      </c>
      <c r="Q1960" s="51">
        <f t="shared" si="281"/>
        <v>0</v>
      </c>
      <c r="R1960" s="51">
        <f t="shared" si="285"/>
        <v>0</v>
      </c>
      <c r="S1960"/>
      <c r="T1960" s="83"/>
    </row>
    <row r="1961" spans="1:20" ht="16" x14ac:dyDescent="0.2">
      <c r="A1961"/>
      <c r="B1961" s="103"/>
      <c r="C1961" s="243"/>
      <c r="D1961" s="119">
        <v>1948</v>
      </c>
      <c r="E1961" s="25" t="str">
        <f>Tp_Non_CHG!I226</f>
        <v>Transition Probability from state 2 to state 7 on day 23 (Non-CHG)</v>
      </c>
      <c r="F1961" s="40">
        <f t="shared" si="279"/>
        <v>0</v>
      </c>
      <c r="G1961" s="156">
        <v>1</v>
      </c>
      <c r="H1961" s="120">
        <f>Tp_Non_CHG!L226</f>
        <v>0</v>
      </c>
      <c r="I1961" s="40" t="s">
        <v>58</v>
      </c>
      <c r="J1961" s="40">
        <f t="shared" si="283"/>
        <v>0</v>
      </c>
      <c r="K1961" s="40">
        <f t="shared" si="284"/>
        <v>0</v>
      </c>
      <c r="L1961" s="40" t="s">
        <v>58</v>
      </c>
      <c r="M1961" s="50" t="s">
        <v>266</v>
      </c>
      <c r="N1961" s="190"/>
      <c r="O1961" s="40">
        <f t="shared" ca="1" si="282"/>
        <v>0.95982185214396742</v>
      </c>
      <c r="P1961" s="51">
        <f t="shared" si="280"/>
        <v>0</v>
      </c>
      <c r="Q1961" s="51">
        <f t="shared" si="281"/>
        <v>0</v>
      </c>
      <c r="R1961" s="51">
        <f t="shared" si="285"/>
        <v>0</v>
      </c>
      <c r="S1961"/>
      <c r="T1961" s="83"/>
    </row>
    <row r="1962" spans="1:20" ht="16" x14ac:dyDescent="0.2">
      <c r="A1962"/>
      <c r="B1962" s="103"/>
      <c r="C1962" s="243"/>
      <c r="D1962" s="119">
        <v>1949</v>
      </c>
      <c r="E1962" s="25" t="str">
        <f>Tp_Non_CHG!I227</f>
        <v>Transition Probability from state 2 to state 7 on day 24 (Non-CHG)</v>
      </c>
      <c r="F1962" s="40">
        <f t="shared" si="279"/>
        <v>0</v>
      </c>
      <c r="G1962" s="156">
        <v>1</v>
      </c>
      <c r="H1962" s="120">
        <f>Tp_Non_CHG!L227</f>
        <v>0</v>
      </c>
      <c r="I1962" s="40" t="s">
        <v>58</v>
      </c>
      <c r="J1962" s="40">
        <f t="shared" si="283"/>
        <v>0</v>
      </c>
      <c r="K1962" s="40">
        <f t="shared" si="284"/>
        <v>0</v>
      </c>
      <c r="L1962" s="40" t="s">
        <v>58</v>
      </c>
      <c r="M1962" s="50" t="s">
        <v>266</v>
      </c>
      <c r="N1962" s="190"/>
      <c r="O1962" s="40">
        <f t="shared" ca="1" si="282"/>
        <v>0.3314866680675207</v>
      </c>
      <c r="P1962" s="51">
        <f t="shared" si="280"/>
        <v>0</v>
      </c>
      <c r="Q1962" s="51">
        <f t="shared" si="281"/>
        <v>0</v>
      </c>
      <c r="R1962" s="51">
        <f t="shared" si="285"/>
        <v>0</v>
      </c>
      <c r="S1962"/>
      <c r="T1962" s="83"/>
    </row>
    <row r="1963" spans="1:20" ht="16" x14ac:dyDescent="0.2">
      <c r="A1963"/>
      <c r="B1963" s="103"/>
      <c r="C1963" s="243"/>
      <c r="D1963" s="119">
        <v>1950</v>
      </c>
      <c r="E1963" s="25" t="str">
        <f>Tp_Non_CHG!I228</f>
        <v>Transition Probability from state 2 to state 7 on day 25 (Non-CHG)</v>
      </c>
      <c r="F1963" s="40">
        <f t="shared" si="279"/>
        <v>0</v>
      </c>
      <c r="G1963" s="156">
        <v>1</v>
      </c>
      <c r="H1963" s="120">
        <f>Tp_Non_CHG!L228</f>
        <v>0</v>
      </c>
      <c r="I1963" s="40" t="s">
        <v>58</v>
      </c>
      <c r="J1963" s="40">
        <f t="shared" si="283"/>
        <v>0</v>
      </c>
      <c r="K1963" s="40">
        <f t="shared" si="284"/>
        <v>0</v>
      </c>
      <c r="L1963" s="40" t="s">
        <v>58</v>
      </c>
      <c r="M1963" s="50" t="s">
        <v>266</v>
      </c>
      <c r="N1963" s="190"/>
      <c r="O1963" s="40">
        <f t="shared" ca="1" si="282"/>
        <v>0.20915939662503613</v>
      </c>
      <c r="P1963" s="51">
        <f t="shared" si="280"/>
        <v>0</v>
      </c>
      <c r="Q1963" s="51">
        <f t="shared" si="281"/>
        <v>0</v>
      </c>
      <c r="R1963" s="51">
        <f t="shared" si="285"/>
        <v>0</v>
      </c>
      <c r="S1963"/>
      <c r="T1963" s="83"/>
    </row>
    <row r="1964" spans="1:20" ht="16" x14ac:dyDescent="0.2">
      <c r="A1964"/>
      <c r="B1964" s="103"/>
      <c r="C1964" s="243"/>
      <c r="D1964" s="119">
        <v>1951</v>
      </c>
      <c r="E1964" s="25" t="str">
        <f>Tp_Non_CHG!I229</f>
        <v>Transition Probability from state 2 to state 7 on day 26 (Non-CHG)</v>
      </c>
      <c r="F1964" s="40">
        <f t="shared" si="279"/>
        <v>0</v>
      </c>
      <c r="G1964" s="156">
        <v>1</v>
      </c>
      <c r="H1964" s="120">
        <f>Tp_Non_CHG!L229</f>
        <v>0</v>
      </c>
      <c r="I1964" s="40" t="s">
        <v>58</v>
      </c>
      <c r="J1964" s="40">
        <f t="shared" si="283"/>
        <v>0</v>
      </c>
      <c r="K1964" s="40">
        <f t="shared" si="284"/>
        <v>0</v>
      </c>
      <c r="L1964" s="40" t="s">
        <v>58</v>
      </c>
      <c r="M1964" s="50" t="s">
        <v>266</v>
      </c>
      <c r="N1964" s="190"/>
      <c r="O1964" s="40">
        <f t="shared" ca="1" si="282"/>
        <v>0.50553936995318116</v>
      </c>
      <c r="P1964" s="51">
        <f t="shared" si="280"/>
        <v>0</v>
      </c>
      <c r="Q1964" s="51">
        <f t="shared" si="281"/>
        <v>0</v>
      </c>
      <c r="R1964" s="51">
        <f t="shared" si="285"/>
        <v>0</v>
      </c>
      <c r="S1964"/>
      <c r="T1964" s="83"/>
    </row>
    <row r="1965" spans="1:20" ht="16" x14ac:dyDescent="0.2">
      <c r="A1965"/>
      <c r="B1965" s="103"/>
      <c r="C1965" s="243"/>
      <c r="D1965" s="119">
        <v>1952</v>
      </c>
      <c r="E1965" s="25" t="str">
        <f>Tp_Non_CHG!I230</f>
        <v>Transition Probability from state 2 to state 7 on day 27 (Non-CHG)</v>
      </c>
      <c r="F1965" s="40">
        <f t="shared" si="279"/>
        <v>0</v>
      </c>
      <c r="G1965" s="156">
        <v>1</v>
      </c>
      <c r="H1965" s="120">
        <f>Tp_Non_CHG!L230</f>
        <v>0</v>
      </c>
      <c r="I1965" s="40" t="s">
        <v>58</v>
      </c>
      <c r="J1965" s="40">
        <f t="shared" si="283"/>
        <v>0</v>
      </c>
      <c r="K1965" s="40">
        <f t="shared" si="284"/>
        <v>0</v>
      </c>
      <c r="L1965" s="40" t="s">
        <v>58</v>
      </c>
      <c r="M1965" s="50" t="s">
        <v>266</v>
      </c>
      <c r="N1965" s="190"/>
      <c r="O1965" s="40">
        <f t="shared" ca="1" si="282"/>
        <v>4.4869596748455032E-2</v>
      </c>
      <c r="P1965" s="51">
        <f t="shared" si="280"/>
        <v>0</v>
      </c>
      <c r="Q1965" s="51">
        <f t="shared" si="281"/>
        <v>0</v>
      </c>
      <c r="R1965" s="51">
        <f t="shared" si="285"/>
        <v>0</v>
      </c>
      <c r="S1965"/>
      <c r="T1965" s="83"/>
    </row>
    <row r="1966" spans="1:20" ht="16" x14ac:dyDescent="0.2">
      <c r="A1966"/>
      <c r="B1966" s="103"/>
      <c r="C1966" s="243"/>
      <c r="D1966" s="119">
        <v>1953</v>
      </c>
      <c r="E1966" s="25" t="str">
        <f>Tp_Non_CHG!I231</f>
        <v>Transition Probability from state 2 to state 7 on day 28 (Non-CHG)</v>
      </c>
      <c r="F1966" s="40">
        <f t="shared" si="279"/>
        <v>0</v>
      </c>
      <c r="G1966" s="156">
        <v>1</v>
      </c>
      <c r="H1966" s="120">
        <f>Tp_Non_CHG!L231</f>
        <v>0</v>
      </c>
      <c r="I1966" s="40" t="s">
        <v>58</v>
      </c>
      <c r="J1966" s="40">
        <f t="shared" si="283"/>
        <v>0</v>
      </c>
      <c r="K1966" s="40">
        <f t="shared" si="284"/>
        <v>0</v>
      </c>
      <c r="L1966" s="40" t="s">
        <v>58</v>
      </c>
      <c r="M1966" s="50" t="s">
        <v>266</v>
      </c>
      <c r="N1966" s="190"/>
      <c r="O1966" s="40">
        <f t="shared" ca="1" si="282"/>
        <v>0.26508356891454743</v>
      </c>
      <c r="P1966" s="51">
        <f t="shared" si="280"/>
        <v>0</v>
      </c>
      <c r="Q1966" s="51">
        <f t="shared" si="281"/>
        <v>0</v>
      </c>
      <c r="R1966" s="51">
        <f t="shared" si="285"/>
        <v>0</v>
      </c>
      <c r="S1966"/>
      <c r="T1966" s="83"/>
    </row>
    <row r="1967" spans="1:20" ht="16" x14ac:dyDescent="0.2">
      <c r="A1967"/>
      <c r="B1967" s="103"/>
      <c r="C1967" s="243"/>
      <c r="D1967" s="119">
        <v>1954</v>
      </c>
      <c r="E1967" s="25" t="str">
        <f>Tp_Non_CHG!I232</f>
        <v>Transition Probability from state 2 to state 7 on day 29 (Non-CHG)</v>
      </c>
      <c r="F1967" s="40">
        <f t="shared" si="279"/>
        <v>0</v>
      </c>
      <c r="G1967" s="156">
        <v>1</v>
      </c>
      <c r="H1967" s="120">
        <f>Tp_Non_CHG!L232</f>
        <v>0</v>
      </c>
      <c r="I1967" s="40" t="s">
        <v>58</v>
      </c>
      <c r="J1967" s="40">
        <f t="shared" si="283"/>
        <v>0</v>
      </c>
      <c r="K1967" s="40">
        <f t="shared" si="284"/>
        <v>0</v>
      </c>
      <c r="L1967" s="40" t="s">
        <v>58</v>
      </c>
      <c r="M1967" s="50" t="s">
        <v>266</v>
      </c>
      <c r="N1967" s="190"/>
      <c r="O1967" s="40">
        <f t="shared" ca="1" si="282"/>
        <v>0.51250736706083355</v>
      </c>
      <c r="P1967" s="51">
        <f t="shared" si="280"/>
        <v>0</v>
      </c>
      <c r="Q1967" s="51">
        <f t="shared" si="281"/>
        <v>0</v>
      </c>
      <c r="R1967" s="51">
        <f t="shared" si="285"/>
        <v>0</v>
      </c>
      <c r="S1967"/>
      <c r="T1967" s="83"/>
    </row>
    <row r="1968" spans="1:20" ht="16" x14ac:dyDescent="0.2">
      <c r="A1968"/>
      <c r="B1968" s="103"/>
      <c r="C1968" s="243"/>
      <c r="D1968" s="119">
        <v>1955</v>
      </c>
      <c r="E1968" s="25" t="str">
        <f>Tp_Non_CHG!I233</f>
        <v>Transition Probability from state 2 to state 7 on day 30 (Non-CHG)</v>
      </c>
      <c r="F1968" s="40">
        <f t="shared" si="279"/>
        <v>0</v>
      </c>
      <c r="G1968" s="156">
        <v>1</v>
      </c>
      <c r="H1968" s="120">
        <f>Tp_Non_CHG!L233</f>
        <v>0</v>
      </c>
      <c r="I1968" s="40" t="s">
        <v>58</v>
      </c>
      <c r="J1968" s="40">
        <f t="shared" si="283"/>
        <v>0</v>
      </c>
      <c r="K1968" s="40">
        <f t="shared" si="284"/>
        <v>0</v>
      </c>
      <c r="L1968" s="40" t="s">
        <v>58</v>
      </c>
      <c r="M1968" s="50" t="s">
        <v>266</v>
      </c>
      <c r="N1968" s="190"/>
      <c r="O1968" s="40">
        <f t="shared" ca="1" si="282"/>
        <v>8.9205080865347841E-2</v>
      </c>
      <c r="P1968" s="51">
        <f t="shared" si="280"/>
        <v>0</v>
      </c>
      <c r="Q1968" s="51">
        <f t="shared" si="281"/>
        <v>0</v>
      </c>
      <c r="R1968" s="51">
        <f t="shared" si="285"/>
        <v>0</v>
      </c>
      <c r="S1968"/>
      <c r="T1968" s="83"/>
    </row>
    <row r="1969" spans="1:20" ht="16" x14ac:dyDescent="0.2">
      <c r="A1969"/>
      <c r="B1969" s="103"/>
      <c r="C1969" s="243"/>
      <c r="D1969" s="119">
        <v>1956</v>
      </c>
      <c r="E1969" s="25" t="str">
        <f>Tp_Non_CHG!N204</f>
        <v>Transition Probability from state 3 to state 7 on day 1 (Non-CHG)</v>
      </c>
      <c r="F1969" s="40">
        <f t="shared" si="279"/>
        <v>0</v>
      </c>
      <c r="G1969" s="156">
        <v>1</v>
      </c>
      <c r="H1969" s="120">
        <f>Tp_Non_CHG!Q204</f>
        <v>0</v>
      </c>
      <c r="I1969" s="40" t="s">
        <v>58</v>
      </c>
      <c r="J1969" s="40">
        <f t="shared" si="283"/>
        <v>0</v>
      </c>
      <c r="K1969" s="40">
        <f t="shared" si="284"/>
        <v>0</v>
      </c>
      <c r="L1969" s="40" t="s">
        <v>58</v>
      </c>
      <c r="M1969" s="50" t="s">
        <v>266</v>
      </c>
      <c r="N1969" s="190"/>
      <c r="O1969" s="40">
        <f t="shared" ca="1" si="282"/>
        <v>0.28128435569291022</v>
      </c>
      <c r="P1969" s="51">
        <f t="shared" si="280"/>
        <v>0</v>
      </c>
      <c r="Q1969" s="51">
        <f t="shared" si="281"/>
        <v>0</v>
      </c>
      <c r="R1969" s="51">
        <f t="shared" si="285"/>
        <v>0</v>
      </c>
      <c r="S1969"/>
      <c r="T1969" s="83"/>
    </row>
    <row r="1970" spans="1:20" ht="16" x14ac:dyDescent="0.2">
      <c r="A1970"/>
      <c r="B1970" s="103"/>
      <c r="C1970" s="243"/>
      <c r="D1970" s="119">
        <v>1957</v>
      </c>
      <c r="E1970" s="25" t="str">
        <f>Tp_Non_CHG!N205</f>
        <v>Transition Probability from state 3 to state 7 on day 2 (Non-CHG)</v>
      </c>
      <c r="F1970" s="40">
        <f t="shared" si="279"/>
        <v>0</v>
      </c>
      <c r="G1970" s="156">
        <v>1</v>
      </c>
      <c r="H1970" s="120">
        <f>Tp_Non_CHG!Q205</f>
        <v>0</v>
      </c>
      <c r="I1970" s="40" t="s">
        <v>58</v>
      </c>
      <c r="J1970" s="40">
        <f t="shared" si="283"/>
        <v>0</v>
      </c>
      <c r="K1970" s="40">
        <f t="shared" si="284"/>
        <v>0</v>
      </c>
      <c r="L1970" s="40" t="s">
        <v>58</v>
      </c>
      <c r="M1970" s="50" t="s">
        <v>266</v>
      </c>
      <c r="N1970" s="190"/>
      <c r="O1970" s="40">
        <f t="shared" ca="1" si="282"/>
        <v>0.25443396355221448</v>
      </c>
      <c r="P1970" s="51">
        <f t="shared" si="280"/>
        <v>0</v>
      </c>
      <c r="Q1970" s="51">
        <f t="shared" si="281"/>
        <v>0</v>
      </c>
      <c r="R1970" s="51">
        <f t="shared" si="285"/>
        <v>0</v>
      </c>
      <c r="S1970"/>
      <c r="T1970" s="83"/>
    </row>
    <row r="1971" spans="1:20" ht="16" x14ac:dyDescent="0.2">
      <c r="A1971"/>
      <c r="B1971" s="103"/>
      <c r="C1971" s="243"/>
      <c r="D1971" s="119">
        <v>1958</v>
      </c>
      <c r="E1971" s="25" t="str">
        <f>Tp_Non_CHG!N206</f>
        <v>Transition Probability from state 3 to state 7 on day 3 (Non-CHG)</v>
      </c>
      <c r="F1971" s="40">
        <f t="shared" si="279"/>
        <v>0</v>
      </c>
      <c r="G1971" s="156">
        <v>1</v>
      </c>
      <c r="H1971" s="120">
        <f>Tp_Non_CHG!Q206</f>
        <v>0</v>
      </c>
      <c r="I1971" s="40" t="s">
        <v>58</v>
      </c>
      <c r="J1971" s="40">
        <f t="shared" si="283"/>
        <v>0</v>
      </c>
      <c r="K1971" s="40">
        <f t="shared" si="284"/>
        <v>0</v>
      </c>
      <c r="L1971" s="40" t="s">
        <v>58</v>
      </c>
      <c r="M1971" s="50" t="s">
        <v>266</v>
      </c>
      <c r="N1971" s="190"/>
      <c r="O1971" s="40">
        <f t="shared" ca="1" si="282"/>
        <v>0.46305195733507032</v>
      </c>
      <c r="P1971" s="51">
        <f t="shared" si="280"/>
        <v>0</v>
      </c>
      <c r="Q1971" s="51">
        <f t="shared" si="281"/>
        <v>0</v>
      </c>
      <c r="R1971" s="51">
        <f t="shared" si="285"/>
        <v>0</v>
      </c>
      <c r="S1971"/>
      <c r="T1971" s="83"/>
    </row>
    <row r="1972" spans="1:20" ht="16" x14ac:dyDescent="0.2">
      <c r="A1972"/>
      <c r="B1972" s="103"/>
      <c r="C1972" s="243"/>
      <c r="D1972" s="119">
        <v>1959</v>
      </c>
      <c r="E1972" s="25" t="str">
        <f>Tp_Non_CHG!N207</f>
        <v>Transition Probability from state 3 to state 7 on day 4 (Non-CHG)</v>
      </c>
      <c r="F1972" s="40">
        <f t="shared" si="279"/>
        <v>0</v>
      </c>
      <c r="G1972" s="156">
        <v>1</v>
      </c>
      <c r="H1972" s="120">
        <f>Tp_Non_CHG!Q207</f>
        <v>0</v>
      </c>
      <c r="I1972" s="40" t="s">
        <v>58</v>
      </c>
      <c r="J1972" s="40">
        <f t="shared" si="283"/>
        <v>0</v>
      </c>
      <c r="K1972" s="40">
        <f t="shared" si="284"/>
        <v>0</v>
      </c>
      <c r="L1972" s="40" t="s">
        <v>58</v>
      </c>
      <c r="M1972" s="50" t="s">
        <v>266</v>
      </c>
      <c r="N1972" s="190"/>
      <c r="O1972" s="40">
        <f t="shared" ca="1" si="282"/>
        <v>0.88920989693353125</v>
      </c>
      <c r="P1972" s="51">
        <f t="shared" si="280"/>
        <v>0</v>
      </c>
      <c r="Q1972" s="51">
        <f t="shared" si="281"/>
        <v>0</v>
      </c>
      <c r="R1972" s="51">
        <f t="shared" si="285"/>
        <v>0</v>
      </c>
      <c r="S1972"/>
      <c r="T1972" s="83"/>
    </row>
    <row r="1973" spans="1:20" ht="16" x14ac:dyDescent="0.2">
      <c r="A1973"/>
      <c r="B1973" s="103"/>
      <c r="C1973" s="243"/>
      <c r="D1973" s="119">
        <v>1960</v>
      </c>
      <c r="E1973" s="25" t="str">
        <f>Tp_Non_CHG!N208</f>
        <v>Transition Probability from state 3 to state 7 on day 5 (Non-CHG)</v>
      </c>
      <c r="F1973" s="40">
        <f t="shared" si="279"/>
        <v>0</v>
      </c>
      <c r="G1973" s="156">
        <v>1</v>
      </c>
      <c r="H1973" s="120">
        <f>Tp_Non_CHG!Q208</f>
        <v>0</v>
      </c>
      <c r="I1973" s="40" t="s">
        <v>58</v>
      </c>
      <c r="J1973" s="40">
        <f t="shared" si="283"/>
        <v>0</v>
      </c>
      <c r="K1973" s="40">
        <f t="shared" si="284"/>
        <v>0</v>
      </c>
      <c r="L1973" s="40" t="s">
        <v>58</v>
      </c>
      <c r="M1973" s="50" t="s">
        <v>266</v>
      </c>
      <c r="N1973" s="190"/>
      <c r="O1973" s="40">
        <f t="shared" ca="1" si="282"/>
        <v>0.96372303078123733</v>
      </c>
      <c r="P1973" s="51">
        <f t="shared" si="280"/>
        <v>0</v>
      </c>
      <c r="Q1973" s="51">
        <f t="shared" si="281"/>
        <v>0</v>
      </c>
      <c r="R1973" s="51">
        <f t="shared" si="285"/>
        <v>0</v>
      </c>
      <c r="S1973"/>
      <c r="T1973" s="83"/>
    </row>
    <row r="1974" spans="1:20" ht="16" x14ac:dyDescent="0.2">
      <c r="A1974"/>
      <c r="B1974" s="103"/>
      <c r="C1974" s="243"/>
      <c r="D1974" s="119">
        <v>1961</v>
      </c>
      <c r="E1974" s="25" t="str">
        <f>Tp_Non_CHG!N209</f>
        <v>Transition Probability from state 3 to state 7 on day 6 (Non-CHG)</v>
      </c>
      <c r="F1974" s="40">
        <f t="shared" si="279"/>
        <v>0</v>
      </c>
      <c r="G1974" s="156">
        <v>1</v>
      </c>
      <c r="H1974" s="120">
        <f>Tp_Non_CHG!Q209</f>
        <v>0</v>
      </c>
      <c r="I1974" s="40" t="s">
        <v>58</v>
      </c>
      <c r="J1974" s="40">
        <f t="shared" si="283"/>
        <v>0</v>
      </c>
      <c r="K1974" s="40">
        <f t="shared" si="284"/>
        <v>0</v>
      </c>
      <c r="L1974" s="40" t="s">
        <v>58</v>
      </c>
      <c r="M1974" s="50" t="s">
        <v>266</v>
      </c>
      <c r="N1974" s="190"/>
      <c r="O1974" s="40">
        <f t="shared" ca="1" si="282"/>
        <v>0.77291867290002325</v>
      </c>
      <c r="P1974" s="51">
        <f t="shared" si="280"/>
        <v>0</v>
      </c>
      <c r="Q1974" s="51">
        <f t="shared" si="281"/>
        <v>0</v>
      </c>
      <c r="R1974" s="51">
        <f t="shared" si="285"/>
        <v>0</v>
      </c>
      <c r="S1974"/>
      <c r="T1974" s="83"/>
    </row>
    <row r="1975" spans="1:20" ht="16" x14ac:dyDescent="0.2">
      <c r="A1975"/>
      <c r="B1975" s="103"/>
      <c r="C1975" s="243"/>
      <c r="D1975" s="119">
        <v>1962</v>
      </c>
      <c r="E1975" s="25" t="str">
        <f>Tp_Non_CHG!N210</f>
        <v>Transition Probability from state 3 to state 7 on day 7 (Non-CHG)</v>
      </c>
      <c r="F1975" s="40">
        <f t="shared" si="279"/>
        <v>0</v>
      </c>
      <c r="G1975" s="156">
        <v>1</v>
      </c>
      <c r="H1975" s="120">
        <f>Tp_Non_CHG!Q210</f>
        <v>0</v>
      </c>
      <c r="I1975" s="40" t="s">
        <v>58</v>
      </c>
      <c r="J1975" s="40">
        <f t="shared" si="283"/>
        <v>0</v>
      </c>
      <c r="K1975" s="40">
        <f t="shared" si="284"/>
        <v>0</v>
      </c>
      <c r="L1975" s="40" t="s">
        <v>58</v>
      </c>
      <c r="M1975" s="50" t="s">
        <v>266</v>
      </c>
      <c r="N1975" s="190"/>
      <c r="O1975" s="40">
        <f t="shared" ref="O1975:O2037" ca="1" si="286">RAND()</f>
        <v>3.3152451682980089E-2</v>
      </c>
      <c r="P1975" s="51">
        <f t="shared" si="280"/>
        <v>0</v>
      </c>
      <c r="Q1975" s="51">
        <f t="shared" si="281"/>
        <v>0</v>
      </c>
      <c r="R1975" s="51">
        <f t="shared" si="285"/>
        <v>0</v>
      </c>
      <c r="S1975"/>
      <c r="T1975" s="83"/>
    </row>
    <row r="1976" spans="1:20" ht="16" x14ac:dyDescent="0.2">
      <c r="A1976"/>
      <c r="B1976" s="103"/>
      <c r="C1976" s="243"/>
      <c r="D1976" s="119">
        <v>1963</v>
      </c>
      <c r="E1976" s="25" t="str">
        <f>Tp_Non_CHG!N211</f>
        <v>Transition Probability from state 3 to state 7 on day 8 (Non-CHG)</v>
      </c>
      <c r="F1976" s="40">
        <f t="shared" si="279"/>
        <v>0</v>
      </c>
      <c r="G1976" s="156">
        <v>1</v>
      </c>
      <c r="H1976" s="120">
        <f>Tp_Non_CHG!Q211</f>
        <v>0</v>
      </c>
      <c r="I1976" s="40" t="s">
        <v>58</v>
      </c>
      <c r="J1976" s="40">
        <f t="shared" si="283"/>
        <v>0</v>
      </c>
      <c r="K1976" s="40">
        <f t="shared" si="284"/>
        <v>0</v>
      </c>
      <c r="L1976" s="40" t="s">
        <v>58</v>
      </c>
      <c r="M1976" s="50" t="s">
        <v>266</v>
      </c>
      <c r="N1976" s="190"/>
      <c r="O1976" s="40">
        <f t="shared" ca="1" si="286"/>
        <v>0.23211698630631583</v>
      </c>
      <c r="P1976" s="51">
        <f t="shared" si="280"/>
        <v>0</v>
      </c>
      <c r="Q1976" s="51">
        <f t="shared" si="281"/>
        <v>0</v>
      </c>
      <c r="R1976" s="51">
        <f t="shared" si="285"/>
        <v>0</v>
      </c>
      <c r="S1976"/>
      <c r="T1976" s="83"/>
    </row>
    <row r="1977" spans="1:20" ht="16" x14ac:dyDescent="0.2">
      <c r="A1977"/>
      <c r="B1977" s="103"/>
      <c r="C1977" s="243"/>
      <c r="D1977" s="119">
        <v>1964</v>
      </c>
      <c r="E1977" s="25" t="str">
        <f>Tp_Non_CHG!N212</f>
        <v>Transition Probability from state 3 to state 7 on day 9 (Non-CHG)</v>
      </c>
      <c r="F1977" s="40">
        <f t="shared" si="279"/>
        <v>0</v>
      </c>
      <c r="G1977" s="156">
        <v>1</v>
      </c>
      <c r="H1977" s="120">
        <f>Tp_Non_CHG!Q212</f>
        <v>0</v>
      </c>
      <c r="I1977" s="40" t="s">
        <v>58</v>
      </c>
      <c r="J1977" s="40">
        <f t="shared" si="283"/>
        <v>0</v>
      </c>
      <c r="K1977" s="40">
        <f t="shared" si="284"/>
        <v>0</v>
      </c>
      <c r="L1977" s="40" t="s">
        <v>58</v>
      </c>
      <c r="M1977" s="50" t="s">
        <v>266</v>
      </c>
      <c r="N1977" s="190"/>
      <c r="O1977" s="40">
        <f t="shared" ca="1" si="286"/>
        <v>9.4220479094692333E-2</v>
      </c>
      <c r="P1977" s="51">
        <f t="shared" si="280"/>
        <v>0</v>
      </c>
      <c r="Q1977" s="51">
        <f t="shared" si="281"/>
        <v>0</v>
      </c>
      <c r="R1977" s="51">
        <f t="shared" si="285"/>
        <v>0</v>
      </c>
      <c r="S1977"/>
      <c r="T1977" s="83"/>
    </row>
    <row r="1978" spans="1:20" ht="16" x14ac:dyDescent="0.2">
      <c r="A1978"/>
      <c r="B1978" s="103"/>
      <c r="C1978" s="243"/>
      <c r="D1978" s="119">
        <v>1965</v>
      </c>
      <c r="E1978" s="25" t="str">
        <f>Tp_Non_CHG!N213</f>
        <v>Transition Probability from state 3 to state 7 on day 10 (Non-CHG)</v>
      </c>
      <c r="F1978" s="40">
        <f t="shared" si="279"/>
        <v>0</v>
      </c>
      <c r="G1978" s="156">
        <v>1</v>
      </c>
      <c r="H1978" s="120">
        <f>Tp_Non_CHG!Q213</f>
        <v>0</v>
      </c>
      <c r="I1978" s="40" t="s">
        <v>58</v>
      </c>
      <c r="J1978" s="40">
        <f t="shared" si="283"/>
        <v>0</v>
      </c>
      <c r="K1978" s="40">
        <f t="shared" si="284"/>
        <v>0</v>
      </c>
      <c r="L1978" s="40" t="s">
        <v>58</v>
      </c>
      <c r="M1978" s="50" t="s">
        <v>266</v>
      </c>
      <c r="N1978" s="190"/>
      <c r="O1978" s="40">
        <f t="shared" ca="1" si="286"/>
        <v>0.90930674284581214</v>
      </c>
      <c r="P1978" s="51">
        <f t="shared" si="280"/>
        <v>0</v>
      </c>
      <c r="Q1978" s="51">
        <f t="shared" si="281"/>
        <v>0</v>
      </c>
      <c r="R1978" s="51">
        <f t="shared" si="285"/>
        <v>0</v>
      </c>
      <c r="S1978"/>
      <c r="T1978" s="83"/>
    </row>
    <row r="1979" spans="1:20" ht="16" x14ac:dyDescent="0.2">
      <c r="A1979"/>
      <c r="B1979" s="103"/>
      <c r="C1979" s="243"/>
      <c r="D1979" s="119">
        <v>1966</v>
      </c>
      <c r="E1979" s="25" t="str">
        <f>Tp_Non_CHG!N214</f>
        <v>Transition Probability from state 3 to state 7 on day 11 (Non-CHG)</v>
      </c>
      <c r="F1979" s="40">
        <f t="shared" si="279"/>
        <v>0</v>
      </c>
      <c r="G1979" s="156">
        <v>1</v>
      </c>
      <c r="H1979" s="120">
        <f>Tp_Non_CHG!Q214</f>
        <v>0</v>
      </c>
      <c r="I1979" s="40" t="s">
        <v>58</v>
      </c>
      <c r="J1979" s="40">
        <f t="shared" si="283"/>
        <v>0</v>
      </c>
      <c r="K1979" s="40">
        <f t="shared" si="284"/>
        <v>0</v>
      </c>
      <c r="L1979" s="40" t="s">
        <v>58</v>
      </c>
      <c r="M1979" s="50" t="s">
        <v>266</v>
      </c>
      <c r="N1979" s="190"/>
      <c r="O1979" s="40">
        <f t="shared" ca="1" si="286"/>
        <v>0.1500163007599532</v>
      </c>
      <c r="P1979" s="51">
        <f t="shared" si="280"/>
        <v>0</v>
      </c>
      <c r="Q1979" s="51">
        <f t="shared" si="281"/>
        <v>0</v>
      </c>
      <c r="R1979" s="51">
        <f t="shared" si="285"/>
        <v>0</v>
      </c>
      <c r="S1979"/>
      <c r="T1979" s="83"/>
    </row>
    <row r="1980" spans="1:20" ht="16" x14ac:dyDescent="0.2">
      <c r="A1980"/>
      <c r="B1980" s="103"/>
      <c r="C1980" s="243"/>
      <c r="D1980" s="119">
        <v>1967</v>
      </c>
      <c r="E1980" s="25" t="str">
        <f>Tp_Non_CHG!N215</f>
        <v>Transition Probability from state 3 to state 7 on day 12 (Non-CHG)</v>
      </c>
      <c r="F1980" s="40">
        <f t="shared" si="279"/>
        <v>0</v>
      </c>
      <c r="G1980" s="156">
        <v>1</v>
      </c>
      <c r="H1980" s="120">
        <f>Tp_Non_CHG!Q215</f>
        <v>0</v>
      </c>
      <c r="I1980" s="40" t="s">
        <v>58</v>
      </c>
      <c r="J1980" s="40">
        <f t="shared" si="283"/>
        <v>0</v>
      </c>
      <c r="K1980" s="40">
        <f t="shared" si="284"/>
        <v>0</v>
      </c>
      <c r="L1980" s="40" t="s">
        <v>58</v>
      </c>
      <c r="M1980" s="50" t="s">
        <v>266</v>
      </c>
      <c r="N1980" s="190"/>
      <c r="O1980" s="40">
        <f t="shared" ca="1" si="286"/>
        <v>0.397950014903664</v>
      </c>
      <c r="P1980" s="51">
        <f t="shared" si="280"/>
        <v>0</v>
      </c>
      <c r="Q1980" s="51">
        <f t="shared" si="281"/>
        <v>0</v>
      </c>
      <c r="R1980" s="51">
        <f t="shared" si="285"/>
        <v>0</v>
      </c>
      <c r="S1980"/>
      <c r="T1980" s="83"/>
    </row>
    <row r="1981" spans="1:20" ht="16" x14ac:dyDescent="0.2">
      <c r="A1981"/>
      <c r="B1981" s="103"/>
      <c r="C1981" s="243"/>
      <c r="D1981" s="119">
        <v>1968</v>
      </c>
      <c r="E1981" s="25" t="str">
        <f>Tp_Non_CHG!N216</f>
        <v>Transition Probability from state 3 to state 7 on day 13 (Non-CHG)</v>
      </c>
      <c r="F1981" s="40">
        <f t="shared" si="279"/>
        <v>0</v>
      </c>
      <c r="G1981" s="156">
        <v>1</v>
      </c>
      <c r="H1981" s="120">
        <f>Tp_Non_CHG!Q216</f>
        <v>0</v>
      </c>
      <c r="I1981" s="40" t="s">
        <v>58</v>
      </c>
      <c r="J1981" s="40">
        <f t="shared" si="283"/>
        <v>0</v>
      </c>
      <c r="K1981" s="40">
        <f t="shared" si="284"/>
        <v>0</v>
      </c>
      <c r="L1981" s="40" t="s">
        <v>58</v>
      </c>
      <c r="M1981" s="50" t="s">
        <v>266</v>
      </c>
      <c r="N1981" s="190"/>
      <c r="O1981" s="40">
        <f t="shared" ca="1" si="286"/>
        <v>0.44630994827822112</v>
      </c>
      <c r="P1981" s="51">
        <f t="shared" si="280"/>
        <v>0</v>
      </c>
      <c r="Q1981" s="51">
        <f t="shared" si="281"/>
        <v>0</v>
      </c>
      <c r="R1981" s="51">
        <f t="shared" si="285"/>
        <v>0</v>
      </c>
      <c r="S1981"/>
      <c r="T1981" s="83"/>
    </row>
    <row r="1982" spans="1:20" ht="16" x14ac:dyDescent="0.2">
      <c r="A1982"/>
      <c r="B1982" s="103"/>
      <c r="C1982" s="243"/>
      <c r="D1982" s="119">
        <v>1969</v>
      </c>
      <c r="E1982" s="25" t="str">
        <f>Tp_Non_CHG!N217</f>
        <v>Transition Probability from state 3 to state 7 on day 14 (Non-CHG)</v>
      </c>
      <c r="F1982" s="40">
        <f t="shared" si="279"/>
        <v>0</v>
      </c>
      <c r="G1982" s="156">
        <v>1</v>
      </c>
      <c r="H1982" s="120">
        <f>Tp_Non_CHG!Q217</f>
        <v>0</v>
      </c>
      <c r="I1982" s="40" t="s">
        <v>58</v>
      </c>
      <c r="J1982" s="40">
        <f t="shared" si="283"/>
        <v>0</v>
      </c>
      <c r="K1982" s="40">
        <f t="shared" si="284"/>
        <v>0</v>
      </c>
      <c r="L1982" s="40" t="s">
        <v>58</v>
      </c>
      <c r="M1982" s="50" t="s">
        <v>266</v>
      </c>
      <c r="N1982" s="190"/>
      <c r="O1982" s="40">
        <f t="shared" ca="1" si="286"/>
        <v>0.32517802809229379</v>
      </c>
      <c r="P1982" s="51">
        <f t="shared" si="280"/>
        <v>0</v>
      </c>
      <c r="Q1982" s="51">
        <f t="shared" si="281"/>
        <v>0</v>
      </c>
      <c r="R1982" s="51">
        <f t="shared" si="285"/>
        <v>0</v>
      </c>
      <c r="S1982"/>
      <c r="T1982" s="83"/>
    </row>
    <row r="1983" spans="1:20" ht="16" x14ac:dyDescent="0.2">
      <c r="A1983"/>
      <c r="B1983" s="103"/>
      <c r="C1983" s="243"/>
      <c r="D1983" s="119">
        <v>1970</v>
      </c>
      <c r="E1983" s="25" t="str">
        <f>Tp_Non_CHG!N218</f>
        <v>Transition Probability from state 3 to state 7 on day 15 (Non-CHG)</v>
      </c>
      <c r="F1983" s="40">
        <f t="shared" si="279"/>
        <v>0</v>
      </c>
      <c r="G1983" s="156">
        <v>1</v>
      </c>
      <c r="H1983" s="120">
        <f>Tp_Non_CHG!Q218</f>
        <v>0</v>
      </c>
      <c r="I1983" s="40" t="s">
        <v>58</v>
      </c>
      <c r="J1983" s="40">
        <f t="shared" si="283"/>
        <v>0</v>
      </c>
      <c r="K1983" s="40">
        <f t="shared" si="284"/>
        <v>0</v>
      </c>
      <c r="L1983" s="40" t="s">
        <v>58</v>
      </c>
      <c r="M1983" s="50" t="s">
        <v>266</v>
      </c>
      <c r="N1983" s="190"/>
      <c r="O1983" s="40">
        <f t="shared" ca="1" si="286"/>
        <v>0.60365525023398725</v>
      </c>
      <c r="P1983" s="51">
        <f t="shared" si="280"/>
        <v>0</v>
      </c>
      <c r="Q1983" s="51">
        <f t="shared" si="281"/>
        <v>0</v>
      </c>
      <c r="R1983" s="51">
        <f t="shared" si="285"/>
        <v>0</v>
      </c>
      <c r="S1983"/>
      <c r="T1983" s="83"/>
    </row>
    <row r="1984" spans="1:20" ht="16" x14ac:dyDescent="0.2">
      <c r="A1984"/>
      <c r="B1984" s="103"/>
      <c r="C1984" s="243"/>
      <c r="D1984" s="119">
        <v>1971</v>
      </c>
      <c r="E1984" s="25" t="str">
        <f>Tp_Non_CHG!N219</f>
        <v>Transition Probability from state 3 to state 7 on day 16 (Non-CHG)</v>
      </c>
      <c r="F1984" s="40">
        <f t="shared" si="279"/>
        <v>0</v>
      </c>
      <c r="G1984" s="156">
        <v>1</v>
      </c>
      <c r="H1984" s="120">
        <f>Tp_Non_CHG!Q219</f>
        <v>0</v>
      </c>
      <c r="I1984" s="40" t="s">
        <v>58</v>
      </c>
      <c r="J1984" s="40">
        <f t="shared" si="283"/>
        <v>0</v>
      </c>
      <c r="K1984" s="40">
        <f t="shared" si="284"/>
        <v>0</v>
      </c>
      <c r="L1984" s="40" t="s">
        <v>58</v>
      </c>
      <c r="M1984" s="50" t="s">
        <v>266</v>
      </c>
      <c r="N1984" s="190"/>
      <c r="O1984" s="40">
        <f t="shared" ca="1" si="286"/>
        <v>0.86733649519133182</v>
      </c>
      <c r="P1984" s="51">
        <f t="shared" si="280"/>
        <v>0</v>
      </c>
      <c r="Q1984" s="51">
        <f t="shared" si="281"/>
        <v>0</v>
      </c>
      <c r="R1984" s="51">
        <f t="shared" si="285"/>
        <v>0</v>
      </c>
      <c r="S1984"/>
      <c r="T1984" s="83"/>
    </row>
    <row r="1985" spans="1:20" ht="16" x14ac:dyDescent="0.2">
      <c r="A1985"/>
      <c r="B1985" s="103"/>
      <c r="C1985" s="243"/>
      <c r="D1985" s="119">
        <v>1972</v>
      </c>
      <c r="E1985" s="25" t="str">
        <f>Tp_Non_CHG!N220</f>
        <v>Transition Probability from state 3 to state 7 on day 17 (Non-CHG)</v>
      </c>
      <c r="F1985" s="40">
        <f t="shared" si="279"/>
        <v>0</v>
      </c>
      <c r="G1985" s="156">
        <v>1</v>
      </c>
      <c r="H1985" s="120">
        <f>Tp_Non_CHG!Q220</f>
        <v>0</v>
      </c>
      <c r="I1985" s="40" t="s">
        <v>58</v>
      </c>
      <c r="J1985" s="40">
        <f t="shared" si="283"/>
        <v>0</v>
      </c>
      <c r="K1985" s="40">
        <f t="shared" si="284"/>
        <v>0</v>
      </c>
      <c r="L1985" s="40" t="s">
        <v>58</v>
      </c>
      <c r="M1985" s="50" t="s">
        <v>266</v>
      </c>
      <c r="N1985" s="190"/>
      <c r="O1985" s="40">
        <f t="shared" ca="1" si="286"/>
        <v>0.30444474479500094</v>
      </c>
      <c r="P1985" s="51">
        <f t="shared" si="280"/>
        <v>0</v>
      </c>
      <c r="Q1985" s="51">
        <f t="shared" si="281"/>
        <v>0</v>
      </c>
      <c r="R1985" s="51">
        <f t="shared" si="285"/>
        <v>0</v>
      </c>
      <c r="S1985"/>
      <c r="T1985" s="83"/>
    </row>
    <row r="1986" spans="1:20" ht="16" x14ac:dyDescent="0.2">
      <c r="A1986"/>
      <c r="B1986" s="103"/>
      <c r="C1986" s="243"/>
      <c r="D1986" s="119">
        <v>1973</v>
      </c>
      <c r="E1986" s="25" t="str">
        <f>Tp_Non_CHG!N221</f>
        <v>Transition Probability from state 3 to state 7 on day 18 (Non-CHG)</v>
      </c>
      <c r="F1986" s="40">
        <f t="shared" si="279"/>
        <v>0</v>
      </c>
      <c r="G1986" s="156">
        <v>1</v>
      </c>
      <c r="H1986" s="120">
        <f>Tp_Non_CHG!Q221</f>
        <v>0</v>
      </c>
      <c r="I1986" s="40" t="s">
        <v>58</v>
      </c>
      <c r="J1986" s="40">
        <f t="shared" si="283"/>
        <v>0</v>
      </c>
      <c r="K1986" s="40">
        <f t="shared" si="284"/>
        <v>0</v>
      </c>
      <c r="L1986" s="40" t="s">
        <v>58</v>
      </c>
      <c r="M1986" s="50" t="s">
        <v>266</v>
      </c>
      <c r="N1986" s="190"/>
      <c r="O1986" s="40">
        <f t="shared" ca="1" si="286"/>
        <v>0.49022063426373186</v>
      </c>
      <c r="P1986" s="51">
        <f t="shared" si="280"/>
        <v>0</v>
      </c>
      <c r="Q1986" s="51">
        <f t="shared" si="281"/>
        <v>0</v>
      </c>
      <c r="R1986" s="51">
        <f t="shared" si="285"/>
        <v>0</v>
      </c>
      <c r="S1986"/>
      <c r="T1986" s="83"/>
    </row>
    <row r="1987" spans="1:20" ht="16" x14ac:dyDescent="0.2">
      <c r="A1987"/>
      <c r="B1987" s="103"/>
      <c r="C1987" s="243"/>
      <c r="D1987" s="119">
        <v>1974</v>
      </c>
      <c r="E1987" s="25" t="str">
        <f>Tp_Non_CHG!N222</f>
        <v>Transition Probability from state 3 to state 7 on day 19 (Non-CHG)</v>
      </c>
      <c r="F1987" s="40">
        <f t="shared" si="279"/>
        <v>0</v>
      </c>
      <c r="G1987" s="156">
        <v>1</v>
      </c>
      <c r="H1987" s="120">
        <f>Tp_Non_CHG!Q222</f>
        <v>0</v>
      </c>
      <c r="I1987" s="40" t="s">
        <v>58</v>
      </c>
      <c r="J1987" s="40">
        <f t="shared" si="283"/>
        <v>0</v>
      </c>
      <c r="K1987" s="40">
        <f t="shared" si="284"/>
        <v>0</v>
      </c>
      <c r="L1987" s="40" t="s">
        <v>58</v>
      </c>
      <c r="M1987" s="50" t="s">
        <v>266</v>
      </c>
      <c r="N1987" s="190"/>
      <c r="O1987" s="40">
        <f t="shared" ca="1" si="286"/>
        <v>0.65425469390656843</v>
      </c>
      <c r="P1987" s="51">
        <f t="shared" si="280"/>
        <v>0</v>
      </c>
      <c r="Q1987" s="51">
        <f t="shared" si="281"/>
        <v>0</v>
      </c>
      <c r="R1987" s="51">
        <f t="shared" si="285"/>
        <v>0</v>
      </c>
      <c r="S1987"/>
      <c r="T1987" s="83"/>
    </row>
    <row r="1988" spans="1:20" ht="16" x14ac:dyDescent="0.2">
      <c r="A1988"/>
      <c r="B1988" s="103"/>
      <c r="C1988" s="243"/>
      <c r="D1988" s="119">
        <v>1975</v>
      </c>
      <c r="E1988" s="25" t="str">
        <f>Tp_Non_CHG!N223</f>
        <v>Transition Probability from state 3 to state 7 on day 20 (Non-CHG)</v>
      </c>
      <c r="F1988" s="40">
        <f t="shared" si="279"/>
        <v>0</v>
      </c>
      <c r="G1988" s="156">
        <v>1</v>
      </c>
      <c r="H1988" s="120">
        <f>Tp_Non_CHG!Q223</f>
        <v>0</v>
      </c>
      <c r="I1988" s="40" t="s">
        <v>58</v>
      </c>
      <c r="J1988" s="40">
        <f t="shared" si="283"/>
        <v>0</v>
      </c>
      <c r="K1988" s="40">
        <f t="shared" si="284"/>
        <v>0</v>
      </c>
      <c r="L1988" s="40" t="s">
        <v>58</v>
      </c>
      <c r="M1988" s="50" t="s">
        <v>266</v>
      </c>
      <c r="N1988" s="190"/>
      <c r="O1988" s="40">
        <f t="shared" ca="1" si="286"/>
        <v>0.69163911175585158</v>
      </c>
      <c r="P1988" s="51">
        <f t="shared" si="280"/>
        <v>0</v>
      </c>
      <c r="Q1988" s="51">
        <f t="shared" si="281"/>
        <v>0</v>
      </c>
      <c r="R1988" s="51">
        <f t="shared" si="285"/>
        <v>0</v>
      </c>
      <c r="S1988"/>
      <c r="T1988" s="83"/>
    </row>
    <row r="1989" spans="1:20" ht="16" x14ac:dyDescent="0.2">
      <c r="A1989"/>
      <c r="B1989" s="103"/>
      <c r="C1989" s="243"/>
      <c r="D1989" s="119">
        <v>1976</v>
      </c>
      <c r="E1989" s="25" t="str">
        <f>Tp_Non_CHG!N224</f>
        <v>Transition Probability from state 3 to state 7 on day 21 (Non-CHG)</v>
      </c>
      <c r="F1989" s="40">
        <f t="shared" si="279"/>
        <v>0</v>
      </c>
      <c r="G1989" s="156">
        <v>1</v>
      </c>
      <c r="H1989" s="120">
        <f>Tp_Non_CHG!Q224</f>
        <v>0</v>
      </c>
      <c r="I1989" s="40" t="s">
        <v>58</v>
      </c>
      <c r="J1989" s="40">
        <f t="shared" si="283"/>
        <v>0</v>
      </c>
      <c r="K1989" s="40">
        <f t="shared" si="284"/>
        <v>0</v>
      </c>
      <c r="L1989" s="40" t="s">
        <v>58</v>
      </c>
      <c r="M1989" s="50" t="s">
        <v>266</v>
      </c>
      <c r="N1989" s="190"/>
      <c r="O1989" s="40">
        <f t="shared" ca="1" si="286"/>
        <v>4.2298255777522331E-2</v>
      </c>
      <c r="P1989" s="51">
        <f t="shared" si="280"/>
        <v>0</v>
      </c>
      <c r="Q1989" s="51">
        <f t="shared" si="281"/>
        <v>0</v>
      </c>
      <c r="R1989" s="51">
        <f t="shared" si="285"/>
        <v>0</v>
      </c>
      <c r="S1989"/>
      <c r="T1989" s="83"/>
    </row>
    <row r="1990" spans="1:20" ht="16" x14ac:dyDescent="0.2">
      <c r="A1990"/>
      <c r="B1990" s="103"/>
      <c r="C1990" s="243"/>
      <c r="D1990" s="119">
        <v>1977</v>
      </c>
      <c r="E1990" s="25" t="str">
        <f>Tp_Non_CHG!N225</f>
        <v>Transition Probability from state 3 to state 7 on day 22 (Non-CHG)</v>
      </c>
      <c r="F1990" s="40">
        <f t="shared" si="279"/>
        <v>0</v>
      </c>
      <c r="G1990" s="156">
        <v>1</v>
      </c>
      <c r="H1990" s="120">
        <f>Tp_Non_CHG!Q225</f>
        <v>0</v>
      </c>
      <c r="I1990" s="40" t="s">
        <v>58</v>
      </c>
      <c r="J1990" s="40">
        <f t="shared" si="283"/>
        <v>0</v>
      </c>
      <c r="K1990" s="40">
        <f t="shared" si="284"/>
        <v>0</v>
      </c>
      <c r="L1990" s="40" t="s">
        <v>58</v>
      </c>
      <c r="M1990" s="50" t="s">
        <v>266</v>
      </c>
      <c r="N1990" s="190"/>
      <c r="O1990" s="40">
        <f t="shared" ca="1" si="286"/>
        <v>0.28507252248121606</v>
      </c>
      <c r="P1990" s="51">
        <f t="shared" si="280"/>
        <v>0</v>
      </c>
      <c r="Q1990" s="51">
        <f t="shared" si="281"/>
        <v>0</v>
      </c>
      <c r="R1990" s="51">
        <f t="shared" si="285"/>
        <v>0</v>
      </c>
      <c r="S1990"/>
      <c r="T1990" s="83"/>
    </row>
    <row r="1991" spans="1:20" ht="16" x14ac:dyDescent="0.2">
      <c r="A1991"/>
      <c r="B1991" s="103"/>
      <c r="C1991" s="243"/>
      <c r="D1991" s="119">
        <v>1978</v>
      </c>
      <c r="E1991" s="25" t="str">
        <f>Tp_Non_CHG!N226</f>
        <v>Transition Probability from state 3 to state 7 on day 23 (Non-CHG)</v>
      </c>
      <c r="F1991" s="40">
        <f t="shared" si="279"/>
        <v>0</v>
      </c>
      <c r="G1991" s="156">
        <v>1</v>
      </c>
      <c r="H1991" s="120">
        <f>Tp_Non_CHG!Q226</f>
        <v>0</v>
      </c>
      <c r="I1991" s="40" t="s">
        <v>58</v>
      </c>
      <c r="J1991" s="40">
        <f t="shared" si="283"/>
        <v>0</v>
      </c>
      <c r="K1991" s="40">
        <f t="shared" si="284"/>
        <v>0</v>
      </c>
      <c r="L1991" s="40" t="s">
        <v>58</v>
      </c>
      <c r="M1991" s="50" t="s">
        <v>266</v>
      </c>
      <c r="N1991" s="190"/>
      <c r="O1991" s="40">
        <f t="shared" ca="1" si="286"/>
        <v>0.20936146517618137</v>
      </c>
      <c r="P1991" s="51">
        <f t="shared" si="280"/>
        <v>0</v>
      </c>
      <c r="Q1991" s="51">
        <f t="shared" si="281"/>
        <v>0</v>
      </c>
      <c r="R1991" s="51">
        <f t="shared" si="285"/>
        <v>0</v>
      </c>
      <c r="S1991"/>
      <c r="T1991" s="83"/>
    </row>
    <row r="1992" spans="1:20" ht="16" x14ac:dyDescent="0.2">
      <c r="A1992"/>
      <c r="B1992" s="103"/>
      <c r="C1992" s="243"/>
      <c r="D1992" s="119">
        <v>1979</v>
      </c>
      <c r="E1992" s="25" t="str">
        <f>Tp_Non_CHG!N227</f>
        <v>Transition Probability from state 3 to state 7 on day 24 (Non-CHG)</v>
      </c>
      <c r="F1992" s="40">
        <f t="shared" si="279"/>
        <v>0</v>
      </c>
      <c r="G1992" s="156">
        <v>1</v>
      </c>
      <c r="H1992" s="120">
        <f>Tp_Non_CHG!Q227</f>
        <v>0</v>
      </c>
      <c r="I1992" s="40" t="s">
        <v>58</v>
      </c>
      <c r="J1992" s="40">
        <f t="shared" si="283"/>
        <v>0</v>
      </c>
      <c r="K1992" s="40">
        <f t="shared" si="284"/>
        <v>0</v>
      </c>
      <c r="L1992" s="40" t="s">
        <v>58</v>
      </c>
      <c r="M1992" s="50" t="s">
        <v>266</v>
      </c>
      <c r="N1992" s="190"/>
      <c r="O1992" s="40">
        <f t="shared" ca="1" si="286"/>
        <v>0.60861664692014539</v>
      </c>
      <c r="P1992" s="51">
        <f t="shared" si="280"/>
        <v>0</v>
      </c>
      <c r="Q1992" s="51">
        <f t="shared" si="281"/>
        <v>0</v>
      </c>
      <c r="R1992" s="51">
        <f t="shared" si="285"/>
        <v>0</v>
      </c>
      <c r="S1992"/>
      <c r="T1992" s="83"/>
    </row>
    <row r="1993" spans="1:20" ht="16" x14ac:dyDescent="0.2">
      <c r="A1993"/>
      <c r="B1993" s="103"/>
      <c r="C1993" s="243"/>
      <c r="D1993" s="119">
        <v>1980</v>
      </c>
      <c r="E1993" s="25" t="str">
        <f>Tp_Non_CHG!N228</f>
        <v>Transition Probability from state 3 to state 7 on day 25 (Non-CHG)</v>
      </c>
      <c r="F1993" s="40">
        <f t="shared" si="279"/>
        <v>0</v>
      </c>
      <c r="G1993" s="156">
        <v>1</v>
      </c>
      <c r="H1993" s="120">
        <f>Tp_Non_CHG!Q228</f>
        <v>0</v>
      </c>
      <c r="I1993" s="40" t="s">
        <v>58</v>
      </c>
      <c r="J1993" s="40">
        <f t="shared" si="283"/>
        <v>0</v>
      </c>
      <c r="K1993" s="40">
        <f t="shared" si="284"/>
        <v>0</v>
      </c>
      <c r="L1993" s="40" t="s">
        <v>58</v>
      </c>
      <c r="M1993" s="50" t="s">
        <v>266</v>
      </c>
      <c r="N1993" s="190"/>
      <c r="O1993" s="40">
        <f t="shared" ca="1" si="286"/>
        <v>0.13680694560984685</v>
      </c>
      <c r="P1993" s="51">
        <f t="shared" si="280"/>
        <v>0</v>
      </c>
      <c r="Q1993" s="51">
        <f t="shared" si="281"/>
        <v>0</v>
      </c>
      <c r="R1993" s="51">
        <f t="shared" si="285"/>
        <v>0</v>
      </c>
      <c r="S1993"/>
      <c r="T1993" s="83"/>
    </row>
    <row r="1994" spans="1:20" ht="16" x14ac:dyDescent="0.2">
      <c r="A1994"/>
      <c r="B1994" s="103"/>
      <c r="C1994" s="243"/>
      <c r="D1994" s="119">
        <v>1981</v>
      </c>
      <c r="E1994" s="25" t="str">
        <f>Tp_Non_CHG!N229</f>
        <v>Transition Probability from state 3 to state 7 on day 26 (Non-CHG)</v>
      </c>
      <c r="F1994" s="40">
        <f t="shared" si="279"/>
        <v>0</v>
      </c>
      <c r="G1994" s="156">
        <v>1</v>
      </c>
      <c r="H1994" s="120">
        <f>Tp_Non_CHG!Q229</f>
        <v>0</v>
      </c>
      <c r="I1994" s="40" t="s">
        <v>58</v>
      </c>
      <c r="J1994" s="40">
        <f t="shared" si="283"/>
        <v>0</v>
      </c>
      <c r="K1994" s="40">
        <f t="shared" si="284"/>
        <v>0</v>
      </c>
      <c r="L1994" s="40" t="s">
        <v>58</v>
      </c>
      <c r="M1994" s="50" t="s">
        <v>266</v>
      </c>
      <c r="N1994" s="190"/>
      <c r="O1994" s="40">
        <f t="shared" ca="1" si="286"/>
        <v>0.48680019998810975</v>
      </c>
      <c r="P1994" s="51">
        <f t="shared" si="280"/>
        <v>0</v>
      </c>
      <c r="Q1994" s="51">
        <f t="shared" si="281"/>
        <v>0</v>
      </c>
      <c r="R1994" s="51">
        <f t="shared" si="285"/>
        <v>0</v>
      </c>
      <c r="S1994"/>
      <c r="T1994" s="83"/>
    </row>
    <row r="1995" spans="1:20" ht="16" x14ac:dyDescent="0.2">
      <c r="A1995"/>
      <c r="B1995" s="103"/>
      <c r="C1995" s="243"/>
      <c r="D1995" s="119">
        <v>1982</v>
      </c>
      <c r="E1995" s="25" t="str">
        <f>Tp_Non_CHG!N230</f>
        <v>Transition Probability from state 3 to state 7 on day 27 (Non-CHG)</v>
      </c>
      <c r="F1995" s="40">
        <f t="shared" si="279"/>
        <v>0</v>
      </c>
      <c r="G1995" s="156">
        <v>1</v>
      </c>
      <c r="H1995" s="120">
        <f>Tp_Non_CHG!Q230</f>
        <v>0</v>
      </c>
      <c r="I1995" s="40" t="s">
        <v>58</v>
      </c>
      <c r="J1995" s="40">
        <f t="shared" si="283"/>
        <v>0</v>
      </c>
      <c r="K1995" s="40">
        <f t="shared" si="284"/>
        <v>0</v>
      </c>
      <c r="L1995" s="40" t="s">
        <v>58</v>
      </c>
      <c r="M1995" s="50" t="s">
        <v>266</v>
      </c>
      <c r="N1995" s="190"/>
      <c r="O1995" s="40">
        <f t="shared" ca="1" si="286"/>
        <v>0.93779455091575814</v>
      </c>
      <c r="P1995" s="51">
        <f t="shared" si="280"/>
        <v>0</v>
      </c>
      <c r="Q1995" s="51">
        <f t="shared" si="281"/>
        <v>0</v>
      </c>
      <c r="R1995" s="51">
        <f t="shared" si="285"/>
        <v>0</v>
      </c>
      <c r="S1995"/>
      <c r="T1995" s="83"/>
    </row>
    <row r="1996" spans="1:20" ht="16" x14ac:dyDescent="0.2">
      <c r="A1996"/>
      <c r="B1996" s="103"/>
      <c r="C1996" s="243"/>
      <c r="D1996" s="119">
        <v>1983</v>
      </c>
      <c r="E1996" s="25" t="str">
        <f>Tp_Non_CHG!N231</f>
        <v>Transition Probability from state 3 to state 7 on day 28 (Non-CHG)</v>
      </c>
      <c r="F1996" s="40">
        <f t="shared" si="279"/>
        <v>0</v>
      </c>
      <c r="G1996" s="156">
        <v>1</v>
      </c>
      <c r="H1996" s="120">
        <f>Tp_Non_CHG!Q231</f>
        <v>0</v>
      </c>
      <c r="I1996" s="40" t="s">
        <v>58</v>
      </c>
      <c r="J1996" s="40">
        <f t="shared" si="283"/>
        <v>0</v>
      </c>
      <c r="K1996" s="40">
        <f t="shared" si="284"/>
        <v>0</v>
      </c>
      <c r="L1996" s="40" t="s">
        <v>58</v>
      </c>
      <c r="M1996" s="50" t="s">
        <v>266</v>
      </c>
      <c r="N1996" s="190"/>
      <c r="O1996" s="40">
        <f t="shared" ca="1" si="286"/>
        <v>0.38059381338445863</v>
      </c>
      <c r="P1996" s="51">
        <f t="shared" si="280"/>
        <v>0</v>
      </c>
      <c r="Q1996" s="51">
        <f t="shared" si="281"/>
        <v>0</v>
      </c>
      <c r="R1996" s="51">
        <f t="shared" si="285"/>
        <v>0</v>
      </c>
      <c r="S1996"/>
      <c r="T1996" s="83"/>
    </row>
    <row r="1997" spans="1:20" ht="16" x14ac:dyDescent="0.2">
      <c r="A1997"/>
      <c r="B1997" s="103"/>
      <c r="C1997" s="243"/>
      <c r="D1997" s="119">
        <v>1984</v>
      </c>
      <c r="E1997" s="25" t="str">
        <f>Tp_Non_CHG!N232</f>
        <v>Transition Probability from state 3 to state 7 on day 29 (Non-CHG)</v>
      </c>
      <c r="F1997" s="40">
        <f t="shared" si="279"/>
        <v>0</v>
      </c>
      <c r="G1997" s="156">
        <v>1</v>
      </c>
      <c r="H1997" s="120">
        <f>Tp_Non_CHG!Q232</f>
        <v>0</v>
      </c>
      <c r="I1997" s="40" t="s">
        <v>58</v>
      </c>
      <c r="J1997" s="40">
        <f t="shared" si="283"/>
        <v>0</v>
      </c>
      <c r="K1997" s="40">
        <f t="shared" si="284"/>
        <v>0</v>
      </c>
      <c r="L1997" s="40" t="s">
        <v>58</v>
      </c>
      <c r="M1997" s="50" t="s">
        <v>266</v>
      </c>
      <c r="N1997" s="190"/>
      <c r="O1997" s="40">
        <f t="shared" ca="1" si="286"/>
        <v>0.87735784762718139</v>
      </c>
      <c r="P1997" s="51">
        <f t="shared" si="280"/>
        <v>0</v>
      </c>
      <c r="Q1997" s="51">
        <f t="shared" si="281"/>
        <v>0</v>
      </c>
      <c r="R1997" s="51">
        <f t="shared" si="285"/>
        <v>0</v>
      </c>
      <c r="S1997"/>
      <c r="T1997" s="83"/>
    </row>
    <row r="1998" spans="1:20" ht="16" x14ac:dyDescent="0.2">
      <c r="A1998"/>
      <c r="B1998" s="103"/>
      <c r="C1998" s="243"/>
      <c r="D1998" s="119">
        <v>1985</v>
      </c>
      <c r="E1998" s="25" t="str">
        <f>Tp_Non_CHG!N233</f>
        <v>Transition Probability from state 3 to state 7 on day 30 (Non-CHG)</v>
      </c>
      <c r="F1998" s="40">
        <f t="shared" si="279"/>
        <v>0</v>
      </c>
      <c r="G1998" s="156">
        <v>1</v>
      </c>
      <c r="H1998" s="120">
        <f>Tp_Non_CHG!Q233</f>
        <v>0</v>
      </c>
      <c r="I1998" s="40" t="s">
        <v>58</v>
      </c>
      <c r="J1998" s="40">
        <f t="shared" si="283"/>
        <v>0</v>
      </c>
      <c r="K1998" s="40">
        <f t="shared" si="284"/>
        <v>0</v>
      </c>
      <c r="L1998" s="40" t="s">
        <v>58</v>
      </c>
      <c r="M1998" s="50" t="s">
        <v>266</v>
      </c>
      <c r="N1998" s="190"/>
      <c r="O1998" s="40">
        <f t="shared" ca="1" si="286"/>
        <v>0.31778315137399504</v>
      </c>
      <c r="P1998" s="51">
        <f t="shared" si="280"/>
        <v>0</v>
      </c>
      <c r="Q1998" s="51">
        <f t="shared" si="281"/>
        <v>0</v>
      </c>
      <c r="R1998" s="51">
        <f t="shared" si="285"/>
        <v>0</v>
      </c>
      <c r="S1998"/>
      <c r="T1998" s="83"/>
    </row>
    <row r="1999" spans="1:20" ht="16" x14ac:dyDescent="0.2">
      <c r="A1999"/>
      <c r="B1999" s="103"/>
      <c r="C1999" s="243"/>
      <c r="D1999" s="119">
        <v>1986</v>
      </c>
      <c r="E1999" s="25" t="str">
        <f>Tp_Non_CHG!S204</f>
        <v>Transition Probability from state 4 to state 7 on day 1 (Non-CHG)</v>
      </c>
      <c r="F1999" s="40">
        <f t="shared" ref="F1999:F2062" si="287">IFERROR(CHOOSE(G1999,H1999,J1999,K1999,N1999),0)</f>
        <v>0</v>
      </c>
      <c r="G1999" s="156">
        <v>1</v>
      </c>
      <c r="H1999" s="120">
        <f>Tp_Non_CHG!V204</f>
        <v>0</v>
      </c>
      <c r="I1999" s="40" t="s">
        <v>58</v>
      </c>
      <c r="J1999" s="40">
        <f t="shared" si="283"/>
        <v>0</v>
      </c>
      <c r="K1999" s="40">
        <f t="shared" si="284"/>
        <v>0</v>
      </c>
      <c r="L1999" s="40" t="s">
        <v>58</v>
      </c>
      <c r="M1999" s="50" t="s">
        <v>266</v>
      </c>
      <c r="N1999" s="190"/>
      <c r="O1999" s="40">
        <f t="shared" ca="1" si="286"/>
        <v>0.40453002427550089</v>
      </c>
      <c r="P1999" s="51">
        <f t="shared" si="280"/>
        <v>0</v>
      </c>
      <c r="Q1999" s="51">
        <f t="shared" si="281"/>
        <v>0</v>
      </c>
      <c r="R1999" s="51">
        <f t="shared" si="285"/>
        <v>0</v>
      </c>
      <c r="S1999"/>
      <c r="T1999" s="83"/>
    </row>
    <row r="2000" spans="1:20" ht="16" x14ac:dyDescent="0.2">
      <c r="A2000"/>
      <c r="B2000" s="103"/>
      <c r="C2000" s="243"/>
      <c r="D2000" s="119">
        <v>1987</v>
      </c>
      <c r="E2000" s="25" t="str">
        <f>Tp_Non_CHG!S205</f>
        <v>Transition Probability from state 4 to state 7 on day 2 (Non-CHG)</v>
      </c>
      <c r="F2000" s="40">
        <f t="shared" si="287"/>
        <v>0</v>
      </c>
      <c r="G2000" s="156">
        <v>1</v>
      </c>
      <c r="H2000" s="120">
        <f>Tp_Non_CHG!V205</f>
        <v>0</v>
      </c>
      <c r="I2000" s="40" t="s">
        <v>58</v>
      </c>
      <c r="J2000" s="40">
        <f t="shared" si="283"/>
        <v>0</v>
      </c>
      <c r="K2000" s="40">
        <f t="shared" si="284"/>
        <v>0</v>
      </c>
      <c r="L2000" s="40" t="s">
        <v>58</v>
      </c>
      <c r="M2000" s="50" t="s">
        <v>266</v>
      </c>
      <c r="N2000" s="190"/>
      <c r="O2000" s="40">
        <f t="shared" ca="1" si="286"/>
        <v>0.74506516169071191</v>
      </c>
      <c r="P2000" s="51">
        <f t="shared" si="280"/>
        <v>0</v>
      </c>
      <c r="Q2000" s="51">
        <f t="shared" si="281"/>
        <v>0</v>
      </c>
      <c r="R2000" s="51">
        <f t="shared" si="285"/>
        <v>0</v>
      </c>
      <c r="S2000"/>
      <c r="T2000" s="83"/>
    </row>
    <row r="2001" spans="1:20" ht="16" x14ac:dyDescent="0.2">
      <c r="A2001"/>
      <c r="B2001" s="103"/>
      <c r="C2001" s="243"/>
      <c r="D2001" s="119">
        <v>1988</v>
      </c>
      <c r="E2001" s="25" t="str">
        <f>Tp_Non_CHG!S206</f>
        <v>Transition Probability from state 4 to state 7 on day 3 (Non-CHG)</v>
      </c>
      <c r="F2001" s="40">
        <f t="shared" si="287"/>
        <v>0</v>
      </c>
      <c r="G2001" s="156">
        <v>1</v>
      </c>
      <c r="H2001" s="120">
        <f>Tp_Non_CHG!V206</f>
        <v>0</v>
      </c>
      <c r="I2001" s="40" t="s">
        <v>58</v>
      </c>
      <c r="J2001" s="40">
        <f t="shared" si="283"/>
        <v>0</v>
      </c>
      <c r="K2001" s="40">
        <f t="shared" si="284"/>
        <v>0</v>
      </c>
      <c r="L2001" s="40" t="s">
        <v>58</v>
      </c>
      <c r="M2001" s="50" t="s">
        <v>266</v>
      </c>
      <c r="N2001" s="190"/>
      <c r="O2001" s="40">
        <f t="shared" ca="1" si="286"/>
        <v>9.5857633043549217E-2</v>
      </c>
      <c r="P2001" s="51">
        <f t="shared" ref="P2001:P2064" si="288">IFERROR(H2001*((H2001*(1-H2001)/(R2001^2))-1),0)</f>
        <v>0</v>
      </c>
      <c r="Q2001" s="51">
        <f t="shared" ref="Q2001:Q2064" si="289">IFERROR((1-H2001)*((H2001*(1-H2001))/(R2001^2)-1),0)</f>
        <v>0</v>
      </c>
      <c r="R2001" s="51">
        <f t="shared" si="285"/>
        <v>0</v>
      </c>
      <c r="S2001"/>
      <c r="T2001" s="83"/>
    </row>
    <row r="2002" spans="1:20" ht="16" x14ac:dyDescent="0.2">
      <c r="A2002"/>
      <c r="B2002" s="103"/>
      <c r="C2002" s="243"/>
      <c r="D2002" s="119">
        <v>1989</v>
      </c>
      <c r="E2002" s="25" t="str">
        <f>Tp_Non_CHG!S207</f>
        <v>Transition Probability from state 4 to state 7 on day 4 (Non-CHG)</v>
      </c>
      <c r="F2002" s="40">
        <f t="shared" si="287"/>
        <v>0</v>
      </c>
      <c r="G2002" s="156">
        <v>1</v>
      </c>
      <c r="H2002" s="120">
        <f>Tp_Non_CHG!V207</f>
        <v>0</v>
      </c>
      <c r="I2002" s="40" t="s">
        <v>58</v>
      </c>
      <c r="J2002" s="40">
        <f t="shared" si="283"/>
        <v>0</v>
      </c>
      <c r="K2002" s="40">
        <f t="shared" si="284"/>
        <v>0</v>
      </c>
      <c r="L2002" s="40" t="s">
        <v>58</v>
      </c>
      <c r="M2002" s="50" t="s">
        <v>266</v>
      </c>
      <c r="N2002" s="190"/>
      <c r="O2002" s="40">
        <f t="shared" ca="1" si="286"/>
        <v>0.56765409445075721</v>
      </c>
      <c r="P2002" s="51">
        <f t="shared" si="288"/>
        <v>0</v>
      </c>
      <c r="Q2002" s="51">
        <f t="shared" si="289"/>
        <v>0</v>
      </c>
      <c r="R2002" s="51">
        <f t="shared" si="285"/>
        <v>0</v>
      </c>
      <c r="S2002"/>
      <c r="T2002" s="83"/>
    </row>
    <row r="2003" spans="1:20" ht="16" x14ac:dyDescent="0.2">
      <c r="A2003"/>
      <c r="B2003" s="103"/>
      <c r="C2003" s="243"/>
      <c r="D2003" s="119">
        <v>1990</v>
      </c>
      <c r="E2003" s="25" t="str">
        <f>Tp_Non_CHG!S208</f>
        <v>Transition Probability from state 4 to state 7 on day 5 (Non-CHG)</v>
      </c>
      <c r="F2003" s="40">
        <f t="shared" si="287"/>
        <v>0</v>
      </c>
      <c r="G2003" s="156">
        <v>1</v>
      </c>
      <c r="H2003" s="120">
        <f>Tp_Non_CHG!V208</f>
        <v>0</v>
      </c>
      <c r="I2003" s="40" t="s">
        <v>58</v>
      </c>
      <c r="J2003" s="40">
        <f t="shared" si="283"/>
        <v>0</v>
      </c>
      <c r="K2003" s="40">
        <f t="shared" si="284"/>
        <v>0</v>
      </c>
      <c r="L2003" s="40" t="s">
        <v>58</v>
      </c>
      <c r="M2003" s="50" t="s">
        <v>266</v>
      </c>
      <c r="N2003" s="190"/>
      <c r="O2003" s="40">
        <f t="shared" ca="1" si="286"/>
        <v>0.41541034333563964</v>
      </c>
      <c r="P2003" s="51">
        <f t="shared" si="288"/>
        <v>0</v>
      </c>
      <c r="Q2003" s="51">
        <f t="shared" si="289"/>
        <v>0</v>
      </c>
      <c r="R2003" s="51">
        <f t="shared" si="285"/>
        <v>0</v>
      </c>
      <c r="S2003"/>
      <c r="T2003" s="83"/>
    </row>
    <row r="2004" spans="1:20" ht="16" x14ac:dyDescent="0.2">
      <c r="A2004"/>
      <c r="B2004" s="103"/>
      <c r="C2004" s="243"/>
      <c r="D2004" s="119">
        <v>1991</v>
      </c>
      <c r="E2004" s="25" t="str">
        <f>Tp_Non_CHG!S209</f>
        <v>Transition Probability from state 4 to state 7 on day 6 (Non-CHG)</v>
      </c>
      <c r="F2004" s="40">
        <f t="shared" si="287"/>
        <v>0</v>
      </c>
      <c r="G2004" s="156">
        <v>1</v>
      </c>
      <c r="H2004" s="120">
        <f>Tp_Non_CHG!V209</f>
        <v>0</v>
      </c>
      <c r="I2004" s="40" t="s">
        <v>58</v>
      </c>
      <c r="J2004" s="40">
        <f t="shared" si="283"/>
        <v>0</v>
      </c>
      <c r="K2004" s="40">
        <f t="shared" si="284"/>
        <v>0</v>
      </c>
      <c r="L2004" s="40" t="s">
        <v>58</v>
      </c>
      <c r="M2004" s="50" t="s">
        <v>266</v>
      </c>
      <c r="N2004" s="190"/>
      <c r="O2004" s="40">
        <f t="shared" ca="1" si="286"/>
        <v>0.40733007991361803</v>
      </c>
      <c r="P2004" s="51">
        <f t="shared" si="288"/>
        <v>0</v>
      </c>
      <c r="Q2004" s="51">
        <f t="shared" si="289"/>
        <v>0</v>
      </c>
      <c r="R2004" s="51">
        <f t="shared" si="285"/>
        <v>0</v>
      </c>
      <c r="S2004"/>
      <c r="T2004" s="83"/>
    </row>
    <row r="2005" spans="1:20" ht="16" x14ac:dyDescent="0.2">
      <c r="A2005"/>
      <c r="B2005" s="103"/>
      <c r="C2005" s="243"/>
      <c r="D2005" s="119">
        <v>1992</v>
      </c>
      <c r="E2005" s="25" t="str">
        <f>Tp_Non_CHG!S210</f>
        <v>Transition Probability from state 4 to state 7 on day 7 (Non-CHG)</v>
      </c>
      <c r="F2005" s="40">
        <f t="shared" si="287"/>
        <v>0</v>
      </c>
      <c r="G2005" s="156">
        <v>1</v>
      </c>
      <c r="H2005" s="120">
        <f>Tp_Non_CHG!V210</f>
        <v>0</v>
      </c>
      <c r="I2005" s="40" t="s">
        <v>58</v>
      </c>
      <c r="J2005" s="40">
        <f t="shared" ref="J2005:J2056" si="290">IF(H2005=0,0,_xlfn.NORM.INV(0.025,H2005,R2005))</f>
        <v>0</v>
      </c>
      <c r="K2005" s="40">
        <f t="shared" ref="K2005:K2056" si="291">IF(H2005=0,0,_xlfn.NORM.INV(0.975,H2005,R2005))</f>
        <v>0</v>
      </c>
      <c r="L2005" s="40" t="s">
        <v>58</v>
      </c>
      <c r="M2005" s="50" t="s">
        <v>266</v>
      </c>
      <c r="N2005" s="190"/>
      <c r="O2005" s="40">
        <f t="shared" ca="1" si="286"/>
        <v>0.27893112118003649</v>
      </c>
      <c r="P2005" s="51">
        <f t="shared" si="288"/>
        <v>0</v>
      </c>
      <c r="Q2005" s="51">
        <f t="shared" si="289"/>
        <v>0</v>
      </c>
      <c r="R2005" s="51">
        <f t="shared" ref="R2005:R2056" si="292">assumedSE*H2005</f>
        <v>0</v>
      </c>
      <c r="S2005"/>
      <c r="T2005" s="83"/>
    </row>
    <row r="2006" spans="1:20" ht="16" x14ac:dyDescent="0.2">
      <c r="A2006"/>
      <c r="B2006" s="103"/>
      <c r="C2006" s="243"/>
      <c r="D2006" s="119">
        <v>1993</v>
      </c>
      <c r="E2006" s="25" t="str">
        <f>Tp_Non_CHG!S211</f>
        <v>Transition Probability from state 4 to state 7 on day 8 (Non-CHG)</v>
      </c>
      <c r="F2006" s="40">
        <f t="shared" si="287"/>
        <v>0</v>
      </c>
      <c r="G2006" s="156">
        <v>1</v>
      </c>
      <c r="H2006" s="120">
        <f>Tp_Non_CHG!V211</f>
        <v>0</v>
      </c>
      <c r="I2006" s="40" t="s">
        <v>58</v>
      </c>
      <c r="J2006" s="40">
        <f t="shared" si="290"/>
        <v>0</v>
      </c>
      <c r="K2006" s="40">
        <f t="shared" si="291"/>
        <v>0</v>
      </c>
      <c r="L2006" s="40" t="s">
        <v>58</v>
      </c>
      <c r="M2006" s="50" t="s">
        <v>266</v>
      </c>
      <c r="N2006" s="190"/>
      <c r="O2006" s="40">
        <f t="shared" ca="1" si="286"/>
        <v>0.38916254851253373</v>
      </c>
      <c r="P2006" s="51">
        <f t="shared" si="288"/>
        <v>0</v>
      </c>
      <c r="Q2006" s="51">
        <f t="shared" si="289"/>
        <v>0</v>
      </c>
      <c r="R2006" s="51">
        <f t="shared" si="292"/>
        <v>0</v>
      </c>
      <c r="S2006"/>
      <c r="T2006" s="83"/>
    </row>
    <row r="2007" spans="1:20" ht="16" x14ac:dyDescent="0.2">
      <c r="A2007"/>
      <c r="B2007" s="103"/>
      <c r="C2007" s="243"/>
      <c r="D2007" s="119">
        <v>1994</v>
      </c>
      <c r="E2007" s="25" t="str">
        <f>Tp_Non_CHG!S212</f>
        <v>Transition Probability from state 4 to state 7 on day 9 (Non-CHG)</v>
      </c>
      <c r="F2007" s="40">
        <f t="shared" si="287"/>
        <v>0</v>
      </c>
      <c r="G2007" s="156">
        <v>1</v>
      </c>
      <c r="H2007" s="120">
        <f>Tp_Non_CHG!V212</f>
        <v>0</v>
      </c>
      <c r="I2007" s="40" t="s">
        <v>58</v>
      </c>
      <c r="J2007" s="40">
        <f t="shared" si="290"/>
        <v>0</v>
      </c>
      <c r="K2007" s="40">
        <f t="shared" si="291"/>
        <v>0</v>
      </c>
      <c r="L2007" s="40" t="s">
        <v>58</v>
      </c>
      <c r="M2007" s="50" t="s">
        <v>266</v>
      </c>
      <c r="N2007" s="190"/>
      <c r="O2007" s="40">
        <f t="shared" ca="1" si="286"/>
        <v>7.3651702856891932E-2</v>
      </c>
      <c r="P2007" s="51">
        <f t="shared" si="288"/>
        <v>0</v>
      </c>
      <c r="Q2007" s="51">
        <f t="shared" si="289"/>
        <v>0</v>
      </c>
      <c r="R2007" s="51">
        <f t="shared" si="292"/>
        <v>0</v>
      </c>
      <c r="S2007"/>
      <c r="T2007" s="83"/>
    </row>
    <row r="2008" spans="1:20" ht="16" x14ac:dyDescent="0.2">
      <c r="A2008"/>
      <c r="B2008" s="103"/>
      <c r="C2008" s="243"/>
      <c r="D2008" s="119">
        <v>1995</v>
      </c>
      <c r="E2008" s="25" t="str">
        <f>Tp_Non_CHG!S213</f>
        <v>Transition Probability from state 4 to state 7 on day 10 (Non-CHG)</v>
      </c>
      <c r="F2008" s="40">
        <f t="shared" si="287"/>
        <v>0</v>
      </c>
      <c r="G2008" s="156">
        <v>1</v>
      </c>
      <c r="H2008" s="120">
        <f>Tp_Non_CHG!V213</f>
        <v>0</v>
      </c>
      <c r="I2008" s="40" t="s">
        <v>58</v>
      </c>
      <c r="J2008" s="40">
        <f t="shared" si="290"/>
        <v>0</v>
      </c>
      <c r="K2008" s="40">
        <f t="shared" si="291"/>
        <v>0</v>
      </c>
      <c r="L2008" s="40" t="s">
        <v>58</v>
      </c>
      <c r="M2008" s="50" t="s">
        <v>266</v>
      </c>
      <c r="N2008" s="190"/>
      <c r="O2008" s="40">
        <f t="shared" ca="1" si="286"/>
        <v>4.8086863550607317E-2</v>
      </c>
      <c r="P2008" s="51">
        <f t="shared" si="288"/>
        <v>0</v>
      </c>
      <c r="Q2008" s="51">
        <f t="shared" si="289"/>
        <v>0</v>
      </c>
      <c r="R2008" s="51">
        <f t="shared" si="292"/>
        <v>0</v>
      </c>
      <c r="S2008"/>
      <c r="T2008" s="83"/>
    </row>
    <row r="2009" spans="1:20" ht="16" x14ac:dyDescent="0.2">
      <c r="A2009"/>
      <c r="B2009" s="103"/>
      <c r="C2009" s="243"/>
      <c r="D2009" s="119">
        <v>1996</v>
      </c>
      <c r="E2009" s="25" t="str">
        <f>Tp_Non_CHG!S215</f>
        <v>Transition Probability from state 4 to state 7 on day 12 (Non-CHG)</v>
      </c>
      <c r="F2009" s="40">
        <f t="shared" si="287"/>
        <v>0</v>
      </c>
      <c r="G2009" s="156">
        <v>1</v>
      </c>
      <c r="H2009" s="120">
        <f>Tp_Non_CHG!V215</f>
        <v>0</v>
      </c>
      <c r="I2009" s="40" t="s">
        <v>58</v>
      </c>
      <c r="J2009" s="40">
        <f t="shared" si="290"/>
        <v>0</v>
      </c>
      <c r="K2009" s="40">
        <f t="shared" si="291"/>
        <v>0</v>
      </c>
      <c r="L2009" s="40" t="s">
        <v>58</v>
      </c>
      <c r="M2009" s="50" t="s">
        <v>266</v>
      </c>
      <c r="N2009" s="190"/>
      <c r="O2009" s="40">
        <f t="shared" ca="1" si="286"/>
        <v>0.38845697665594825</v>
      </c>
      <c r="P2009" s="51">
        <f t="shared" si="288"/>
        <v>0</v>
      </c>
      <c r="Q2009" s="51">
        <f t="shared" si="289"/>
        <v>0</v>
      </c>
      <c r="R2009" s="51">
        <f t="shared" si="292"/>
        <v>0</v>
      </c>
      <c r="S2009"/>
      <c r="T2009" s="83"/>
    </row>
    <row r="2010" spans="1:20" ht="16" x14ac:dyDescent="0.2">
      <c r="A2010"/>
      <c r="B2010" s="103"/>
      <c r="C2010" s="243"/>
      <c r="D2010" s="119">
        <v>1997</v>
      </c>
      <c r="E2010" s="25" t="str">
        <f>Tp_Non_CHG!S216</f>
        <v>Transition Probability from state 4 to state 7 on day 13 (Non-CHG)</v>
      </c>
      <c r="F2010" s="40">
        <f t="shared" si="287"/>
        <v>0</v>
      </c>
      <c r="G2010" s="156">
        <v>1</v>
      </c>
      <c r="H2010" s="120">
        <f>Tp_Non_CHG!V216</f>
        <v>0</v>
      </c>
      <c r="I2010" s="40" t="s">
        <v>58</v>
      </c>
      <c r="J2010" s="40">
        <f t="shared" si="290"/>
        <v>0</v>
      </c>
      <c r="K2010" s="40">
        <f t="shared" si="291"/>
        <v>0</v>
      </c>
      <c r="L2010" s="40" t="s">
        <v>58</v>
      </c>
      <c r="M2010" s="50" t="s">
        <v>266</v>
      </c>
      <c r="N2010" s="190"/>
      <c r="O2010" s="40">
        <f t="shared" ca="1" si="286"/>
        <v>0.14865810729887918</v>
      </c>
      <c r="P2010" s="51">
        <f t="shared" si="288"/>
        <v>0</v>
      </c>
      <c r="Q2010" s="51">
        <f t="shared" si="289"/>
        <v>0</v>
      </c>
      <c r="R2010" s="51">
        <f t="shared" si="292"/>
        <v>0</v>
      </c>
      <c r="S2010"/>
      <c r="T2010" s="83"/>
    </row>
    <row r="2011" spans="1:20" ht="16" x14ac:dyDescent="0.2">
      <c r="A2011"/>
      <c r="B2011" s="103"/>
      <c r="C2011" s="243"/>
      <c r="D2011" s="119">
        <v>1998</v>
      </c>
      <c r="E2011" s="25" t="str">
        <f>Tp_Non_CHG!S217</f>
        <v>Transition Probability from state 4 to state 7 on day 14 (Non-CHG)</v>
      </c>
      <c r="F2011" s="40">
        <f t="shared" si="287"/>
        <v>0</v>
      </c>
      <c r="G2011" s="156">
        <v>1</v>
      </c>
      <c r="H2011" s="120">
        <f>Tp_Non_CHG!V217</f>
        <v>0</v>
      </c>
      <c r="I2011" s="40" t="s">
        <v>58</v>
      </c>
      <c r="J2011" s="40">
        <f t="shared" si="290"/>
        <v>0</v>
      </c>
      <c r="K2011" s="40">
        <f t="shared" si="291"/>
        <v>0</v>
      </c>
      <c r="L2011" s="40" t="s">
        <v>58</v>
      </c>
      <c r="M2011" s="50" t="s">
        <v>266</v>
      </c>
      <c r="N2011" s="190"/>
      <c r="O2011" s="40">
        <f t="shared" ca="1" si="286"/>
        <v>0.44420626288387921</v>
      </c>
      <c r="P2011" s="51">
        <f t="shared" si="288"/>
        <v>0</v>
      </c>
      <c r="Q2011" s="51">
        <f t="shared" si="289"/>
        <v>0</v>
      </c>
      <c r="R2011" s="51">
        <f t="shared" si="292"/>
        <v>0</v>
      </c>
      <c r="S2011"/>
      <c r="T2011" s="83"/>
    </row>
    <row r="2012" spans="1:20" ht="16" x14ac:dyDescent="0.2">
      <c r="A2012"/>
      <c r="B2012" s="103"/>
      <c r="C2012" s="243"/>
      <c r="D2012" s="119">
        <v>1999</v>
      </c>
      <c r="E2012" s="25" t="str">
        <f>Tp_Non_CHG!S218</f>
        <v>Transition Probability from state 4 to state 7 on day 15 (Non-CHG)</v>
      </c>
      <c r="F2012" s="40">
        <f t="shared" si="287"/>
        <v>0</v>
      </c>
      <c r="G2012" s="156">
        <v>1</v>
      </c>
      <c r="H2012" s="120">
        <f>Tp_Non_CHG!V218</f>
        <v>0</v>
      </c>
      <c r="I2012" s="40" t="s">
        <v>58</v>
      </c>
      <c r="J2012" s="40">
        <f t="shared" si="290"/>
        <v>0</v>
      </c>
      <c r="K2012" s="40">
        <f t="shared" si="291"/>
        <v>0</v>
      </c>
      <c r="L2012" s="40" t="s">
        <v>58</v>
      </c>
      <c r="M2012" s="50" t="s">
        <v>266</v>
      </c>
      <c r="N2012" s="190"/>
      <c r="O2012" s="40">
        <f t="shared" ca="1" si="286"/>
        <v>0.72667717460077963</v>
      </c>
      <c r="P2012" s="51">
        <f t="shared" si="288"/>
        <v>0</v>
      </c>
      <c r="Q2012" s="51">
        <f t="shared" si="289"/>
        <v>0</v>
      </c>
      <c r="R2012" s="51">
        <f t="shared" si="292"/>
        <v>0</v>
      </c>
      <c r="S2012"/>
      <c r="T2012" s="83"/>
    </row>
    <row r="2013" spans="1:20" ht="16" x14ac:dyDescent="0.2">
      <c r="A2013"/>
      <c r="B2013" s="103"/>
      <c r="C2013" s="243"/>
      <c r="D2013" s="119">
        <v>2000</v>
      </c>
      <c r="E2013" s="25" t="str">
        <f>Tp_Non_CHG!S219</f>
        <v>Transition Probability from state 4 to state 7 on day 16 (Non-CHG)</v>
      </c>
      <c r="F2013" s="40">
        <f t="shared" si="287"/>
        <v>0</v>
      </c>
      <c r="G2013" s="156">
        <v>1</v>
      </c>
      <c r="H2013" s="120">
        <f>Tp_Non_CHG!V219</f>
        <v>0</v>
      </c>
      <c r="I2013" s="40" t="s">
        <v>58</v>
      </c>
      <c r="J2013" s="40">
        <f t="shared" si="290"/>
        <v>0</v>
      </c>
      <c r="K2013" s="40">
        <f t="shared" si="291"/>
        <v>0</v>
      </c>
      <c r="L2013" s="40" t="s">
        <v>58</v>
      </c>
      <c r="M2013" s="50" t="s">
        <v>266</v>
      </c>
      <c r="N2013" s="190"/>
      <c r="O2013" s="40">
        <f t="shared" ca="1" si="286"/>
        <v>0.73240689358649869</v>
      </c>
      <c r="P2013" s="51">
        <f t="shared" si="288"/>
        <v>0</v>
      </c>
      <c r="Q2013" s="51">
        <f t="shared" si="289"/>
        <v>0</v>
      </c>
      <c r="R2013" s="51">
        <f t="shared" si="292"/>
        <v>0</v>
      </c>
      <c r="S2013"/>
      <c r="T2013" s="83"/>
    </row>
    <row r="2014" spans="1:20" ht="16" x14ac:dyDescent="0.2">
      <c r="A2014"/>
      <c r="B2014" s="103"/>
      <c r="C2014" s="243"/>
      <c r="D2014" s="119">
        <v>2001</v>
      </c>
      <c r="E2014" s="25" t="str">
        <f>Tp_Non_CHG!S220</f>
        <v>Transition Probability from state 4 to state 7 on day 17 (Non-CHG)</v>
      </c>
      <c r="F2014" s="40">
        <f t="shared" si="287"/>
        <v>0</v>
      </c>
      <c r="G2014" s="156">
        <v>1</v>
      </c>
      <c r="H2014" s="120">
        <f>Tp_Non_CHG!V220</f>
        <v>0</v>
      </c>
      <c r="I2014" s="40" t="s">
        <v>58</v>
      </c>
      <c r="J2014" s="40">
        <f t="shared" si="290"/>
        <v>0</v>
      </c>
      <c r="K2014" s="40">
        <f t="shared" si="291"/>
        <v>0</v>
      </c>
      <c r="L2014" s="40" t="s">
        <v>58</v>
      </c>
      <c r="M2014" s="50" t="s">
        <v>266</v>
      </c>
      <c r="N2014" s="190"/>
      <c r="O2014" s="40">
        <f t="shared" ca="1" si="286"/>
        <v>0.15610583977478176</v>
      </c>
      <c r="P2014" s="51">
        <f t="shared" si="288"/>
        <v>0</v>
      </c>
      <c r="Q2014" s="51">
        <f t="shared" si="289"/>
        <v>0</v>
      </c>
      <c r="R2014" s="51">
        <f t="shared" si="292"/>
        <v>0</v>
      </c>
      <c r="S2014"/>
      <c r="T2014" s="83"/>
    </row>
    <row r="2015" spans="1:20" ht="16" x14ac:dyDescent="0.2">
      <c r="A2015"/>
      <c r="B2015" s="103"/>
      <c r="C2015" s="243"/>
      <c r="D2015" s="119">
        <v>2002</v>
      </c>
      <c r="E2015" s="25" t="str">
        <f>Tp_Non_CHG!S221</f>
        <v>Transition Probability from state 4 to state 7 on day 18 (Non-CHG)</v>
      </c>
      <c r="F2015" s="40">
        <f t="shared" si="287"/>
        <v>0</v>
      </c>
      <c r="G2015" s="156">
        <v>1</v>
      </c>
      <c r="H2015" s="120">
        <f>Tp_Non_CHG!V221</f>
        <v>0</v>
      </c>
      <c r="I2015" s="40" t="s">
        <v>58</v>
      </c>
      <c r="J2015" s="40">
        <f t="shared" si="290"/>
        <v>0</v>
      </c>
      <c r="K2015" s="40">
        <f t="shared" si="291"/>
        <v>0</v>
      </c>
      <c r="L2015" s="40" t="s">
        <v>58</v>
      </c>
      <c r="M2015" s="50" t="s">
        <v>266</v>
      </c>
      <c r="N2015" s="190"/>
      <c r="O2015" s="40">
        <f t="shared" ca="1" si="286"/>
        <v>0.61701340824661222</v>
      </c>
      <c r="P2015" s="51">
        <f t="shared" si="288"/>
        <v>0</v>
      </c>
      <c r="Q2015" s="51">
        <f t="shared" si="289"/>
        <v>0</v>
      </c>
      <c r="R2015" s="51">
        <f t="shared" si="292"/>
        <v>0</v>
      </c>
      <c r="S2015"/>
      <c r="T2015" s="83"/>
    </row>
    <row r="2016" spans="1:20" ht="16" x14ac:dyDescent="0.2">
      <c r="A2016"/>
      <c r="B2016" s="103"/>
      <c r="C2016" s="243"/>
      <c r="D2016" s="119">
        <v>2003</v>
      </c>
      <c r="E2016" s="25" t="str">
        <f>Tp_Non_CHG!S222</f>
        <v>Transition Probability from state 4 to state 7 on day 19 (Non-CHG)</v>
      </c>
      <c r="F2016" s="40">
        <f t="shared" si="287"/>
        <v>0</v>
      </c>
      <c r="G2016" s="156">
        <v>1</v>
      </c>
      <c r="H2016" s="120">
        <f>Tp_Non_CHG!V222</f>
        <v>0</v>
      </c>
      <c r="I2016" s="40" t="s">
        <v>58</v>
      </c>
      <c r="J2016" s="40">
        <f t="shared" si="290"/>
        <v>0</v>
      </c>
      <c r="K2016" s="40">
        <f t="shared" si="291"/>
        <v>0</v>
      </c>
      <c r="L2016" s="40" t="s">
        <v>58</v>
      </c>
      <c r="M2016" s="50" t="s">
        <v>266</v>
      </c>
      <c r="N2016" s="190"/>
      <c r="O2016" s="40">
        <f t="shared" ca="1" si="286"/>
        <v>0.12340741957539336</v>
      </c>
      <c r="P2016" s="51">
        <f t="shared" si="288"/>
        <v>0</v>
      </c>
      <c r="Q2016" s="51">
        <f t="shared" si="289"/>
        <v>0</v>
      </c>
      <c r="R2016" s="51">
        <f t="shared" si="292"/>
        <v>0</v>
      </c>
      <c r="S2016"/>
      <c r="T2016" s="83"/>
    </row>
    <row r="2017" spans="1:20" ht="16" x14ac:dyDescent="0.2">
      <c r="A2017"/>
      <c r="B2017" s="103"/>
      <c r="C2017" s="243"/>
      <c r="D2017" s="119">
        <v>2004</v>
      </c>
      <c r="E2017" s="25" t="str">
        <f>Tp_Non_CHG!S223</f>
        <v>Transition Probability from state 4 to state 7 on day 20 (Non-CHG)</v>
      </c>
      <c r="F2017" s="40">
        <f t="shared" si="287"/>
        <v>0</v>
      </c>
      <c r="G2017" s="156">
        <v>1</v>
      </c>
      <c r="H2017" s="120">
        <f>Tp_Non_CHG!V223</f>
        <v>0</v>
      </c>
      <c r="I2017" s="40" t="s">
        <v>58</v>
      </c>
      <c r="J2017" s="40">
        <f t="shared" si="290"/>
        <v>0</v>
      </c>
      <c r="K2017" s="40">
        <f t="shared" si="291"/>
        <v>0</v>
      </c>
      <c r="L2017" s="40" t="s">
        <v>58</v>
      </c>
      <c r="M2017" s="50" t="s">
        <v>266</v>
      </c>
      <c r="N2017" s="190"/>
      <c r="O2017" s="40">
        <f t="shared" ca="1" si="286"/>
        <v>0.10987762833234049</v>
      </c>
      <c r="P2017" s="51">
        <f t="shared" si="288"/>
        <v>0</v>
      </c>
      <c r="Q2017" s="51">
        <f t="shared" si="289"/>
        <v>0</v>
      </c>
      <c r="R2017" s="51">
        <f t="shared" si="292"/>
        <v>0</v>
      </c>
      <c r="S2017"/>
      <c r="T2017" s="83"/>
    </row>
    <row r="2018" spans="1:20" ht="16" x14ac:dyDescent="0.2">
      <c r="A2018"/>
      <c r="B2018" s="103"/>
      <c r="C2018" s="243"/>
      <c r="D2018" s="119">
        <v>2005</v>
      </c>
      <c r="E2018" s="25" t="str">
        <f>Tp_Non_CHG!S224</f>
        <v>Transition Probability from state 4 to state 7 on day 21 (Non-CHG)</v>
      </c>
      <c r="F2018" s="40">
        <f t="shared" si="287"/>
        <v>0</v>
      </c>
      <c r="G2018" s="156">
        <v>1</v>
      </c>
      <c r="H2018" s="120">
        <f>Tp_Non_CHG!V224</f>
        <v>0</v>
      </c>
      <c r="I2018" s="40" t="s">
        <v>58</v>
      </c>
      <c r="J2018" s="40">
        <f t="shared" si="290"/>
        <v>0</v>
      </c>
      <c r="K2018" s="40">
        <f t="shared" si="291"/>
        <v>0</v>
      </c>
      <c r="L2018" s="40" t="s">
        <v>58</v>
      </c>
      <c r="M2018" s="50" t="s">
        <v>266</v>
      </c>
      <c r="N2018" s="190"/>
      <c r="O2018" s="40">
        <f t="shared" ca="1" si="286"/>
        <v>0.95780469808810376</v>
      </c>
      <c r="P2018" s="51">
        <f t="shared" si="288"/>
        <v>0</v>
      </c>
      <c r="Q2018" s="51">
        <f t="shared" si="289"/>
        <v>0</v>
      </c>
      <c r="R2018" s="51">
        <f t="shared" si="292"/>
        <v>0</v>
      </c>
      <c r="S2018"/>
      <c r="T2018" s="83"/>
    </row>
    <row r="2019" spans="1:20" ht="16" x14ac:dyDescent="0.2">
      <c r="A2019"/>
      <c r="B2019" s="103"/>
      <c r="C2019" s="243"/>
      <c r="D2019" s="119">
        <v>2006</v>
      </c>
      <c r="E2019" s="25" t="str">
        <f>Tp_Non_CHG!S225</f>
        <v>Transition Probability from state 4 to state 7 on day 22 (Non-CHG)</v>
      </c>
      <c r="F2019" s="40">
        <f t="shared" si="287"/>
        <v>0</v>
      </c>
      <c r="G2019" s="156">
        <v>1</v>
      </c>
      <c r="H2019" s="120">
        <f>Tp_Non_CHG!V225</f>
        <v>0</v>
      </c>
      <c r="I2019" s="40" t="s">
        <v>58</v>
      </c>
      <c r="J2019" s="40">
        <f t="shared" si="290"/>
        <v>0</v>
      </c>
      <c r="K2019" s="40">
        <f t="shared" si="291"/>
        <v>0</v>
      </c>
      <c r="L2019" s="40" t="s">
        <v>58</v>
      </c>
      <c r="M2019" s="50" t="s">
        <v>266</v>
      </c>
      <c r="N2019" s="190"/>
      <c r="O2019" s="40">
        <f t="shared" ca="1" si="286"/>
        <v>0.81182000758989803</v>
      </c>
      <c r="P2019" s="51">
        <f t="shared" si="288"/>
        <v>0</v>
      </c>
      <c r="Q2019" s="51">
        <f t="shared" si="289"/>
        <v>0</v>
      </c>
      <c r="R2019" s="51">
        <f t="shared" si="292"/>
        <v>0</v>
      </c>
      <c r="S2019"/>
      <c r="T2019" s="83"/>
    </row>
    <row r="2020" spans="1:20" ht="16" x14ac:dyDescent="0.2">
      <c r="A2020"/>
      <c r="B2020" s="103"/>
      <c r="C2020" s="243"/>
      <c r="D2020" s="119">
        <v>2007</v>
      </c>
      <c r="E2020" s="25" t="str">
        <f>Tp_Non_CHG!S226</f>
        <v>Transition Probability from state 4 to state 7 on day 23 (Non-CHG)</v>
      </c>
      <c r="F2020" s="40">
        <f t="shared" si="287"/>
        <v>0</v>
      </c>
      <c r="G2020" s="156">
        <v>1</v>
      </c>
      <c r="H2020" s="120">
        <f>Tp_Non_CHG!V226</f>
        <v>0</v>
      </c>
      <c r="I2020" s="40" t="s">
        <v>58</v>
      </c>
      <c r="J2020" s="40">
        <f t="shared" si="290"/>
        <v>0</v>
      </c>
      <c r="K2020" s="40">
        <f t="shared" si="291"/>
        <v>0</v>
      </c>
      <c r="L2020" s="40" t="s">
        <v>58</v>
      </c>
      <c r="M2020" s="50" t="s">
        <v>266</v>
      </c>
      <c r="N2020" s="190"/>
      <c r="O2020" s="40">
        <f t="shared" ca="1" si="286"/>
        <v>0.28102872649115185</v>
      </c>
      <c r="P2020" s="51">
        <f t="shared" si="288"/>
        <v>0</v>
      </c>
      <c r="Q2020" s="51">
        <f t="shared" si="289"/>
        <v>0</v>
      </c>
      <c r="R2020" s="51">
        <f t="shared" si="292"/>
        <v>0</v>
      </c>
      <c r="S2020"/>
      <c r="T2020" s="83"/>
    </row>
    <row r="2021" spans="1:20" ht="16" x14ac:dyDescent="0.2">
      <c r="A2021"/>
      <c r="B2021" s="103"/>
      <c r="C2021" s="243"/>
      <c r="D2021" s="119">
        <v>2008</v>
      </c>
      <c r="E2021" s="25" t="str">
        <f>Tp_Non_CHG!S227</f>
        <v>Transition Probability from state 4 to state 7 on day 24 (Non-CHG)</v>
      </c>
      <c r="F2021" s="40">
        <f t="shared" si="287"/>
        <v>0</v>
      </c>
      <c r="G2021" s="156">
        <v>1</v>
      </c>
      <c r="H2021" s="120">
        <f>Tp_Non_CHG!V227</f>
        <v>0</v>
      </c>
      <c r="I2021" s="40" t="s">
        <v>58</v>
      </c>
      <c r="J2021" s="40">
        <f t="shared" si="290"/>
        <v>0</v>
      </c>
      <c r="K2021" s="40">
        <f t="shared" si="291"/>
        <v>0</v>
      </c>
      <c r="L2021" s="40" t="s">
        <v>58</v>
      </c>
      <c r="M2021" s="50" t="s">
        <v>266</v>
      </c>
      <c r="N2021" s="190"/>
      <c r="O2021" s="40">
        <f t="shared" ca="1" si="286"/>
        <v>8.6707696386074784E-2</v>
      </c>
      <c r="P2021" s="51">
        <f t="shared" si="288"/>
        <v>0</v>
      </c>
      <c r="Q2021" s="51">
        <f t="shared" si="289"/>
        <v>0</v>
      </c>
      <c r="R2021" s="51">
        <f t="shared" si="292"/>
        <v>0</v>
      </c>
      <c r="S2021"/>
      <c r="T2021" s="83"/>
    </row>
    <row r="2022" spans="1:20" ht="16" x14ac:dyDescent="0.2">
      <c r="A2022"/>
      <c r="B2022" s="103"/>
      <c r="C2022" s="243"/>
      <c r="D2022" s="119">
        <v>2009</v>
      </c>
      <c r="E2022" s="25" t="str">
        <f>Tp_Non_CHG!S228</f>
        <v>Transition Probability from state 4 to state 7 on day 25 (Non-CHG)</v>
      </c>
      <c r="F2022" s="40">
        <f t="shared" si="287"/>
        <v>0</v>
      </c>
      <c r="G2022" s="156">
        <v>1</v>
      </c>
      <c r="H2022" s="120">
        <f>Tp_Non_CHG!V228</f>
        <v>0</v>
      </c>
      <c r="I2022" s="40" t="s">
        <v>58</v>
      </c>
      <c r="J2022" s="40">
        <f t="shared" si="290"/>
        <v>0</v>
      </c>
      <c r="K2022" s="40">
        <f t="shared" si="291"/>
        <v>0</v>
      </c>
      <c r="L2022" s="40" t="s">
        <v>58</v>
      </c>
      <c r="M2022" s="50" t="s">
        <v>266</v>
      </c>
      <c r="N2022" s="190"/>
      <c r="O2022" s="40">
        <f t="shared" ca="1" si="286"/>
        <v>0.10424352925572433</v>
      </c>
      <c r="P2022" s="51">
        <f t="shared" si="288"/>
        <v>0</v>
      </c>
      <c r="Q2022" s="51">
        <f t="shared" si="289"/>
        <v>0</v>
      </c>
      <c r="R2022" s="51">
        <f t="shared" si="292"/>
        <v>0</v>
      </c>
      <c r="S2022"/>
      <c r="T2022" s="83"/>
    </row>
    <row r="2023" spans="1:20" ht="16" x14ac:dyDescent="0.2">
      <c r="A2023"/>
      <c r="B2023" s="103"/>
      <c r="C2023" s="243"/>
      <c r="D2023" s="119">
        <v>2010</v>
      </c>
      <c r="E2023" s="25" t="str">
        <f>Tp_Non_CHG!S229</f>
        <v>Transition Probability from state 4 to state 7 on day 26 (Non-CHG)</v>
      </c>
      <c r="F2023" s="40">
        <f t="shared" si="287"/>
        <v>0</v>
      </c>
      <c r="G2023" s="156">
        <v>1</v>
      </c>
      <c r="H2023" s="120">
        <f>Tp_Non_CHG!V229</f>
        <v>0</v>
      </c>
      <c r="I2023" s="40" t="s">
        <v>58</v>
      </c>
      <c r="J2023" s="40">
        <f t="shared" si="290"/>
        <v>0</v>
      </c>
      <c r="K2023" s="40">
        <f t="shared" si="291"/>
        <v>0</v>
      </c>
      <c r="L2023" s="40" t="s">
        <v>58</v>
      </c>
      <c r="M2023" s="50" t="s">
        <v>266</v>
      </c>
      <c r="N2023" s="190"/>
      <c r="O2023" s="40">
        <f t="shared" ca="1" si="286"/>
        <v>0.86760405360763126</v>
      </c>
      <c r="P2023" s="51">
        <f t="shared" si="288"/>
        <v>0</v>
      </c>
      <c r="Q2023" s="51">
        <f t="shared" si="289"/>
        <v>0</v>
      </c>
      <c r="R2023" s="51">
        <f t="shared" si="292"/>
        <v>0</v>
      </c>
      <c r="S2023"/>
      <c r="T2023" s="83"/>
    </row>
    <row r="2024" spans="1:20" ht="16" x14ac:dyDescent="0.2">
      <c r="A2024"/>
      <c r="B2024" s="103"/>
      <c r="C2024" s="243"/>
      <c r="D2024" s="119">
        <v>2011</v>
      </c>
      <c r="E2024" s="25" t="str">
        <f>Tp_Non_CHG!S230</f>
        <v>Transition Probability from state 4 to state 7 on day 27 (Non-CHG)</v>
      </c>
      <c r="F2024" s="40">
        <f t="shared" si="287"/>
        <v>0</v>
      </c>
      <c r="G2024" s="156">
        <v>1</v>
      </c>
      <c r="H2024" s="120">
        <f>Tp_Non_CHG!V230</f>
        <v>0</v>
      </c>
      <c r="I2024" s="40" t="s">
        <v>58</v>
      </c>
      <c r="J2024" s="40">
        <f t="shared" si="290"/>
        <v>0</v>
      </c>
      <c r="K2024" s="40">
        <f t="shared" si="291"/>
        <v>0</v>
      </c>
      <c r="L2024" s="40" t="s">
        <v>58</v>
      </c>
      <c r="M2024" s="50" t="s">
        <v>266</v>
      </c>
      <c r="N2024" s="190"/>
      <c r="O2024" s="40">
        <f t="shared" ca="1" si="286"/>
        <v>0.66043749053148437</v>
      </c>
      <c r="P2024" s="51">
        <f t="shared" si="288"/>
        <v>0</v>
      </c>
      <c r="Q2024" s="51">
        <f t="shared" si="289"/>
        <v>0</v>
      </c>
      <c r="R2024" s="51">
        <f t="shared" si="292"/>
        <v>0</v>
      </c>
      <c r="S2024"/>
      <c r="T2024" s="83"/>
    </row>
    <row r="2025" spans="1:20" ht="16" x14ac:dyDescent="0.2">
      <c r="A2025"/>
      <c r="B2025" s="103"/>
      <c r="C2025" s="243"/>
      <c r="D2025" s="119">
        <v>2012</v>
      </c>
      <c r="E2025" s="25" t="str">
        <f>Tp_Non_CHG!S231</f>
        <v>Transition Probability from state 4 to state 7 on day 28 (Non-CHG)</v>
      </c>
      <c r="F2025" s="40">
        <f t="shared" si="287"/>
        <v>0</v>
      </c>
      <c r="G2025" s="156">
        <v>1</v>
      </c>
      <c r="H2025" s="120">
        <f>Tp_Non_CHG!V231</f>
        <v>0</v>
      </c>
      <c r="I2025" s="40" t="s">
        <v>58</v>
      </c>
      <c r="J2025" s="40">
        <f t="shared" si="290"/>
        <v>0</v>
      </c>
      <c r="K2025" s="40">
        <f t="shared" si="291"/>
        <v>0</v>
      </c>
      <c r="L2025" s="40" t="s">
        <v>58</v>
      </c>
      <c r="M2025" s="50" t="s">
        <v>266</v>
      </c>
      <c r="N2025" s="190"/>
      <c r="O2025" s="40">
        <f t="shared" ca="1" si="286"/>
        <v>0.33727459622216727</v>
      </c>
      <c r="P2025" s="51">
        <f t="shared" si="288"/>
        <v>0</v>
      </c>
      <c r="Q2025" s="51">
        <f t="shared" si="289"/>
        <v>0</v>
      </c>
      <c r="R2025" s="51">
        <f t="shared" si="292"/>
        <v>0</v>
      </c>
      <c r="S2025"/>
      <c r="T2025" s="83"/>
    </row>
    <row r="2026" spans="1:20" ht="16" x14ac:dyDescent="0.2">
      <c r="A2026"/>
      <c r="B2026" s="103"/>
      <c r="C2026" s="243"/>
      <c r="D2026" s="119">
        <v>2013</v>
      </c>
      <c r="E2026" s="25" t="str">
        <f>Tp_Non_CHG!S232</f>
        <v>Transition Probability from state 4 to state 7 on day 29 (Non-CHG)</v>
      </c>
      <c r="F2026" s="40">
        <f t="shared" si="287"/>
        <v>0</v>
      </c>
      <c r="G2026" s="156">
        <v>1</v>
      </c>
      <c r="H2026" s="120">
        <f>Tp_Non_CHG!V232</f>
        <v>0</v>
      </c>
      <c r="I2026" s="40" t="s">
        <v>58</v>
      </c>
      <c r="J2026" s="40">
        <f t="shared" si="290"/>
        <v>0</v>
      </c>
      <c r="K2026" s="40">
        <f t="shared" si="291"/>
        <v>0</v>
      </c>
      <c r="L2026" s="40" t="s">
        <v>58</v>
      </c>
      <c r="M2026" s="50" t="s">
        <v>266</v>
      </c>
      <c r="N2026" s="190"/>
      <c r="O2026" s="40">
        <f t="shared" ca="1" si="286"/>
        <v>0.96707567989134346</v>
      </c>
      <c r="P2026" s="51">
        <f t="shared" si="288"/>
        <v>0</v>
      </c>
      <c r="Q2026" s="51">
        <f t="shared" si="289"/>
        <v>0</v>
      </c>
      <c r="R2026" s="51">
        <f t="shared" si="292"/>
        <v>0</v>
      </c>
      <c r="S2026"/>
      <c r="T2026" s="83"/>
    </row>
    <row r="2027" spans="1:20" ht="16" x14ac:dyDescent="0.2">
      <c r="A2027"/>
      <c r="B2027" s="103"/>
      <c r="C2027" s="243"/>
      <c r="D2027" s="119">
        <v>2014</v>
      </c>
      <c r="E2027" s="25" t="str">
        <f>Tp_Non_CHG!S233</f>
        <v>Transition Probability from state 4 to state 7 on day 30 (Non-CHG)</v>
      </c>
      <c r="F2027" s="40">
        <f t="shared" si="287"/>
        <v>0</v>
      </c>
      <c r="G2027" s="156">
        <v>1</v>
      </c>
      <c r="H2027" s="120">
        <f>Tp_Non_CHG!V233</f>
        <v>0</v>
      </c>
      <c r="I2027" s="40" t="s">
        <v>58</v>
      </c>
      <c r="J2027" s="40">
        <f t="shared" si="290"/>
        <v>0</v>
      </c>
      <c r="K2027" s="40">
        <f t="shared" si="291"/>
        <v>0</v>
      </c>
      <c r="L2027" s="40" t="s">
        <v>58</v>
      </c>
      <c r="M2027" s="50" t="s">
        <v>266</v>
      </c>
      <c r="N2027" s="190"/>
      <c r="O2027" s="40">
        <f t="shared" ca="1" si="286"/>
        <v>0.16312275371727769</v>
      </c>
      <c r="P2027" s="51">
        <f t="shared" si="288"/>
        <v>0</v>
      </c>
      <c r="Q2027" s="51">
        <f t="shared" si="289"/>
        <v>0</v>
      </c>
      <c r="R2027" s="51">
        <f t="shared" si="292"/>
        <v>0</v>
      </c>
      <c r="S2027"/>
      <c r="T2027" s="83"/>
    </row>
    <row r="2028" spans="1:20" ht="16" x14ac:dyDescent="0.2">
      <c r="A2028"/>
      <c r="B2028" s="103"/>
      <c r="C2028" s="243"/>
      <c r="D2028" s="119">
        <v>2015</v>
      </c>
      <c r="E2028" s="25" t="str">
        <f>Tp_Non_CHG!X204</f>
        <v>Transition Probability from state 6 to state 7 on day 1 (Non-CHG)</v>
      </c>
      <c r="F2028" s="40">
        <f t="shared" si="287"/>
        <v>0</v>
      </c>
      <c r="G2028" s="156">
        <v>1</v>
      </c>
      <c r="H2028" s="120">
        <f>Tp_Non_CHG!AA204</f>
        <v>0</v>
      </c>
      <c r="I2028" s="40" t="s">
        <v>58</v>
      </c>
      <c r="J2028" s="40">
        <f t="shared" si="290"/>
        <v>0</v>
      </c>
      <c r="K2028" s="40">
        <f t="shared" si="291"/>
        <v>0</v>
      </c>
      <c r="L2028" s="40" t="s">
        <v>58</v>
      </c>
      <c r="M2028" s="50" t="s">
        <v>266</v>
      </c>
      <c r="N2028" s="190"/>
      <c r="O2028" s="40">
        <f t="shared" ca="1" si="286"/>
        <v>0.62619205051482651</v>
      </c>
      <c r="P2028" s="51">
        <f t="shared" si="288"/>
        <v>0</v>
      </c>
      <c r="Q2028" s="51">
        <f t="shared" si="289"/>
        <v>0</v>
      </c>
      <c r="R2028" s="51">
        <f t="shared" si="292"/>
        <v>0</v>
      </c>
      <c r="S2028"/>
      <c r="T2028" s="83"/>
    </row>
    <row r="2029" spans="1:20" ht="16" x14ac:dyDescent="0.2">
      <c r="A2029"/>
      <c r="B2029" s="103"/>
      <c r="C2029" s="243"/>
      <c r="D2029" s="119">
        <v>2016</v>
      </c>
      <c r="E2029" s="25" t="str">
        <f>Tp_Non_CHG!X205</f>
        <v>Transition Probability from state 6 to state 7 on day 2 (Non-CHG)</v>
      </c>
      <c r="F2029" s="40">
        <f t="shared" si="287"/>
        <v>0</v>
      </c>
      <c r="G2029" s="156">
        <v>1</v>
      </c>
      <c r="H2029" s="120">
        <f>Tp_Non_CHG!AA205</f>
        <v>0</v>
      </c>
      <c r="I2029" s="40" t="s">
        <v>58</v>
      </c>
      <c r="J2029" s="40">
        <f t="shared" si="290"/>
        <v>0</v>
      </c>
      <c r="K2029" s="40">
        <f t="shared" si="291"/>
        <v>0</v>
      </c>
      <c r="L2029" s="40" t="s">
        <v>58</v>
      </c>
      <c r="M2029" s="50" t="s">
        <v>266</v>
      </c>
      <c r="N2029" s="190"/>
      <c r="O2029" s="40">
        <f t="shared" ca="1" si="286"/>
        <v>0.90672506436252698</v>
      </c>
      <c r="P2029" s="51">
        <f t="shared" si="288"/>
        <v>0</v>
      </c>
      <c r="Q2029" s="51">
        <f t="shared" si="289"/>
        <v>0</v>
      </c>
      <c r="R2029" s="51">
        <f t="shared" si="292"/>
        <v>0</v>
      </c>
      <c r="S2029"/>
      <c r="T2029" s="83"/>
    </row>
    <row r="2030" spans="1:20" ht="16" x14ac:dyDescent="0.2">
      <c r="A2030"/>
      <c r="B2030" s="103"/>
      <c r="C2030" s="243"/>
      <c r="D2030" s="119">
        <v>2017</v>
      </c>
      <c r="E2030" s="25" t="str">
        <f>Tp_Non_CHG!X206</f>
        <v>Transition Probability from state 6 to state 7 on day 3 (Non-CHG)</v>
      </c>
      <c r="F2030" s="40">
        <f t="shared" si="287"/>
        <v>0</v>
      </c>
      <c r="G2030" s="156">
        <v>1</v>
      </c>
      <c r="H2030" s="120">
        <f>Tp_Non_CHG!AA206</f>
        <v>0</v>
      </c>
      <c r="I2030" s="40" t="s">
        <v>58</v>
      </c>
      <c r="J2030" s="40">
        <f t="shared" si="290"/>
        <v>0</v>
      </c>
      <c r="K2030" s="40">
        <f t="shared" si="291"/>
        <v>0</v>
      </c>
      <c r="L2030" s="40" t="s">
        <v>58</v>
      </c>
      <c r="M2030" s="50" t="s">
        <v>266</v>
      </c>
      <c r="N2030" s="190"/>
      <c r="O2030" s="40">
        <f t="shared" ca="1" si="286"/>
        <v>0.8061884033021921</v>
      </c>
      <c r="P2030" s="51">
        <f t="shared" si="288"/>
        <v>0</v>
      </c>
      <c r="Q2030" s="51">
        <f t="shared" si="289"/>
        <v>0</v>
      </c>
      <c r="R2030" s="51">
        <f t="shared" si="292"/>
        <v>0</v>
      </c>
      <c r="S2030"/>
      <c r="T2030" s="83"/>
    </row>
    <row r="2031" spans="1:20" ht="16" x14ac:dyDescent="0.2">
      <c r="A2031"/>
      <c r="B2031" s="103"/>
      <c r="C2031" s="243"/>
      <c r="D2031" s="119">
        <v>2018</v>
      </c>
      <c r="E2031" s="25" t="str">
        <f>Tp_Non_CHG!X207</f>
        <v>Transition Probability from state 6 to state 7 on day 4 (Non-CHG)</v>
      </c>
      <c r="F2031" s="40">
        <f t="shared" si="287"/>
        <v>0</v>
      </c>
      <c r="G2031" s="156">
        <v>1</v>
      </c>
      <c r="H2031" s="120">
        <f>Tp_Non_CHG!AA207</f>
        <v>0</v>
      </c>
      <c r="I2031" s="40" t="s">
        <v>58</v>
      </c>
      <c r="J2031" s="40">
        <f t="shared" si="290"/>
        <v>0</v>
      </c>
      <c r="K2031" s="40">
        <f t="shared" si="291"/>
        <v>0</v>
      </c>
      <c r="L2031" s="40" t="s">
        <v>58</v>
      </c>
      <c r="M2031" s="50" t="s">
        <v>266</v>
      </c>
      <c r="N2031" s="190"/>
      <c r="O2031" s="40">
        <f t="shared" ca="1" si="286"/>
        <v>0.3846596905730878</v>
      </c>
      <c r="P2031" s="51">
        <f t="shared" si="288"/>
        <v>0</v>
      </c>
      <c r="Q2031" s="51">
        <f t="shared" si="289"/>
        <v>0</v>
      </c>
      <c r="R2031" s="51">
        <f t="shared" si="292"/>
        <v>0</v>
      </c>
      <c r="S2031"/>
      <c r="T2031" s="83"/>
    </row>
    <row r="2032" spans="1:20" ht="16" x14ac:dyDescent="0.2">
      <c r="A2032"/>
      <c r="B2032" s="103"/>
      <c r="C2032" s="243"/>
      <c r="D2032" s="119">
        <v>2019</v>
      </c>
      <c r="E2032" s="25" t="str">
        <f>Tp_Non_CHG!X208</f>
        <v>Transition Probability from state 6 to state 7 on day 5 (Non-CHG)</v>
      </c>
      <c r="F2032" s="40">
        <f t="shared" si="287"/>
        <v>0</v>
      </c>
      <c r="G2032" s="156">
        <v>1</v>
      </c>
      <c r="H2032" s="120">
        <f>Tp_Non_CHG!AA208</f>
        <v>0</v>
      </c>
      <c r="I2032" s="40" t="s">
        <v>58</v>
      </c>
      <c r="J2032" s="40">
        <f t="shared" si="290"/>
        <v>0</v>
      </c>
      <c r="K2032" s="40">
        <f t="shared" si="291"/>
        <v>0</v>
      </c>
      <c r="L2032" s="40" t="s">
        <v>58</v>
      </c>
      <c r="M2032" s="50" t="s">
        <v>266</v>
      </c>
      <c r="N2032" s="190"/>
      <c r="O2032" s="40">
        <f t="shared" ca="1" si="286"/>
        <v>0.52789001509165345</v>
      </c>
      <c r="P2032" s="51">
        <f t="shared" si="288"/>
        <v>0</v>
      </c>
      <c r="Q2032" s="51">
        <f t="shared" si="289"/>
        <v>0</v>
      </c>
      <c r="R2032" s="51">
        <f t="shared" si="292"/>
        <v>0</v>
      </c>
      <c r="S2032"/>
      <c r="T2032" s="83"/>
    </row>
    <row r="2033" spans="1:20" ht="16" x14ac:dyDescent="0.2">
      <c r="A2033"/>
      <c r="B2033" s="103"/>
      <c r="C2033" s="243"/>
      <c r="D2033" s="119">
        <v>2020</v>
      </c>
      <c r="E2033" s="25" t="str">
        <f>Tp_Non_CHG!X209</f>
        <v>Transition Probability from state 6 to state 7 on day 6 (Non-CHG)</v>
      </c>
      <c r="F2033" s="40">
        <f t="shared" si="287"/>
        <v>0</v>
      </c>
      <c r="G2033" s="156">
        <v>1</v>
      </c>
      <c r="H2033" s="120">
        <f>Tp_Non_CHG!AA209</f>
        <v>0</v>
      </c>
      <c r="I2033" s="40" t="s">
        <v>58</v>
      </c>
      <c r="J2033" s="40">
        <f t="shared" si="290"/>
        <v>0</v>
      </c>
      <c r="K2033" s="40">
        <f t="shared" si="291"/>
        <v>0</v>
      </c>
      <c r="L2033" s="40" t="s">
        <v>58</v>
      </c>
      <c r="M2033" s="50" t="s">
        <v>266</v>
      </c>
      <c r="N2033" s="190"/>
      <c r="O2033" s="40">
        <f t="shared" ca="1" si="286"/>
        <v>0.83328448658890375</v>
      </c>
      <c r="P2033" s="51">
        <f t="shared" si="288"/>
        <v>0</v>
      </c>
      <c r="Q2033" s="51">
        <f t="shared" si="289"/>
        <v>0</v>
      </c>
      <c r="R2033" s="51">
        <f t="shared" si="292"/>
        <v>0</v>
      </c>
      <c r="S2033"/>
      <c r="T2033" s="83"/>
    </row>
    <row r="2034" spans="1:20" ht="16" x14ac:dyDescent="0.2">
      <c r="A2034"/>
      <c r="B2034" s="103"/>
      <c r="C2034" s="243"/>
      <c r="D2034" s="119">
        <v>2021</v>
      </c>
      <c r="E2034" s="25" t="str">
        <f>Tp_Non_CHG!X210</f>
        <v>Transition Probability from state 6 to state 7 on day 7 (Non-CHG)</v>
      </c>
      <c r="F2034" s="40">
        <f t="shared" si="287"/>
        <v>0</v>
      </c>
      <c r="G2034" s="156">
        <v>1</v>
      </c>
      <c r="H2034" s="120">
        <f>Tp_Non_CHG!AA210</f>
        <v>0</v>
      </c>
      <c r="I2034" s="40" t="s">
        <v>58</v>
      </c>
      <c r="J2034" s="40">
        <f t="shared" si="290"/>
        <v>0</v>
      </c>
      <c r="K2034" s="40">
        <f t="shared" si="291"/>
        <v>0</v>
      </c>
      <c r="L2034" s="40" t="s">
        <v>58</v>
      </c>
      <c r="M2034" s="50" t="s">
        <v>266</v>
      </c>
      <c r="N2034" s="190"/>
      <c r="O2034" s="40">
        <f t="shared" ca="1" si="286"/>
        <v>0.52313450301946651</v>
      </c>
      <c r="P2034" s="51">
        <f t="shared" si="288"/>
        <v>0</v>
      </c>
      <c r="Q2034" s="51">
        <f t="shared" si="289"/>
        <v>0</v>
      </c>
      <c r="R2034" s="51">
        <f t="shared" si="292"/>
        <v>0</v>
      </c>
      <c r="S2034"/>
      <c r="T2034" s="83"/>
    </row>
    <row r="2035" spans="1:20" ht="16" x14ac:dyDescent="0.2">
      <c r="A2035"/>
      <c r="B2035" s="103"/>
      <c r="C2035" s="243"/>
      <c r="D2035" s="119">
        <v>2022</v>
      </c>
      <c r="E2035" s="25" t="str">
        <f>Tp_Non_CHG!X211</f>
        <v>Transition Probability from state 6 to state 7 on day 8 (Non-CHG)</v>
      </c>
      <c r="F2035" s="40">
        <f t="shared" si="287"/>
        <v>0</v>
      </c>
      <c r="G2035" s="156">
        <v>1</v>
      </c>
      <c r="H2035" s="120">
        <f>Tp_Non_CHG!AA211</f>
        <v>0</v>
      </c>
      <c r="I2035" s="40" t="s">
        <v>58</v>
      </c>
      <c r="J2035" s="40">
        <f t="shared" si="290"/>
        <v>0</v>
      </c>
      <c r="K2035" s="40">
        <f t="shared" si="291"/>
        <v>0</v>
      </c>
      <c r="L2035" s="40" t="s">
        <v>58</v>
      </c>
      <c r="M2035" s="50" t="s">
        <v>266</v>
      </c>
      <c r="N2035" s="190"/>
      <c r="O2035" s="40">
        <f t="shared" ca="1" si="286"/>
        <v>0.29757950488314611</v>
      </c>
      <c r="P2035" s="51">
        <f t="shared" si="288"/>
        <v>0</v>
      </c>
      <c r="Q2035" s="51">
        <f t="shared" si="289"/>
        <v>0</v>
      </c>
      <c r="R2035" s="51">
        <f t="shared" si="292"/>
        <v>0</v>
      </c>
      <c r="S2035"/>
      <c r="T2035" s="83"/>
    </row>
    <row r="2036" spans="1:20" ht="16" x14ac:dyDescent="0.2">
      <c r="A2036"/>
      <c r="B2036" s="103"/>
      <c r="C2036" s="243"/>
      <c r="D2036" s="119">
        <v>2023</v>
      </c>
      <c r="E2036" s="25" t="str">
        <f>Tp_Non_CHG!X212</f>
        <v>Transition Probability from state 6 to state 7 on day 9 (Non-CHG)</v>
      </c>
      <c r="F2036" s="40">
        <f t="shared" si="287"/>
        <v>0</v>
      </c>
      <c r="G2036" s="156">
        <v>1</v>
      </c>
      <c r="H2036" s="120">
        <f>Tp_Non_CHG!AA212</f>
        <v>0</v>
      </c>
      <c r="I2036" s="40" t="s">
        <v>58</v>
      </c>
      <c r="J2036" s="40">
        <f t="shared" si="290"/>
        <v>0</v>
      </c>
      <c r="K2036" s="40">
        <f t="shared" si="291"/>
        <v>0</v>
      </c>
      <c r="L2036" s="40" t="s">
        <v>58</v>
      </c>
      <c r="M2036" s="50" t="s">
        <v>266</v>
      </c>
      <c r="N2036" s="190"/>
      <c r="O2036" s="40">
        <f t="shared" ca="1" si="286"/>
        <v>0.22950128010405701</v>
      </c>
      <c r="P2036" s="51">
        <f t="shared" si="288"/>
        <v>0</v>
      </c>
      <c r="Q2036" s="51">
        <f t="shared" si="289"/>
        <v>0</v>
      </c>
      <c r="R2036" s="51">
        <f t="shared" si="292"/>
        <v>0</v>
      </c>
      <c r="S2036"/>
      <c r="T2036" s="83"/>
    </row>
    <row r="2037" spans="1:20" ht="16" x14ac:dyDescent="0.2">
      <c r="A2037"/>
      <c r="B2037" s="103"/>
      <c r="C2037" s="243"/>
      <c r="D2037" s="119">
        <v>2024</v>
      </c>
      <c r="E2037" s="25" t="str">
        <f>Tp_Non_CHG!X213</f>
        <v>Transition Probability from state 6 to state 7 on day 10 (Non-CHG)</v>
      </c>
      <c r="F2037" s="40">
        <f t="shared" si="287"/>
        <v>0</v>
      </c>
      <c r="G2037" s="156">
        <v>1</v>
      </c>
      <c r="H2037" s="120">
        <f>Tp_Non_CHG!AA213</f>
        <v>0</v>
      </c>
      <c r="I2037" s="40" t="s">
        <v>58</v>
      </c>
      <c r="J2037" s="40">
        <f t="shared" si="290"/>
        <v>0</v>
      </c>
      <c r="K2037" s="40">
        <f t="shared" si="291"/>
        <v>0</v>
      </c>
      <c r="L2037" s="40" t="s">
        <v>58</v>
      </c>
      <c r="M2037" s="50" t="s">
        <v>266</v>
      </c>
      <c r="N2037" s="190"/>
      <c r="O2037" s="40">
        <f t="shared" ca="1" si="286"/>
        <v>0.82922562068356465</v>
      </c>
      <c r="P2037" s="51">
        <f t="shared" si="288"/>
        <v>0</v>
      </c>
      <c r="Q2037" s="51">
        <f t="shared" si="289"/>
        <v>0</v>
      </c>
      <c r="R2037" s="51">
        <f t="shared" si="292"/>
        <v>0</v>
      </c>
      <c r="S2037"/>
      <c r="T2037" s="83"/>
    </row>
    <row r="2038" spans="1:20" ht="16" x14ac:dyDescent="0.2">
      <c r="A2038"/>
      <c r="B2038" s="103"/>
      <c r="C2038" s="243"/>
      <c r="D2038" s="119">
        <v>2025</v>
      </c>
      <c r="E2038" s="25" t="str">
        <f>Tp_Non_CHG!X215</f>
        <v>Transition Probability from state 6 to state 7 on day 12 (Non-CHG)</v>
      </c>
      <c r="F2038" s="40">
        <f t="shared" si="287"/>
        <v>0</v>
      </c>
      <c r="G2038" s="156">
        <v>1</v>
      </c>
      <c r="H2038" s="120">
        <f>Tp_Non_CHG!AA215</f>
        <v>0</v>
      </c>
      <c r="I2038" s="40" t="s">
        <v>58</v>
      </c>
      <c r="J2038" s="40">
        <f t="shared" si="290"/>
        <v>0</v>
      </c>
      <c r="K2038" s="40">
        <f t="shared" si="291"/>
        <v>0</v>
      </c>
      <c r="L2038" s="40" t="s">
        <v>58</v>
      </c>
      <c r="M2038" s="50" t="s">
        <v>266</v>
      </c>
      <c r="N2038" s="190"/>
      <c r="O2038" s="40">
        <f t="shared" ref="O2038:O2062" ca="1" si="293">RAND()</f>
        <v>0.55397243967447096</v>
      </c>
      <c r="P2038" s="51">
        <f t="shared" si="288"/>
        <v>0</v>
      </c>
      <c r="Q2038" s="51">
        <f t="shared" si="289"/>
        <v>0</v>
      </c>
      <c r="R2038" s="51">
        <f t="shared" si="292"/>
        <v>0</v>
      </c>
      <c r="S2038"/>
      <c r="T2038" s="83"/>
    </row>
    <row r="2039" spans="1:20" ht="16" x14ac:dyDescent="0.2">
      <c r="A2039"/>
      <c r="B2039" s="103"/>
      <c r="C2039" s="243"/>
      <c r="D2039" s="119">
        <v>2026</v>
      </c>
      <c r="E2039" s="25" t="str">
        <f>Tp_Non_CHG!X216</f>
        <v>Transition Probability from state 6 to state 7 on day 13 (Non-CHG)</v>
      </c>
      <c r="F2039" s="40">
        <f t="shared" si="287"/>
        <v>0</v>
      </c>
      <c r="G2039" s="156">
        <v>1</v>
      </c>
      <c r="H2039" s="120">
        <f>Tp_Non_CHG!AA216</f>
        <v>0</v>
      </c>
      <c r="I2039" s="40" t="s">
        <v>58</v>
      </c>
      <c r="J2039" s="40">
        <f t="shared" si="290"/>
        <v>0</v>
      </c>
      <c r="K2039" s="40">
        <f t="shared" si="291"/>
        <v>0</v>
      </c>
      <c r="L2039" s="40" t="s">
        <v>58</v>
      </c>
      <c r="M2039" s="50" t="s">
        <v>266</v>
      </c>
      <c r="N2039" s="190"/>
      <c r="O2039" s="40">
        <f t="shared" ca="1" si="293"/>
        <v>0.7239155737729881</v>
      </c>
      <c r="P2039" s="51">
        <f t="shared" si="288"/>
        <v>0</v>
      </c>
      <c r="Q2039" s="51">
        <f t="shared" si="289"/>
        <v>0</v>
      </c>
      <c r="R2039" s="51">
        <f t="shared" si="292"/>
        <v>0</v>
      </c>
      <c r="S2039"/>
      <c r="T2039" s="83"/>
    </row>
    <row r="2040" spans="1:20" ht="16" x14ac:dyDescent="0.2">
      <c r="A2040"/>
      <c r="B2040" s="103"/>
      <c r="C2040" s="243"/>
      <c r="D2040" s="119">
        <v>2027</v>
      </c>
      <c r="E2040" s="25" t="str">
        <f>Tp_Non_CHG!X217</f>
        <v>Transition Probability from state 6 to state 7 on day 14 (Non-CHG)</v>
      </c>
      <c r="F2040" s="40">
        <f t="shared" si="287"/>
        <v>0</v>
      </c>
      <c r="G2040" s="156">
        <v>1</v>
      </c>
      <c r="H2040" s="120">
        <f>Tp_Non_CHG!AA217</f>
        <v>0</v>
      </c>
      <c r="I2040" s="40" t="s">
        <v>58</v>
      </c>
      <c r="J2040" s="40">
        <f t="shared" si="290"/>
        <v>0</v>
      </c>
      <c r="K2040" s="40">
        <f t="shared" si="291"/>
        <v>0</v>
      </c>
      <c r="L2040" s="40" t="s">
        <v>58</v>
      </c>
      <c r="M2040" s="50" t="s">
        <v>266</v>
      </c>
      <c r="N2040" s="190"/>
      <c r="O2040" s="40">
        <f t="shared" ca="1" si="293"/>
        <v>0.1917361236104097</v>
      </c>
      <c r="P2040" s="51">
        <f t="shared" si="288"/>
        <v>0</v>
      </c>
      <c r="Q2040" s="51">
        <f t="shared" si="289"/>
        <v>0</v>
      </c>
      <c r="R2040" s="51">
        <f t="shared" si="292"/>
        <v>0</v>
      </c>
      <c r="S2040"/>
      <c r="T2040" s="83"/>
    </row>
    <row r="2041" spans="1:20" ht="16" x14ac:dyDescent="0.2">
      <c r="A2041"/>
      <c r="B2041" s="103"/>
      <c r="C2041" s="243"/>
      <c r="D2041" s="119">
        <v>2028</v>
      </c>
      <c r="E2041" s="25" t="str">
        <f>Tp_Non_CHG!X218</f>
        <v>Transition Probability from state 6 to state 7 on day 15 (Non-CHG)</v>
      </c>
      <c r="F2041" s="40">
        <f t="shared" si="287"/>
        <v>0</v>
      </c>
      <c r="G2041" s="156">
        <v>1</v>
      </c>
      <c r="H2041" s="120">
        <f>Tp_Non_CHG!AA218</f>
        <v>0</v>
      </c>
      <c r="I2041" s="40" t="s">
        <v>58</v>
      </c>
      <c r="J2041" s="40">
        <f t="shared" si="290"/>
        <v>0</v>
      </c>
      <c r="K2041" s="40">
        <f t="shared" si="291"/>
        <v>0</v>
      </c>
      <c r="L2041" s="40" t="s">
        <v>58</v>
      </c>
      <c r="M2041" s="50" t="s">
        <v>266</v>
      </c>
      <c r="N2041" s="190"/>
      <c r="O2041" s="40">
        <f t="shared" ca="1" si="293"/>
        <v>0.87794677651630726</v>
      </c>
      <c r="P2041" s="51">
        <f t="shared" si="288"/>
        <v>0</v>
      </c>
      <c r="Q2041" s="51">
        <f t="shared" si="289"/>
        <v>0</v>
      </c>
      <c r="R2041" s="51">
        <f t="shared" si="292"/>
        <v>0</v>
      </c>
      <c r="S2041"/>
      <c r="T2041" s="83"/>
    </row>
    <row r="2042" spans="1:20" ht="16" x14ac:dyDescent="0.2">
      <c r="A2042"/>
      <c r="B2042" s="103"/>
      <c r="C2042" s="243"/>
      <c r="D2042" s="119">
        <v>2029</v>
      </c>
      <c r="E2042" s="25" t="str">
        <f>Tp_Non_CHG!X219</f>
        <v>Transition Probability from state 6 to state 7 on day 16 (Non-CHG)</v>
      </c>
      <c r="F2042" s="40">
        <f t="shared" si="287"/>
        <v>0</v>
      </c>
      <c r="G2042" s="156">
        <v>1</v>
      </c>
      <c r="H2042" s="120">
        <f>Tp_Non_CHG!AA219</f>
        <v>0</v>
      </c>
      <c r="I2042" s="40" t="s">
        <v>58</v>
      </c>
      <c r="J2042" s="40">
        <f t="shared" si="290"/>
        <v>0</v>
      </c>
      <c r="K2042" s="40">
        <f t="shared" si="291"/>
        <v>0</v>
      </c>
      <c r="L2042" s="40" t="s">
        <v>58</v>
      </c>
      <c r="M2042" s="50" t="s">
        <v>266</v>
      </c>
      <c r="N2042" s="190"/>
      <c r="O2042" s="40">
        <f t="shared" ca="1" si="293"/>
        <v>0.75210403323876107</v>
      </c>
      <c r="P2042" s="51">
        <f t="shared" si="288"/>
        <v>0</v>
      </c>
      <c r="Q2042" s="51">
        <f t="shared" si="289"/>
        <v>0</v>
      </c>
      <c r="R2042" s="51">
        <f t="shared" si="292"/>
        <v>0</v>
      </c>
      <c r="S2042"/>
      <c r="T2042" s="83"/>
    </row>
    <row r="2043" spans="1:20" ht="16" x14ac:dyDescent="0.2">
      <c r="A2043"/>
      <c r="B2043" s="103"/>
      <c r="C2043" s="243"/>
      <c r="D2043" s="119">
        <v>2030</v>
      </c>
      <c r="E2043" s="25" t="str">
        <f>Tp_Non_CHG!X220</f>
        <v>Transition Probability from state 6 to state 7 on day 17 (Non-CHG)</v>
      </c>
      <c r="F2043" s="40">
        <f t="shared" si="287"/>
        <v>0</v>
      </c>
      <c r="G2043" s="156">
        <v>1</v>
      </c>
      <c r="H2043" s="120">
        <f>Tp_Non_CHG!AA220</f>
        <v>0</v>
      </c>
      <c r="I2043" s="40" t="s">
        <v>58</v>
      </c>
      <c r="J2043" s="40">
        <f t="shared" si="290"/>
        <v>0</v>
      </c>
      <c r="K2043" s="40">
        <f t="shared" si="291"/>
        <v>0</v>
      </c>
      <c r="L2043" s="40" t="s">
        <v>58</v>
      </c>
      <c r="M2043" s="50" t="s">
        <v>266</v>
      </c>
      <c r="N2043" s="190"/>
      <c r="O2043" s="40">
        <f t="shared" ca="1" si="293"/>
        <v>0.78922879759238362</v>
      </c>
      <c r="P2043" s="51">
        <f t="shared" si="288"/>
        <v>0</v>
      </c>
      <c r="Q2043" s="51">
        <f t="shared" si="289"/>
        <v>0</v>
      </c>
      <c r="R2043" s="51">
        <f t="shared" si="292"/>
        <v>0</v>
      </c>
      <c r="S2043"/>
      <c r="T2043" s="83"/>
    </row>
    <row r="2044" spans="1:20" ht="16" x14ac:dyDescent="0.2">
      <c r="A2044"/>
      <c r="B2044" s="103"/>
      <c r="C2044" s="243"/>
      <c r="D2044" s="119">
        <v>2031</v>
      </c>
      <c r="E2044" s="25" t="str">
        <f>Tp_Non_CHG!X221</f>
        <v>Transition Probability from state 6 to state 7 on day 18 (Non-CHG)</v>
      </c>
      <c r="F2044" s="40">
        <f t="shared" si="287"/>
        <v>0</v>
      </c>
      <c r="G2044" s="156">
        <v>1</v>
      </c>
      <c r="H2044" s="120">
        <f>Tp_Non_CHG!AA221</f>
        <v>0</v>
      </c>
      <c r="I2044" s="40" t="s">
        <v>58</v>
      </c>
      <c r="J2044" s="40">
        <f t="shared" si="290"/>
        <v>0</v>
      </c>
      <c r="K2044" s="40">
        <f t="shared" si="291"/>
        <v>0</v>
      </c>
      <c r="L2044" s="40" t="s">
        <v>58</v>
      </c>
      <c r="M2044" s="50" t="s">
        <v>266</v>
      </c>
      <c r="N2044" s="190"/>
      <c r="O2044" s="40">
        <f t="shared" ca="1" si="293"/>
        <v>0.16724393031776119</v>
      </c>
      <c r="P2044" s="51">
        <f t="shared" si="288"/>
        <v>0</v>
      </c>
      <c r="Q2044" s="51">
        <f t="shared" si="289"/>
        <v>0</v>
      </c>
      <c r="R2044" s="51">
        <f t="shared" si="292"/>
        <v>0</v>
      </c>
      <c r="S2044"/>
      <c r="T2044" s="83"/>
    </row>
    <row r="2045" spans="1:20" ht="16" x14ac:dyDescent="0.2">
      <c r="A2045"/>
      <c r="B2045" s="103"/>
      <c r="C2045" s="243"/>
      <c r="D2045" s="119">
        <v>2032</v>
      </c>
      <c r="E2045" s="25" t="str">
        <f>Tp_Non_CHG!X222</f>
        <v>Transition Probability from state 6 to state 7 on day 19 (Non-CHG)</v>
      </c>
      <c r="F2045" s="40">
        <f t="shared" si="287"/>
        <v>0</v>
      </c>
      <c r="G2045" s="156">
        <v>1</v>
      </c>
      <c r="H2045" s="120">
        <f>Tp_Non_CHG!AA222</f>
        <v>0</v>
      </c>
      <c r="I2045" s="40" t="s">
        <v>58</v>
      </c>
      <c r="J2045" s="40">
        <f t="shared" si="290"/>
        <v>0</v>
      </c>
      <c r="K2045" s="40">
        <f t="shared" si="291"/>
        <v>0</v>
      </c>
      <c r="L2045" s="40" t="s">
        <v>58</v>
      </c>
      <c r="M2045" s="50" t="s">
        <v>266</v>
      </c>
      <c r="N2045" s="190"/>
      <c r="O2045" s="40">
        <f t="shared" ca="1" si="293"/>
        <v>0.65152177164274738</v>
      </c>
      <c r="P2045" s="51">
        <f t="shared" si="288"/>
        <v>0</v>
      </c>
      <c r="Q2045" s="51">
        <f t="shared" si="289"/>
        <v>0</v>
      </c>
      <c r="R2045" s="51">
        <f t="shared" si="292"/>
        <v>0</v>
      </c>
      <c r="S2045"/>
      <c r="T2045" s="83"/>
    </row>
    <row r="2046" spans="1:20" ht="16" x14ac:dyDescent="0.2">
      <c r="A2046"/>
      <c r="B2046" s="103"/>
      <c r="C2046" s="243"/>
      <c r="D2046" s="119">
        <v>2033</v>
      </c>
      <c r="E2046" s="25" t="str">
        <f>Tp_Non_CHG!X223</f>
        <v>Transition Probability from state 6 to state 7 on day 20 (Non-CHG)</v>
      </c>
      <c r="F2046" s="40">
        <f t="shared" si="287"/>
        <v>0</v>
      </c>
      <c r="G2046" s="156">
        <v>1</v>
      </c>
      <c r="H2046" s="120">
        <f>Tp_Non_CHG!AA223</f>
        <v>0</v>
      </c>
      <c r="I2046" s="40" t="s">
        <v>58</v>
      </c>
      <c r="J2046" s="40">
        <f t="shared" si="290"/>
        <v>0</v>
      </c>
      <c r="K2046" s="40">
        <f t="shared" si="291"/>
        <v>0</v>
      </c>
      <c r="L2046" s="40" t="s">
        <v>58</v>
      </c>
      <c r="M2046" s="50" t="s">
        <v>266</v>
      </c>
      <c r="N2046" s="190"/>
      <c r="O2046" s="40">
        <f t="shared" ca="1" si="293"/>
        <v>0.60476955730236226</v>
      </c>
      <c r="P2046" s="51">
        <f t="shared" si="288"/>
        <v>0</v>
      </c>
      <c r="Q2046" s="51">
        <f t="shared" si="289"/>
        <v>0</v>
      </c>
      <c r="R2046" s="51">
        <f t="shared" si="292"/>
        <v>0</v>
      </c>
      <c r="S2046"/>
      <c r="T2046" s="83"/>
    </row>
    <row r="2047" spans="1:20" ht="16" x14ac:dyDescent="0.2">
      <c r="A2047"/>
      <c r="B2047" s="103"/>
      <c r="C2047" s="243"/>
      <c r="D2047" s="119">
        <v>2034</v>
      </c>
      <c r="E2047" s="25" t="str">
        <f>Tp_Non_CHG!X224</f>
        <v>Transition Probability from state 6 to state 7 on day 21 (Non-CHG)</v>
      </c>
      <c r="F2047" s="40">
        <f t="shared" si="287"/>
        <v>0</v>
      </c>
      <c r="G2047" s="156">
        <v>1</v>
      </c>
      <c r="H2047" s="120">
        <f>Tp_Non_CHG!AA224</f>
        <v>0</v>
      </c>
      <c r="I2047" s="40" t="s">
        <v>58</v>
      </c>
      <c r="J2047" s="40">
        <f t="shared" si="290"/>
        <v>0</v>
      </c>
      <c r="K2047" s="40">
        <f t="shared" si="291"/>
        <v>0</v>
      </c>
      <c r="L2047" s="40" t="s">
        <v>58</v>
      </c>
      <c r="M2047" s="50" t="s">
        <v>266</v>
      </c>
      <c r="N2047" s="190"/>
      <c r="O2047" s="40">
        <f t="shared" ca="1" si="293"/>
        <v>0.11808091927905684</v>
      </c>
      <c r="P2047" s="51">
        <f t="shared" si="288"/>
        <v>0</v>
      </c>
      <c r="Q2047" s="51">
        <f t="shared" si="289"/>
        <v>0</v>
      </c>
      <c r="R2047" s="51">
        <f t="shared" si="292"/>
        <v>0</v>
      </c>
      <c r="S2047"/>
      <c r="T2047" s="83"/>
    </row>
    <row r="2048" spans="1:20" ht="16" x14ac:dyDescent="0.2">
      <c r="A2048"/>
      <c r="B2048" s="103"/>
      <c r="C2048" s="243"/>
      <c r="D2048" s="119">
        <v>2035</v>
      </c>
      <c r="E2048" s="25" t="str">
        <f>Tp_Non_CHG!X225</f>
        <v>Transition Probability from state 6 to state 7 on day 22 (Non-CHG)</v>
      </c>
      <c r="F2048" s="40">
        <f t="shared" si="287"/>
        <v>0</v>
      </c>
      <c r="G2048" s="156">
        <v>1</v>
      </c>
      <c r="H2048" s="120">
        <f>Tp_Non_CHG!AA225</f>
        <v>0</v>
      </c>
      <c r="I2048" s="40" t="s">
        <v>58</v>
      </c>
      <c r="J2048" s="40">
        <f t="shared" si="290"/>
        <v>0</v>
      </c>
      <c r="K2048" s="40">
        <f t="shared" si="291"/>
        <v>0</v>
      </c>
      <c r="L2048" s="40" t="s">
        <v>58</v>
      </c>
      <c r="M2048" s="50" t="s">
        <v>266</v>
      </c>
      <c r="N2048" s="190"/>
      <c r="O2048" s="40">
        <f t="shared" ca="1" si="293"/>
        <v>0.68913137768215227</v>
      </c>
      <c r="P2048" s="51">
        <f t="shared" si="288"/>
        <v>0</v>
      </c>
      <c r="Q2048" s="51">
        <f t="shared" si="289"/>
        <v>0</v>
      </c>
      <c r="R2048" s="51">
        <f t="shared" si="292"/>
        <v>0</v>
      </c>
      <c r="S2048"/>
      <c r="T2048" s="83"/>
    </row>
    <row r="2049" spans="1:20" ht="16" x14ac:dyDescent="0.2">
      <c r="A2049"/>
      <c r="B2049" s="103"/>
      <c r="C2049" s="243"/>
      <c r="D2049" s="119">
        <v>2036</v>
      </c>
      <c r="E2049" s="25" t="str">
        <f>Tp_Non_CHG!X226</f>
        <v>Transition Probability from state 6 to state 7 on day 23 (Non-CHG)</v>
      </c>
      <c r="F2049" s="40">
        <f t="shared" si="287"/>
        <v>0</v>
      </c>
      <c r="G2049" s="156">
        <v>1</v>
      </c>
      <c r="H2049" s="120">
        <f>Tp_Non_CHG!AA226</f>
        <v>0</v>
      </c>
      <c r="I2049" s="40" t="s">
        <v>58</v>
      </c>
      <c r="J2049" s="40">
        <f t="shared" si="290"/>
        <v>0</v>
      </c>
      <c r="K2049" s="40">
        <f t="shared" si="291"/>
        <v>0</v>
      </c>
      <c r="L2049" s="40" t="s">
        <v>58</v>
      </c>
      <c r="M2049" s="50" t="s">
        <v>266</v>
      </c>
      <c r="N2049" s="190"/>
      <c r="O2049" s="40">
        <f t="shared" ca="1" si="293"/>
        <v>0.95156581940719365</v>
      </c>
      <c r="P2049" s="51">
        <f t="shared" si="288"/>
        <v>0</v>
      </c>
      <c r="Q2049" s="51">
        <f t="shared" si="289"/>
        <v>0</v>
      </c>
      <c r="R2049" s="51">
        <f t="shared" si="292"/>
        <v>0</v>
      </c>
      <c r="S2049"/>
      <c r="T2049" s="83"/>
    </row>
    <row r="2050" spans="1:20" ht="16" x14ac:dyDescent="0.2">
      <c r="A2050"/>
      <c r="B2050" s="103"/>
      <c r="C2050" s="243"/>
      <c r="D2050" s="119">
        <v>2037</v>
      </c>
      <c r="E2050" s="25" t="str">
        <f>Tp_Non_CHG!X227</f>
        <v>Transition Probability from state 6 to state 7 on day 24 (Non-CHG)</v>
      </c>
      <c r="F2050" s="40">
        <f t="shared" si="287"/>
        <v>0</v>
      </c>
      <c r="G2050" s="156">
        <v>1</v>
      </c>
      <c r="H2050" s="120">
        <f>Tp_Non_CHG!AA227</f>
        <v>0</v>
      </c>
      <c r="I2050" s="40" t="s">
        <v>58</v>
      </c>
      <c r="J2050" s="40">
        <f t="shared" si="290"/>
        <v>0</v>
      </c>
      <c r="K2050" s="40">
        <f t="shared" si="291"/>
        <v>0</v>
      </c>
      <c r="L2050" s="40" t="s">
        <v>58</v>
      </c>
      <c r="M2050" s="50" t="s">
        <v>266</v>
      </c>
      <c r="N2050" s="190"/>
      <c r="O2050" s="40">
        <f t="shared" ca="1" si="293"/>
        <v>0.60922718228687012</v>
      </c>
      <c r="P2050" s="51">
        <f t="shared" si="288"/>
        <v>0</v>
      </c>
      <c r="Q2050" s="51">
        <f t="shared" si="289"/>
        <v>0</v>
      </c>
      <c r="R2050" s="51">
        <f t="shared" si="292"/>
        <v>0</v>
      </c>
      <c r="S2050"/>
      <c r="T2050" s="83"/>
    </row>
    <row r="2051" spans="1:20" ht="16" x14ac:dyDescent="0.2">
      <c r="A2051"/>
      <c r="B2051" s="103"/>
      <c r="C2051" s="243"/>
      <c r="D2051" s="119">
        <v>2038</v>
      </c>
      <c r="E2051" s="25" t="str">
        <f>Tp_Non_CHG!X228</f>
        <v>Transition Probability from state 6 to state 7 on day 25 (Non-CHG)</v>
      </c>
      <c r="F2051" s="40">
        <f t="shared" si="287"/>
        <v>0</v>
      </c>
      <c r="G2051" s="156">
        <v>1</v>
      </c>
      <c r="H2051" s="120">
        <f>Tp_Non_CHG!AA228</f>
        <v>0</v>
      </c>
      <c r="I2051" s="40" t="s">
        <v>58</v>
      </c>
      <c r="J2051" s="40">
        <f t="shared" si="290"/>
        <v>0</v>
      </c>
      <c r="K2051" s="40">
        <f t="shared" si="291"/>
        <v>0</v>
      </c>
      <c r="L2051" s="40" t="s">
        <v>58</v>
      </c>
      <c r="M2051" s="50" t="s">
        <v>266</v>
      </c>
      <c r="N2051" s="190"/>
      <c r="O2051" s="40">
        <f t="shared" ca="1" si="293"/>
        <v>0.25648002045072915</v>
      </c>
      <c r="P2051" s="51">
        <f t="shared" si="288"/>
        <v>0</v>
      </c>
      <c r="Q2051" s="51">
        <f t="shared" si="289"/>
        <v>0</v>
      </c>
      <c r="R2051" s="51">
        <f t="shared" si="292"/>
        <v>0</v>
      </c>
      <c r="S2051"/>
      <c r="T2051" s="83"/>
    </row>
    <row r="2052" spans="1:20" ht="16" x14ac:dyDescent="0.2">
      <c r="A2052"/>
      <c r="B2052" s="103"/>
      <c r="C2052" s="243"/>
      <c r="D2052" s="119">
        <v>2039</v>
      </c>
      <c r="E2052" s="25" t="str">
        <f>Tp_Non_CHG!X229</f>
        <v>Transition Probability from state 6 to state 7 on day 26 (Non-CHG)</v>
      </c>
      <c r="F2052" s="40">
        <f t="shared" si="287"/>
        <v>0</v>
      </c>
      <c r="G2052" s="156">
        <v>1</v>
      </c>
      <c r="H2052" s="120">
        <f>Tp_Non_CHG!AA229</f>
        <v>0</v>
      </c>
      <c r="I2052" s="40" t="s">
        <v>58</v>
      </c>
      <c r="J2052" s="40">
        <f t="shared" si="290"/>
        <v>0</v>
      </c>
      <c r="K2052" s="40">
        <f t="shared" si="291"/>
        <v>0</v>
      </c>
      <c r="L2052" s="40" t="s">
        <v>58</v>
      </c>
      <c r="M2052" s="50" t="s">
        <v>266</v>
      </c>
      <c r="N2052" s="190"/>
      <c r="O2052" s="40">
        <f t="shared" ca="1" si="293"/>
        <v>0.34915062979513767</v>
      </c>
      <c r="P2052" s="51">
        <f t="shared" si="288"/>
        <v>0</v>
      </c>
      <c r="Q2052" s="51">
        <f t="shared" si="289"/>
        <v>0</v>
      </c>
      <c r="R2052" s="51">
        <f t="shared" si="292"/>
        <v>0</v>
      </c>
      <c r="S2052"/>
      <c r="T2052" s="83"/>
    </row>
    <row r="2053" spans="1:20" ht="16" x14ac:dyDescent="0.2">
      <c r="A2053"/>
      <c r="B2053" s="103"/>
      <c r="C2053" s="243"/>
      <c r="D2053" s="119">
        <v>2040</v>
      </c>
      <c r="E2053" s="25" t="str">
        <f>Tp_Non_CHG!X230</f>
        <v>Transition Probability from state 6 to state 7 on day 27 (Non-CHG)</v>
      </c>
      <c r="F2053" s="40">
        <f t="shared" si="287"/>
        <v>0</v>
      </c>
      <c r="G2053" s="156">
        <v>1</v>
      </c>
      <c r="H2053" s="120">
        <f>Tp_Non_CHG!AA230</f>
        <v>0</v>
      </c>
      <c r="I2053" s="40" t="s">
        <v>58</v>
      </c>
      <c r="J2053" s="40">
        <f t="shared" si="290"/>
        <v>0</v>
      </c>
      <c r="K2053" s="40">
        <f t="shared" si="291"/>
        <v>0</v>
      </c>
      <c r="L2053" s="40" t="s">
        <v>58</v>
      </c>
      <c r="M2053" s="50" t="s">
        <v>266</v>
      </c>
      <c r="N2053" s="190"/>
      <c r="O2053" s="40">
        <f t="shared" ca="1" si="293"/>
        <v>0.67465634797002128</v>
      </c>
      <c r="P2053" s="51">
        <f t="shared" si="288"/>
        <v>0</v>
      </c>
      <c r="Q2053" s="51">
        <f t="shared" si="289"/>
        <v>0</v>
      </c>
      <c r="R2053" s="51">
        <f t="shared" si="292"/>
        <v>0</v>
      </c>
      <c r="S2053"/>
      <c r="T2053" s="83"/>
    </row>
    <row r="2054" spans="1:20" ht="16" x14ac:dyDescent="0.2">
      <c r="A2054"/>
      <c r="B2054" s="103"/>
      <c r="C2054" s="243"/>
      <c r="D2054" s="119">
        <v>2041</v>
      </c>
      <c r="E2054" s="25" t="str">
        <f>Tp_Non_CHG!X231</f>
        <v>Transition Probability from state 6 to state 7 on day 28 (Non-CHG)</v>
      </c>
      <c r="F2054" s="40">
        <f t="shared" si="287"/>
        <v>0</v>
      </c>
      <c r="G2054" s="156">
        <v>1</v>
      </c>
      <c r="H2054" s="120">
        <f>Tp_Non_CHG!AA231</f>
        <v>0</v>
      </c>
      <c r="I2054" s="40" t="s">
        <v>58</v>
      </c>
      <c r="J2054" s="40">
        <f t="shared" si="290"/>
        <v>0</v>
      </c>
      <c r="K2054" s="40">
        <f t="shared" si="291"/>
        <v>0</v>
      </c>
      <c r="L2054" s="40" t="s">
        <v>58</v>
      </c>
      <c r="M2054" s="50" t="s">
        <v>266</v>
      </c>
      <c r="N2054" s="190"/>
      <c r="O2054" s="40">
        <f t="shared" ca="1" si="293"/>
        <v>0.92964359609603198</v>
      </c>
      <c r="P2054" s="51">
        <f t="shared" si="288"/>
        <v>0</v>
      </c>
      <c r="Q2054" s="51">
        <f t="shared" si="289"/>
        <v>0</v>
      </c>
      <c r="R2054" s="51">
        <f t="shared" si="292"/>
        <v>0</v>
      </c>
      <c r="S2054"/>
      <c r="T2054" s="83"/>
    </row>
    <row r="2055" spans="1:20" ht="16" x14ac:dyDescent="0.2">
      <c r="A2055"/>
      <c r="B2055" s="103"/>
      <c r="C2055" s="243"/>
      <c r="D2055" s="119">
        <v>2042</v>
      </c>
      <c r="E2055" s="25" t="str">
        <f>Tp_Non_CHG!X232</f>
        <v>Transition Probability from state 6 to state 7 on day 29 (Non-CHG)</v>
      </c>
      <c r="F2055" s="40">
        <f t="shared" si="287"/>
        <v>0</v>
      </c>
      <c r="G2055" s="156">
        <v>1</v>
      </c>
      <c r="H2055" s="120">
        <f>Tp_Non_CHG!AA232</f>
        <v>0</v>
      </c>
      <c r="I2055" s="40" t="s">
        <v>58</v>
      </c>
      <c r="J2055" s="40">
        <f t="shared" si="290"/>
        <v>0</v>
      </c>
      <c r="K2055" s="40">
        <f t="shared" si="291"/>
        <v>0</v>
      </c>
      <c r="L2055" s="40" t="s">
        <v>58</v>
      </c>
      <c r="M2055" s="50" t="s">
        <v>266</v>
      </c>
      <c r="N2055" s="190"/>
      <c r="O2055" s="40">
        <f t="shared" ca="1" si="293"/>
        <v>5.4331038890706007E-2</v>
      </c>
      <c r="P2055" s="51">
        <f t="shared" si="288"/>
        <v>0</v>
      </c>
      <c r="Q2055" s="51">
        <f t="shared" si="289"/>
        <v>0</v>
      </c>
      <c r="R2055" s="51">
        <f t="shared" si="292"/>
        <v>0</v>
      </c>
      <c r="S2055"/>
      <c r="T2055" s="83"/>
    </row>
    <row r="2056" spans="1:20" ht="16" x14ac:dyDescent="0.2">
      <c r="A2056"/>
      <c r="B2056" s="103"/>
      <c r="C2056" s="243"/>
      <c r="D2056" s="119">
        <v>2043</v>
      </c>
      <c r="E2056" s="25" t="str">
        <f>Tp_Non_CHG!X233</f>
        <v>Transition Probability from state 6 to state 7 on day 30 (Non-CHG)</v>
      </c>
      <c r="F2056" s="40">
        <f t="shared" si="287"/>
        <v>0</v>
      </c>
      <c r="G2056" s="156">
        <v>1</v>
      </c>
      <c r="H2056" s="120">
        <f>Tp_Non_CHG!AA233</f>
        <v>0</v>
      </c>
      <c r="I2056" s="40" t="s">
        <v>58</v>
      </c>
      <c r="J2056" s="40">
        <f t="shared" si="290"/>
        <v>0</v>
      </c>
      <c r="K2056" s="40">
        <f t="shared" si="291"/>
        <v>0</v>
      </c>
      <c r="L2056" s="40" t="s">
        <v>58</v>
      </c>
      <c r="M2056" s="50" t="s">
        <v>266</v>
      </c>
      <c r="N2056" s="190"/>
      <c r="O2056" s="40">
        <f t="shared" ca="1" si="293"/>
        <v>0.64108314468069261</v>
      </c>
      <c r="P2056" s="51">
        <f t="shared" si="288"/>
        <v>0</v>
      </c>
      <c r="Q2056" s="51">
        <f t="shared" si="289"/>
        <v>0</v>
      </c>
      <c r="R2056" s="51">
        <f t="shared" si="292"/>
        <v>0</v>
      </c>
      <c r="S2056"/>
      <c r="T2056" s="83"/>
    </row>
    <row r="2057" spans="1:20" ht="16" x14ac:dyDescent="0.2">
      <c r="A2057" t="s">
        <v>252</v>
      </c>
      <c r="B2057" s="103"/>
      <c r="C2057" s="243"/>
      <c r="D2057" s="119">
        <v>2044</v>
      </c>
      <c r="E2057" s="25" t="str">
        <f>Tp_Non_CHG!I236</f>
        <v>Transition Probability from state 2 to state 8 on day 1 (Non-CHG)</v>
      </c>
      <c r="F2057" s="40">
        <f t="shared" si="287"/>
        <v>0</v>
      </c>
      <c r="G2057" s="156">
        <v>1</v>
      </c>
      <c r="H2057" s="120">
        <f>Tp_Non_CHG!L236</f>
        <v>0</v>
      </c>
      <c r="I2057" s="40" t="s">
        <v>58</v>
      </c>
      <c r="J2057" s="40">
        <f t="shared" ref="J2057:J2094" si="294">IF(H2057=0,0,_xlfn.NORM.INV(0.025,H2057,R2057))</f>
        <v>0</v>
      </c>
      <c r="K2057" s="40">
        <f t="shared" ref="K2057:K2094" si="295">IF(H2057=0,0,_xlfn.NORM.INV(0.975,H2057,R2057))</f>
        <v>0</v>
      </c>
      <c r="L2057" s="40" t="s">
        <v>58</v>
      </c>
      <c r="M2057" s="50" t="s">
        <v>266</v>
      </c>
      <c r="N2057" s="190"/>
      <c r="O2057" s="40">
        <f t="shared" ca="1" si="293"/>
        <v>0.35533113147191386</v>
      </c>
      <c r="P2057" s="51">
        <f t="shared" si="288"/>
        <v>0</v>
      </c>
      <c r="Q2057" s="51">
        <f t="shared" si="289"/>
        <v>0</v>
      </c>
      <c r="R2057" s="51">
        <f t="shared" ref="R2057:R2094" si="296">assumedSE*H2057</f>
        <v>0</v>
      </c>
      <c r="S2057"/>
      <c r="T2057" s="83"/>
    </row>
    <row r="2058" spans="1:20" ht="16" x14ac:dyDescent="0.2">
      <c r="A2058"/>
      <c r="B2058" s="103"/>
      <c r="C2058" s="243"/>
      <c r="D2058" s="119">
        <v>2045</v>
      </c>
      <c r="E2058" s="25" t="str">
        <f>Tp_Non_CHG!I239</f>
        <v>Transition Probability from state 2 to state 8 on day 4 (Non-CHG)</v>
      </c>
      <c r="F2058" s="40">
        <f t="shared" si="287"/>
        <v>0</v>
      </c>
      <c r="G2058" s="156">
        <v>1</v>
      </c>
      <c r="H2058" s="120">
        <f>Tp_Non_CHG!L239</f>
        <v>0</v>
      </c>
      <c r="I2058" s="40" t="s">
        <v>58</v>
      </c>
      <c r="J2058" s="40">
        <f t="shared" si="294"/>
        <v>0</v>
      </c>
      <c r="K2058" s="40">
        <f t="shared" si="295"/>
        <v>0</v>
      </c>
      <c r="L2058" s="40" t="s">
        <v>58</v>
      </c>
      <c r="M2058" s="50" t="s">
        <v>266</v>
      </c>
      <c r="N2058" s="190"/>
      <c r="O2058" s="40">
        <f t="shared" ca="1" si="293"/>
        <v>0.95961633914481115</v>
      </c>
      <c r="P2058" s="51">
        <f t="shared" si="288"/>
        <v>0</v>
      </c>
      <c r="Q2058" s="51">
        <f t="shared" si="289"/>
        <v>0</v>
      </c>
      <c r="R2058" s="51">
        <f t="shared" si="296"/>
        <v>0</v>
      </c>
      <c r="S2058"/>
      <c r="T2058" s="83"/>
    </row>
    <row r="2059" spans="1:20" ht="16" x14ac:dyDescent="0.2">
      <c r="A2059"/>
      <c r="B2059" s="103"/>
      <c r="C2059" s="243"/>
      <c r="D2059" s="119">
        <v>2046</v>
      </c>
      <c r="E2059" s="25" t="str">
        <f>Tp_Non_CHG!I240</f>
        <v>Transition Probability from state 2 to state 8 on day 5 (Non-CHG)</v>
      </c>
      <c r="F2059" s="40">
        <f t="shared" si="287"/>
        <v>0</v>
      </c>
      <c r="G2059" s="156">
        <v>1</v>
      </c>
      <c r="H2059" s="120">
        <f>Tp_Non_CHG!L240</f>
        <v>0</v>
      </c>
      <c r="I2059" s="40" t="s">
        <v>58</v>
      </c>
      <c r="J2059" s="40">
        <f t="shared" si="294"/>
        <v>0</v>
      </c>
      <c r="K2059" s="40">
        <f t="shared" si="295"/>
        <v>0</v>
      </c>
      <c r="L2059" s="40" t="s">
        <v>58</v>
      </c>
      <c r="M2059" s="50" t="s">
        <v>266</v>
      </c>
      <c r="N2059" s="190"/>
      <c r="O2059" s="40">
        <f t="shared" ca="1" si="293"/>
        <v>0.7740426058003792</v>
      </c>
      <c r="P2059" s="51">
        <f t="shared" si="288"/>
        <v>0</v>
      </c>
      <c r="Q2059" s="51">
        <f t="shared" si="289"/>
        <v>0</v>
      </c>
      <c r="R2059" s="51">
        <f t="shared" si="296"/>
        <v>0</v>
      </c>
      <c r="S2059"/>
      <c r="T2059" s="83"/>
    </row>
    <row r="2060" spans="1:20" ht="16" x14ac:dyDescent="0.2">
      <c r="A2060"/>
      <c r="B2060" s="103"/>
      <c r="C2060" s="243"/>
      <c r="D2060" s="119">
        <v>2047</v>
      </c>
      <c r="E2060" s="25" t="str">
        <f>Tp_Non_CHG!I241</f>
        <v>Transition Probability from state 2 to state 8 on day 6 (Non-CHG)</v>
      </c>
      <c r="F2060" s="40">
        <f t="shared" si="287"/>
        <v>0</v>
      </c>
      <c r="G2060" s="156">
        <v>1</v>
      </c>
      <c r="H2060" s="120">
        <f>Tp_Non_CHG!L241</f>
        <v>0</v>
      </c>
      <c r="I2060" s="40" t="s">
        <v>58</v>
      </c>
      <c r="J2060" s="40">
        <f t="shared" si="294"/>
        <v>0</v>
      </c>
      <c r="K2060" s="40">
        <f t="shared" si="295"/>
        <v>0</v>
      </c>
      <c r="L2060" s="40" t="s">
        <v>58</v>
      </c>
      <c r="M2060" s="50" t="s">
        <v>266</v>
      </c>
      <c r="N2060" s="190"/>
      <c r="O2060" s="40">
        <f t="shared" ca="1" si="293"/>
        <v>0.59997374689055349</v>
      </c>
      <c r="P2060" s="51">
        <f t="shared" si="288"/>
        <v>0</v>
      </c>
      <c r="Q2060" s="51">
        <f t="shared" si="289"/>
        <v>0</v>
      </c>
      <c r="R2060" s="51">
        <f t="shared" si="296"/>
        <v>0</v>
      </c>
      <c r="S2060"/>
      <c r="T2060" s="83"/>
    </row>
    <row r="2061" spans="1:20" ht="16" x14ac:dyDescent="0.2">
      <c r="A2061"/>
      <c r="B2061" s="103"/>
      <c r="C2061" s="243"/>
      <c r="D2061" s="119">
        <v>2048</v>
      </c>
      <c r="E2061" s="25" t="str">
        <f>Tp_Non_CHG!I242</f>
        <v>Transition Probability from state 2 to state 8 on day 7 (Non-CHG)</v>
      </c>
      <c r="F2061" s="40">
        <f t="shared" si="287"/>
        <v>0</v>
      </c>
      <c r="G2061" s="156">
        <v>1</v>
      </c>
      <c r="H2061" s="120">
        <f>Tp_Non_CHG!L242</f>
        <v>0</v>
      </c>
      <c r="I2061" s="40" t="s">
        <v>58</v>
      </c>
      <c r="J2061" s="40">
        <f t="shared" si="294"/>
        <v>0</v>
      </c>
      <c r="K2061" s="40">
        <f t="shared" si="295"/>
        <v>0</v>
      </c>
      <c r="L2061" s="40" t="s">
        <v>58</v>
      </c>
      <c r="M2061" s="50" t="s">
        <v>266</v>
      </c>
      <c r="N2061" s="190"/>
      <c r="O2061" s="40">
        <f t="shared" ca="1" si="293"/>
        <v>1.7403719614874302E-2</v>
      </c>
      <c r="P2061" s="51">
        <f t="shared" si="288"/>
        <v>0</v>
      </c>
      <c r="Q2061" s="51">
        <f t="shared" si="289"/>
        <v>0</v>
      </c>
      <c r="R2061" s="51">
        <f t="shared" si="296"/>
        <v>0</v>
      </c>
      <c r="S2061"/>
      <c r="T2061" s="83"/>
    </row>
    <row r="2062" spans="1:20" ht="16" x14ac:dyDescent="0.2">
      <c r="A2062"/>
      <c r="B2062" s="103"/>
      <c r="C2062" s="243"/>
      <c r="D2062" s="119">
        <v>2049</v>
      </c>
      <c r="E2062" s="25" t="str">
        <f>Tp_Non_CHG!I243</f>
        <v>Transition Probability from state 2 to state 8 on day 8 (Non-CHG)</v>
      </c>
      <c r="F2062" s="40">
        <f t="shared" si="287"/>
        <v>0</v>
      </c>
      <c r="G2062" s="156">
        <v>1</v>
      </c>
      <c r="H2062" s="120">
        <f>Tp_Non_CHG!L243</f>
        <v>0</v>
      </c>
      <c r="I2062" s="40" t="s">
        <v>58</v>
      </c>
      <c r="J2062" s="40">
        <f t="shared" si="294"/>
        <v>0</v>
      </c>
      <c r="K2062" s="40">
        <f t="shared" si="295"/>
        <v>0</v>
      </c>
      <c r="L2062" s="40" t="s">
        <v>58</v>
      </c>
      <c r="M2062" s="50" t="s">
        <v>266</v>
      </c>
      <c r="N2062" s="190"/>
      <c r="O2062" s="40">
        <f t="shared" ca="1" si="293"/>
        <v>0.95296141921410971</v>
      </c>
      <c r="P2062" s="51">
        <f t="shared" si="288"/>
        <v>0</v>
      </c>
      <c r="Q2062" s="51">
        <f t="shared" si="289"/>
        <v>0</v>
      </c>
      <c r="R2062" s="51">
        <f t="shared" si="296"/>
        <v>0</v>
      </c>
      <c r="S2062"/>
      <c r="T2062" s="83"/>
    </row>
    <row r="2063" spans="1:20" ht="16" x14ac:dyDescent="0.2">
      <c r="A2063"/>
      <c r="B2063" s="103"/>
      <c r="C2063" s="243"/>
      <c r="D2063" s="119">
        <v>2050</v>
      </c>
      <c r="E2063" s="25" t="str">
        <f>Tp_Non_CHG!I245</f>
        <v>Transition Probability from state 2 to state 8 on day 10 (Non-CHG)</v>
      </c>
      <c r="F2063" s="40">
        <f t="shared" ref="F2063:F2126" si="297">IFERROR(CHOOSE(G2063,H2063,J2063,K2063,N2063),0)</f>
        <v>0</v>
      </c>
      <c r="G2063" s="156">
        <v>1</v>
      </c>
      <c r="H2063" s="120">
        <f>Tp_Non_CHG!L245</f>
        <v>0</v>
      </c>
      <c r="I2063" s="40" t="s">
        <v>58</v>
      </c>
      <c r="J2063" s="40">
        <f t="shared" ref="J2063:J2077" si="298">IF(H2063=0,0,_xlfn.NORM.INV(0.025,H2063,R2063))</f>
        <v>0</v>
      </c>
      <c r="K2063" s="40">
        <f t="shared" ref="K2063:K2077" si="299">IF(H2063=0,0,_xlfn.NORM.INV(0.975,H2063,R2063))</f>
        <v>0</v>
      </c>
      <c r="L2063" s="40" t="s">
        <v>58</v>
      </c>
      <c r="M2063" s="50" t="s">
        <v>266</v>
      </c>
      <c r="N2063" s="190"/>
      <c r="O2063" s="40">
        <f t="shared" ref="O2063:O2077" ca="1" si="300">RAND()</f>
        <v>0.17639172121089941</v>
      </c>
      <c r="P2063" s="51">
        <f t="shared" si="288"/>
        <v>0</v>
      </c>
      <c r="Q2063" s="51">
        <f t="shared" si="289"/>
        <v>0</v>
      </c>
      <c r="R2063" s="51">
        <f t="shared" ref="R2063:R2077" si="301">assumedSE*H2063</f>
        <v>0</v>
      </c>
      <c r="S2063"/>
      <c r="T2063" s="83"/>
    </row>
    <row r="2064" spans="1:20" ht="16" x14ac:dyDescent="0.2">
      <c r="A2064"/>
      <c r="B2064" s="103"/>
      <c r="C2064" s="243"/>
      <c r="D2064" s="119">
        <v>2051</v>
      </c>
      <c r="E2064" s="25" t="str">
        <f>Tp_Non_CHG!I246</f>
        <v>Transition Probability from state 2 to state 8 on day 11 (Non-CHG)</v>
      </c>
      <c r="F2064" s="40">
        <f t="shared" si="297"/>
        <v>0</v>
      </c>
      <c r="G2064" s="156">
        <v>1</v>
      </c>
      <c r="H2064" s="120">
        <f>Tp_Non_CHG!L246</f>
        <v>0</v>
      </c>
      <c r="I2064" s="40" t="s">
        <v>58</v>
      </c>
      <c r="J2064" s="40">
        <f t="shared" si="298"/>
        <v>0</v>
      </c>
      <c r="K2064" s="40">
        <f t="shared" si="299"/>
        <v>0</v>
      </c>
      <c r="L2064" s="40" t="s">
        <v>58</v>
      </c>
      <c r="M2064" s="50" t="s">
        <v>266</v>
      </c>
      <c r="N2064" s="190"/>
      <c r="O2064" s="40">
        <f t="shared" ca="1" si="300"/>
        <v>0.960167775386917</v>
      </c>
      <c r="P2064" s="51">
        <f t="shared" si="288"/>
        <v>0</v>
      </c>
      <c r="Q2064" s="51">
        <f t="shared" si="289"/>
        <v>0</v>
      </c>
      <c r="R2064" s="51">
        <f t="shared" si="301"/>
        <v>0</v>
      </c>
      <c r="S2064"/>
      <c r="T2064" s="83"/>
    </row>
    <row r="2065" spans="1:20" ht="16" x14ac:dyDescent="0.2">
      <c r="A2065"/>
      <c r="B2065" s="103"/>
      <c r="C2065" s="243"/>
      <c r="D2065" s="119">
        <v>2052</v>
      </c>
      <c r="E2065" s="25" t="str">
        <f>Tp_Non_CHG!I247</f>
        <v>Transition Probability from state 2 to state 8 on day 12 (Non-CHG)</v>
      </c>
      <c r="F2065" s="40">
        <f t="shared" si="297"/>
        <v>0</v>
      </c>
      <c r="G2065" s="156">
        <v>1</v>
      </c>
      <c r="H2065" s="120">
        <f>Tp_Non_CHG!L247</f>
        <v>0</v>
      </c>
      <c r="I2065" s="40" t="s">
        <v>58</v>
      </c>
      <c r="J2065" s="40">
        <f t="shared" si="298"/>
        <v>0</v>
      </c>
      <c r="K2065" s="40">
        <f t="shared" si="299"/>
        <v>0</v>
      </c>
      <c r="L2065" s="40" t="s">
        <v>58</v>
      </c>
      <c r="M2065" s="50" t="s">
        <v>266</v>
      </c>
      <c r="N2065" s="190"/>
      <c r="O2065" s="40">
        <f t="shared" ca="1" si="300"/>
        <v>0.99213725017909449</v>
      </c>
      <c r="P2065" s="51">
        <f t="shared" ref="P2065:P2128" si="302">IFERROR(H2065*((H2065*(1-H2065)/(R2065^2))-1),0)</f>
        <v>0</v>
      </c>
      <c r="Q2065" s="51">
        <f t="shared" ref="Q2065:Q2128" si="303">IFERROR((1-H2065)*((H2065*(1-H2065))/(R2065^2)-1),0)</f>
        <v>0</v>
      </c>
      <c r="R2065" s="51">
        <f t="shared" si="301"/>
        <v>0</v>
      </c>
      <c r="S2065"/>
      <c r="T2065" s="83"/>
    </row>
    <row r="2066" spans="1:20" ht="16" x14ac:dyDescent="0.2">
      <c r="A2066"/>
      <c r="B2066" s="103"/>
      <c r="C2066" s="243"/>
      <c r="D2066" s="119">
        <v>2053</v>
      </c>
      <c r="E2066" s="25" t="str">
        <f>Tp_Non_CHG!I248</f>
        <v>Transition Probability from state 2 to state 8 on day 13 (Non-CHG)</v>
      </c>
      <c r="F2066" s="40">
        <f t="shared" si="297"/>
        <v>0</v>
      </c>
      <c r="G2066" s="156">
        <v>1</v>
      </c>
      <c r="H2066" s="120">
        <f>Tp_Non_CHG!L248</f>
        <v>0</v>
      </c>
      <c r="I2066" s="40" t="s">
        <v>58</v>
      </c>
      <c r="J2066" s="40">
        <f t="shared" si="298"/>
        <v>0</v>
      </c>
      <c r="K2066" s="40">
        <f t="shared" si="299"/>
        <v>0</v>
      </c>
      <c r="L2066" s="40" t="s">
        <v>58</v>
      </c>
      <c r="M2066" s="50" t="s">
        <v>266</v>
      </c>
      <c r="N2066" s="190"/>
      <c r="O2066" s="40">
        <f t="shared" ca="1" si="300"/>
        <v>0.7050650263544761</v>
      </c>
      <c r="P2066" s="51">
        <f t="shared" si="302"/>
        <v>0</v>
      </c>
      <c r="Q2066" s="51">
        <f t="shared" si="303"/>
        <v>0</v>
      </c>
      <c r="R2066" s="51">
        <f t="shared" si="301"/>
        <v>0</v>
      </c>
      <c r="S2066"/>
      <c r="T2066" s="83"/>
    </row>
    <row r="2067" spans="1:20" ht="16" customHeight="1" x14ac:dyDescent="0.2">
      <c r="A2067"/>
      <c r="B2067" s="103"/>
      <c r="C2067" s="243"/>
      <c r="D2067" s="119">
        <v>2054</v>
      </c>
      <c r="E2067" s="25" t="str">
        <f>Tp_Non_CHG!I250</f>
        <v>Transition Probability from state 2 to state 8 on day 15 (Non-CHG)</v>
      </c>
      <c r="F2067" s="40">
        <f t="shared" si="297"/>
        <v>0</v>
      </c>
      <c r="G2067" s="156">
        <v>1</v>
      </c>
      <c r="H2067" s="120">
        <f>Tp_Non_CHG!L250</f>
        <v>0</v>
      </c>
      <c r="I2067" s="40" t="s">
        <v>58</v>
      </c>
      <c r="J2067" s="40">
        <f t="shared" si="298"/>
        <v>0</v>
      </c>
      <c r="K2067" s="40">
        <f t="shared" si="299"/>
        <v>0</v>
      </c>
      <c r="L2067" s="40" t="s">
        <v>58</v>
      </c>
      <c r="M2067" s="50" t="s">
        <v>266</v>
      </c>
      <c r="N2067" s="190"/>
      <c r="O2067" s="40">
        <f t="shared" ca="1" si="300"/>
        <v>0.35613798239589989</v>
      </c>
      <c r="P2067" s="51">
        <f t="shared" si="302"/>
        <v>0</v>
      </c>
      <c r="Q2067" s="51">
        <f t="shared" si="303"/>
        <v>0</v>
      </c>
      <c r="R2067" s="51">
        <f t="shared" si="301"/>
        <v>0</v>
      </c>
      <c r="S2067"/>
      <c r="T2067" s="83"/>
    </row>
    <row r="2068" spans="1:20" ht="16" x14ac:dyDescent="0.2">
      <c r="A2068"/>
      <c r="B2068" s="103"/>
      <c r="C2068" s="243"/>
      <c r="D2068" s="119">
        <v>2055</v>
      </c>
      <c r="E2068" s="25" t="str">
        <f>Tp_Non_CHG!I251</f>
        <v>Transition Probability from state 2 to state 8 on day 16 (Non-CHG)</v>
      </c>
      <c r="F2068" s="40">
        <f t="shared" si="297"/>
        <v>0</v>
      </c>
      <c r="G2068" s="156">
        <v>1</v>
      </c>
      <c r="H2068" s="120">
        <f>Tp_Non_CHG!L251</f>
        <v>0</v>
      </c>
      <c r="I2068" s="40" t="s">
        <v>58</v>
      </c>
      <c r="J2068" s="40">
        <f t="shared" si="298"/>
        <v>0</v>
      </c>
      <c r="K2068" s="40">
        <f t="shared" si="299"/>
        <v>0</v>
      </c>
      <c r="L2068" s="40" t="s">
        <v>58</v>
      </c>
      <c r="M2068" s="50" t="s">
        <v>266</v>
      </c>
      <c r="N2068" s="190"/>
      <c r="O2068" s="40">
        <f t="shared" ca="1" si="300"/>
        <v>0.30375402082820691</v>
      </c>
      <c r="P2068" s="51">
        <f t="shared" si="302"/>
        <v>0</v>
      </c>
      <c r="Q2068" s="51">
        <f t="shared" si="303"/>
        <v>0</v>
      </c>
      <c r="R2068" s="51">
        <f t="shared" si="301"/>
        <v>0</v>
      </c>
      <c r="S2068"/>
      <c r="T2068" s="83"/>
    </row>
    <row r="2069" spans="1:20" ht="16" x14ac:dyDescent="0.2">
      <c r="A2069"/>
      <c r="B2069" s="103"/>
      <c r="C2069" s="243"/>
      <c r="D2069" s="119">
        <v>2056</v>
      </c>
      <c r="E2069" s="25" t="str">
        <f>Tp_Non_CHG!I252</f>
        <v>Transition Probability from state 2 to state 8 on day 17 (Non-CHG)</v>
      </c>
      <c r="F2069" s="40">
        <f t="shared" si="297"/>
        <v>0</v>
      </c>
      <c r="G2069" s="156">
        <v>1</v>
      </c>
      <c r="H2069" s="120">
        <f>Tp_Non_CHG!L252</f>
        <v>0</v>
      </c>
      <c r="I2069" s="40" t="s">
        <v>58</v>
      </c>
      <c r="J2069" s="40">
        <f t="shared" si="298"/>
        <v>0</v>
      </c>
      <c r="K2069" s="40">
        <f t="shared" si="299"/>
        <v>0</v>
      </c>
      <c r="L2069" s="40" t="s">
        <v>58</v>
      </c>
      <c r="M2069" s="50" t="s">
        <v>266</v>
      </c>
      <c r="N2069" s="190"/>
      <c r="O2069" s="40">
        <f t="shared" ca="1" si="300"/>
        <v>0.26431853094329483</v>
      </c>
      <c r="P2069" s="51">
        <f t="shared" si="302"/>
        <v>0</v>
      </c>
      <c r="Q2069" s="51">
        <f t="shared" si="303"/>
        <v>0</v>
      </c>
      <c r="R2069" s="51">
        <f t="shared" si="301"/>
        <v>0</v>
      </c>
      <c r="S2069"/>
      <c r="T2069" s="83"/>
    </row>
    <row r="2070" spans="1:20" ht="16" x14ac:dyDescent="0.2">
      <c r="A2070"/>
      <c r="B2070" s="103"/>
      <c r="C2070" s="243"/>
      <c r="D2070" s="119">
        <v>2057</v>
      </c>
      <c r="E2070" s="25" t="str">
        <f>Tp_Non_CHG!I254</f>
        <v>Transition Probability from state 2 to state 8 on day 19 (Non-CHG)</v>
      </c>
      <c r="F2070" s="40">
        <f t="shared" si="297"/>
        <v>0</v>
      </c>
      <c r="G2070" s="156">
        <v>1</v>
      </c>
      <c r="H2070" s="120">
        <f>Tp_Non_CHG!L254</f>
        <v>0</v>
      </c>
      <c r="I2070" s="40" t="s">
        <v>58</v>
      </c>
      <c r="J2070" s="40">
        <f t="shared" si="298"/>
        <v>0</v>
      </c>
      <c r="K2070" s="40">
        <f t="shared" si="299"/>
        <v>0</v>
      </c>
      <c r="L2070" s="40" t="s">
        <v>58</v>
      </c>
      <c r="M2070" s="50" t="s">
        <v>266</v>
      </c>
      <c r="N2070" s="190"/>
      <c r="O2070" s="40">
        <f t="shared" ca="1" si="300"/>
        <v>0.79363814279460465</v>
      </c>
      <c r="P2070" s="51">
        <f t="shared" si="302"/>
        <v>0</v>
      </c>
      <c r="Q2070" s="51">
        <f t="shared" si="303"/>
        <v>0</v>
      </c>
      <c r="R2070" s="51">
        <f t="shared" si="301"/>
        <v>0</v>
      </c>
      <c r="S2070"/>
      <c r="T2070" s="83"/>
    </row>
    <row r="2071" spans="1:20" ht="16" x14ac:dyDescent="0.2">
      <c r="A2071"/>
      <c r="B2071" s="103"/>
      <c r="C2071" s="243"/>
      <c r="D2071" s="119">
        <v>2058</v>
      </c>
      <c r="E2071" s="25" t="str">
        <f>Tp_Non_CHG!I255</f>
        <v>Transition Probability from state 2 to state 8 on day 20 (Non-CHG)</v>
      </c>
      <c r="F2071" s="40">
        <f t="shared" si="297"/>
        <v>0</v>
      </c>
      <c r="G2071" s="156">
        <v>1</v>
      </c>
      <c r="H2071" s="120">
        <f>Tp_Non_CHG!L255</f>
        <v>0</v>
      </c>
      <c r="I2071" s="40" t="s">
        <v>58</v>
      </c>
      <c r="J2071" s="40">
        <f t="shared" si="298"/>
        <v>0</v>
      </c>
      <c r="K2071" s="40">
        <f t="shared" si="299"/>
        <v>0</v>
      </c>
      <c r="L2071" s="40" t="s">
        <v>58</v>
      </c>
      <c r="M2071" s="50" t="s">
        <v>266</v>
      </c>
      <c r="N2071" s="190"/>
      <c r="O2071" s="40">
        <f t="shared" ca="1" si="300"/>
        <v>0.34912565816068664</v>
      </c>
      <c r="P2071" s="51">
        <f t="shared" si="302"/>
        <v>0</v>
      </c>
      <c r="Q2071" s="51">
        <f t="shared" si="303"/>
        <v>0</v>
      </c>
      <c r="R2071" s="51">
        <f t="shared" si="301"/>
        <v>0</v>
      </c>
      <c r="S2071"/>
      <c r="T2071" s="83"/>
    </row>
    <row r="2072" spans="1:20" ht="16" x14ac:dyDescent="0.2">
      <c r="A2072"/>
      <c r="B2072" s="103"/>
      <c r="C2072" s="243"/>
      <c r="D2072" s="119">
        <v>2059</v>
      </c>
      <c r="E2072" s="25" t="str">
        <f>Tp_Non_CHG!I256</f>
        <v>Transition Probability from state 2 to state 8 on day 21 (Non-CHG)</v>
      </c>
      <c r="F2072" s="40">
        <f t="shared" si="297"/>
        <v>0</v>
      </c>
      <c r="G2072" s="156">
        <v>1</v>
      </c>
      <c r="H2072" s="120">
        <f>Tp_Non_CHG!L256</f>
        <v>0</v>
      </c>
      <c r="I2072" s="40" t="s">
        <v>58</v>
      </c>
      <c r="J2072" s="40">
        <f t="shared" si="298"/>
        <v>0</v>
      </c>
      <c r="K2072" s="40">
        <f t="shared" si="299"/>
        <v>0</v>
      </c>
      <c r="L2072" s="40" t="s">
        <v>58</v>
      </c>
      <c r="M2072" s="50" t="s">
        <v>266</v>
      </c>
      <c r="N2072" s="190"/>
      <c r="O2072" s="40">
        <f t="shared" ca="1" si="300"/>
        <v>0.32915673661772549</v>
      </c>
      <c r="P2072" s="51">
        <f t="shared" si="302"/>
        <v>0</v>
      </c>
      <c r="Q2072" s="51">
        <f t="shared" si="303"/>
        <v>0</v>
      </c>
      <c r="R2072" s="51">
        <f t="shared" si="301"/>
        <v>0</v>
      </c>
      <c r="S2072"/>
      <c r="T2072" s="83"/>
    </row>
    <row r="2073" spans="1:20" ht="16" x14ac:dyDescent="0.2">
      <c r="A2073"/>
      <c r="B2073" s="103"/>
      <c r="C2073" s="243"/>
      <c r="D2073" s="119">
        <v>2060</v>
      </c>
      <c r="E2073" s="25" t="str">
        <f>Tp_Non_CHG!I257</f>
        <v>Transition Probability from state 2 to state 8 on day 22 (Non-CHG)</v>
      </c>
      <c r="F2073" s="40">
        <f t="shared" si="297"/>
        <v>0</v>
      </c>
      <c r="G2073" s="156">
        <v>1</v>
      </c>
      <c r="H2073" s="120">
        <f>Tp_Non_CHG!L257</f>
        <v>0</v>
      </c>
      <c r="I2073" s="40" t="s">
        <v>58</v>
      </c>
      <c r="J2073" s="40">
        <f t="shared" si="298"/>
        <v>0</v>
      </c>
      <c r="K2073" s="40">
        <f t="shared" si="299"/>
        <v>0</v>
      </c>
      <c r="L2073" s="40" t="s">
        <v>58</v>
      </c>
      <c r="M2073" s="50" t="s">
        <v>266</v>
      </c>
      <c r="N2073" s="190"/>
      <c r="O2073" s="40">
        <f t="shared" ca="1" si="300"/>
        <v>9.3888176539861812E-2</v>
      </c>
      <c r="P2073" s="51">
        <f t="shared" si="302"/>
        <v>0</v>
      </c>
      <c r="Q2073" s="51">
        <f t="shared" si="303"/>
        <v>0</v>
      </c>
      <c r="R2073" s="51">
        <f t="shared" si="301"/>
        <v>0</v>
      </c>
      <c r="S2073"/>
      <c r="T2073" s="83"/>
    </row>
    <row r="2074" spans="1:20" ht="16" x14ac:dyDescent="0.2">
      <c r="A2074"/>
      <c r="B2074" s="103"/>
      <c r="C2074" s="243"/>
      <c r="D2074" s="119">
        <v>2061</v>
      </c>
      <c r="E2074" s="25" t="str">
        <f>Tp_Non_CHG!I258</f>
        <v>Transition Probability from state 2 to state 8 on day 23 (Non-CHG)</v>
      </c>
      <c r="F2074" s="40">
        <f t="shared" si="297"/>
        <v>0</v>
      </c>
      <c r="G2074" s="156">
        <v>1</v>
      </c>
      <c r="H2074" s="120">
        <f>Tp_Non_CHG!L258</f>
        <v>0</v>
      </c>
      <c r="I2074" s="40" t="s">
        <v>58</v>
      </c>
      <c r="J2074" s="40">
        <f t="shared" si="298"/>
        <v>0</v>
      </c>
      <c r="K2074" s="40">
        <f t="shared" si="299"/>
        <v>0</v>
      </c>
      <c r="L2074" s="40" t="s">
        <v>58</v>
      </c>
      <c r="M2074" s="50" t="s">
        <v>266</v>
      </c>
      <c r="N2074" s="190"/>
      <c r="O2074" s="40">
        <f t="shared" ca="1" si="300"/>
        <v>0.41453952993784271</v>
      </c>
      <c r="P2074" s="51">
        <f t="shared" si="302"/>
        <v>0</v>
      </c>
      <c r="Q2074" s="51">
        <f t="shared" si="303"/>
        <v>0</v>
      </c>
      <c r="R2074" s="51">
        <f t="shared" si="301"/>
        <v>0</v>
      </c>
      <c r="S2074"/>
      <c r="T2074" s="83"/>
    </row>
    <row r="2075" spans="1:20" ht="16" x14ac:dyDescent="0.2">
      <c r="A2075"/>
      <c r="B2075" s="103"/>
      <c r="C2075" s="243"/>
      <c r="D2075" s="119">
        <v>2062</v>
      </c>
      <c r="E2075" s="25" t="str">
        <f>Tp_Non_CHG!I259</f>
        <v>Transition Probability from state 2 to state 8 on day 24 (Non-CHG)</v>
      </c>
      <c r="F2075" s="40">
        <f t="shared" si="297"/>
        <v>0</v>
      </c>
      <c r="G2075" s="156">
        <v>1</v>
      </c>
      <c r="H2075" s="120">
        <f>Tp_Non_CHG!L259</f>
        <v>0</v>
      </c>
      <c r="I2075" s="40" t="s">
        <v>58</v>
      </c>
      <c r="J2075" s="40">
        <f t="shared" si="298"/>
        <v>0</v>
      </c>
      <c r="K2075" s="40">
        <f t="shared" si="299"/>
        <v>0</v>
      </c>
      <c r="L2075" s="40" t="s">
        <v>58</v>
      </c>
      <c r="M2075" s="50" t="s">
        <v>266</v>
      </c>
      <c r="N2075" s="190"/>
      <c r="O2075" s="40">
        <f t="shared" ca="1" si="300"/>
        <v>0.8195954773619899</v>
      </c>
      <c r="P2075" s="51">
        <f t="shared" si="302"/>
        <v>0</v>
      </c>
      <c r="Q2075" s="51">
        <f t="shared" si="303"/>
        <v>0</v>
      </c>
      <c r="R2075" s="51">
        <f t="shared" si="301"/>
        <v>0</v>
      </c>
      <c r="S2075"/>
      <c r="T2075" s="83"/>
    </row>
    <row r="2076" spans="1:20" ht="16" x14ac:dyDescent="0.2">
      <c r="A2076"/>
      <c r="B2076" s="103"/>
      <c r="C2076" s="243"/>
      <c r="D2076" s="119">
        <v>2063</v>
      </c>
      <c r="E2076" s="25" t="str">
        <f>Tp_Non_CHG!I260</f>
        <v>Transition Probability from state 2 to state 8 on day 25 (Non-CHG)</v>
      </c>
      <c r="F2076" s="40">
        <f t="shared" si="297"/>
        <v>0</v>
      </c>
      <c r="G2076" s="156">
        <v>1</v>
      </c>
      <c r="H2076" s="120">
        <f>Tp_Non_CHG!L260</f>
        <v>0</v>
      </c>
      <c r="I2076" s="40" t="s">
        <v>58</v>
      </c>
      <c r="J2076" s="40">
        <f t="shared" si="298"/>
        <v>0</v>
      </c>
      <c r="K2076" s="40">
        <f t="shared" si="299"/>
        <v>0</v>
      </c>
      <c r="L2076" s="40" t="s">
        <v>58</v>
      </c>
      <c r="M2076" s="50" t="s">
        <v>266</v>
      </c>
      <c r="N2076" s="190"/>
      <c r="O2076" s="40">
        <f t="shared" ca="1" si="300"/>
        <v>0.69750249489770255</v>
      </c>
      <c r="P2076" s="51">
        <f t="shared" si="302"/>
        <v>0</v>
      </c>
      <c r="Q2076" s="51">
        <f t="shared" si="303"/>
        <v>0</v>
      </c>
      <c r="R2076" s="51">
        <f t="shared" si="301"/>
        <v>0</v>
      </c>
      <c r="S2076"/>
      <c r="T2076" s="83"/>
    </row>
    <row r="2077" spans="1:20" ht="16" x14ac:dyDescent="0.2">
      <c r="A2077"/>
      <c r="B2077" s="103"/>
      <c r="C2077" s="243"/>
      <c r="D2077" s="119">
        <v>2064</v>
      </c>
      <c r="E2077" s="25" t="str">
        <f>Tp_Non_CHG!I261</f>
        <v>Transition Probability from state 2 to state 8 on day 26 (Non-CHG)</v>
      </c>
      <c r="F2077" s="40">
        <f t="shared" si="297"/>
        <v>0</v>
      </c>
      <c r="G2077" s="156">
        <v>1</v>
      </c>
      <c r="H2077" s="120">
        <f>Tp_Non_CHG!L261</f>
        <v>0</v>
      </c>
      <c r="I2077" s="40" t="s">
        <v>58</v>
      </c>
      <c r="J2077" s="40">
        <f t="shared" si="298"/>
        <v>0</v>
      </c>
      <c r="K2077" s="40">
        <f t="shared" si="299"/>
        <v>0</v>
      </c>
      <c r="L2077" s="40" t="s">
        <v>58</v>
      </c>
      <c r="M2077" s="50" t="s">
        <v>266</v>
      </c>
      <c r="N2077" s="190"/>
      <c r="O2077" s="40">
        <f t="shared" ca="1" si="300"/>
        <v>3.2490954547382822E-2</v>
      </c>
      <c r="P2077" s="51">
        <f t="shared" si="302"/>
        <v>0</v>
      </c>
      <c r="Q2077" s="51">
        <f t="shared" si="303"/>
        <v>0</v>
      </c>
      <c r="R2077" s="51">
        <f t="shared" si="301"/>
        <v>0</v>
      </c>
      <c r="S2077"/>
      <c r="T2077" s="83"/>
    </row>
    <row r="2078" spans="1:20" ht="16" x14ac:dyDescent="0.2">
      <c r="A2078"/>
      <c r="B2078" s="103"/>
      <c r="C2078" s="243"/>
      <c r="D2078" s="119">
        <v>2065</v>
      </c>
      <c r="E2078" s="25" t="str">
        <f>Tp_Non_CHG!I263</f>
        <v>Transition Probability from state 2 to state 8 on day 28 (Non-CHG)</v>
      </c>
      <c r="F2078" s="40">
        <f t="shared" si="297"/>
        <v>0</v>
      </c>
      <c r="G2078" s="156">
        <v>1</v>
      </c>
      <c r="H2078" s="120">
        <f>Tp_Non_CHG!L263</f>
        <v>0</v>
      </c>
      <c r="I2078" s="40" t="s">
        <v>58</v>
      </c>
      <c r="J2078" s="40">
        <f t="shared" si="294"/>
        <v>0</v>
      </c>
      <c r="K2078" s="40">
        <f t="shared" si="295"/>
        <v>0</v>
      </c>
      <c r="L2078" s="40" t="s">
        <v>58</v>
      </c>
      <c r="M2078" s="50" t="s">
        <v>266</v>
      </c>
      <c r="N2078" s="190"/>
      <c r="O2078" s="40">
        <f t="shared" ref="O2078:O2128" ca="1" si="304">RAND()</f>
        <v>0.56962978049320301</v>
      </c>
      <c r="P2078" s="51">
        <f t="shared" si="302"/>
        <v>0</v>
      </c>
      <c r="Q2078" s="51">
        <f t="shared" si="303"/>
        <v>0</v>
      </c>
      <c r="R2078" s="51">
        <f t="shared" si="296"/>
        <v>0</v>
      </c>
      <c r="S2078"/>
      <c r="T2078" s="83"/>
    </row>
    <row r="2079" spans="1:20" ht="16" x14ac:dyDescent="0.2">
      <c r="A2079"/>
      <c r="B2079" s="103"/>
      <c r="C2079" s="243"/>
      <c r="D2079" s="119">
        <v>2066</v>
      </c>
      <c r="E2079" s="25" t="str">
        <f>Tp_Non_CHG!I264</f>
        <v>Transition Probability from state 2 to state 8 on day 29 (Non-CHG)</v>
      </c>
      <c r="F2079" s="40">
        <f t="shared" si="297"/>
        <v>0</v>
      </c>
      <c r="G2079" s="156">
        <v>1</v>
      </c>
      <c r="H2079" s="120">
        <f>Tp_Non_CHG!L264</f>
        <v>0</v>
      </c>
      <c r="I2079" s="40" t="s">
        <v>58</v>
      </c>
      <c r="J2079" s="40">
        <f t="shared" si="294"/>
        <v>0</v>
      </c>
      <c r="K2079" s="40">
        <f t="shared" si="295"/>
        <v>0</v>
      </c>
      <c r="L2079" s="40" t="s">
        <v>58</v>
      </c>
      <c r="M2079" s="50" t="s">
        <v>266</v>
      </c>
      <c r="N2079" s="190"/>
      <c r="O2079" s="40">
        <f t="shared" ca="1" si="304"/>
        <v>5.3142669062149928E-2</v>
      </c>
      <c r="P2079" s="51">
        <f t="shared" si="302"/>
        <v>0</v>
      </c>
      <c r="Q2079" s="51">
        <f t="shared" si="303"/>
        <v>0</v>
      </c>
      <c r="R2079" s="51">
        <f t="shared" si="296"/>
        <v>0</v>
      </c>
      <c r="S2079"/>
      <c r="T2079" s="83"/>
    </row>
    <row r="2080" spans="1:20" ht="16" x14ac:dyDescent="0.2">
      <c r="A2080"/>
      <c r="B2080" s="103"/>
      <c r="C2080" s="243"/>
      <c r="D2080" s="119">
        <v>2067</v>
      </c>
      <c r="E2080" s="25" t="str">
        <f>Tp_Non_CHG!I265</f>
        <v>Transition Probability from state 2 to state 8 on day 30 (Non-CHG)</v>
      </c>
      <c r="F2080" s="40">
        <f t="shared" si="297"/>
        <v>0</v>
      </c>
      <c r="G2080" s="156">
        <v>1</v>
      </c>
      <c r="H2080" s="120">
        <f>Tp_Non_CHG!L265</f>
        <v>0</v>
      </c>
      <c r="I2080" s="40" t="s">
        <v>58</v>
      </c>
      <c r="J2080" s="40">
        <f t="shared" si="294"/>
        <v>0</v>
      </c>
      <c r="K2080" s="40">
        <f t="shared" si="295"/>
        <v>0</v>
      </c>
      <c r="L2080" s="40" t="s">
        <v>58</v>
      </c>
      <c r="M2080" s="50" t="s">
        <v>266</v>
      </c>
      <c r="N2080" s="190"/>
      <c r="O2080" s="40">
        <f t="shared" ca="1" si="304"/>
        <v>0.22611722273594126</v>
      </c>
      <c r="P2080" s="51">
        <f t="shared" si="302"/>
        <v>0</v>
      </c>
      <c r="Q2080" s="51">
        <f t="shared" si="303"/>
        <v>0</v>
      </c>
      <c r="R2080" s="51">
        <f t="shared" si="296"/>
        <v>0</v>
      </c>
      <c r="S2080"/>
      <c r="T2080" s="83"/>
    </row>
    <row r="2081" spans="1:20" ht="16" x14ac:dyDescent="0.2">
      <c r="A2081"/>
      <c r="B2081" s="103"/>
      <c r="C2081" s="243"/>
      <c r="D2081" s="119">
        <v>2068</v>
      </c>
      <c r="E2081" s="25" t="str">
        <f>Tp_Non_CHG!N236</f>
        <v>Transition Probability from state 3 to state 8 on day 1 (Non-CHG)</v>
      </c>
      <c r="F2081" s="40">
        <f t="shared" si="297"/>
        <v>0</v>
      </c>
      <c r="G2081" s="156">
        <v>1</v>
      </c>
      <c r="H2081" s="120">
        <f>Tp_Non_CHG!Q236</f>
        <v>0</v>
      </c>
      <c r="I2081" s="40" t="s">
        <v>58</v>
      </c>
      <c r="J2081" s="40">
        <f t="shared" si="294"/>
        <v>0</v>
      </c>
      <c r="K2081" s="40">
        <f t="shared" si="295"/>
        <v>0</v>
      </c>
      <c r="L2081" s="40" t="s">
        <v>58</v>
      </c>
      <c r="M2081" s="50" t="s">
        <v>266</v>
      </c>
      <c r="N2081" s="190"/>
      <c r="O2081" s="40">
        <f t="shared" ca="1" si="304"/>
        <v>0.21159829877641856</v>
      </c>
      <c r="P2081" s="51">
        <f t="shared" si="302"/>
        <v>0</v>
      </c>
      <c r="Q2081" s="51">
        <f t="shared" si="303"/>
        <v>0</v>
      </c>
      <c r="R2081" s="51">
        <f t="shared" si="296"/>
        <v>0</v>
      </c>
      <c r="S2081"/>
      <c r="T2081" s="83"/>
    </row>
    <row r="2082" spans="1:20" ht="16" x14ac:dyDescent="0.2">
      <c r="A2082"/>
      <c r="B2082" s="103"/>
      <c r="C2082" s="243"/>
      <c r="D2082" s="119">
        <v>2069</v>
      </c>
      <c r="E2082" s="25" t="str">
        <f>Tp_Non_CHG!N237</f>
        <v>Transition Probability from state 3 to state 8 on day 2 (Non-CHG)</v>
      </c>
      <c r="F2082" s="40">
        <f t="shared" si="297"/>
        <v>0</v>
      </c>
      <c r="G2082" s="156">
        <v>1</v>
      </c>
      <c r="H2082" s="120">
        <f>Tp_Non_CHG!Q237</f>
        <v>0</v>
      </c>
      <c r="I2082" s="40" t="s">
        <v>58</v>
      </c>
      <c r="J2082" s="40">
        <f t="shared" si="294"/>
        <v>0</v>
      </c>
      <c r="K2082" s="40">
        <f t="shared" si="295"/>
        <v>0</v>
      </c>
      <c r="L2082" s="40" t="s">
        <v>58</v>
      </c>
      <c r="M2082" s="50" t="s">
        <v>266</v>
      </c>
      <c r="N2082" s="190"/>
      <c r="O2082" s="40">
        <f t="shared" ca="1" si="304"/>
        <v>0.71861597501340424</v>
      </c>
      <c r="P2082" s="51">
        <f t="shared" si="302"/>
        <v>0</v>
      </c>
      <c r="Q2082" s="51">
        <f t="shared" si="303"/>
        <v>0</v>
      </c>
      <c r="R2082" s="51">
        <f t="shared" si="296"/>
        <v>0</v>
      </c>
      <c r="S2082"/>
      <c r="T2082" s="83"/>
    </row>
    <row r="2083" spans="1:20" ht="16" x14ac:dyDescent="0.2">
      <c r="A2083"/>
      <c r="B2083" s="103"/>
      <c r="C2083" s="243"/>
      <c r="D2083" s="119">
        <v>2070</v>
      </c>
      <c r="E2083" s="25" t="str">
        <f>Tp_Non_CHG!N238</f>
        <v>Transition Probability from state 3 to state 8 on day 3 (Non-CHG)</v>
      </c>
      <c r="F2083" s="40">
        <f t="shared" si="297"/>
        <v>0</v>
      </c>
      <c r="G2083" s="156">
        <v>1</v>
      </c>
      <c r="H2083" s="120">
        <f>Tp_Non_CHG!Q238</f>
        <v>0</v>
      </c>
      <c r="I2083" s="40" t="s">
        <v>58</v>
      </c>
      <c r="J2083" s="40">
        <f t="shared" si="294"/>
        <v>0</v>
      </c>
      <c r="K2083" s="40">
        <f t="shared" si="295"/>
        <v>0</v>
      </c>
      <c r="L2083" s="40" t="s">
        <v>58</v>
      </c>
      <c r="M2083" s="50" t="s">
        <v>266</v>
      </c>
      <c r="N2083" s="190"/>
      <c r="O2083" s="40">
        <f t="shared" ca="1" si="304"/>
        <v>0.55915581515354496</v>
      </c>
      <c r="P2083" s="51">
        <f t="shared" si="302"/>
        <v>0</v>
      </c>
      <c r="Q2083" s="51">
        <f t="shared" si="303"/>
        <v>0</v>
      </c>
      <c r="R2083" s="51">
        <f t="shared" si="296"/>
        <v>0</v>
      </c>
      <c r="S2083"/>
      <c r="T2083" s="83"/>
    </row>
    <row r="2084" spans="1:20" ht="16" x14ac:dyDescent="0.2">
      <c r="A2084"/>
      <c r="B2084" s="103"/>
      <c r="C2084" s="243"/>
      <c r="D2084" s="119">
        <v>2071</v>
      </c>
      <c r="E2084" s="25" t="str">
        <f>Tp_Non_CHG!N239</f>
        <v>Transition Probability from state 3 to state 8 on day 4 (Non-CHG)</v>
      </c>
      <c r="F2084" s="40">
        <f t="shared" si="297"/>
        <v>0</v>
      </c>
      <c r="G2084" s="156">
        <v>1</v>
      </c>
      <c r="H2084" s="120">
        <f>Tp_Non_CHG!Q239</f>
        <v>0</v>
      </c>
      <c r="I2084" s="40" t="s">
        <v>58</v>
      </c>
      <c r="J2084" s="40">
        <f t="shared" si="294"/>
        <v>0</v>
      </c>
      <c r="K2084" s="40">
        <f t="shared" si="295"/>
        <v>0</v>
      </c>
      <c r="L2084" s="40" t="s">
        <v>58</v>
      </c>
      <c r="M2084" s="50" t="s">
        <v>266</v>
      </c>
      <c r="N2084" s="190"/>
      <c r="O2084" s="40">
        <f t="shared" ca="1" si="304"/>
        <v>9.0774651088006753E-2</v>
      </c>
      <c r="P2084" s="51">
        <f t="shared" si="302"/>
        <v>0</v>
      </c>
      <c r="Q2084" s="51">
        <f t="shared" si="303"/>
        <v>0</v>
      </c>
      <c r="R2084" s="51">
        <f t="shared" si="296"/>
        <v>0</v>
      </c>
      <c r="S2084"/>
      <c r="T2084" s="83"/>
    </row>
    <row r="2085" spans="1:20" ht="16" x14ac:dyDescent="0.2">
      <c r="A2085"/>
      <c r="B2085" s="103"/>
      <c r="C2085" s="243"/>
      <c r="D2085" s="119">
        <v>2072</v>
      </c>
      <c r="E2085" s="25" t="str">
        <f>Tp_Non_CHG!N240</f>
        <v>Transition Probability from state 3 to state 8 on day 5 (Non-CHG)</v>
      </c>
      <c r="F2085" s="40">
        <f t="shared" si="297"/>
        <v>0</v>
      </c>
      <c r="G2085" s="156">
        <v>1</v>
      </c>
      <c r="H2085" s="120">
        <f>Tp_Non_CHG!Q240</f>
        <v>0</v>
      </c>
      <c r="I2085" s="40" t="s">
        <v>58</v>
      </c>
      <c r="J2085" s="40">
        <f t="shared" si="294"/>
        <v>0</v>
      </c>
      <c r="K2085" s="40">
        <f t="shared" si="295"/>
        <v>0</v>
      </c>
      <c r="L2085" s="40" t="s">
        <v>58</v>
      </c>
      <c r="M2085" s="50" t="s">
        <v>266</v>
      </c>
      <c r="N2085" s="190"/>
      <c r="O2085" s="40">
        <f t="shared" ca="1" si="304"/>
        <v>0.16963386552152815</v>
      </c>
      <c r="P2085" s="51">
        <f t="shared" si="302"/>
        <v>0</v>
      </c>
      <c r="Q2085" s="51">
        <f t="shared" si="303"/>
        <v>0</v>
      </c>
      <c r="R2085" s="51">
        <f t="shared" si="296"/>
        <v>0</v>
      </c>
      <c r="S2085"/>
      <c r="T2085" s="83"/>
    </row>
    <row r="2086" spans="1:20" ht="16" x14ac:dyDescent="0.2">
      <c r="A2086"/>
      <c r="B2086" s="103"/>
      <c r="C2086" s="243"/>
      <c r="D2086" s="119">
        <v>2073</v>
      </c>
      <c r="E2086" s="25" t="str">
        <f>Tp_Non_CHG!N241</f>
        <v>Transition Probability from state 3 to state 8 on day 6 (Non-CHG)</v>
      </c>
      <c r="F2086" s="40">
        <f t="shared" si="297"/>
        <v>0</v>
      </c>
      <c r="G2086" s="156">
        <v>1</v>
      </c>
      <c r="H2086" s="120">
        <f>Tp_Non_CHG!Q241</f>
        <v>0</v>
      </c>
      <c r="I2086" s="40" t="s">
        <v>58</v>
      </c>
      <c r="J2086" s="40">
        <f t="shared" si="294"/>
        <v>0</v>
      </c>
      <c r="K2086" s="40">
        <f t="shared" si="295"/>
        <v>0</v>
      </c>
      <c r="L2086" s="40" t="s">
        <v>58</v>
      </c>
      <c r="M2086" s="50" t="s">
        <v>266</v>
      </c>
      <c r="N2086" s="190"/>
      <c r="O2086" s="40">
        <f t="shared" ca="1" si="304"/>
        <v>0.88009944545857444</v>
      </c>
      <c r="P2086" s="51">
        <f t="shared" si="302"/>
        <v>0</v>
      </c>
      <c r="Q2086" s="51">
        <f t="shared" si="303"/>
        <v>0</v>
      </c>
      <c r="R2086" s="51">
        <f t="shared" si="296"/>
        <v>0</v>
      </c>
      <c r="S2086"/>
      <c r="T2086" s="83"/>
    </row>
    <row r="2087" spans="1:20" ht="16" x14ac:dyDescent="0.2">
      <c r="A2087"/>
      <c r="B2087" s="103"/>
      <c r="C2087" s="243"/>
      <c r="D2087" s="119">
        <v>2074</v>
      </c>
      <c r="E2087" s="25" t="str">
        <f>Tp_Non_CHG!N242</f>
        <v>Transition Probability from state 3 to state 8 on day 7 (Non-CHG)</v>
      </c>
      <c r="F2087" s="40">
        <f t="shared" si="297"/>
        <v>0</v>
      </c>
      <c r="G2087" s="156">
        <v>1</v>
      </c>
      <c r="H2087" s="120">
        <f>Tp_Non_CHG!Q242</f>
        <v>0</v>
      </c>
      <c r="I2087" s="40" t="s">
        <v>58</v>
      </c>
      <c r="J2087" s="40">
        <f t="shared" si="294"/>
        <v>0</v>
      </c>
      <c r="K2087" s="40">
        <f t="shared" si="295"/>
        <v>0</v>
      </c>
      <c r="L2087" s="40" t="s">
        <v>58</v>
      </c>
      <c r="M2087" s="50" t="s">
        <v>266</v>
      </c>
      <c r="N2087" s="190"/>
      <c r="O2087" s="40">
        <f t="shared" ca="1" si="304"/>
        <v>0.21618168429125828</v>
      </c>
      <c r="P2087" s="51">
        <f t="shared" si="302"/>
        <v>0</v>
      </c>
      <c r="Q2087" s="51">
        <f t="shared" si="303"/>
        <v>0</v>
      </c>
      <c r="R2087" s="51">
        <f t="shared" si="296"/>
        <v>0</v>
      </c>
      <c r="S2087"/>
      <c r="T2087" s="83"/>
    </row>
    <row r="2088" spans="1:20" ht="16" x14ac:dyDescent="0.2">
      <c r="A2088"/>
      <c r="B2088" s="103"/>
      <c r="C2088" s="243"/>
      <c r="D2088" s="119">
        <v>2075</v>
      </c>
      <c r="E2088" s="25" t="str">
        <f>Tp_Non_CHG!N243</f>
        <v>Transition Probability from state 3 to state 8 on day 8 (Non-CHG)</v>
      </c>
      <c r="F2088" s="40">
        <f t="shared" si="297"/>
        <v>0</v>
      </c>
      <c r="G2088" s="156">
        <v>1</v>
      </c>
      <c r="H2088" s="120">
        <f>Tp_Non_CHG!Q243</f>
        <v>0</v>
      </c>
      <c r="I2088" s="40" t="s">
        <v>58</v>
      </c>
      <c r="J2088" s="40">
        <f t="shared" si="294"/>
        <v>0</v>
      </c>
      <c r="K2088" s="40">
        <f t="shared" si="295"/>
        <v>0</v>
      </c>
      <c r="L2088" s="40" t="s">
        <v>58</v>
      </c>
      <c r="M2088" s="50" t="s">
        <v>266</v>
      </c>
      <c r="N2088" s="190"/>
      <c r="O2088" s="40">
        <f t="shared" ca="1" si="304"/>
        <v>0.19178750771926567</v>
      </c>
      <c r="P2088" s="51">
        <f t="shared" si="302"/>
        <v>0</v>
      </c>
      <c r="Q2088" s="51">
        <f t="shared" si="303"/>
        <v>0</v>
      </c>
      <c r="R2088" s="51">
        <f t="shared" si="296"/>
        <v>0</v>
      </c>
      <c r="S2088"/>
      <c r="T2088" s="83"/>
    </row>
    <row r="2089" spans="1:20" ht="16" x14ac:dyDescent="0.2">
      <c r="A2089"/>
      <c r="B2089" s="103"/>
      <c r="C2089" s="243"/>
      <c r="D2089" s="119">
        <v>2076</v>
      </c>
      <c r="E2089" s="25" t="str">
        <f>Tp_Non_CHG!N244</f>
        <v>Transition Probability from state 3 to state 8 on day 9 (Non-CHG)</v>
      </c>
      <c r="F2089" s="40">
        <f t="shared" si="297"/>
        <v>0</v>
      </c>
      <c r="G2089" s="156">
        <v>1</v>
      </c>
      <c r="H2089" s="120">
        <f>Tp_Non_CHG!Q244</f>
        <v>0</v>
      </c>
      <c r="I2089" s="40" t="s">
        <v>58</v>
      </c>
      <c r="J2089" s="40">
        <f t="shared" si="294"/>
        <v>0</v>
      </c>
      <c r="K2089" s="40">
        <f t="shared" si="295"/>
        <v>0</v>
      </c>
      <c r="L2089" s="40" t="s">
        <v>58</v>
      </c>
      <c r="M2089" s="50" t="s">
        <v>266</v>
      </c>
      <c r="N2089" s="190"/>
      <c r="O2089" s="40">
        <f t="shared" ca="1" si="304"/>
        <v>8.2221143521353346E-2</v>
      </c>
      <c r="P2089" s="51">
        <f t="shared" si="302"/>
        <v>0</v>
      </c>
      <c r="Q2089" s="51">
        <f t="shared" si="303"/>
        <v>0</v>
      </c>
      <c r="R2089" s="51">
        <f t="shared" si="296"/>
        <v>0</v>
      </c>
      <c r="S2089"/>
      <c r="T2089" s="83"/>
    </row>
    <row r="2090" spans="1:20" ht="16" x14ac:dyDescent="0.2">
      <c r="A2090"/>
      <c r="B2090" s="103"/>
      <c r="C2090" s="243"/>
      <c r="D2090" s="119">
        <v>2077</v>
      </c>
      <c r="E2090" s="25" t="str">
        <f>Tp_Non_CHG!N245</f>
        <v>Transition Probability from state 3 to state 8 on day 10 (Non-CHG)</v>
      </c>
      <c r="F2090" s="40">
        <f t="shared" si="297"/>
        <v>0</v>
      </c>
      <c r="G2090" s="156">
        <v>1</v>
      </c>
      <c r="H2090" s="120">
        <f>Tp_Non_CHG!Q245</f>
        <v>0</v>
      </c>
      <c r="I2090" s="40" t="s">
        <v>58</v>
      </c>
      <c r="J2090" s="40">
        <f t="shared" si="294"/>
        <v>0</v>
      </c>
      <c r="K2090" s="40">
        <f t="shared" si="295"/>
        <v>0</v>
      </c>
      <c r="L2090" s="40" t="s">
        <v>58</v>
      </c>
      <c r="M2090" s="50" t="s">
        <v>266</v>
      </c>
      <c r="N2090" s="190"/>
      <c r="O2090" s="40">
        <f t="shared" ca="1" si="304"/>
        <v>3.4640838507908889E-2</v>
      </c>
      <c r="P2090" s="51">
        <f t="shared" si="302"/>
        <v>0</v>
      </c>
      <c r="Q2090" s="51">
        <f t="shared" si="303"/>
        <v>0</v>
      </c>
      <c r="R2090" s="51">
        <f t="shared" si="296"/>
        <v>0</v>
      </c>
      <c r="S2090"/>
      <c r="T2090" s="83"/>
    </row>
    <row r="2091" spans="1:20" ht="16" x14ac:dyDescent="0.2">
      <c r="A2091"/>
      <c r="B2091" s="103"/>
      <c r="C2091" s="243"/>
      <c r="D2091" s="119">
        <v>2078</v>
      </c>
      <c r="E2091" s="25" t="str">
        <f>Tp_Non_CHG!N246</f>
        <v>Transition Probability from state 3 to state 8 on day 11 (Non-CHG)</v>
      </c>
      <c r="F2091" s="40">
        <f t="shared" si="297"/>
        <v>0</v>
      </c>
      <c r="G2091" s="156">
        <v>1</v>
      </c>
      <c r="H2091" s="120">
        <f>Tp_Non_CHG!Q246</f>
        <v>0</v>
      </c>
      <c r="I2091" s="40" t="s">
        <v>58</v>
      </c>
      <c r="J2091" s="40">
        <f t="shared" si="294"/>
        <v>0</v>
      </c>
      <c r="K2091" s="40">
        <f t="shared" si="295"/>
        <v>0</v>
      </c>
      <c r="L2091" s="40" t="s">
        <v>58</v>
      </c>
      <c r="M2091" s="50" t="s">
        <v>266</v>
      </c>
      <c r="N2091" s="190"/>
      <c r="O2091" s="40">
        <f t="shared" ca="1" si="304"/>
        <v>0.6987817395032303</v>
      </c>
      <c r="P2091" s="51">
        <f t="shared" si="302"/>
        <v>0</v>
      </c>
      <c r="Q2091" s="51">
        <f t="shared" si="303"/>
        <v>0</v>
      </c>
      <c r="R2091" s="51">
        <f t="shared" si="296"/>
        <v>0</v>
      </c>
      <c r="S2091"/>
      <c r="T2091" s="83"/>
    </row>
    <row r="2092" spans="1:20" ht="16" x14ac:dyDescent="0.2">
      <c r="A2092"/>
      <c r="B2092" s="103"/>
      <c r="C2092" s="243"/>
      <c r="D2092" s="119">
        <v>2079</v>
      </c>
      <c r="E2092" s="25" t="str">
        <f>Tp_Non_CHG!N247</f>
        <v>Transition Probability from state 3 to state 8 on day 12 (Non-CHG)</v>
      </c>
      <c r="F2092" s="40">
        <f t="shared" si="297"/>
        <v>0</v>
      </c>
      <c r="G2092" s="156">
        <v>1</v>
      </c>
      <c r="H2092" s="120">
        <f>Tp_Non_CHG!Q247</f>
        <v>0</v>
      </c>
      <c r="I2092" s="40" t="s">
        <v>58</v>
      </c>
      <c r="J2092" s="40">
        <f t="shared" si="294"/>
        <v>0</v>
      </c>
      <c r="K2092" s="40">
        <f t="shared" si="295"/>
        <v>0</v>
      </c>
      <c r="L2092" s="40" t="s">
        <v>58</v>
      </c>
      <c r="M2092" s="50" t="s">
        <v>266</v>
      </c>
      <c r="N2092" s="190"/>
      <c r="O2092" s="40">
        <f t="shared" ca="1" si="304"/>
        <v>0.40128460366880903</v>
      </c>
      <c r="P2092" s="51">
        <f t="shared" si="302"/>
        <v>0</v>
      </c>
      <c r="Q2092" s="51">
        <f t="shared" si="303"/>
        <v>0</v>
      </c>
      <c r="R2092" s="51">
        <f t="shared" si="296"/>
        <v>0</v>
      </c>
      <c r="S2092"/>
      <c r="T2092" s="83"/>
    </row>
    <row r="2093" spans="1:20" ht="16" x14ac:dyDescent="0.2">
      <c r="A2093"/>
      <c r="B2093" s="103"/>
      <c r="C2093" s="243"/>
      <c r="D2093" s="119">
        <v>2080</v>
      </c>
      <c r="E2093" s="25" t="str">
        <f>Tp_Non_CHG!N248</f>
        <v>Transition Probability from state 3 to state 8 on day 13 (Non-CHG)</v>
      </c>
      <c r="F2093" s="40">
        <f t="shared" si="297"/>
        <v>0</v>
      </c>
      <c r="G2093" s="156">
        <v>1</v>
      </c>
      <c r="H2093" s="120">
        <f>Tp_Non_CHG!Q248</f>
        <v>0</v>
      </c>
      <c r="I2093" s="40" t="s">
        <v>58</v>
      </c>
      <c r="J2093" s="40">
        <f t="shared" si="294"/>
        <v>0</v>
      </c>
      <c r="K2093" s="40">
        <f t="shared" si="295"/>
        <v>0</v>
      </c>
      <c r="L2093" s="40" t="s">
        <v>58</v>
      </c>
      <c r="M2093" s="50" t="s">
        <v>266</v>
      </c>
      <c r="N2093" s="190"/>
      <c r="O2093" s="40">
        <f t="shared" ca="1" si="304"/>
        <v>0.21148948848984983</v>
      </c>
      <c r="P2093" s="51">
        <f t="shared" si="302"/>
        <v>0</v>
      </c>
      <c r="Q2093" s="51">
        <f t="shared" si="303"/>
        <v>0</v>
      </c>
      <c r="R2093" s="51">
        <f t="shared" si="296"/>
        <v>0</v>
      </c>
      <c r="S2093"/>
      <c r="T2093" s="83"/>
    </row>
    <row r="2094" spans="1:20" ht="16" x14ac:dyDescent="0.2">
      <c r="A2094"/>
      <c r="B2094" s="103"/>
      <c r="C2094" s="243"/>
      <c r="D2094" s="119">
        <v>2081</v>
      </c>
      <c r="E2094" s="25" t="str">
        <f>Tp_Non_CHG!N249</f>
        <v>Transition Probability from state 3 to state 8 on day 14 (Non-CHG)</v>
      </c>
      <c r="F2094" s="40">
        <f t="shared" si="297"/>
        <v>0</v>
      </c>
      <c r="G2094" s="156">
        <v>1</v>
      </c>
      <c r="H2094" s="120">
        <f>Tp_Non_CHG!Q249</f>
        <v>0</v>
      </c>
      <c r="I2094" s="40" t="s">
        <v>58</v>
      </c>
      <c r="J2094" s="40">
        <f t="shared" si="294"/>
        <v>0</v>
      </c>
      <c r="K2094" s="40">
        <f t="shared" si="295"/>
        <v>0</v>
      </c>
      <c r="L2094" s="40" t="s">
        <v>58</v>
      </c>
      <c r="M2094" s="50" t="s">
        <v>266</v>
      </c>
      <c r="N2094" s="190"/>
      <c r="O2094" s="40">
        <f t="shared" ca="1" si="304"/>
        <v>0.66699536424116068</v>
      </c>
      <c r="P2094" s="51">
        <f t="shared" si="302"/>
        <v>0</v>
      </c>
      <c r="Q2094" s="51">
        <f t="shared" si="303"/>
        <v>0</v>
      </c>
      <c r="R2094" s="51">
        <f t="shared" si="296"/>
        <v>0</v>
      </c>
      <c r="S2094"/>
      <c r="T2094" s="83"/>
    </row>
    <row r="2095" spans="1:20" ht="16" x14ac:dyDescent="0.2">
      <c r="A2095"/>
      <c r="B2095" s="103"/>
      <c r="C2095" s="243"/>
      <c r="D2095" s="119">
        <v>2082</v>
      </c>
      <c r="E2095" s="25" t="str">
        <f>Tp_Non_CHG!N250</f>
        <v>Transition Probability from state 3 to state 8 on day 15 (Non-CHG)</v>
      </c>
      <c r="F2095" s="40">
        <f t="shared" si="297"/>
        <v>0</v>
      </c>
      <c r="G2095" s="156">
        <v>1</v>
      </c>
      <c r="H2095" s="120">
        <f>Tp_Non_CHG!Q250</f>
        <v>0</v>
      </c>
      <c r="I2095" s="40" t="s">
        <v>58</v>
      </c>
      <c r="J2095" s="40">
        <f t="shared" ref="J2095:J2156" si="305">IF(H2095=0,0,_xlfn.NORM.INV(0.025,H2095,R2095))</f>
        <v>0</v>
      </c>
      <c r="K2095" s="40">
        <f t="shared" ref="K2095:K2156" si="306">IF(H2095=0,0,_xlfn.NORM.INV(0.975,H2095,R2095))</f>
        <v>0</v>
      </c>
      <c r="L2095" s="40" t="s">
        <v>58</v>
      </c>
      <c r="M2095" s="50" t="s">
        <v>266</v>
      </c>
      <c r="N2095" s="190"/>
      <c r="O2095" s="40">
        <f t="shared" ca="1" si="304"/>
        <v>0.10865653852116719</v>
      </c>
      <c r="P2095" s="51">
        <f t="shared" si="302"/>
        <v>0</v>
      </c>
      <c r="Q2095" s="51">
        <f t="shared" si="303"/>
        <v>0</v>
      </c>
      <c r="R2095" s="51">
        <f t="shared" ref="R2095:R2156" si="307">assumedSE*H2095</f>
        <v>0</v>
      </c>
      <c r="S2095"/>
      <c r="T2095" s="83"/>
    </row>
    <row r="2096" spans="1:20" ht="16" x14ac:dyDescent="0.2">
      <c r="A2096"/>
      <c r="B2096" s="103"/>
      <c r="C2096" s="243"/>
      <c r="D2096" s="119">
        <v>2083</v>
      </c>
      <c r="E2096" s="25" t="str">
        <f>Tp_Non_CHG!N251</f>
        <v>Transition Probability from state 3 to state 8 on day 16 (Non-CHG)</v>
      </c>
      <c r="F2096" s="40">
        <f t="shared" si="297"/>
        <v>0</v>
      </c>
      <c r="G2096" s="156">
        <v>1</v>
      </c>
      <c r="H2096" s="120">
        <f>Tp_Non_CHG!Q251</f>
        <v>0</v>
      </c>
      <c r="I2096" s="40" t="s">
        <v>58</v>
      </c>
      <c r="J2096" s="40">
        <f t="shared" si="305"/>
        <v>0</v>
      </c>
      <c r="K2096" s="40">
        <f t="shared" si="306"/>
        <v>0</v>
      </c>
      <c r="L2096" s="40" t="s">
        <v>58</v>
      </c>
      <c r="M2096" s="50" t="s">
        <v>266</v>
      </c>
      <c r="N2096" s="190"/>
      <c r="O2096" s="40">
        <f t="shared" ca="1" si="304"/>
        <v>0.10725705757422377</v>
      </c>
      <c r="P2096" s="51">
        <f t="shared" si="302"/>
        <v>0</v>
      </c>
      <c r="Q2096" s="51">
        <f t="shared" si="303"/>
        <v>0</v>
      </c>
      <c r="R2096" s="51">
        <f t="shared" si="307"/>
        <v>0</v>
      </c>
      <c r="S2096"/>
      <c r="T2096" s="83"/>
    </row>
    <row r="2097" spans="1:20" ht="16" x14ac:dyDescent="0.2">
      <c r="A2097"/>
      <c r="B2097" s="103"/>
      <c r="C2097" s="243"/>
      <c r="D2097" s="119">
        <v>2084</v>
      </c>
      <c r="E2097" s="25" t="str">
        <f>Tp_Non_CHG!N252</f>
        <v>Transition Probability from state 3 to state 8 on day 17 (Non-CHG)</v>
      </c>
      <c r="F2097" s="40">
        <f t="shared" si="297"/>
        <v>0</v>
      </c>
      <c r="G2097" s="156">
        <v>1</v>
      </c>
      <c r="H2097" s="120">
        <f>Tp_Non_CHG!Q252</f>
        <v>0</v>
      </c>
      <c r="I2097" s="40" t="s">
        <v>58</v>
      </c>
      <c r="J2097" s="40">
        <f t="shared" si="305"/>
        <v>0</v>
      </c>
      <c r="K2097" s="40">
        <f t="shared" si="306"/>
        <v>0</v>
      </c>
      <c r="L2097" s="40" t="s">
        <v>58</v>
      </c>
      <c r="M2097" s="50" t="s">
        <v>266</v>
      </c>
      <c r="N2097" s="190"/>
      <c r="O2097" s="40">
        <f t="shared" ca="1" si="304"/>
        <v>0.69767345725094565</v>
      </c>
      <c r="P2097" s="51">
        <f t="shared" si="302"/>
        <v>0</v>
      </c>
      <c r="Q2097" s="51">
        <f t="shared" si="303"/>
        <v>0</v>
      </c>
      <c r="R2097" s="51">
        <f t="shared" si="307"/>
        <v>0</v>
      </c>
      <c r="S2097"/>
      <c r="T2097" s="83"/>
    </row>
    <row r="2098" spans="1:20" ht="16" x14ac:dyDescent="0.2">
      <c r="A2098"/>
      <c r="B2098" s="103"/>
      <c r="C2098" s="243"/>
      <c r="D2098" s="119">
        <v>2085</v>
      </c>
      <c r="E2098" s="25" t="str">
        <f>Tp_Non_CHG!N253</f>
        <v>Transition Probability from state 3 to state 8 on day 18 (Non-CHG)</v>
      </c>
      <c r="F2098" s="40">
        <f t="shared" si="297"/>
        <v>0</v>
      </c>
      <c r="G2098" s="156">
        <v>1</v>
      </c>
      <c r="H2098" s="120">
        <f>Tp_Non_CHG!Q253</f>
        <v>0</v>
      </c>
      <c r="I2098" s="40" t="s">
        <v>58</v>
      </c>
      <c r="J2098" s="40">
        <f t="shared" si="305"/>
        <v>0</v>
      </c>
      <c r="K2098" s="40">
        <f t="shared" si="306"/>
        <v>0</v>
      </c>
      <c r="L2098" s="40" t="s">
        <v>58</v>
      </c>
      <c r="M2098" s="50" t="s">
        <v>266</v>
      </c>
      <c r="N2098" s="190"/>
      <c r="O2098" s="40">
        <f t="shared" ca="1" si="304"/>
        <v>0.49239631363703618</v>
      </c>
      <c r="P2098" s="51">
        <f t="shared" si="302"/>
        <v>0</v>
      </c>
      <c r="Q2098" s="51">
        <f t="shared" si="303"/>
        <v>0</v>
      </c>
      <c r="R2098" s="51">
        <f t="shared" si="307"/>
        <v>0</v>
      </c>
      <c r="S2098"/>
      <c r="T2098" s="83"/>
    </row>
    <row r="2099" spans="1:20" ht="16" x14ac:dyDescent="0.2">
      <c r="A2099"/>
      <c r="B2099" s="103"/>
      <c r="C2099" s="243"/>
      <c r="D2099" s="119">
        <v>2086</v>
      </c>
      <c r="E2099" s="25" t="str">
        <f>Tp_Non_CHG!N254</f>
        <v>Transition Probability from state 3 to state 8 on day 19 (Non-CHG)</v>
      </c>
      <c r="F2099" s="40">
        <f t="shared" si="297"/>
        <v>0</v>
      </c>
      <c r="G2099" s="156">
        <v>1</v>
      </c>
      <c r="H2099" s="120">
        <f>Tp_Non_CHG!Q254</f>
        <v>0</v>
      </c>
      <c r="I2099" s="40" t="s">
        <v>58</v>
      </c>
      <c r="J2099" s="40">
        <f t="shared" si="305"/>
        <v>0</v>
      </c>
      <c r="K2099" s="40">
        <f t="shared" si="306"/>
        <v>0</v>
      </c>
      <c r="L2099" s="40" t="s">
        <v>58</v>
      </c>
      <c r="M2099" s="50" t="s">
        <v>266</v>
      </c>
      <c r="N2099" s="190"/>
      <c r="O2099" s="40">
        <f t="shared" ca="1" si="304"/>
        <v>0.99598405764965903</v>
      </c>
      <c r="P2099" s="51">
        <f t="shared" si="302"/>
        <v>0</v>
      </c>
      <c r="Q2099" s="51">
        <f t="shared" si="303"/>
        <v>0</v>
      </c>
      <c r="R2099" s="51">
        <f t="shared" si="307"/>
        <v>0</v>
      </c>
      <c r="S2099"/>
      <c r="T2099" s="83"/>
    </row>
    <row r="2100" spans="1:20" ht="16" x14ac:dyDescent="0.2">
      <c r="A2100"/>
      <c r="B2100" s="103"/>
      <c r="C2100" s="243"/>
      <c r="D2100" s="119">
        <v>2087</v>
      </c>
      <c r="E2100" s="25" t="str">
        <f>Tp_Non_CHG!N255</f>
        <v>Transition Probability from state 3 to state 8 on day 20 (Non-CHG)</v>
      </c>
      <c r="F2100" s="40">
        <f t="shared" si="297"/>
        <v>0</v>
      </c>
      <c r="G2100" s="156">
        <v>1</v>
      </c>
      <c r="H2100" s="120">
        <f>Tp_Non_CHG!Q255</f>
        <v>0</v>
      </c>
      <c r="I2100" s="40" t="s">
        <v>58</v>
      </c>
      <c r="J2100" s="40">
        <f t="shared" si="305"/>
        <v>0</v>
      </c>
      <c r="K2100" s="40">
        <f t="shared" si="306"/>
        <v>0</v>
      </c>
      <c r="L2100" s="40" t="s">
        <v>58</v>
      </c>
      <c r="M2100" s="50" t="s">
        <v>266</v>
      </c>
      <c r="N2100" s="190"/>
      <c r="O2100" s="40">
        <f t="shared" ca="1" si="304"/>
        <v>0.33743883266017727</v>
      </c>
      <c r="P2100" s="51">
        <f t="shared" si="302"/>
        <v>0</v>
      </c>
      <c r="Q2100" s="51">
        <f t="shared" si="303"/>
        <v>0</v>
      </c>
      <c r="R2100" s="51">
        <f t="shared" si="307"/>
        <v>0</v>
      </c>
      <c r="S2100"/>
      <c r="T2100" s="83"/>
    </row>
    <row r="2101" spans="1:20" ht="16" x14ac:dyDescent="0.2">
      <c r="A2101"/>
      <c r="B2101" s="103"/>
      <c r="C2101" s="243"/>
      <c r="D2101" s="119">
        <v>2088</v>
      </c>
      <c r="E2101" s="25" t="str">
        <f>Tp_Non_CHG!N256</f>
        <v>Transition Probability from state 3 to state 8 on day 21 (Non-CHG)</v>
      </c>
      <c r="F2101" s="40">
        <f t="shared" si="297"/>
        <v>0</v>
      </c>
      <c r="G2101" s="156">
        <v>1</v>
      </c>
      <c r="H2101" s="120">
        <f>Tp_Non_CHG!Q256</f>
        <v>0</v>
      </c>
      <c r="I2101" s="40" t="s">
        <v>58</v>
      </c>
      <c r="J2101" s="40">
        <f t="shared" si="305"/>
        <v>0</v>
      </c>
      <c r="K2101" s="40">
        <f t="shared" si="306"/>
        <v>0</v>
      </c>
      <c r="L2101" s="40" t="s">
        <v>58</v>
      </c>
      <c r="M2101" s="50" t="s">
        <v>266</v>
      </c>
      <c r="N2101" s="190"/>
      <c r="O2101" s="40">
        <f t="shared" ca="1" si="304"/>
        <v>0.4490729927040128</v>
      </c>
      <c r="P2101" s="51">
        <f t="shared" si="302"/>
        <v>0</v>
      </c>
      <c r="Q2101" s="51">
        <f t="shared" si="303"/>
        <v>0</v>
      </c>
      <c r="R2101" s="51">
        <f t="shared" si="307"/>
        <v>0</v>
      </c>
      <c r="S2101"/>
      <c r="T2101" s="83"/>
    </row>
    <row r="2102" spans="1:20" ht="16" x14ac:dyDescent="0.2">
      <c r="A2102"/>
      <c r="B2102" s="103"/>
      <c r="C2102" s="243"/>
      <c r="D2102" s="119">
        <v>2089</v>
      </c>
      <c r="E2102" s="25" t="str">
        <f>Tp_Non_CHG!N257</f>
        <v>Transition Probability from state 3 to state 8 on day 22 (Non-CHG)</v>
      </c>
      <c r="F2102" s="40">
        <f t="shared" si="297"/>
        <v>0</v>
      </c>
      <c r="G2102" s="156">
        <v>1</v>
      </c>
      <c r="H2102" s="120">
        <f>Tp_Non_CHG!Q257</f>
        <v>0</v>
      </c>
      <c r="I2102" s="40" t="s">
        <v>58</v>
      </c>
      <c r="J2102" s="40">
        <f t="shared" si="305"/>
        <v>0</v>
      </c>
      <c r="K2102" s="40">
        <f t="shared" si="306"/>
        <v>0</v>
      </c>
      <c r="L2102" s="40" t="s">
        <v>58</v>
      </c>
      <c r="M2102" s="50" t="s">
        <v>266</v>
      </c>
      <c r="N2102" s="190"/>
      <c r="O2102" s="40">
        <f t="shared" ca="1" si="304"/>
        <v>0.92935494642430627</v>
      </c>
      <c r="P2102" s="51">
        <f t="shared" si="302"/>
        <v>0</v>
      </c>
      <c r="Q2102" s="51">
        <f t="shared" si="303"/>
        <v>0</v>
      </c>
      <c r="R2102" s="51">
        <f t="shared" si="307"/>
        <v>0</v>
      </c>
      <c r="S2102"/>
      <c r="T2102" s="83"/>
    </row>
    <row r="2103" spans="1:20" ht="16" x14ac:dyDescent="0.2">
      <c r="A2103"/>
      <c r="B2103" s="103"/>
      <c r="C2103" s="243"/>
      <c r="D2103" s="119">
        <v>2090</v>
      </c>
      <c r="E2103" s="25" t="str">
        <f>Tp_Non_CHG!N258</f>
        <v>Transition Probability from state 3 to state 8 on day 23 (Non-CHG)</v>
      </c>
      <c r="F2103" s="40">
        <f t="shared" si="297"/>
        <v>0</v>
      </c>
      <c r="G2103" s="156">
        <v>1</v>
      </c>
      <c r="H2103" s="120">
        <f>Tp_Non_CHG!Q258</f>
        <v>0</v>
      </c>
      <c r="I2103" s="40" t="s">
        <v>58</v>
      </c>
      <c r="J2103" s="40">
        <f t="shared" si="305"/>
        <v>0</v>
      </c>
      <c r="K2103" s="40">
        <f t="shared" si="306"/>
        <v>0</v>
      </c>
      <c r="L2103" s="40" t="s">
        <v>58</v>
      </c>
      <c r="M2103" s="50" t="s">
        <v>266</v>
      </c>
      <c r="N2103" s="190"/>
      <c r="O2103" s="40">
        <f t="shared" ca="1" si="304"/>
        <v>0.9431691011830089</v>
      </c>
      <c r="P2103" s="51">
        <f t="shared" si="302"/>
        <v>0</v>
      </c>
      <c r="Q2103" s="51">
        <f t="shared" si="303"/>
        <v>0</v>
      </c>
      <c r="R2103" s="51">
        <f t="shared" si="307"/>
        <v>0</v>
      </c>
      <c r="S2103"/>
      <c r="T2103" s="83"/>
    </row>
    <row r="2104" spans="1:20" ht="16" x14ac:dyDescent="0.2">
      <c r="A2104"/>
      <c r="B2104" s="103"/>
      <c r="C2104" s="243"/>
      <c r="D2104" s="119">
        <v>2091</v>
      </c>
      <c r="E2104" s="25" t="str">
        <f>Tp_Non_CHG!N259</f>
        <v>Transition Probability from state 3 to state 8 on day 24 (Non-CHG)</v>
      </c>
      <c r="F2104" s="40">
        <f t="shared" si="297"/>
        <v>0</v>
      </c>
      <c r="G2104" s="156">
        <v>1</v>
      </c>
      <c r="H2104" s="120">
        <f>Tp_Non_CHG!Q259</f>
        <v>0</v>
      </c>
      <c r="I2104" s="40" t="s">
        <v>58</v>
      </c>
      <c r="J2104" s="40">
        <f t="shared" si="305"/>
        <v>0</v>
      </c>
      <c r="K2104" s="40">
        <f t="shared" si="306"/>
        <v>0</v>
      </c>
      <c r="L2104" s="40" t="s">
        <v>58</v>
      </c>
      <c r="M2104" s="50" t="s">
        <v>266</v>
      </c>
      <c r="N2104" s="190"/>
      <c r="O2104" s="40">
        <f t="shared" ca="1" si="304"/>
        <v>0.35105273712017937</v>
      </c>
      <c r="P2104" s="51">
        <f t="shared" si="302"/>
        <v>0</v>
      </c>
      <c r="Q2104" s="51">
        <f t="shared" si="303"/>
        <v>0</v>
      </c>
      <c r="R2104" s="51">
        <f t="shared" si="307"/>
        <v>0</v>
      </c>
      <c r="S2104"/>
      <c r="T2104" s="83"/>
    </row>
    <row r="2105" spans="1:20" ht="16" x14ac:dyDescent="0.2">
      <c r="A2105"/>
      <c r="B2105" s="103"/>
      <c r="C2105" s="243"/>
      <c r="D2105" s="119">
        <v>2092</v>
      </c>
      <c r="E2105" s="25" t="str">
        <f>Tp_Non_CHG!N260</f>
        <v>Transition Probability from state 3 to state 8 on day 25 (Non-CHG)</v>
      </c>
      <c r="F2105" s="40">
        <f t="shared" si="297"/>
        <v>0</v>
      </c>
      <c r="G2105" s="156">
        <v>1</v>
      </c>
      <c r="H2105" s="120">
        <f>Tp_Non_CHG!Q260</f>
        <v>0</v>
      </c>
      <c r="I2105" s="40" t="s">
        <v>58</v>
      </c>
      <c r="J2105" s="40">
        <f t="shared" si="305"/>
        <v>0</v>
      </c>
      <c r="K2105" s="40">
        <f t="shared" si="306"/>
        <v>0</v>
      </c>
      <c r="L2105" s="40" t="s">
        <v>58</v>
      </c>
      <c r="M2105" s="50" t="s">
        <v>266</v>
      </c>
      <c r="N2105" s="190"/>
      <c r="O2105" s="40">
        <f t="shared" ca="1" si="304"/>
        <v>0.11020376514556229</v>
      </c>
      <c r="P2105" s="51">
        <f t="shared" si="302"/>
        <v>0</v>
      </c>
      <c r="Q2105" s="51">
        <f t="shared" si="303"/>
        <v>0</v>
      </c>
      <c r="R2105" s="51">
        <f t="shared" si="307"/>
        <v>0</v>
      </c>
      <c r="S2105"/>
      <c r="T2105" s="83"/>
    </row>
    <row r="2106" spans="1:20" ht="16" x14ac:dyDescent="0.2">
      <c r="A2106"/>
      <c r="B2106" s="103"/>
      <c r="C2106" s="243"/>
      <c r="D2106" s="119">
        <v>2093</v>
      </c>
      <c r="E2106" s="25" t="str">
        <f>Tp_Non_CHG!N261</f>
        <v>Transition Probability from state 3 to state 8 on day 26 (Non-CHG)</v>
      </c>
      <c r="F2106" s="40">
        <f t="shared" si="297"/>
        <v>0</v>
      </c>
      <c r="G2106" s="156">
        <v>1</v>
      </c>
      <c r="H2106" s="120">
        <f>Tp_Non_CHG!Q261</f>
        <v>0</v>
      </c>
      <c r="I2106" s="40" t="s">
        <v>58</v>
      </c>
      <c r="J2106" s="40">
        <f t="shared" si="305"/>
        <v>0</v>
      </c>
      <c r="K2106" s="40">
        <f t="shared" si="306"/>
        <v>0</v>
      </c>
      <c r="L2106" s="40" t="s">
        <v>58</v>
      </c>
      <c r="M2106" s="50" t="s">
        <v>266</v>
      </c>
      <c r="N2106" s="190"/>
      <c r="O2106" s="40">
        <f t="shared" ca="1" si="304"/>
        <v>0.55421758459861492</v>
      </c>
      <c r="P2106" s="51">
        <f t="shared" si="302"/>
        <v>0</v>
      </c>
      <c r="Q2106" s="51">
        <f t="shared" si="303"/>
        <v>0</v>
      </c>
      <c r="R2106" s="51">
        <f t="shared" si="307"/>
        <v>0</v>
      </c>
      <c r="S2106"/>
      <c r="T2106" s="83"/>
    </row>
    <row r="2107" spans="1:20" ht="16" x14ac:dyDescent="0.2">
      <c r="A2107"/>
      <c r="B2107" s="103"/>
      <c r="C2107" s="243"/>
      <c r="D2107" s="119">
        <v>2094</v>
      </c>
      <c r="E2107" s="25" t="str">
        <f>Tp_Non_CHG!N262</f>
        <v>Transition Probability from state 3 to state 8 on day 27 (Non-CHG)</v>
      </c>
      <c r="F2107" s="40">
        <f t="shared" si="297"/>
        <v>0</v>
      </c>
      <c r="G2107" s="156">
        <v>1</v>
      </c>
      <c r="H2107" s="120">
        <f>Tp_Non_CHG!Q262</f>
        <v>0</v>
      </c>
      <c r="I2107" s="40" t="s">
        <v>58</v>
      </c>
      <c r="J2107" s="40">
        <f t="shared" si="305"/>
        <v>0</v>
      </c>
      <c r="K2107" s="40">
        <f t="shared" si="306"/>
        <v>0</v>
      </c>
      <c r="L2107" s="40" t="s">
        <v>58</v>
      </c>
      <c r="M2107" s="50" t="s">
        <v>266</v>
      </c>
      <c r="N2107" s="190"/>
      <c r="O2107" s="40">
        <f t="shared" ca="1" si="304"/>
        <v>0.14544938243708982</v>
      </c>
      <c r="P2107" s="51">
        <f t="shared" si="302"/>
        <v>0</v>
      </c>
      <c r="Q2107" s="51">
        <f t="shared" si="303"/>
        <v>0</v>
      </c>
      <c r="R2107" s="51">
        <f t="shared" si="307"/>
        <v>0</v>
      </c>
      <c r="S2107"/>
      <c r="T2107" s="83"/>
    </row>
    <row r="2108" spans="1:20" ht="16" x14ac:dyDescent="0.2">
      <c r="A2108"/>
      <c r="B2108" s="103"/>
      <c r="C2108" s="243"/>
      <c r="D2108" s="119">
        <v>2095</v>
      </c>
      <c r="E2108" s="25" t="str">
        <f>Tp_Non_CHG!N263</f>
        <v>Transition Probability from state 3 to state 8 on day 28 (Non-CHG)</v>
      </c>
      <c r="F2108" s="40">
        <f t="shared" si="297"/>
        <v>0</v>
      </c>
      <c r="G2108" s="156">
        <v>1</v>
      </c>
      <c r="H2108" s="120">
        <f>Tp_Non_CHG!Q263</f>
        <v>0</v>
      </c>
      <c r="I2108" s="40" t="s">
        <v>58</v>
      </c>
      <c r="J2108" s="40">
        <f t="shared" si="305"/>
        <v>0</v>
      </c>
      <c r="K2108" s="40">
        <f t="shared" si="306"/>
        <v>0</v>
      </c>
      <c r="L2108" s="40" t="s">
        <v>58</v>
      </c>
      <c r="M2108" s="50" t="s">
        <v>266</v>
      </c>
      <c r="N2108" s="190"/>
      <c r="O2108" s="40">
        <f t="shared" ca="1" si="304"/>
        <v>0.4152835048025475</v>
      </c>
      <c r="P2108" s="51">
        <f t="shared" si="302"/>
        <v>0</v>
      </c>
      <c r="Q2108" s="51">
        <f t="shared" si="303"/>
        <v>0</v>
      </c>
      <c r="R2108" s="51">
        <f t="shared" si="307"/>
        <v>0</v>
      </c>
      <c r="S2108"/>
      <c r="T2108" s="83"/>
    </row>
    <row r="2109" spans="1:20" ht="16" x14ac:dyDescent="0.2">
      <c r="A2109"/>
      <c r="B2109" s="103"/>
      <c r="C2109" s="243"/>
      <c r="D2109" s="119">
        <v>2096</v>
      </c>
      <c r="E2109" s="25" t="str">
        <f>Tp_Non_CHG!N264</f>
        <v>Transition Probability from state 3 to state 8 on day 29 (Non-CHG)</v>
      </c>
      <c r="F2109" s="40">
        <f t="shared" si="297"/>
        <v>0</v>
      </c>
      <c r="G2109" s="156">
        <v>1</v>
      </c>
      <c r="H2109" s="120">
        <f>Tp_Non_CHG!Q264</f>
        <v>0</v>
      </c>
      <c r="I2109" s="40" t="s">
        <v>58</v>
      </c>
      <c r="J2109" s="40">
        <f t="shared" si="305"/>
        <v>0</v>
      </c>
      <c r="K2109" s="40">
        <f t="shared" si="306"/>
        <v>0</v>
      </c>
      <c r="L2109" s="40" t="s">
        <v>58</v>
      </c>
      <c r="M2109" s="50" t="s">
        <v>266</v>
      </c>
      <c r="N2109" s="190"/>
      <c r="O2109" s="40">
        <f t="shared" ca="1" si="304"/>
        <v>7.4616708027382739E-2</v>
      </c>
      <c r="P2109" s="51">
        <f t="shared" si="302"/>
        <v>0</v>
      </c>
      <c r="Q2109" s="51">
        <f t="shared" si="303"/>
        <v>0</v>
      </c>
      <c r="R2109" s="51">
        <f t="shared" si="307"/>
        <v>0</v>
      </c>
      <c r="S2109"/>
      <c r="T2109" s="83"/>
    </row>
    <row r="2110" spans="1:20" ht="16" x14ac:dyDescent="0.2">
      <c r="A2110"/>
      <c r="B2110" s="103"/>
      <c r="C2110" s="243"/>
      <c r="D2110" s="119">
        <v>2097</v>
      </c>
      <c r="E2110" s="25" t="str">
        <f>Tp_Non_CHG!N265</f>
        <v>Transition Probability from state 3 to state 8 on day 30 (Non-CHG)</v>
      </c>
      <c r="F2110" s="40">
        <f t="shared" si="297"/>
        <v>0</v>
      </c>
      <c r="G2110" s="156">
        <v>1</v>
      </c>
      <c r="H2110" s="120">
        <f>Tp_Non_CHG!Q265</f>
        <v>0</v>
      </c>
      <c r="I2110" s="40" t="s">
        <v>58</v>
      </c>
      <c r="J2110" s="40">
        <f t="shared" si="305"/>
        <v>0</v>
      </c>
      <c r="K2110" s="40">
        <f t="shared" si="306"/>
        <v>0</v>
      </c>
      <c r="L2110" s="40" t="s">
        <v>58</v>
      </c>
      <c r="M2110" s="50" t="s">
        <v>266</v>
      </c>
      <c r="N2110" s="190"/>
      <c r="O2110" s="40">
        <f t="shared" ca="1" si="304"/>
        <v>0.64461181150036606</v>
      </c>
      <c r="P2110" s="51">
        <f t="shared" si="302"/>
        <v>0</v>
      </c>
      <c r="Q2110" s="51">
        <f t="shared" si="303"/>
        <v>0</v>
      </c>
      <c r="R2110" s="51">
        <f t="shared" si="307"/>
        <v>0</v>
      </c>
      <c r="S2110"/>
      <c r="T2110" s="83"/>
    </row>
    <row r="2111" spans="1:20" ht="16" x14ac:dyDescent="0.2">
      <c r="A2111"/>
      <c r="B2111" s="103"/>
      <c r="C2111" s="243"/>
      <c r="D2111" s="119">
        <v>2098</v>
      </c>
      <c r="E2111" s="25" t="str">
        <f>Tp_Non_CHG!S236</f>
        <v>Transition Probability from state 4 to state 8 on day 1 (Non-CHG)</v>
      </c>
      <c r="F2111" s="40">
        <f t="shared" si="297"/>
        <v>0</v>
      </c>
      <c r="G2111" s="156">
        <v>1</v>
      </c>
      <c r="H2111" s="120">
        <f>Tp_Non_CHG!V236</f>
        <v>0</v>
      </c>
      <c r="I2111" s="40" t="s">
        <v>58</v>
      </c>
      <c r="J2111" s="40">
        <f t="shared" si="305"/>
        <v>0</v>
      </c>
      <c r="K2111" s="40">
        <f t="shared" si="306"/>
        <v>0</v>
      </c>
      <c r="L2111" s="40" t="s">
        <v>58</v>
      </c>
      <c r="M2111" s="50" t="s">
        <v>266</v>
      </c>
      <c r="N2111" s="190"/>
      <c r="O2111" s="40">
        <f t="shared" ca="1" si="304"/>
        <v>0.73199385899995162</v>
      </c>
      <c r="P2111" s="51">
        <f t="shared" si="302"/>
        <v>0</v>
      </c>
      <c r="Q2111" s="51">
        <f t="shared" si="303"/>
        <v>0</v>
      </c>
      <c r="R2111" s="51">
        <f t="shared" si="307"/>
        <v>0</v>
      </c>
      <c r="S2111"/>
      <c r="T2111" s="83"/>
    </row>
    <row r="2112" spans="1:20" ht="16" x14ac:dyDescent="0.2">
      <c r="A2112"/>
      <c r="B2112" s="103"/>
      <c r="C2112" s="243"/>
      <c r="D2112" s="119">
        <v>2099</v>
      </c>
      <c r="E2112" s="25" t="str">
        <f>Tp_Non_CHG!S237</f>
        <v>Transition Probability from state 4 to state 8 on day 2 (Non-CHG)</v>
      </c>
      <c r="F2112" s="40">
        <f t="shared" si="297"/>
        <v>0</v>
      </c>
      <c r="G2112" s="156">
        <v>1</v>
      </c>
      <c r="H2112" s="120">
        <f>Tp_Non_CHG!V237</f>
        <v>0</v>
      </c>
      <c r="I2112" s="40" t="s">
        <v>58</v>
      </c>
      <c r="J2112" s="40">
        <f t="shared" si="305"/>
        <v>0</v>
      </c>
      <c r="K2112" s="40">
        <f t="shared" si="306"/>
        <v>0</v>
      </c>
      <c r="L2112" s="40" t="s">
        <v>58</v>
      </c>
      <c r="M2112" s="50" t="s">
        <v>266</v>
      </c>
      <c r="N2112" s="190"/>
      <c r="O2112" s="40">
        <f t="shared" ca="1" si="304"/>
        <v>0.86114672238674894</v>
      </c>
      <c r="P2112" s="51">
        <f t="shared" si="302"/>
        <v>0</v>
      </c>
      <c r="Q2112" s="51">
        <f t="shared" si="303"/>
        <v>0</v>
      </c>
      <c r="R2112" s="51">
        <f t="shared" si="307"/>
        <v>0</v>
      </c>
      <c r="S2112"/>
      <c r="T2112" s="83"/>
    </row>
    <row r="2113" spans="1:20" ht="16" x14ac:dyDescent="0.2">
      <c r="A2113"/>
      <c r="B2113" s="103"/>
      <c r="C2113" s="243"/>
      <c r="D2113" s="119">
        <v>2100</v>
      </c>
      <c r="E2113" s="25" t="str">
        <f>Tp_Non_CHG!S238</f>
        <v>Transition Probability from state 4 to state 8 on day 3 (Non-CHG)</v>
      </c>
      <c r="F2113" s="40">
        <f t="shared" si="297"/>
        <v>0</v>
      </c>
      <c r="G2113" s="156">
        <v>1</v>
      </c>
      <c r="H2113" s="120">
        <f>Tp_Non_CHG!V238</f>
        <v>0</v>
      </c>
      <c r="I2113" s="40" t="s">
        <v>58</v>
      </c>
      <c r="J2113" s="40">
        <f t="shared" si="305"/>
        <v>0</v>
      </c>
      <c r="K2113" s="40">
        <f t="shared" si="306"/>
        <v>0</v>
      </c>
      <c r="L2113" s="40" t="s">
        <v>58</v>
      </c>
      <c r="M2113" s="50" t="s">
        <v>266</v>
      </c>
      <c r="N2113" s="190"/>
      <c r="O2113" s="40">
        <f t="shared" ca="1" si="304"/>
        <v>0.62714472091312967</v>
      </c>
      <c r="P2113" s="51">
        <f t="shared" si="302"/>
        <v>0</v>
      </c>
      <c r="Q2113" s="51">
        <f t="shared" si="303"/>
        <v>0</v>
      </c>
      <c r="R2113" s="51">
        <f t="shared" si="307"/>
        <v>0</v>
      </c>
      <c r="S2113"/>
      <c r="T2113" s="83"/>
    </row>
    <row r="2114" spans="1:20" ht="16" x14ac:dyDescent="0.2">
      <c r="A2114"/>
      <c r="B2114" s="103"/>
      <c r="C2114" s="243"/>
      <c r="D2114" s="119">
        <v>2101</v>
      </c>
      <c r="E2114" s="25" t="str">
        <f>Tp_Non_CHG!S239</f>
        <v>Transition Probability from state 4 to state 8 on day 4 (Non-CHG)</v>
      </c>
      <c r="F2114" s="40">
        <f t="shared" si="297"/>
        <v>0</v>
      </c>
      <c r="G2114" s="156">
        <v>1</v>
      </c>
      <c r="H2114" s="120">
        <f>Tp_Non_CHG!V239</f>
        <v>0</v>
      </c>
      <c r="I2114" s="40" t="s">
        <v>58</v>
      </c>
      <c r="J2114" s="40">
        <f t="shared" si="305"/>
        <v>0</v>
      </c>
      <c r="K2114" s="40">
        <f t="shared" si="306"/>
        <v>0</v>
      </c>
      <c r="L2114" s="40" t="s">
        <v>58</v>
      </c>
      <c r="M2114" s="50" t="s">
        <v>266</v>
      </c>
      <c r="N2114" s="190"/>
      <c r="O2114" s="40">
        <f t="shared" ca="1" si="304"/>
        <v>0.20625926263313665</v>
      </c>
      <c r="P2114" s="51">
        <f t="shared" si="302"/>
        <v>0</v>
      </c>
      <c r="Q2114" s="51">
        <f t="shared" si="303"/>
        <v>0</v>
      </c>
      <c r="R2114" s="51">
        <f t="shared" si="307"/>
        <v>0</v>
      </c>
      <c r="S2114"/>
      <c r="T2114" s="83"/>
    </row>
    <row r="2115" spans="1:20" ht="16" x14ac:dyDescent="0.2">
      <c r="A2115"/>
      <c r="B2115" s="103"/>
      <c r="C2115" s="243"/>
      <c r="D2115" s="119">
        <v>2102</v>
      </c>
      <c r="E2115" s="25" t="str">
        <f>Tp_Non_CHG!S240</f>
        <v>Transition Probability from state 4 to state 8 on day 5 (Non-CHG)</v>
      </c>
      <c r="F2115" s="40">
        <f t="shared" si="297"/>
        <v>0</v>
      </c>
      <c r="G2115" s="156">
        <v>1</v>
      </c>
      <c r="H2115" s="120">
        <f>Tp_Non_CHG!V240</f>
        <v>0</v>
      </c>
      <c r="I2115" s="40" t="s">
        <v>58</v>
      </c>
      <c r="J2115" s="40">
        <f t="shared" si="305"/>
        <v>0</v>
      </c>
      <c r="K2115" s="40">
        <f t="shared" si="306"/>
        <v>0</v>
      </c>
      <c r="L2115" s="40" t="s">
        <v>58</v>
      </c>
      <c r="M2115" s="50" t="s">
        <v>266</v>
      </c>
      <c r="N2115" s="190"/>
      <c r="O2115" s="40">
        <f t="shared" ca="1" si="304"/>
        <v>0.10858250380209289</v>
      </c>
      <c r="P2115" s="51">
        <f t="shared" si="302"/>
        <v>0</v>
      </c>
      <c r="Q2115" s="51">
        <f t="shared" si="303"/>
        <v>0</v>
      </c>
      <c r="R2115" s="51">
        <f t="shared" si="307"/>
        <v>0</v>
      </c>
      <c r="S2115"/>
      <c r="T2115" s="83"/>
    </row>
    <row r="2116" spans="1:20" ht="16" x14ac:dyDescent="0.2">
      <c r="A2116"/>
      <c r="B2116" s="103"/>
      <c r="C2116" s="243"/>
      <c r="D2116" s="119">
        <v>2103</v>
      </c>
      <c r="E2116" s="25" t="str">
        <f>Tp_Non_CHG!S241</f>
        <v>Transition Probability from state 4 to state 8 on day 6 (Non-CHG)</v>
      </c>
      <c r="F2116" s="40">
        <f t="shared" si="297"/>
        <v>0</v>
      </c>
      <c r="G2116" s="156">
        <v>1</v>
      </c>
      <c r="H2116" s="120">
        <f>Tp_Non_CHG!V241</f>
        <v>0</v>
      </c>
      <c r="I2116" s="40" t="s">
        <v>58</v>
      </c>
      <c r="J2116" s="40">
        <f t="shared" si="305"/>
        <v>0</v>
      </c>
      <c r="K2116" s="40">
        <f t="shared" si="306"/>
        <v>0</v>
      </c>
      <c r="L2116" s="40" t="s">
        <v>58</v>
      </c>
      <c r="M2116" s="50" t="s">
        <v>266</v>
      </c>
      <c r="N2116" s="190"/>
      <c r="O2116" s="40">
        <f t="shared" ca="1" si="304"/>
        <v>0.73270602357264814</v>
      </c>
      <c r="P2116" s="51">
        <f t="shared" si="302"/>
        <v>0</v>
      </c>
      <c r="Q2116" s="51">
        <f t="shared" si="303"/>
        <v>0</v>
      </c>
      <c r="R2116" s="51">
        <f t="shared" si="307"/>
        <v>0</v>
      </c>
      <c r="S2116"/>
      <c r="T2116" s="83"/>
    </row>
    <row r="2117" spans="1:20" ht="16" x14ac:dyDescent="0.2">
      <c r="A2117"/>
      <c r="B2117" s="103"/>
      <c r="C2117" s="243"/>
      <c r="D2117" s="119">
        <v>2104</v>
      </c>
      <c r="E2117" s="25" t="str">
        <f>Tp_Non_CHG!S242</f>
        <v>Transition Probability from state 4 to state 8 on day 7 (Non-CHG)</v>
      </c>
      <c r="F2117" s="40">
        <f t="shared" si="297"/>
        <v>0</v>
      </c>
      <c r="G2117" s="156">
        <v>1</v>
      </c>
      <c r="H2117" s="120">
        <f>Tp_Non_CHG!V242</f>
        <v>0</v>
      </c>
      <c r="I2117" s="40" t="s">
        <v>58</v>
      </c>
      <c r="J2117" s="40">
        <f t="shared" si="305"/>
        <v>0</v>
      </c>
      <c r="K2117" s="40">
        <f t="shared" si="306"/>
        <v>0</v>
      </c>
      <c r="L2117" s="40" t="s">
        <v>58</v>
      </c>
      <c r="M2117" s="50" t="s">
        <v>266</v>
      </c>
      <c r="N2117" s="190"/>
      <c r="O2117" s="40">
        <f t="shared" ca="1" si="304"/>
        <v>9.10128844840844E-2</v>
      </c>
      <c r="P2117" s="51">
        <f t="shared" si="302"/>
        <v>0</v>
      </c>
      <c r="Q2117" s="51">
        <f t="shared" si="303"/>
        <v>0</v>
      </c>
      <c r="R2117" s="51">
        <f t="shared" si="307"/>
        <v>0</v>
      </c>
      <c r="S2117"/>
      <c r="T2117" s="83"/>
    </row>
    <row r="2118" spans="1:20" ht="16" x14ac:dyDescent="0.2">
      <c r="A2118"/>
      <c r="B2118" s="103"/>
      <c r="C2118" s="243"/>
      <c r="D2118" s="119">
        <v>2105</v>
      </c>
      <c r="E2118" s="25" t="str">
        <f>Tp_Non_CHG!S243</f>
        <v>Transition Probability from state 4 to state 8 on day 8 (Non-CHG)</v>
      </c>
      <c r="F2118" s="40">
        <f t="shared" si="297"/>
        <v>0</v>
      </c>
      <c r="G2118" s="156">
        <v>1</v>
      </c>
      <c r="H2118" s="120">
        <f>Tp_Non_CHG!V243</f>
        <v>0</v>
      </c>
      <c r="I2118" s="40" t="s">
        <v>58</v>
      </c>
      <c r="J2118" s="40">
        <f t="shared" si="305"/>
        <v>0</v>
      </c>
      <c r="K2118" s="40">
        <f t="shared" si="306"/>
        <v>0</v>
      </c>
      <c r="L2118" s="40" t="s">
        <v>58</v>
      </c>
      <c r="M2118" s="50" t="s">
        <v>266</v>
      </c>
      <c r="N2118" s="190"/>
      <c r="O2118" s="40">
        <f t="shared" ca="1" si="304"/>
        <v>0.67003623085553832</v>
      </c>
      <c r="P2118" s="51">
        <f t="shared" si="302"/>
        <v>0</v>
      </c>
      <c r="Q2118" s="51">
        <f t="shared" si="303"/>
        <v>0</v>
      </c>
      <c r="R2118" s="51">
        <f t="shared" si="307"/>
        <v>0</v>
      </c>
      <c r="S2118"/>
      <c r="T2118" s="83"/>
    </row>
    <row r="2119" spans="1:20" ht="16" x14ac:dyDescent="0.2">
      <c r="A2119"/>
      <c r="B2119" s="103"/>
      <c r="C2119" s="243"/>
      <c r="D2119" s="119">
        <v>2106</v>
      </c>
      <c r="E2119" s="25" t="str">
        <f>Tp_Non_CHG!S244</f>
        <v>Transition Probability from state 4 to state 8 on day 9 (Non-CHG)</v>
      </c>
      <c r="F2119" s="40">
        <f t="shared" si="297"/>
        <v>0</v>
      </c>
      <c r="G2119" s="156">
        <v>1</v>
      </c>
      <c r="H2119" s="120">
        <f>Tp_Non_CHG!V244</f>
        <v>0</v>
      </c>
      <c r="I2119" s="40" t="s">
        <v>58</v>
      </c>
      <c r="J2119" s="40">
        <f t="shared" si="305"/>
        <v>0</v>
      </c>
      <c r="K2119" s="40">
        <f t="shared" si="306"/>
        <v>0</v>
      </c>
      <c r="L2119" s="40" t="s">
        <v>58</v>
      </c>
      <c r="M2119" s="50" t="s">
        <v>266</v>
      </c>
      <c r="N2119" s="190"/>
      <c r="O2119" s="40">
        <f t="shared" ca="1" si="304"/>
        <v>0.24625716805951303</v>
      </c>
      <c r="P2119" s="51">
        <f t="shared" si="302"/>
        <v>0</v>
      </c>
      <c r="Q2119" s="51">
        <f t="shared" si="303"/>
        <v>0</v>
      </c>
      <c r="R2119" s="51">
        <f t="shared" si="307"/>
        <v>0</v>
      </c>
      <c r="S2119"/>
      <c r="T2119" s="83"/>
    </row>
    <row r="2120" spans="1:20" ht="16" x14ac:dyDescent="0.2">
      <c r="A2120"/>
      <c r="B2120" s="103"/>
      <c r="C2120" s="243"/>
      <c r="D2120" s="119">
        <v>2107</v>
      </c>
      <c r="E2120" s="25" t="str">
        <f>Tp_Non_CHG!S245</f>
        <v>Transition Probability from state 4 to state 8 on day 10 (Non-CHG)</v>
      </c>
      <c r="F2120" s="40">
        <f t="shared" si="297"/>
        <v>0</v>
      </c>
      <c r="G2120" s="156">
        <v>1</v>
      </c>
      <c r="H2120" s="120">
        <f>Tp_Non_CHG!V245</f>
        <v>0</v>
      </c>
      <c r="I2120" s="40" t="s">
        <v>58</v>
      </c>
      <c r="J2120" s="40">
        <f t="shared" si="305"/>
        <v>0</v>
      </c>
      <c r="K2120" s="40">
        <f t="shared" si="306"/>
        <v>0</v>
      </c>
      <c r="L2120" s="40" t="s">
        <v>58</v>
      </c>
      <c r="M2120" s="50" t="s">
        <v>266</v>
      </c>
      <c r="N2120" s="190"/>
      <c r="O2120" s="40">
        <f t="shared" ca="1" si="304"/>
        <v>4.8714407746213717E-2</v>
      </c>
      <c r="P2120" s="51">
        <f t="shared" si="302"/>
        <v>0</v>
      </c>
      <c r="Q2120" s="51">
        <f t="shared" si="303"/>
        <v>0</v>
      </c>
      <c r="R2120" s="51">
        <f t="shared" si="307"/>
        <v>0</v>
      </c>
      <c r="S2120"/>
      <c r="T2120" s="83"/>
    </row>
    <row r="2121" spans="1:20" ht="16" x14ac:dyDescent="0.2">
      <c r="A2121"/>
      <c r="B2121" s="103"/>
      <c r="C2121" s="243"/>
      <c r="D2121" s="119">
        <v>2108</v>
      </c>
      <c r="E2121" s="25" t="str">
        <f>Tp_Non_CHG!S246</f>
        <v>Transition Probability from state 4 to state 8 on day 11 (Non-CHG)</v>
      </c>
      <c r="F2121" s="40">
        <f t="shared" si="297"/>
        <v>0</v>
      </c>
      <c r="G2121" s="156">
        <v>1</v>
      </c>
      <c r="H2121" s="120">
        <f>Tp_Non_CHG!V246</f>
        <v>0</v>
      </c>
      <c r="I2121" s="40" t="s">
        <v>58</v>
      </c>
      <c r="J2121" s="40">
        <f t="shared" si="305"/>
        <v>0</v>
      </c>
      <c r="K2121" s="40">
        <f t="shared" si="306"/>
        <v>0</v>
      </c>
      <c r="L2121" s="40" t="s">
        <v>58</v>
      </c>
      <c r="M2121" s="50" t="s">
        <v>266</v>
      </c>
      <c r="N2121" s="190"/>
      <c r="O2121" s="40">
        <f t="shared" ca="1" si="304"/>
        <v>0.65425206495823407</v>
      </c>
      <c r="P2121" s="51">
        <f t="shared" si="302"/>
        <v>0</v>
      </c>
      <c r="Q2121" s="51">
        <f t="shared" si="303"/>
        <v>0</v>
      </c>
      <c r="R2121" s="51">
        <f t="shared" si="307"/>
        <v>0</v>
      </c>
      <c r="S2121"/>
      <c r="T2121" s="83"/>
    </row>
    <row r="2122" spans="1:20" ht="16" x14ac:dyDescent="0.2">
      <c r="A2122"/>
      <c r="B2122" s="103"/>
      <c r="C2122" s="243"/>
      <c r="D2122" s="119">
        <v>2109</v>
      </c>
      <c r="E2122" s="25" t="str">
        <f>Tp_Non_CHG!S247</f>
        <v>Transition Probability from state 4 to state 8 on day 12 (Non-CHG)</v>
      </c>
      <c r="F2122" s="40">
        <f t="shared" si="297"/>
        <v>0</v>
      </c>
      <c r="G2122" s="156">
        <v>1</v>
      </c>
      <c r="H2122" s="120">
        <f>Tp_Non_CHG!V247</f>
        <v>0</v>
      </c>
      <c r="I2122" s="40" t="s">
        <v>58</v>
      </c>
      <c r="J2122" s="40">
        <f t="shared" si="305"/>
        <v>0</v>
      </c>
      <c r="K2122" s="40">
        <f t="shared" si="306"/>
        <v>0</v>
      </c>
      <c r="L2122" s="40" t="s">
        <v>58</v>
      </c>
      <c r="M2122" s="50" t="s">
        <v>266</v>
      </c>
      <c r="N2122" s="190"/>
      <c r="O2122" s="40">
        <f t="shared" ca="1" si="304"/>
        <v>0.4021757504249045</v>
      </c>
      <c r="P2122" s="51">
        <f t="shared" si="302"/>
        <v>0</v>
      </c>
      <c r="Q2122" s="51">
        <f t="shared" si="303"/>
        <v>0</v>
      </c>
      <c r="R2122" s="51">
        <f t="shared" si="307"/>
        <v>0</v>
      </c>
      <c r="S2122"/>
      <c r="T2122" s="83"/>
    </row>
    <row r="2123" spans="1:20" ht="16" x14ac:dyDescent="0.2">
      <c r="A2123"/>
      <c r="B2123" s="103"/>
      <c r="C2123" s="243"/>
      <c r="D2123" s="119">
        <v>2110</v>
      </c>
      <c r="E2123" s="25" t="str">
        <f>Tp_Non_CHG!S248</f>
        <v>Transition Probability from state 4 to state 8 on day 13 (Non-CHG)</v>
      </c>
      <c r="F2123" s="40">
        <f t="shared" si="297"/>
        <v>0</v>
      </c>
      <c r="G2123" s="156">
        <v>1</v>
      </c>
      <c r="H2123" s="120">
        <f>Tp_Non_CHG!V248</f>
        <v>0</v>
      </c>
      <c r="I2123" s="40" t="s">
        <v>58</v>
      </c>
      <c r="J2123" s="40">
        <f t="shared" si="305"/>
        <v>0</v>
      </c>
      <c r="K2123" s="40">
        <f t="shared" si="306"/>
        <v>0</v>
      </c>
      <c r="L2123" s="40" t="s">
        <v>58</v>
      </c>
      <c r="M2123" s="50" t="s">
        <v>266</v>
      </c>
      <c r="N2123" s="190"/>
      <c r="O2123" s="40">
        <f t="shared" ca="1" si="304"/>
        <v>0.37068932302721613</v>
      </c>
      <c r="P2123" s="51">
        <f t="shared" si="302"/>
        <v>0</v>
      </c>
      <c r="Q2123" s="51">
        <f t="shared" si="303"/>
        <v>0</v>
      </c>
      <c r="R2123" s="51">
        <f t="shared" si="307"/>
        <v>0</v>
      </c>
      <c r="S2123"/>
      <c r="T2123" s="83"/>
    </row>
    <row r="2124" spans="1:20" ht="16" x14ac:dyDescent="0.2">
      <c r="A2124"/>
      <c r="B2124" s="103"/>
      <c r="C2124" s="243"/>
      <c r="D2124" s="119">
        <v>2111</v>
      </c>
      <c r="E2124" s="25" t="str">
        <f>Tp_Non_CHG!S249</f>
        <v>Transition Probability from state 4 to state 8 on day 14 (Non-CHG)</v>
      </c>
      <c r="F2124" s="40">
        <f t="shared" si="297"/>
        <v>0</v>
      </c>
      <c r="G2124" s="156">
        <v>1</v>
      </c>
      <c r="H2124" s="120">
        <f>Tp_Non_CHG!V249</f>
        <v>0</v>
      </c>
      <c r="I2124" s="40" t="s">
        <v>58</v>
      </c>
      <c r="J2124" s="40">
        <f t="shared" si="305"/>
        <v>0</v>
      </c>
      <c r="K2124" s="40">
        <f t="shared" si="306"/>
        <v>0</v>
      </c>
      <c r="L2124" s="40" t="s">
        <v>58</v>
      </c>
      <c r="M2124" s="50" t="s">
        <v>266</v>
      </c>
      <c r="N2124" s="190"/>
      <c r="O2124" s="40">
        <f t="shared" ca="1" si="304"/>
        <v>0.9596869011472956</v>
      </c>
      <c r="P2124" s="51">
        <f t="shared" si="302"/>
        <v>0</v>
      </c>
      <c r="Q2124" s="51">
        <f t="shared" si="303"/>
        <v>0</v>
      </c>
      <c r="R2124" s="51">
        <f t="shared" si="307"/>
        <v>0</v>
      </c>
      <c r="S2124"/>
      <c r="T2124" s="83"/>
    </row>
    <row r="2125" spans="1:20" ht="16" x14ac:dyDescent="0.2">
      <c r="A2125"/>
      <c r="B2125" s="103"/>
      <c r="C2125" s="243"/>
      <c r="D2125" s="119">
        <v>2112</v>
      </c>
      <c r="E2125" s="25" t="str">
        <f>Tp_Non_CHG!S250</f>
        <v>Transition Probability from state 4 to state 8 on day 15 (Non-CHG)</v>
      </c>
      <c r="F2125" s="40">
        <f t="shared" si="297"/>
        <v>0</v>
      </c>
      <c r="G2125" s="156">
        <v>1</v>
      </c>
      <c r="H2125" s="120">
        <f>Tp_Non_CHG!V250</f>
        <v>0</v>
      </c>
      <c r="I2125" s="40" t="s">
        <v>58</v>
      </c>
      <c r="J2125" s="40">
        <f t="shared" si="305"/>
        <v>0</v>
      </c>
      <c r="K2125" s="40">
        <f t="shared" si="306"/>
        <v>0</v>
      </c>
      <c r="L2125" s="40" t="s">
        <v>58</v>
      </c>
      <c r="M2125" s="50" t="s">
        <v>266</v>
      </c>
      <c r="N2125" s="190"/>
      <c r="O2125" s="40">
        <f t="shared" ca="1" si="304"/>
        <v>0.86108827192408199</v>
      </c>
      <c r="P2125" s="51">
        <f t="shared" si="302"/>
        <v>0</v>
      </c>
      <c r="Q2125" s="51">
        <f t="shared" si="303"/>
        <v>0</v>
      </c>
      <c r="R2125" s="51">
        <f t="shared" si="307"/>
        <v>0</v>
      </c>
      <c r="S2125"/>
      <c r="T2125" s="83"/>
    </row>
    <row r="2126" spans="1:20" ht="16" x14ac:dyDescent="0.2">
      <c r="A2126"/>
      <c r="B2126" s="103"/>
      <c r="C2126" s="243"/>
      <c r="D2126" s="119">
        <v>2113</v>
      </c>
      <c r="E2126" s="25" t="str">
        <f>Tp_Non_CHG!S251</f>
        <v>Transition Probability from state 4 to state 8 on day 16 (Non-CHG)</v>
      </c>
      <c r="F2126" s="40">
        <f t="shared" si="297"/>
        <v>0</v>
      </c>
      <c r="G2126" s="156">
        <v>1</v>
      </c>
      <c r="H2126" s="120">
        <f>Tp_Non_CHG!V251</f>
        <v>0</v>
      </c>
      <c r="I2126" s="40" t="s">
        <v>58</v>
      </c>
      <c r="J2126" s="40">
        <f t="shared" si="305"/>
        <v>0</v>
      </c>
      <c r="K2126" s="40">
        <f t="shared" si="306"/>
        <v>0</v>
      </c>
      <c r="L2126" s="40" t="s">
        <v>58</v>
      </c>
      <c r="M2126" s="50" t="s">
        <v>266</v>
      </c>
      <c r="N2126" s="190"/>
      <c r="O2126" s="40">
        <f t="shared" ca="1" si="304"/>
        <v>0.96339216326382593</v>
      </c>
      <c r="P2126" s="51">
        <f t="shared" si="302"/>
        <v>0</v>
      </c>
      <c r="Q2126" s="51">
        <f t="shared" si="303"/>
        <v>0</v>
      </c>
      <c r="R2126" s="51">
        <f t="shared" si="307"/>
        <v>0</v>
      </c>
      <c r="S2126"/>
      <c r="T2126" s="83"/>
    </row>
    <row r="2127" spans="1:20" ht="16" x14ac:dyDescent="0.2">
      <c r="A2127"/>
      <c r="B2127" s="103"/>
      <c r="C2127" s="243"/>
      <c r="D2127" s="119">
        <v>2114</v>
      </c>
      <c r="E2127" s="25" t="str">
        <f>Tp_Non_CHG!S252</f>
        <v>Transition Probability from state 4 to state 8 on day 17 (Non-CHG)</v>
      </c>
      <c r="F2127" s="40">
        <f t="shared" ref="F2127:F2179" si="308">IFERROR(CHOOSE(G2127,H2127,J2127,K2127,N2127),0)</f>
        <v>0</v>
      </c>
      <c r="G2127" s="156">
        <v>1</v>
      </c>
      <c r="H2127" s="120">
        <f>Tp_Non_CHG!V252</f>
        <v>0</v>
      </c>
      <c r="I2127" s="40" t="s">
        <v>58</v>
      </c>
      <c r="J2127" s="40">
        <f t="shared" si="305"/>
        <v>0</v>
      </c>
      <c r="K2127" s="40">
        <f t="shared" si="306"/>
        <v>0</v>
      </c>
      <c r="L2127" s="40" t="s">
        <v>58</v>
      </c>
      <c r="M2127" s="50" t="s">
        <v>266</v>
      </c>
      <c r="N2127" s="190"/>
      <c r="O2127" s="40">
        <f t="shared" ca="1" si="304"/>
        <v>0.3832992841462225</v>
      </c>
      <c r="P2127" s="51">
        <f t="shared" si="302"/>
        <v>0</v>
      </c>
      <c r="Q2127" s="51">
        <f t="shared" si="303"/>
        <v>0</v>
      </c>
      <c r="R2127" s="51">
        <f t="shared" si="307"/>
        <v>0</v>
      </c>
      <c r="S2127"/>
      <c r="T2127" s="83"/>
    </row>
    <row r="2128" spans="1:20" ht="16" x14ac:dyDescent="0.2">
      <c r="A2128"/>
      <c r="B2128" s="103"/>
      <c r="C2128" s="243"/>
      <c r="D2128" s="119">
        <v>2115</v>
      </c>
      <c r="E2128" s="25" t="str">
        <f>Tp_Non_CHG!S253</f>
        <v>Transition Probability from state 4 to state 8 on day 18 (Non-CHG)</v>
      </c>
      <c r="F2128" s="40">
        <f t="shared" si="308"/>
        <v>0</v>
      </c>
      <c r="G2128" s="156">
        <v>1</v>
      </c>
      <c r="H2128" s="120">
        <f>Tp_Non_CHG!V253</f>
        <v>0</v>
      </c>
      <c r="I2128" s="40" t="s">
        <v>58</v>
      </c>
      <c r="J2128" s="40">
        <f t="shared" si="305"/>
        <v>0</v>
      </c>
      <c r="K2128" s="40">
        <f t="shared" si="306"/>
        <v>0</v>
      </c>
      <c r="L2128" s="40" t="s">
        <v>58</v>
      </c>
      <c r="M2128" s="50" t="s">
        <v>266</v>
      </c>
      <c r="N2128" s="190"/>
      <c r="O2128" s="40">
        <f t="shared" ca="1" si="304"/>
        <v>0.25342173600452167</v>
      </c>
      <c r="P2128" s="51">
        <f t="shared" si="302"/>
        <v>0</v>
      </c>
      <c r="Q2128" s="51">
        <f t="shared" si="303"/>
        <v>0</v>
      </c>
      <c r="R2128" s="51">
        <f t="shared" si="307"/>
        <v>0</v>
      </c>
      <c r="S2128"/>
      <c r="T2128" s="83"/>
    </row>
    <row r="2129" spans="1:20" ht="16" x14ac:dyDescent="0.2">
      <c r="A2129"/>
      <c r="B2129" s="103"/>
      <c r="C2129" s="243"/>
      <c r="D2129" s="119">
        <v>2116</v>
      </c>
      <c r="E2129" s="25" t="str">
        <f>Tp_Non_CHG!S254</f>
        <v>Transition Probability from state 4 to state 8 on day 19 (Non-CHG)</v>
      </c>
      <c r="F2129" s="40">
        <f t="shared" si="308"/>
        <v>0</v>
      </c>
      <c r="G2129" s="156">
        <v>1</v>
      </c>
      <c r="H2129" s="120">
        <f>Tp_Non_CHG!V254</f>
        <v>0</v>
      </c>
      <c r="I2129" s="40" t="s">
        <v>58</v>
      </c>
      <c r="J2129" s="40">
        <f t="shared" si="305"/>
        <v>0</v>
      </c>
      <c r="K2129" s="40">
        <f t="shared" si="306"/>
        <v>0</v>
      </c>
      <c r="L2129" s="40" t="s">
        <v>58</v>
      </c>
      <c r="M2129" s="50" t="s">
        <v>266</v>
      </c>
      <c r="N2129" s="190"/>
      <c r="O2129" s="40">
        <f t="shared" ref="O2129:O2168" ca="1" si="309">RAND()</f>
        <v>0.67203715276410325</v>
      </c>
      <c r="P2129" s="51">
        <f t="shared" ref="P2129:P2168" si="310">IFERROR(H2129*((H2129*(1-H2129)/(R2129^2))-1),0)</f>
        <v>0</v>
      </c>
      <c r="Q2129" s="51">
        <f t="shared" ref="Q2129:Q2168" si="311">IFERROR((1-H2129)*((H2129*(1-H2129))/(R2129^2)-1),0)</f>
        <v>0</v>
      </c>
      <c r="R2129" s="51">
        <f t="shared" si="307"/>
        <v>0</v>
      </c>
      <c r="S2129"/>
      <c r="T2129" s="83"/>
    </row>
    <row r="2130" spans="1:20" ht="16" x14ac:dyDescent="0.2">
      <c r="A2130"/>
      <c r="B2130" s="103"/>
      <c r="C2130" s="243"/>
      <c r="D2130" s="119">
        <v>2117</v>
      </c>
      <c r="E2130" s="25" t="str">
        <f>Tp_Non_CHG!S255</f>
        <v>Transition Probability from state 4 to state 8 on day 20 (Non-CHG)</v>
      </c>
      <c r="F2130" s="40">
        <f t="shared" si="308"/>
        <v>0</v>
      </c>
      <c r="G2130" s="156">
        <v>1</v>
      </c>
      <c r="H2130" s="120">
        <f>Tp_Non_CHG!V255</f>
        <v>0</v>
      </c>
      <c r="I2130" s="40" t="s">
        <v>58</v>
      </c>
      <c r="J2130" s="40">
        <f t="shared" si="305"/>
        <v>0</v>
      </c>
      <c r="K2130" s="40">
        <f t="shared" si="306"/>
        <v>0</v>
      </c>
      <c r="L2130" s="40" t="s">
        <v>58</v>
      </c>
      <c r="M2130" s="50" t="s">
        <v>266</v>
      </c>
      <c r="N2130" s="190"/>
      <c r="O2130" s="40">
        <f t="shared" ca="1" si="309"/>
        <v>0.45815425476466654</v>
      </c>
      <c r="P2130" s="51">
        <f t="shared" si="310"/>
        <v>0</v>
      </c>
      <c r="Q2130" s="51">
        <f t="shared" si="311"/>
        <v>0</v>
      </c>
      <c r="R2130" s="51">
        <f t="shared" si="307"/>
        <v>0</v>
      </c>
      <c r="S2130"/>
      <c r="T2130" s="83"/>
    </row>
    <row r="2131" spans="1:20" ht="16" x14ac:dyDescent="0.2">
      <c r="A2131"/>
      <c r="B2131" s="103"/>
      <c r="C2131" s="243"/>
      <c r="D2131" s="119">
        <v>2118</v>
      </c>
      <c r="E2131" s="25" t="str">
        <f>Tp_Non_CHG!S256</f>
        <v>Transition Probability from state 4 to state 8 on day 21 (Non-CHG)</v>
      </c>
      <c r="F2131" s="40">
        <f t="shared" si="308"/>
        <v>0</v>
      </c>
      <c r="G2131" s="156">
        <v>1</v>
      </c>
      <c r="H2131" s="120">
        <f>Tp_Non_CHG!V256</f>
        <v>0</v>
      </c>
      <c r="I2131" s="40" t="s">
        <v>58</v>
      </c>
      <c r="J2131" s="40">
        <f t="shared" si="305"/>
        <v>0</v>
      </c>
      <c r="K2131" s="40">
        <f t="shared" si="306"/>
        <v>0</v>
      </c>
      <c r="L2131" s="40" t="s">
        <v>58</v>
      </c>
      <c r="M2131" s="50" t="s">
        <v>266</v>
      </c>
      <c r="N2131" s="190"/>
      <c r="O2131" s="40">
        <f t="shared" ca="1" si="309"/>
        <v>0.49460825156890287</v>
      </c>
      <c r="P2131" s="51">
        <f t="shared" si="310"/>
        <v>0</v>
      </c>
      <c r="Q2131" s="51">
        <f t="shared" si="311"/>
        <v>0</v>
      </c>
      <c r="R2131" s="51">
        <f t="shared" si="307"/>
        <v>0</v>
      </c>
      <c r="S2131"/>
      <c r="T2131" s="83"/>
    </row>
    <row r="2132" spans="1:20" ht="16" x14ac:dyDescent="0.2">
      <c r="A2132"/>
      <c r="B2132" s="103"/>
      <c r="C2132" s="243"/>
      <c r="D2132" s="119">
        <v>2119</v>
      </c>
      <c r="E2132" s="25" t="str">
        <f>Tp_Non_CHG!S257</f>
        <v>Transition Probability from state 4 to state 8 on day 22 (Non-CHG)</v>
      </c>
      <c r="F2132" s="40">
        <f t="shared" si="308"/>
        <v>0</v>
      </c>
      <c r="G2132" s="156">
        <v>1</v>
      </c>
      <c r="H2132" s="120">
        <f>Tp_Non_CHG!V257</f>
        <v>0</v>
      </c>
      <c r="I2132" s="40" t="s">
        <v>58</v>
      </c>
      <c r="J2132" s="40">
        <f t="shared" si="305"/>
        <v>0</v>
      </c>
      <c r="K2132" s="40">
        <f t="shared" si="306"/>
        <v>0</v>
      </c>
      <c r="L2132" s="40" t="s">
        <v>58</v>
      </c>
      <c r="M2132" s="50" t="s">
        <v>266</v>
      </c>
      <c r="N2132" s="190"/>
      <c r="O2132" s="40">
        <f t="shared" ca="1" si="309"/>
        <v>0.24995259172782858</v>
      </c>
      <c r="P2132" s="51">
        <f t="shared" si="310"/>
        <v>0</v>
      </c>
      <c r="Q2132" s="51">
        <f t="shared" si="311"/>
        <v>0</v>
      </c>
      <c r="R2132" s="51">
        <f t="shared" si="307"/>
        <v>0</v>
      </c>
      <c r="S2132"/>
      <c r="T2132" s="83"/>
    </row>
    <row r="2133" spans="1:20" ht="16" x14ac:dyDescent="0.2">
      <c r="A2133"/>
      <c r="B2133" s="103"/>
      <c r="C2133" s="243"/>
      <c r="D2133" s="119">
        <v>2120</v>
      </c>
      <c r="E2133" s="25" t="str">
        <f>Tp_Non_CHG!S258</f>
        <v>Transition Probability from state 4 to state 8 on day 23 (Non-CHG)</v>
      </c>
      <c r="F2133" s="40">
        <f t="shared" si="308"/>
        <v>0</v>
      </c>
      <c r="G2133" s="156">
        <v>1</v>
      </c>
      <c r="H2133" s="120">
        <f>Tp_Non_CHG!V258</f>
        <v>0</v>
      </c>
      <c r="I2133" s="40" t="s">
        <v>58</v>
      </c>
      <c r="J2133" s="40">
        <f t="shared" si="305"/>
        <v>0</v>
      </c>
      <c r="K2133" s="40">
        <f t="shared" si="306"/>
        <v>0</v>
      </c>
      <c r="L2133" s="40" t="s">
        <v>58</v>
      </c>
      <c r="M2133" s="50" t="s">
        <v>266</v>
      </c>
      <c r="N2133" s="190"/>
      <c r="O2133" s="40">
        <f t="shared" ca="1" si="309"/>
        <v>0.19772170435228953</v>
      </c>
      <c r="P2133" s="51">
        <f t="shared" si="310"/>
        <v>0</v>
      </c>
      <c r="Q2133" s="51">
        <f t="shared" si="311"/>
        <v>0</v>
      </c>
      <c r="R2133" s="51">
        <f t="shared" si="307"/>
        <v>0</v>
      </c>
      <c r="S2133"/>
      <c r="T2133" s="83"/>
    </row>
    <row r="2134" spans="1:20" ht="16" x14ac:dyDescent="0.2">
      <c r="A2134"/>
      <c r="B2134" s="103"/>
      <c r="C2134" s="243"/>
      <c r="D2134" s="119">
        <v>2121</v>
      </c>
      <c r="E2134" s="25" t="str">
        <f>Tp_Non_CHG!S259</f>
        <v>Transition Probability from state 4 to state 8 on day 24 (Non-CHG)</v>
      </c>
      <c r="F2134" s="40">
        <f t="shared" si="308"/>
        <v>0</v>
      </c>
      <c r="G2134" s="156">
        <v>1</v>
      </c>
      <c r="H2134" s="120">
        <f>Tp_Non_CHG!V259</f>
        <v>0</v>
      </c>
      <c r="I2134" s="40" t="s">
        <v>58</v>
      </c>
      <c r="J2134" s="40">
        <f t="shared" si="305"/>
        <v>0</v>
      </c>
      <c r="K2134" s="40">
        <f t="shared" si="306"/>
        <v>0</v>
      </c>
      <c r="L2134" s="40" t="s">
        <v>58</v>
      </c>
      <c r="M2134" s="50" t="s">
        <v>266</v>
      </c>
      <c r="N2134" s="190"/>
      <c r="O2134" s="40">
        <f t="shared" ca="1" si="309"/>
        <v>0.22360721728969801</v>
      </c>
      <c r="P2134" s="51">
        <f t="shared" si="310"/>
        <v>0</v>
      </c>
      <c r="Q2134" s="51">
        <f t="shared" si="311"/>
        <v>0</v>
      </c>
      <c r="R2134" s="51">
        <f t="shared" si="307"/>
        <v>0</v>
      </c>
      <c r="S2134"/>
      <c r="T2134" s="83"/>
    </row>
    <row r="2135" spans="1:20" ht="16" x14ac:dyDescent="0.2">
      <c r="A2135"/>
      <c r="B2135" s="103"/>
      <c r="C2135" s="243"/>
      <c r="D2135" s="119">
        <v>2122</v>
      </c>
      <c r="E2135" s="25" t="str">
        <f>Tp_Non_CHG!S260</f>
        <v>Transition Probability from state 4 to state 8 on day 25 (Non-CHG)</v>
      </c>
      <c r="F2135" s="40">
        <f t="shared" si="308"/>
        <v>0</v>
      </c>
      <c r="G2135" s="156">
        <v>1</v>
      </c>
      <c r="H2135" s="120">
        <f>Tp_Non_CHG!V260</f>
        <v>0</v>
      </c>
      <c r="I2135" s="40" t="s">
        <v>58</v>
      </c>
      <c r="J2135" s="40">
        <f t="shared" si="305"/>
        <v>0</v>
      </c>
      <c r="K2135" s="40">
        <f t="shared" si="306"/>
        <v>0</v>
      </c>
      <c r="L2135" s="40" t="s">
        <v>58</v>
      </c>
      <c r="M2135" s="50" t="s">
        <v>266</v>
      </c>
      <c r="N2135" s="190"/>
      <c r="O2135" s="40">
        <f t="shared" ca="1" si="309"/>
        <v>0.38453990586964881</v>
      </c>
      <c r="P2135" s="51">
        <f t="shared" si="310"/>
        <v>0</v>
      </c>
      <c r="Q2135" s="51">
        <f t="shared" si="311"/>
        <v>0</v>
      </c>
      <c r="R2135" s="51">
        <f t="shared" si="307"/>
        <v>0</v>
      </c>
      <c r="S2135"/>
      <c r="T2135" s="83"/>
    </row>
    <row r="2136" spans="1:20" ht="16" x14ac:dyDescent="0.2">
      <c r="A2136"/>
      <c r="B2136" s="103"/>
      <c r="C2136" s="243"/>
      <c r="D2136" s="119">
        <v>2123</v>
      </c>
      <c r="E2136" s="25" t="str">
        <f>Tp_Non_CHG!S261</f>
        <v>Transition Probability from state 4 to state 8 on day 26 (Non-CHG)</v>
      </c>
      <c r="F2136" s="40">
        <f t="shared" si="308"/>
        <v>0</v>
      </c>
      <c r="G2136" s="156">
        <v>1</v>
      </c>
      <c r="H2136" s="120">
        <f>Tp_Non_CHG!V261</f>
        <v>0</v>
      </c>
      <c r="I2136" s="40" t="s">
        <v>58</v>
      </c>
      <c r="J2136" s="40">
        <f t="shared" si="305"/>
        <v>0</v>
      </c>
      <c r="K2136" s="40">
        <f t="shared" si="306"/>
        <v>0</v>
      </c>
      <c r="L2136" s="40" t="s">
        <v>58</v>
      </c>
      <c r="M2136" s="50" t="s">
        <v>266</v>
      </c>
      <c r="N2136" s="190"/>
      <c r="O2136" s="40">
        <f t="shared" ca="1" si="309"/>
        <v>0.14011714109759899</v>
      </c>
      <c r="P2136" s="51">
        <f t="shared" si="310"/>
        <v>0</v>
      </c>
      <c r="Q2136" s="51">
        <f t="shared" si="311"/>
        <v>0</v>
      </c>
      <c r="R2136" s="51">
        <f t="shared" si="307"/>
        <v>0</v>
      </c>
      <c r="S2136"/>
      <c r="T2136" s="83"/>
    </row>
    <row r="2137" spans="1:20" ht="16" x14ac:dyDescent="0.2">
      <c r="A2137"/>
      <c r="B2137" s="103"/>
      <c r="C2137" s="243"/>
      <c r="D2137" s="119">
        <v>2124</v>
      </c>
      <c r="E2137" s="25" t="str">
        <f>Tp_Non_CHG!S262</f>
        <v>Transition Probability from state 4 to state 8 on day 27 (Non-CHG)</v>
      </c>
      <c r="F2137" s="40">
        <f t="shared" si="308"/>
        <v>0</v>
      </c>
      <c r="G2137" s="156">
        <v>1</v>
      </c>
      <c r="H2137" s="120">
        <f>Tp_Non_CHG!V262</f>
        <v>0</v>
      </c>
      <c r="I2137" s="40" t="s">
        <v>58</v>
      </c>
      <c r="J2137" s="40">
        <f t="shared" si="305"/>
        <v>0</v>
      </c>
      <c r="K2137" s="40">
        <f t="shared" si="306"/>
        <v>0</v>
      </c>
      <c r="L2137" s="40" t="s">
        <v>58</v>
      </c>
      <c r="M2137" s="50" t="s">
        <v>266</v>
      </c>
      <c r="N2137" s="190"/>
      <c r="O2137" s="40">
        <f t="shared" ca="1" si="309"/>
        <v>0.22902657423499806</v>
      </c>
      <c r="P2137" s="51">
        <f t="shared" si="310"/>
        <v>0</v>
      </c>
      <c r="Q2137" s="51">
        <f t="shared" si="311"/>
        <v>0</v>
      </c>
      <c r="R2137" s="51">
        <f t="shared" si="307"/>
        <v>0</v>
      </c>
      <c r="S2137"/>
      <c r="T2137" s="83"/>
    </row>
    <row r="2138" spans="1:20" ht="16" x14ac:dyDescent="0.2">
      <c r="A2138"/>
      <c r="B2138" s="103"/>
      <c r="C2138" s="243"/>
      <c r="D2138" s="119">
        <v>2125</v>
      </c>
      <c r="E2138" s="25" t="str">
        <f>Tp_Non_CHG!S263</f>
        <v>Transition Probability from state 4 to state 8 on day 28 (Non-CHG)</v>
      </c>
      <c r="F2138" s="40">
        <f t="shared" si="308"/>
        <v>0</v>
      </c>
      <c r="G2138" s="156">
        <v>1</v>
      </c>
      <c r="H2138" s="120">
        <f>Tp_Non_CHG!V263</f>
        <v>0</v>
      </c>
      <c r="I2138" s="40" t="s">
        <v>58</v>
      </c>
      <c r="J2138" s="40">
        <f t="shared" si="305"/>
        <v>0</v>
      </c>
      <c r="K2138" s="40">
        <f t="shared" si="306"/>
        <v>0</v>
      </c>
      <c r="L2138" s="40" t="s">
        <v>58</v>
      </c>
      <c r="M2138" s="50" t="s">
        <v>266</v>
      </c>
      <c r="N2138" s="190"/>
      <c r="O2138" s="40">
        <f t="shared" ca="1" si="309"/>
        <v>0.42031246145735524</v>
      </c>
      <c r="P2138" s="51">
        <f t="shared" si="310"/>
        <v>0</v>
      </c>
      <c r="Q2138" s="51">
        <f t="shared" si="311"/>
        <v>0</v>
      </c>
      <c r="R2138" s="51">
        <f t="shared" si="307"/>
        <v>0</v>
      </c>
      <c r="S2138"/>
      <c r="T2138" s="83"/>
    </row>
    <row r="2139" spans="1:20" ht="16" x14ac:dyDescent="0.2">
      <c r="A2139"/>
      <c r="B2139" s="103"/>
      <c r="C2139" s="243"/>
      <c r="D2139" s="119">
        <v>2126</v>
      </c>
      <c r="E2139" s="25" t="str">
        <f>Tp_Non_CHG!S264</f>
        <v>Transition Probability from state 4 to state 8 on day 29 (Non-CHG)</v>
      </c>
      <c r="F2139" s="40">
        <f t="shared" si="308"/>
        <v>0</v>
      </c>
      <c r="G2139" s="156">
        <v>1</v>
      </c>
      <c r="H2139" s="120">
        <f>Tp_Non_CHG!V264</f>
        <v>0</v>
      </c>
      <c r="I2139" s="40" t="s">
        <v>58</v>
      </c>
      <c r="J2139" s="40">
        <f t="shared" si="305"/>
        <v>0</v>
      </c>
      <c r="K2139" s="40">
        <f t="shared" si="306"/>
        <v>0</v>
      </c>
      <c r="L2139" s="40" t="s">
        <v>58</v>
      </c>
      <c r="M2139" s="50" t="s">
        <v>266</v>
      </c>
      <c r="N2139" s="190"/>
      <c r="O2139" s="40">
        <f t="shared" ca="1" si="309"/>
        <v>0.40392442216902325</v>
      </c>
      <c r="P2139" s="51">
        <f t="shared" si="310"/>
        <v>0</v>
      </c>
      <c r="Q2139" s="51">
        <f t="shared" si="311"/>
        <v>0</v>
      </c>
      <c r="R2139" s="51">
        <f t="shared" si="307"/>
        <v>0</v>
      </c>
      <c r="S2139"/>
      <c r="T2139" s="83"/>
    </row>
    <row r="2140" spans="1:20" ht="16" x14ac:dyDescent="0.2">
      <c r="A2140"/>
      <c r="B2140" s="103"/>
      <c r="C2140" s="243"/>
      <c r="D2140" s="119">
        <v>2127</v>
      </c>
      <c r="E2140" s="25" t="str">
        <f>Tp_Non_CHG!S265</f>
        <v>Transition Probability from state 4 to state 8 on day 30 (Non-CHG)</v>
      </c>
      <c r="F2140" s="40">
        <f t="shared" si="308"/>
        <v>0</v>
      </c>
      <c r="G2140" s="156">
        <v>1</v>
      </c>
      <c r="H2140" s="120">
        <f>Tp_Non_CHG!V265</f>
        <v>0</v>
      </c>
      <c r="I2140" s="40" t="s">
        <v>58</v>
      </c>
      <c r="J2140" s="40">
        <f t="shared" si="305"/>
        <v>0</v>
      </c>
      <c r="K2140" s="40">
        <f t="shared" si="306"/>
        <v>0</v>
      </c>
      <c r="L2140" s="40" t="s">
        <v>58</v>
      </c>
      <c r="M2140" s="50" t="s">
        <v>266</v>
      </c>
      <c r="N2140" s="190"/>
      <c r="O2140" s="40">
        <f t="shared" ca="1" si="309"/>
        <v>0.45114370519483094</v>
      </c>
      <c r="P2140" s="51">
        <f t="shared" si="310"/>
        <v>0</v>
      </c>
      <c r="Q2140" s="51">
        <f t="shared" si="311"/>
        <v>0</v>
      </c>
      <c r="R2140" s="51">
        <f t="shared" si="307"/>
        <v>0</v>
      </c>
      <c r="S2140"/>
      <c r="T2140" s="83"/>
    </row>
    <row r="2141" spans="1:20" ht="16" x14ac:dyDescent="0.2">
      <c r="A2141"/>
      <c r="B2141" s="103"/>
      <c r="C2141" s="243"/>
      <c r="D2141" s="119">
        <v>2128</v>
      </c>
      <c r="E2141" s="25" t="str">
        <f>Tp_Non_CHG!X236</f>
        <v>Transition Probability from state 6 to state 8 on day 1 (Non-CHG)</v>
      </c>
      <c r="F2141" s="40">
        <f t="shared" si="308"/>
        <v>0</v>
      </c>
      <c r="G2141" s="156">
        <v>1</v>
      </c>
      <c r="H2141" s="120">
        <f>Tp_Non_CHG!AA236</f>
        <v>0</v>
      </c>
      <c r="I2141" s="40" t="s">
        <v>58</v>
      </c>
      <c r="J2141" s="40">
        <f t="shared" si="305"/>
        <v>0</v>
      </c>
      <c r="K2141" s="40">
        <f t="shared" si="306"/>
        <v>0</v>
      </c>
      <c r="L2141" s="40" t="s">
        <v>58</v>
      </c>
      <c r="M2141" s="50" t="s">
        <v>266</v>
      </c>
      <c r="N2141" s="190"/>
      <c r="O2141" s="40">
        <f t="shared" ca="1" si="309"/>
        <v>0.99251171791315462</v>
      </c>
      <c r="P2141" s="51">
        <f t="shared" si="310"/>
        <v>0</v>
      </c>
      <c r="Q2141" s="51">
        <f t="shared" si="311"/>
        <v>0</v>
      </c>
      <c r="R2141" s="51">
        <f t="shared" si="307"/>
        <v>0</v>
      </c>
      <c r="S2141"/>
      <c r="T2141" s="83"/>
    </row>
    <row r="2142" spans="1:20" ht="16" x14ac:dyDescent="0.2">
      <c r="A2142"/>
      <c r="B2142" s="103"/>
      <c r="C2142" s="243"/>
      <c r="D2142" s="119">
        <v>2129</v>
      </c>
      <c r="E2142" s="25" t="str">
        <f>Tp_Non_CHG!X237</f>
        <v>Transition Probability from state 6 to state 8 on day 2 (Non-CHG)</v>
      </c>
      <c r="F2142" s="40">
        <f t="shared" si="308"/>
        <v>0</v>
      </c>
      <c r="G2142" s="156">
        <v>1</v>
      </c>
      <c r="H2142" s="120">
        <f>Tp_Non_CHG!AA237</f>
        <v>0</v>
      </c>
      <c r="I2142" s="40" t="s">
        <v>58</v>
      </c>
      <c r="J2142" s="40">
        <f t="shared" si="305"/>
        <v>0</v>
      </c>
      <c r="K2142" s="40">
        <f t="shared" si="306"/>
        <v>0</v>
      </c>
      <c r="L2142" s="40" t="s">
        <v>58</v>
      </c>
      <c r="M2142" s="50" t="s">
        <v>266</v>
      </c>
      <c r="N2142" s="190"/>
      <c r="O2142" s="40">
        <f t="shared" ca="1" si="309"/>
        <v>0.985049737902427</v>
      </c>
      <c r="P2142" s="51">
        <f t="shared" si="310"/>
        <v>0</v>
      </c>
      <c r="Q2142" s="51">
        <f t="shared" si="311"/>
        <v>0</v>
      </c>
      <c r="R2142" s="51">
        <f t="shared" si="307"/>
        <v>0</v>
      </c>
      <c r="S2142"/>
      <c r="T2142" s="83"/>
    </row>
    <row r="2143" spans="1:20" ht="16" x14ac:dyDescent="0.2">
      <c r="A2143"/>
      <c r="B2143" s="103"/>
      <c r="C2143" s="243"/>
      <c r="D2143" s="119">
        <v>2130</v>
      </c>
      <c r="E2143" s="25" t="str">
        <f>Tp_Non_CHG!X238</f>
        <v>Transition Probability from state 6 to state 8 on day 3 (Non-CHG)</v>
      </c>
      <c r="F2143" s="40">
        <f t="shared" si="308"/>
        <v>0</v>
      </c>
      <c r="G2143" s="156">
        <v>1</v>
      </c>
      <c r="H2143" s="120">
        <f>Tp_Non_CHG!AA238</f>
        <v>0</v>
      </c>
      <c r="I2143" s="40" t="s">
        <v>58</v>
      </c>
      <c r="J2143" s="40">
        <f t="shared" si="305"/>
        <v>0</v>
      </c>
      <c r="K2143" s="40">
        <f t="shared" si="306"/>
        <v>0</v>
      </c>
      <c r="L2143" s="40" t="s">
        <v>58</v>
      </c>
      <c r="M2143" s="50" t="s">
        <v>266</v>
      </c>
      <c r="N2143" s="190"/>
      <c r="O2143" s="40">
        <f t="shared" ca="1" si="309"/>
        <v>0.98162446232835343</v>
      </c>
      <c r="P2143" s="51">
        <f t="shared" si="310"/>
        <v>0</v>
      </c>
      <c r="Q2143" s="51">
        <f t="shared" si="311"/>
        <v>0</v>
      </c>
      <c r="R2143" s="51">
        <f t="shared" si="307"/>
        <v>0</v>
      </c>
      <c r="S2143"/>
      <c r="T2143" s="83"/>
    </row>
    <row r="2144" spans="1:20" ht="16" x14ac:dyDescent="0.2">
      <c r="A2144"/>
      <c r="B2144" s="103"/>
      <c r="C2144" s="243"/>
      <c r="D2144" s="119">
        <v>2131</v>
      </c>
      <c r="E2144" s="25" t="str">
        <f>Tp_Non_CHG!X239</f>
        <v>Transition Probability from state 6 to state 8 on day 4 (Non-CHG)</v>
      </c>
      <c r="F2144" s="40">
        <f t="shared" si="308"/>
        <v>0</v>
      </c>
      <c r="G2144" s="156">
        <v>1</v>
      </c>
      <c r="H2144" s="120">
        <f>Tp_Non_CHG!AA239</f>
        <v>0</v>
      </c>
      <c r="I2144" s="40" t="s">
        <v>58</v>
      </c>
      <c r="J2144" s="40">
        <f t="shared" si="305"/>
        <v>0</v>
      </c>
      <c r="K2144" s="40">
        <f t="shared" si="306"/>
        <v>0</v>
      </c>
      <c r="L2144" s="40" t="s">
        <v>58</v>
      </c>
      <c r="M2144" s="50" t="s">
        <v>266</v>
      </c>
      <c r="N2144" s="190"/>
      <c r="O2144" s="40">
        <f t="shared" ca="1" si="309"/>
        <v>0.25772532554331784</v>
      </c>
      <c r="P2144" s="51">
        <f t="shared" si="310"/>
        <v>0</v>
      </c>
      <c r="Q2144" s="51">
        <f t="shared" si="311"/>
        <v>0</v>
      </c>
      <c r="R2144" s="51">
        <f t="shared" si="307"/>
        <v>0</v>
      </c>
      <c r="S2144"/>
      <c r="T2144" s="83"/>
    </row>
    <row r="2145" spans="1:20" ht="16" x14ac:dyDescent="0.2">
      <c r="A2145"/>
      <c r="B2145" s="103"/>
      <c r="C2145" s="243"/>
      <c r="D2145" s="119">
        <v>2132</v>
      </c>
      <c r="E2145" s="25" t="str">
        <f>Tp_Non_CHG!X240</f>
        <v>Transition Probability from state 6 to state 8 on day 5 (Non-CHG)</v>
      </c>
      <c r="F2145" s="40">
        <f t="shared" si="308"/>
        <v>0</v>
      </c>
      <c r="G2145" s="156">
        <v>1</v>
      </c>
      <c r="H2145" s="120">
        <f>Tp_Non_CHG!AA240</f>
        <v>0</v>
      </c>
      <c r="I2145" s="40" t="s">
        <v>58</v>
      </c>
      <c r="J2145" s="40">
        <f t="shared" si="305"/>
        <v>0</v>
      </c>
      <c r="K2145" s="40">
        <f t="shared" si="306"/>
        <v>0</v>
      </c>
      <c r="L2145" s="40" t="s">
        <v>58</v>
      </c>
      <c r="M2145" s="50" t="s">
        <v>266</v>
      </c>
      <c r="N2145" s="190"/>
      <c r="O2145" s="40">
        <f t="shared" ca="1" si="309"/>
        <v>0.31360486306566127</v>
      </c>
      <c r="P2145" s="51">
        <f t="shared" si="310"/>
        <v>0</v>
      </c>
      <c r="Q2145" s="51">
        <f t="shared" si="311"/>
        <v>0</v>
      </c>
      <c r="R2145" s="51">
        <f t="shared" si="307"/>
        <v>0</v>
      </c>
      <c r="S2145"/>
      <c r="T2145" s="83"/>
    </row>
    <row r="2146" spans="1:20" ht="16" x14ac:dyDescent="0.2">
      <c r="A2146"/>
      <c r="B2146" s="103"/>
      <c r="C2146" s="243"/>
      <c r="D2146" s="119">
        <v>2133</v>
      </c>
      <c r="E2146" s="25" t="str">
        <f>Tp_Non_CHG!X241</f>
        <v>Transition Probability from state 6 to state 8 on day 6 (Non-CHG)</v>
      </c>
      <c r="F2146" s="40">
        <f t="shared" si="308"/>
        <v>0</v>
      </c>
      <c r="G2146" s="156">
        <v>1</v>
      </c>
      <c r="H2146" s="120">
        <f>Tp_Non_CHG!AA241</f>
        <v>0</v>
      </c>
      <c r="I2146" s="40" t="s">
        <v>58</v>
      </c>
      <c r="J2146" s="40">
        <f t="shared" si="305"/>
        <v>0</v>
      </c>
      <c r="K2146" s="40">
        <f t="shared" si="306"/>
        <v>0</v>
      </c>
      <c r="L2146" s="40" t="s">
        <v>58</v>
      </c>
      <c r="M2146" s="50" t="s">
        <v>266</v>
      </c>
      <c r="N2146" s="190"/>
      <c r="O2146" s="40">
        <f t="shared" ca="1" si="309"/>
        <v>0.52031266106230467</v>
      </c>
      <c r="P2146" s="51">
        <f t="shared" si="310"/>
        <v>0</v>
      </c>
      <c r="Q2146" s="51">
        <f t="shared" si="311"/>
        <v>0</v>
      </c>
      <c r="R2146" s="51">
        <f t="shared" si="307"/>
        <v>0</v>
      </c>
      <c r="S2146"/>
      <c r="T2146" s="83"/>
    </row>
    <row r="2147" spans="1:20" ht="16" x14ac:dyDescent="0.2">
      <c r="A2147"/>
      <c r="B2147" s="103"/>
      <c r="C2147" s="243"/>
      <c r="D2147" s="119">
        <v>2134</v>
      </c>
      <c r="E2147" s="25" t="str">
        <f>Tp_Non_CHG!X242</f>
        <v>Transition Probability from state 6 to state 8 on day 7 (Non-CHG)</v>
      </c>
      <c r="F2147" s="40">
        <f t="shared" si="308"/>
        <v>0</v>
      </c>
      <c r="G2147" s="156">
        <v>1</v>
      </c>
      <c r="H2147" s="120">
        <f>Tp_Non_CHG!AA242</f>
        <v>0</v>
      </c>
      <c r="I2147" s="40" t="s">
        <v>58</v>
      </c>
      <c r="J2147" s="40">
        <f t="shared" si="305"/>
        <v>0</v>
      </c>
      <c r="K2147" s="40">
        <f t="shared" si="306"/>
        <v>0</v>
      </c>
      <c r="L2147" s="40" t="s">
        <v>58</v>
      </c>
      <c r="M2147" s="50" t="s">
        <v>266</v>
      </c>
      <c r="N2147" s="190"/>
      <c r="O2147" s="40">
        <f t="shared" ca="1" si="309"/>
        <v>0.30297660289130091</v>
      </c>
      <c r="P2147" s="51">
        <f t="shared" si="310"/>
        <v>0</v>
      </c>
      <c r="Q2147" s="51">
        <f t="shared" si="311"/>
        <v>0</v>
      </c>
      <c r="R2147" s="51">
        <f t="shared" si="307"/>
        <v>0</v>
      </c>
      <c r="S2147"/>
      <c r="T2147" s="83"/>
    </row>
    <row r="2148" spans="1:20" ht="16" x14ac:dyDescent="0.2">
      <c r="A2148"/>
      <c r="B2148" s="103"/>
      <c r="C2148" s="243"/>
      <c r="D2148" s="119">
        <v>2135</v>
      </c>
      <c r="E2148" s="25" t="str">
        <f>Tp_Non_CHG!X245</f>
        <v>Transition Probability from state 6 to state 8 on day 10 (Non-CHG)</v>
      </c>
      <c r="F2148" s="40">
        <f t="shared" si="308"/>
        <v>0</v>
      </c>
      <c r="G2148" s="156">
        <v>1</v>
      </c>
      <c r="H2148" s="120">
        <f>Tp_Non_CHG!AA245</f>
        <v>0</v>
      </c>
      <c r="I2148" s="40" t="s">
        <v>58</v>
      </c>
      <c r="J2148" s="40">
        <f t="shared" si="305"/>
        <v>0</v>
      </c>
      <c r="K2148" s="40">
        <f t="shared" si="306"/>
        <v>0</v>
      </c>
      <c r="L2148" s="40" t="s">
        <v>58</v>
      </c>
      <c r="M2148" s="50" t="s">
        <v>266</v>
      </c>
      <c r="N2148" s="190"/>
      <c r="O2148" s="40">
        <f t="shared" ca="1" si="309"/>
        <v>0.24798196443811238</v>
      </c>
      <c r="P2148" s="51">
        <f t="shared" si="310"/>
        <v>0</v>
      </c>
      <c r="Q2148" s="51">
        <f t="shared" si="311"/>
        <v>0</v>
      </c>
      <c r="R2148" s="51">
        <f t="shared" si="307"/>
        <v>0</v>
      </c>
      <c r="S2148"/>
      <c r="T2148" s="83"/>
    </row>
    <row r="2149" spans="1:20" ht="16" x14ac:dyDescent="0.2">
      <c r="A2149"/>
      <c r="B2149" s="103"/>
      <c r="C2149" s="243"/>
      <c r="D2149" s="119">
        <v>2136</v>
      </c>
      <c r="E2149" s="25" t="str">
        <f>Tp_Non_CHG!X246</f>
        <v>Transition Probability from state 6 to state 8 on day 11 (Non-CHG)</v>
      </c>
      <c r="F2149" s="40">
        <f t="shared" si="308"/>
        <v>0</v>
      </c>
      <c r="G2149" s="156">
        <v>1</v>
      </c>
      <c r="H2149" s="120">
        <f>Tp_Non_CHG!AA246</f>
        <v>0</v>
      </c>
      <c r="I2149" s="40" t="s">
        <v>58</v>
      </c>
      <c r="J2149" s="40">
        <f t="shared" si="305"/>
        <v>0</v>
      </c>
      <c r="K2149" s="40">
        <f t="shared" si="306"/>
        <v>0</v>
      </c>
      <c r="L2149" s="40" t="s">
        <v>58</v>
      </c>
      <c r="M2149" s="50" t="s">
        <v>266</v>
      </c>
      <c r="N2149" s="190"/>
      <c r="O2149" s="40">
        <f t="shared" ca="1" si="309"/>
        <v>0.43711196810188802</v>
      </c>
      <c r="P2149" s="51">
        <f t="shared" si="310"/>
        <v>0</v>
      </c>
      <c r="Q2149" s="51">
        <f t="shared" si="311"/>
        <v>0</v>
      </c>
      <c r="R2149" s="51">
        <f t="shared" si="307"/>
        <v>0</v>
      </c>
      <c r="S2149"/>
      <c r="T2149" s="83"/>
    </row>
    <row r="2150" spans="1:20" ht="16" x14ac:dyDescent="0.2">
      <c r="A2150"/>
      <c r="B2150" s="103"/>
      <c r="C2150" s="243"/>
      <c r="D2150" s="119">
        <v>2137</v>
      </c>
      <c r="E2150" s="25" t="str">
        <f>Tp_Non_CHG!X247</f>
        <v>Transition Probability from state 6 to state 8 on day 12 (Non-CHG)</v>
      </c>
      <c r="F2150" s="40">
        <f t="shared" si="308"/>
        <v>0</v>
      </c>
      <c r="G2150" s="156">
        <v>1</v>
      </c>
      <c r="H2150" s="120">
        <f>Tp_Non_CHG!AA247</f>
        <v>0</v>
      </c>
      <c r="I2150" s="40" t="s">
        <v>58</v>
      </c>
      <c r="J2150" s="40">
        <f t="shared" si="305"/>
        <v>0</v>
      </c>
      <c r="K2150" s="40">
        <f t="shared" si="306"/>
        <v>0</v>
      </c>
      <c r="L2150" s="40" t="s">
        <v>58</v>
      </c>
      <c r="M2150" s="50" t="s">
        <v>266</v>
      </c>
      <c r="N2150" s="190"/>
      <c r="O2150" s="40">
        <f t="shared" ca="1" si="309"/>
        <v>0.9503692185744238</v>
      </c>
      <c r="P2150" s="51">
        <f t="shared" si="310"/>
        <v>0</v>
      </c>
      <c r="Q2150" s="51">
        <f t="shared" si="311"/>
        <v>0</v>
      </c>
      <c r="R2150" s="51">
        <f t="shared" si="307"/>
        <v>0</v>
      </c>
      <c r="S2150"/>
      <c r="T2150" s="83"/>
    </row>
    <row r="2151" spans="1:20" ht="16" x14ac:dyDescent="0.2">
      <c r="A2151"/>
      <c r="B2151" s="103"/>
      <c r="C2151" s="243"/>
      <c r="D2151" s="119">
        <v>2138</v>
      </c>
      <c r="E2151" s="25" t="str">
        <f>Tp_Non_CHG!X248</f>
        <v>Transition Probability from state 6 to state 8 on day 13 (Non-CHG)</v>
      </c>
      <c r="F2151" s="40">
        <f t="shared" si="308"/>
        <v>0</v>
      </c>
      <c r="G2151" s="156">
        <v>1</v>
      </c>
      <c r="H2151" s="120">
        <f>Tp_Non_CHG!AA248</f>
        <v>0</v>
      </c>
      <c r="I2151" s="40" t="s">
        <v>58</v>
      </c>
      <c r="J2151" s="40">
        <f t="shared" si="305"/>
        <v>0</v>
      </c>
      <c r="K2151" s="40">
        <f t="shared" si="306"/>
        <v>0</v>
      </c>
      <c r="L2151" s="40" t="s">
        <v>58</v>
      </c>
      <c r="M2151" s="50" t="s">
        <v>266</v>
      </c>
      <c r="N2151" s="190"/>
      <c r="O2151" s="40">
        <f t="shared" ca="1" si="309"/>
        <v>0.97053540110690584</v>
      </c>
      <c r="P2151" s="51">
        <f t="shared" si="310"/>
        <v>0</v>
      </c>
      <c r="Q2151" s="51">
        <f t="shared" si="311"/>
        <v>0</v>
      </c>
      <c r="R2151" s="51">
        <f t="shared" si="307"/>
        <v>0</v>
      </c>
      <c r="S2151"/>
      <c r="T2151" s="83"/>
    </row>
    <row r="2152" spans="1:20" ht="16" x14ac:dyDescent="0.2">
      <c r="A2152"/>
      <c r="B2152" s="103"/>
      <c r="C2152" s="243"/>
      <c r="D2152" s="119">
        <v>2139</v>
      </c>
      <c r="E2152" s="25" t="str">
        <f>Tp_Non_CHG!X249</f>
        <v>Transition Probability from state 6 to state 8 on day 14 (Non-CHG)</v>
      </c>
      <c r="F2152" s="40">
        <f t="shared" si="308"/>
        <v>0</v>
      </c>
      <c r="G2152" s="156">
        <v>1</v>
      </c>
      <c r="H2152" s="120">
        <f>Tp_Non_CHG!AA249</f>
        <v>0</v>
      </c>
      <c r="I2152" s="40" t="s">
        <v>58</v>
      </c>
      <c r="J2152" s="40">
        <f t="shared" si="305"/>
        <v>0</v>
      </c>
      <c r="K2152" s="40">
        <f t="shared" si="306"/>
        <v>0</v>
      </c>
      <c r="L2152" s="40" t="s">
        <v>58</v>
      </c>
      <c r="M2152" s="50" t="s">
        <v>266</v>
      </c>
      <c r="N2152" s="190"/>
      <c r="O2152" s="40">
        <f t="shared" ca="1" si="309"/>
        <v>0.76342871476707674</v>
      </c>
      <c r="P2152" s="51">
        <f t="shared" si="310"/>
        <v>0</v>
      </c>
      <c r="Q2152" s="51">
        <f t="shared" si="311"/>
        <v>0</v>
      </c>
      <c r="R2152" s="51">
        <f t="shared" si="307"/>
        <v>0</v>
      </c>
      <c r="S2152"/>
      <c r="T2152" s="83"/>
    </row>
    <row r="2153" spans="1:20" ht="16" x14ac:dyDescent="0.2">
      <c r="A2153"/>
      <c r="B2153" s="103"/>
      <c r="C2153" s="243"/>
      <c r="D2153" s="119">
        <v>2140</v>
      </c>
      <c r="E2153" s="25" t="str">
        <f>Tp_Non_CHG!X250</f>
        <v>Transition Probability from state 6 to state 8 on day 15 (Non-CHG)</v>
      </c>
      <c r="F2153" s="40">
        <f t="shared" si="308"/>
        <v>0</v>
      </c>
      <c r="G2153" s="156">
        <v>1</v>
      </c>
      <c r="H2153" s="120">
        <f>Tp_Non_CHG!AA250</f>
        <v>0</v>
      </c>
      <c r="I2153" s="40" t="s">
        <v>58</v>
      </c>
      <c r="J2153" s="40">
        <f t="shared" si="305"/>
        <v>0</v>
      </c>
      <c r="K2153" s="40">
        <f t="shared" si="306"/>
        <v>0</v>
      </c>
      <c r="L2153" s="40" t="s">
        <v>58</v>
      </c>
      <c r="M2153" s="50" t="s">
        <v>266</v>
      </c>
      <c r="N2153" s="190"/>
      <c r="O2153" s="40">
        <f t="shared" ca="1" si="309"/>
        <v>0.26531283495386782</v>
      </c>
      <c r="P2153" s="51">
        <f t="shared" si="310"/>
        <v>0</v>
      </c>
      <c r="Q2153" s="51">
        <f t="shared" si="311"/>
        <v>0</v>
      </c>
      <c r="R2153" s="51">
        <f t="shared" si="307"/>
        <v>0</v>
      </c>
      <c r="S2153"/>
      <c r="T2153" s="83"/>
    </row>
    <row r="2154" spans="1:20" ht="16" x14ac:dyDescent="0.2">
      <c r="A2154"/>
      <c r="B2154" s="103"/>
      <c r="C2154" s="243"/>
      <c r="D2154" s="119">
        <v>2141</v>
      </c>
      <c r="E2154" s="25" t="str">
        <f>Tp_Non_CHG!X251</f>
        <v>Transition Probability from state 6 to state 8 on day 16 (Non-CHG)</v>
      </c>
      <c r="F2154" s="40">
        <f t="shared" si="308"/>
        <v>0</v>
      </c>
      <c r="G2154" s="156">
        <v>1</v>
      </c>
      <c r="H2154" s="120">
        <f>Tp_Non_CHG!AA251</f>
        <v>0</v>
      </c>
      <c r="I2154" s="40" t="s">
        <v>58</v>
      </c>
      <c r="J2154" s="40">
        <f t="shared" si="305"/>
        <v>0</v>
      </c>
      <c r="K2154" s="40">
        <f t="shared" si="306"/>
        <v>0</v>
      </c>
      <c r="L2154" s="40" t="s">
        <v>58</v>
      </c>
      <c r="M2154" s="50" t="s">
        <v>266</v>
      </c>
      <c r="N2154" s="190"/>
      <c r="O2154" s="40">
        <f t="shared" ca="1" si="309"/>
        <v>0.63151460031443407</v>
      </c>
      <c r="P2154" s="51">
        <f t="shared" si="310"/>
        <v>0</v>
      </c>
      <c r="Q2154" s="51">
        <f t="shared" si="311"/>
        <v>0</v>
      </c>
      <c r="R2154" s="51">
        <f t="shared" si="307"/>
        <v>0</v>
      </c>
      <c r="S2154"/>
      <c r="T2154" s="83"/>
    </row>
    <row r="2155" spans="1:20" ht="16" x14ac:dyDescent="0.2">
      <c r="A2155"/>
      <c r="B2155" s="103"/>
      <c r="C2155" s="243"/>
      <c r="D2155" s="119">
        <v>2142</v>
      </c>
      <c r="E2155" s="25" t="str">
        <f>Tp_Non_CHG!X252</f>
        <v>Transition Probability from state 6 to state 8 on day 17 (Non-CHG)</v>
      </c>
      <c r="F2155" s="40">
        <f t="shared" si="308"/>
        <v>0</v>
      </c>
      <c r="G2155" s="156">
        <v>1</v>
      </c>
      <c r="H2155" s="120">
        <f>Tp_Non_CHG!AA252</f>
        <v>0</v>
      </c>
      <c r="I2155" s="40" t="s">
        <v>58</v>
      </c>
      <c r="J2155" s="40">
        <f t="shared" si="305"/>
        <v>0</v>
      </c>
      <c r="K2155" s="40">
        <f t="shared" si="306"/>
        <v>0</v>
      </c>
      <c r="L2155" s="40" t="s">
        <v>58</v>
      </c>
      <c r="M2155" s="50" t="s">
        <v>266</v>
      </c>
      <c r="N2155" s="190"/>
      <c r="O2155" s="40">
        <f t="shared" ca="1" si="309"/>
        <v>0.39800152410076173</v>
      </c>
      <c r="P2155" s="51">
        <f t="shared" si="310"/>
        <v>0</v>
      </c>
      <c r="Q2155" s="51">
        <f t="shared" si="311"/>
        <v>0</v>
      </c>
      <c r="R2155" s="51">
        <f t="shared" si="307"/>
        <v>0</v>
      </c>
      <c r="S2155"/>
      <c r="T2155" s="83"/>
    </row>
    <row r="2156" spans="1:20" ht="16" x14ac:dyDescent="0.2">
      <c r="A2156"/>
      <c r="B2156" s="103"/>
      <c r="C2156" s="243"/>
      <c r="D2156" s="119">
        <v>2143</v>
      </c>
      <c r="E2156" s="25" t="str">
        <f>Tp_Non_CHG!X253</f>
        <v>Transition Probability from state 6 to state 8 on day 18 (Non-CHG)</v>
      </c>
      <c r="F2156" s="40">
        <f t="shared" si="308"/>
        <v>0</v>
      </c>
      <c r="G2156" s="156">
        <v>1</v>
      </c>
      <c r="H2156" s="120">
        <f>Tp_Non_CHG!AA253</f>
        <v>0</v>
      </c>
      <c r="I2156" s="40" t="s">
        <v>58</v>
      </c>
      <c r="J2156" s="40">
        <f t="shared" si="305"/>
        <v>0</v>
      </c>
      <c r="K2156" s="40">
        <f t="shared" si="306"/>
        <v>0</v>
      </c>
      <c r="L2156" s="40" t="s">
        <v>58</v>
      </c>
      <c r="M2156" s="50" t="s">
        <v>266</v>
      </c>
      <c r="N2156" s="190"/>
      <c r="O2156" s="40">
        <f t="shared" ca="1" si="309"/>
        <v>0.13017383973023833</v>
      </c>
      <c r="P2156" s="51">
        <f t="shared" si="310"/>
        <v>0</v>
      </c>
      <c r="Q2156" s="51">
        <f t="shared" si="311"/>
        <v>0</v>
      </c>
      <c r="R2156" s="51">
        <f t="shared" si="307"/>
        <v>0</v>
      </c>
      <c r="S2156"/>
      <c r="T2156" s="83"/>
    </row>
    <row r="2157" spans="1:20" ht="16" x14ac:dyDescent="0.2">
      <c r="A2157"/>
      <c r="B2157" s="103"/>
      <c r="C2157" s="243"/>
      <c r="D2157" s="119">
        <v>2144</v>
      </c>
      <c r="E2157" s="25" t="str">
        <f>Tp_Non_CHG!X254</f>
        <v>Transition Probability from state 6 to state 8 on day 19 (Non-CHG)</v>
      </c>
      <c r="F2157" s="40">
        <f t="shared" si="308"/>
        <v>0</v>
      </c>
      <c r="G2157" s="156">
        <v>1</v>
      </c>
      <c r="H2157" s="120">
        <f>Tp_Non_CHG!AA254</f>
        <v>0</v>
      </c>
      <c r="I2157" s="40" t="s">
        <v>58</v>
      </c>
      <c r="J2157" s="40">
        <f t="shared" ref="J2157:J2168" si="312">IF(H2157=0,0,_xlfn.NORM.INV(0.025,H2157,R2157))</f>
        <v>0</v>
      </c>
      <c r="K2157" s="40">
        <f t="shared" ref="K2157:K2168" si="313">IF(H2157=0,0,_xlfn.NORM.INV(0.975,H2157,R2157))</f>
        <v>0</v>
      </c>
      <c r="L2157" s="40" t="s">
        <v>58</v>
      </c>
      <c r="M2157" s="50" t="s">
        <v>266</v>
      </c>
      <c r="N2157" s="190"/>
      <c r="O2157" s="40">
        <f t="shared" ca="1" si="309"/>
        <v>4.2205222079013116E-2</v>
      </c>
      <c r="P2157" s="51">
        <f t="shared" si="310"/>
        <v>0</v>
      </c>
      <c r="Q2157" s="51">
        <f t="shared" si="311"/>
        <v>0</v>
      </c>
      <c r="R2157" s="51">
        <f t="shared" ref="R2157:R2168" si="314">assumedSE*H2157</f>
        <v>0</v>
      </c>
      <c r="S2157"/>
      <c r="T2157" s="83"/>
    </row>
    <row r="2158" spans="1:20" ht="16" x14ac:dyDescent="0.2">
      <c r="A2158"/>
      <c r="B2158" s="103"/>
      <c r="C2158" s="243"/>
      <c r="D2158" s="119">
        <v>2145</v>
      </c>
      <c r="E2158" s="25" t="str">
        <f>Tp_Non_CHG!X255</f>
        <v>Transition Probability from state 6 to state 8 on day 20 (Non-CHG)</v>
      </c>
      <c r="F2158" s="40">
        <f t="shared" si="308"/>
        <v>0</v>
      </c>
      <c r="G2158" s="156">
        <v>1</v>
      </c>
      <c r="H2158" s="120">
        <f>Tp_Non_CHG!AA255</f>
        <v>0</v>
      </c>
      <c r="I2158" s="40" t="s">
        <v>58</v>
      </c>
      <c r="J2158" s="40">
        <f t="shared" si="312"/>
        <v>0</v>
      </c>
      <c r="K2158" s="40">
        <f t="shared" si="313"/>
        <v>0</v>
      </c>
      <c r="L2158" s="40" t="s">
        <v>58</v>
      </c>
      <c r="M2158" s="50" t="s">
        <v>266</v>
      </c>
      <c r="N2158" s="190"/>
      <c r="O2158" s="40">
        <f t="shared" ca="1" si="309"/>
        <v>0.9643109529590137</v>
      </c>
      <c r="P2158" s="51">
        <f t="shared" si="310"/>
        <v>0</v>
      </c>
      <c r="Q2158" s="51">
        <f t="shared" si="311"/>
        <v>0</v>
      </c>
      <c r="R2158" s="51">
        <f t="shared" si="314"/>
        <v>0</v>
      </c>
      <c r="S2158"/>
      <c r="T2158" s="83"/>
    </row>
    <row r="2159" spans="1:20" ht="16" x14ac:dyDescent="0.2">
      <c r="A2159"/>
      <c r="B2159" s="103"/>
      <c r="C2159" s="243"/>
      <c r="D2159" s="119">
        <v>2146</v>
      </c>
      <c r="E2159" s="25" t="str">
        <f>Tp_Non_CHG!X256</f>
        <v>Transition Probability from state 6 to state 8 on day 21 (Non-CHG)</v>
      </c>
      <c r="F2159" s="40">
        <f t="shared" si="308"/>
        <v>0</v>
      </c>
      <c r="G2159" s="156">
        <v>1</v>
      </c>
      <c r="H2159" s="120">
        <f>Tp_Non_CHG!AA256</f>
        <v>0</v>
      </c>
      <c r="I2159" s="40" t="s">
        <v>58</v>
      </c>
      <c r="J2159" s="40">
        <f t="shared" si="312"/>
        <v>0</v>
      </c>
      <c r="K2159" s="40">
        <f t="shared" si="313"/>
        <v>0</v>
      </c>
      <c r="L2159" s="40" t="s">
        <v>58</v>
      </c>
      <c r="M2159" s="50" t="s">
        <v>266</v>
      </c>
      <c r="N2159" s="190"/>
      <c r="O2159" s="40">
        <f t="shared" ca="1" si="309"/>
        <v>1.1988696575142455E-2</v>
      </c>
      <c r="P2159" s="51">
        <f t="shared" si="310"/>
        <v>0</v>
      </c>
      <c r="Q2159" s="51">
        <f t="shared" si="311"/>
        <v>0</v>
      </c>
      <c r="R2159" s="51">
        <f t="shared" si="314"/>
        <v>0</v>
      </c>
      <c r="S2159"/>
      <c r="T2159" s="83"/>
    </row>
    <row r="2160" spans="1:20" ht="16" x14ac:dyDescent="0.2">
      <c r="A2160"/>
      <c r="B2160" s="103"/>
      <c r="C2160" s="243"/>
      <c r="D2160" s="119">
        <v>2147</v>
      </c>
      <c r="E2160" s="25" t="str">
        <f>Tp_Non_CHG!X257</f>
        <v>Transition Probability from state 6 to state 8 on day 22 (Non-CHG)</v>
      </c>
      <c r="F2160" s="40">
        <f t="shared" si="308"/>
        <v>0</v>
      </c>
      <c r="G2160" s="156">
        <v>1</v>
      </c>
      <c r="H2160" s="120">
        <f>Tp_Non_CHG!AA257</f>
        <v>0</v>
      </c>
      <c r="I2160" s="40" t="s">
        <v>58</v>
      </c>
      <c r="J2160" s="40">
        <f t="shared" si="312"/>
        <v>0</v>
      </c>
      <c r="K2160" s="40">
        <f t="shared" si="313"/>
        <v>0</v>
      </c>
      <c r="L2160" s="40" t="s">
        <v>58</v>
      </c>
      <c r="M2160" s="50" t="s">
        <v>266</v>
      </c>
      <c r="N2160" s="190"/>
      <c r="O2160" s="40">
        <f t="shared" ca="1" si="309"/>
        <v>0.52992406426060379</v>
      </c>
      <c r="P2160" s="51">
        <f t="shared" si="310"/>
        <v>0</v>
      </c>
      <c r="Q2160" s="51">
        <f t="shared" si="311"/>
        <v>0</v>
      </c>
      <c r="R2160" s="51">
        <f t="shared" si="314"/>
        <v>0</v>
      </c>
      <c r="S2160"/>
      <c r="T2160" s="83"/>
    </row>
    <row r="2161" spans="1:20" ht="16" x14ac:dyDescent="0.2">
      <c r="A2161"/>
      <c r="B2161" s="103"/>
      <c r="C2161" s="243"/>
      <c r="D2161" s="119">
        <v>2148</v>
      </c>
      <c r="E2161" s="25" t="str">
        <f>Tp_Non_CHG!X258</f>
        <v>Transition Probability from state 6 to state 8 on day 23 (Non-CHG)</v>
      </c>
      <c r="F2161" s="40">
        <f t="shared" si="308"/>
        <v>0</v>
      </c>
      <c r="G2161" s="156">
        <v>1</v>
      </c>
      <c r="H2161" s="120">
        <f>Tp_Non_CHG!AA258</f>
        <v>0</v>
      </c>
      <c r="I2161" s="40" t="s">
        <v>58</v>
      </c>
      <c r="J2161" s="40">
        <f t="shared" si="312"/>
        <v>0</v>
      </c>
      <c r="K2161" s="40">
        <f t="shared" si="313"/>
        <v>0</v>
      </c>
      <c r="L2161" s="40" t="s">
        <v>58</v>
      </c>
      <c r="M2161" s="50" t="s">
        <v>266</v>
      </c>
      <c r="N2161" s="190"/>
      <c r="O2161" s="40">
        <f t="shared" ca="1" si="309"/>
        <v>0.44913775425726243</v>
      </c>
      <c r="P2161" s="51">
        <f t="shared" si="310"/>
        <v>0</v>
      </c>
      <c r="Q2161" s="51">
        <f t="shared" si="311"/>
        <v>0</v>
      </c>
      <c r="R2161" s="51">
        <f t="shared" si="314"/>
        <v>0</v>
      </c>
      <c r="S2161"/>
      <c r="T2161" s="83"/>
    </row>
    <row r="2162" spans="1:20" ht="16" x14ac:dyDescent="0.2">
      <c r="A2162"/>
      <c r="B2162" s="103"/>
      <c r="C2162" s="243"/>
      <c r="D2162" s="119">
        <v>2149</v>
      </c>
      <c r="E2162" s="25" t="str">
        <f>Tp_Non_CHG!X259</f>
        <v>Transition Probability from state 6 to state 8 on day 24 (Non-CHG)</v>
      </c>
      <c r="F2162" s="40">
        <f t="shared" si="308"/>
        <v>0</v>
      </c>
      <c r="G2162" s="156">
        <v>1</v>
      </c>
      <c r="H2162" s="120">
        <f>Tp_Non_CHG!AA259</f>
        <v>0</v>
      </c>
      <c r="I2162" s="40" t="s">
        <v>58</v>
      </c>
      <c r="J2162" s="40">
        <f t="shared" si="312"/>
        <v>0</v>
      </c>
      <c r="K2162" s="40">
        <f t="shared" si="313"/>
        <v>0</v>
      </c>
      <c r="L2162" s="40" t="s">
        <v>58</v>
      </c>
      <c r="M2162" s="50" t="s">
        <v>266</v>
      </c>
      <c r="N2162" s="190"/>
      <c r="O2162" s="40">
        <f t="shared" ca="1" si="309"/>
        <v>0.60212966846554639</v>
      </c>
      <c r="P2162" s="51">
        <f t="shared" si="310"/>
        <v>0</v>
      </c>
      <c r="Q2162" s="51">
        <f t="shared" si="311"/>
        <v>0</v>
      </c>
      <c r="R2162" s="51">
        <f t="shared" si="314"/>
        <v>0</v>
      </c>
      <c r="S2162"/>
      <c r="T2162" s="83"/>
    </row>
    <row r="2163" spans="1:20" ht="16" x14ac:dyDescent="0.2">
      <c r="A2163"/>
      <c r="B2163" s="103"/>
      <c r="C2163" s="243"/>
      <c r="D2163" s="119">
        <v>2150</v>
      </c>
      <c r="E2163" s="25" t="str">
        <f>Tp_Non_CHG!X260</f>
        <v>Transition Probability from state 6 to state 8 on day 25 (Non-CHG)</v>
      </c>
      <c r="F2163" s="40">
        <f t="shared" si="308"/>
        <v>0</v>
      </c>
      <c r="G2163" s="156">
        <v>1</v>
      </c>
      <c r="H2163" s="120">
        <f>Tp_Non_CHG!AA260</f>
        <v>0</v>
      </c>
      <c r="I2163" s="40" t="s">
        <v>58</v>
      </c>
      <c r="J2163" s="40">
        <f t="shared" si="312"/>
        <v>0</v>
      </c>
      <c r="K2163" s="40">
        <f t="shared" si="313"/>
        <v>0</v>
      </c>
      <c r="L2163" s="40" t="s">
        <v>58</v>
      </c>
      <c r="M2163" s="50" t="s">
        <v>266</v>
      </c>
      <c r="N2163" s="190"/>
      <c r="O2163" s="40">
        <f t="shared" ca="1" si="309"/>
        <v>0.95603755462139894</v>
      </c>
      <c r="P2163" s="51">
        <f t="shared" si="310"/>
        <v>0</v>
      </c>
      <c r="Q2163" s="51">
        <f t="shared" si="311"/>
        <v>0</v>
      </c>
      <c r="R2163" s="51">
        <f t="shared" si="314"/>
        <v>0</v>
      </c>
      <c r="S2163"/>
      <c r="T2163" s="83"/>
    </row>
    <row r="2164" spans="1:20" ht="16" x14ac:dyDescent="0.2">
      <c r="A2164"/>
      <c r="B2164" s="103"/>
      <c r="C2164" s="243"/>
      <c r="D2164" s="119">
        <v>2151</v>
      </c>
      <c r="E2164" s="25" t="str">
        <f>Tp_Non_CHG!X261</f>
        <v>Transition Probability from state 6 to state 8 on day 26 (Non-CHG)</v>
      </c>
      <c r="F2164" s="40">
        <f t="shared" si="308"/>
        <v>0</v>
      </c>
      <c r="G2164" s="156">
        <v>1</v>
      </c>
      <c r="H2164" s="120">
        <f>Tp_Non_CHG!AA261</f>
        <v>0</v>
      </c>
      <c r="I2164" s="40" t="s">
        <v>58</v>
      </c>
      <c r="J2164" s="40">
        <f t="shared" si="312"/>
        <v>0</v>
      </c>
      <c r="K2164" s="40">
        <f t="shared" si="313"/>
        <v>0</v>
      </c>
      <c r="L2164" s="40" t="s">
        <v>58</v>
      </c>
      <c r="M2164" s="50" t="s">
        <v>266</v>
      </c>
      <c r="N2164" s="190"/>
      <c r="O2164" s="40">
        <f t="shared" ca="1" si="309"/>
        <v>0.34725397747025311</v>
      </c>
      <c r="P2164" s="51">
        <f t="shared" si="310"/>
        <v>0</v>
      </c>
      <c r="Q2164" s="51">
        <f t="shared" si="311"/>
        <v>0</v>
      </c>
      <c r="R2164" s="51">
        <f t="shared" si="314"/>
        <v>0</v>
      </c>
      <c r="S2164"/>
      <c r="T2164" s="83"/>
    </row>
    <row r="2165" spans="1:20" ht="16" x14ac:dyDescent="0.2">
      <c r="A2165"/>
      <c r="B2165" s="103"/>
      <c r="C2165" s="243"/>
      <c r="D2165" s="119">
        <v>2152</v>
      </c>
      <c r="E2165" s="25" t="str">
        <f>Tp_Non_CHG!X262</f>
        <v>Transition Probability from state 6 to state 8 on day 27 (Non-CHG)</v>
      </c>
      <c r="F2165" s="40">
        <f t="shared" si="308"/>
        <v>0</v>
      </c>
      <c r="G2165" s="156">
        <v>1</v>
      </c>
      <c r="H2165" s="120">
        <f>Tp_Non_CHG!AA262</f>
        <v>0</v>
      </c>
      <c r="I2165" s="40" t="s">
        <v>58</v>
      </c>
      <c r="J2165" s="40">
        <f t="shared" si="312"/>
        <v>0</v>
      </c>
      <c r="K2165" s="40">
        <f t="shared" si="313"/>
        <v>0</v>
      </c>
      <c r="L2165" s="40" t="s">
        <v>58</v>
      </c>
      <c r="M2165" s="50" t="s">
        <v>266</v>
      </c>
      <c r="N2165" s="190"/>
      <c r="O2165" s="40">
        <f t="shared" ca="1" si="309"/>
        <v>0.63049123447003552</v>
      </c>
      <c r="P2165" s="51">
        <f t="shared" si="310"/>
        <v>0</v>
      </c>
      <c r="Q2165" s="51">
        <f t="shared" si="311"/>
        <v>0</v>
      </c>
      <c r="R2165" s="51">
        <f t="shared" si="314"/>
        <v>0</v>
      </c>
      <c r="S2165"/>
      <c r="T2165" s="83"/>
    </row>
    <row r="2166" spans="1:20" ht="16" x14ac:dyDescent="0.2">
      <c r="A2166"/>
      <c r="B2166" s="103"/>
      <c r="C2166" s="243"/>
      <c r="D2166" s="119">
        <v>2153</v>
      </c>
      <c r="E2166" s="25" t="str">
        <f>Tp_Non_CHG!X263</f>
        <v>Transition Probability from state 6 to state 8 on day 28 (Non-CHG)</v>
      </c>
      <c r="F2166" s="40">
        <f t="shared" si="308"/>
        <v>0</v>
      </c>
      <c r="G2166" s="156">
        <v>1</v>
      </c>
      <c r="H2166" s="120">
        <f>Tp_Non_CHG!AA263</f>
        <v>0</v>
      </c>
      <c r="I2166" s="40" t="s">
        <v>58</v>
      </c>
      <c r="J2166" s="40">
        <f t="shared" si="312"/>
        <v>0</v>
      </c>
      <c r="K2166" s="40">
        <f t="shared" si="313"/>
        <v>0</v>
      </c>
      <c r="L2166" s="40" t="s">
        <v>58</v>
      </c>
      <c r="M2166" s="50" t="s">
        <v>266</v>
      </c>
      <c r="N2166" s="190"/>
      <c r="O2166" s="40">
        <f t="shared" ca="1" si="309"/>
        <v>0.90861605969534576</v>
      </c>
      <c r="P2166" s="51">
        <f t="shared" si="310"/>
        <v>0</v>
      </c>
      <c r="Q2166" s="51">
        <f t="shared" si="311"/>
        <v>0</v>
      </c>
      <c r="R2166" s="51">
        <f t="shared" si="314"/>
        <v>0</v>
      </c>
      <c r="S2166"/>
      <c r="T2166" s="83"/>
    </row>
    <row r="2167" spans="1:20" ht="16" x14ac:dyDescent="0.2">
      <c r="A2167"/>
      <c r="B2167" s="103"/>
      <c r="C2167" s="243"/>
      <c r="D2167" s="119">
        <v>2154</v>
      </c>
      <c r="E2167" s="25" t="str">
        <f>Tp_Non_CHG!X264</f>
        <v>Transition Probability from state 6 to state 8 on day 29 (Non-CHG)</v>
      </c>
      <c r="F2167" s="40">
        <f t="shared" si="308"/>
        <v>0</v>
      </c>
      <c r="G2167" s="156">
        <v>1</v>
      </c>
      <c r="H2167" s="120">
        <f>Tp_Non_CHG!AA264</f>
        <v>0</v>
      </c>
      <c r="I2167" s="40" t="s">
        <v>58</v>
      </c>
      <c r="J2167" s="40">
        <f t="shared" si="312"/>
        <v>0</v>
      </c>
      <c r="K2167" s="40">
        <f t="shared" si="313"/>
        <v>0</v>
      </c>
      <c r="L2167" s="40" t="s">
        <v>58</v>
      </c>
      <c r="M2167" s="50" t="s">
        <v>266</v>
      </c>
      <c r="N2167" s="190"/>
      <c r="O2167" s="40">
        <f t="shared" ca="1" si="309"/>
        <v>0.20391597273850137</v>
      </c>
      <c r="P2167" s="51">
        <f t="shared" si="310"/>
        <v>0</v>
      </c>
      <c r="Q2167" s="51">
        <f t="shared" si="311"/>
        <v>0</v>
      </c>
      <c r="R2167" s="51">
        <f t="shared" si="314"/>
        <v>0</v>
      </c>
      <c r="S2167"/>
      <c r="T2167" s="83"/>
    </row>
    <row r="2168" spans="1:20" ht="16" x14ac:dyDescent="0.2">
      <c r="A2168"/>
      <c r="B2168" s="103"/>
      <c r="C2168" s="243"/>
      <c r="D2168" s="119">
        <v>2155</v>
      </c>
      <c r="E2168" s="25" t="str">
        <f>Tp_Non_CHG!X265</f>
        <v>Transition Probability from state 6 to state 8 on day 30 (Non-CHG)</v>
      </c>
      <c r="F2168" s="40">
        <f t="shared" si="308"/>
        <v>0</v>
      </c>
      <c r="G2168" s="156">
        <v>1</v>
      </c>
      <c r="H2168" s="120">
        <f>Tp_Non_CHG!AA265</f>
        <v>0</v>
      </c>
      <c r="I2168" s="40" t="s">
        <v>58</v>
      </c>
      <c r="J2168" s="40">
        <f t="shared" si="312"/>
        <v>0</v>
      </c>
      <c r="K2168" s="40">
        <f t="shared" si="313"/>
        <v>0</v>
      </c>
      <c r="L2168" s="40" t="s">
        <v>58</v>
      </c>
      <c r="M2168" s="50" t="s">
        <v>266</v>
      </c>
      <c r="N2168" s="190"/>
      <c r="O2168" s="40">
        <f t="shared" ca="1" si="309"/>
        <v>0.46395494179918861</v>
      </c>
      <c r="P2168" s="51">
        <f t="shared" si="310"/>
        <v>0</v>
      </c>
      <c r="Q2168" s="51">
        <f t="shared" si="311"/>
        <v>0</v>
      </c>
      <c r="R2168" s="51">
        <f t="shared" si="314"/>
        <v>0</v>
      </c>
      <c r="S2168"/>
      <c r="T2168" s="83"/>
    </row>
    <row r="2169" spans="1:20" ht="32" customHeight="1" x14ac:dyDescent="0.2">
      <c r="A2169"/>
      <c r="B2169" s="83"/>
      <c r="C2169" s="244" t="s">
        <v>59</v>
      </c>
      <c r="D2169" s="119">
        <v>2156</v>
      </c>
      <c r="E2169" s="2" t="s">
        <v>220</v>
      </c>
      <c r="F2169" s="40">
        <f t="shared" si="308"/>
        <v>0.18</v>
      </c>
      <c r="G2169" s="156">
        <v>1</v>
      </c>
      <c r="H2169" s="120">
        <f>Costs!F12</f>
        <v>0.18</v>
      </c>
      <c r="I2169" s="40" t="s">
        <v>26</v>
      </c>
      <c r="J2169" s="40">
        <f t="shared" ref="J2169:J2179" si="315">IF(H2169=0,0,_xlfn.NORM.INV(0.025,H2169,R2169))</f>
        <v>0.14472064827827902</v>
      </c>
      <c r="K2169" s="40">
        <f t="shared" ref="K2169:K2179" si="316">IF(H2169=0,0,_xlfn.NORM.INV(0.975,H2169,R2169))</f>
        <v>0.21527935172172097</v>
      </c>
      <c r="L2169" s="40" t="s">
        <v>26</v>
      </c>
      <c r="M2169" s="50" t="s">
        <v>148</v>
      </c>
      <c r="N2169" s="40">
        <f ca="1">GAMMAINV(RAND(),P2169,Q2169)</f>
        <v>0.19081681818641166</v>
      </c>
      <c r="O2169" s="40">
        <f t="shared" ref="O2169:O2179" ca="1" si="317">RAND()</f>
        <v>0.64331547627146457</v>
      </c>
      <c r="P2169" s="51">
        <f>(H2169/Q2169)</f>
        <v>100</v>
      </c>
      <c r="Q2169" s="51">
        <f t="shared" ref="Q2169:Q2179" si="318">(R2169^2)/H2169</f>
        <v>1.8E-3</v>
      </c>
      <c r="R2169" s="51">
        <f t="shared" ref="R2169:R2179" si="319">assumedSE*H2169</f>
        <v>1.7999999999999999E-2</v>
      </c>
      <c r="S2169"/>
      <c r="T2169" s="83"/>
    </row>
    <row r="2170" spans="1:20" ht="34.5" customHeight="1" x14ac:dyDescent="0.2">
      <c r="A2170"/>
      <c r="B2170" s="83"/>
      <c r="C2170" s="245"/>
      <c r="D2170" s="119">
        <v>2157</v>
      </c>
      <c r="E2170" s="2" t="s">
        <v>221</v>
      </c>
      <c r="F2170" s="40">
        <f t="shared" si="308"/>
        <v>3.59</v>
      </c>
      <c r="G2170" s="156">
        <v>1</v>
      </c>
      <c r="H2170" s="120">
        <f>Costs!F13</f>
        <v>3.59</v>
      </c>
      <c r="I2170" s="40" t="s">
        <v>26</v>
      </c>
      <c r="J2170" s="40">
        <f t="shared" si="315"/>
        <v>2.8863729295501206</v>
      </c>
      <c r="K2170" s="40">
        <f t="shared" si="316"/>
        <v>4.2936270704498796</v>
      </c>
      <c r="L2170" s="40" t="s">
        <v>26</v>
      </c>
      <c r="M2170" s="50" t="s">
        <v>148</v>
      </c>
      <c r="N2170" s="40">
        <f t="shared" ref="N2170:N2179" ca="1" si="320">GAMMAINV(RAND(),P2170,Q2170)</f>
        <v>4.3003503104841121</v>
      </c>
      <c r="O2170" s="40">
        <f t="shared" ca="1" si="317"/>
        <v>0.44702124910267482</v>
      </c>
      <c r="P2170" s="51">
        <f t="shared" ref="P2170:P2179" si="321">(H2170/Q2170)</f>
        <v>99.999999999999986</v>
      </c>
      <c r="Q2170" s="51">
        <f t="shared" si="318"/>
        <v>3.5900000000000001E-2</v>
      </c>
      <c r="R2170" s="51">
        <f t="shared" si="319"/>
        <v>0.35899999999999999</v>
      </c>
      <c r="S2170"/>
      <c r="T2170" s="83"/>
    </row>
    <row r="2171" spans="1:20" ht="35.5" customHeight="1" x14ac:dyDescent="0.2">
      <c r="A2171"/>
      <c r="B2171" s="83"/>
      <c r="C2171" s="244" t="s">
        <v>33</v>
      </c>
      <c r="D2171" s="119">
        <v>2158</v>
      </c>
      <c r="E2171" s="2" t="s">
        <v>237</v>
      </c>
      <c r="F2171" s="40">
        <f t="shared" si="308"/>
        <v>0.06</v>
      </c>
      <c r="G2171" s="156">
        <v>1</v>
      </c>
      <c r="H2171" s="120">
        <f>Costs!F14</f>
        <v>0.06</v>
      </c>
      <c r="I2171" s="40" t="s">
        <v>26</v>
      </c>
      <c r="J2171" s="40">
        <f t="shared" si="315"/>
        <v>4.8240216092759677E-2</v>
      </c>
      <c r="K2171" s="40">
        <f t="shared" si="316"/>
        <v>7.1759783907240318E-2</v>
      </c>
      <c r="L2171" s="40" t="s">
        <v>26</v>
      </c>
      <c r="M2171" s="50" t="s">
        <v>148</v>
      </c>
      <c r="N2171" s="40">
        <f t="shared" ca="1" si="320"/>
        <v>6.4837601794305602E-2</v>
      </c>
      <c r="O2171" s="40">
        <f t="shared" ca="1" si="317"/>
        <v>0.57525415650895906</v>
      </c>
      <c r="P2171" s="51">
        <f t="shared" si="321"/>
        <v>99.999999999999986</v>
      </c>
      <c r="Q2171" s="51">
        <f t="shared" si="318"/>
        <v>6.0000000000000006E-4</v>
      </c>
      <c r="R2171" s="51">
        <f t="shared" si="319"/>
        <v>6.0000000000000001E-3</v>
      </c>
      <c r="S2171"/>
      <c r="T2171" s="83"/>
    </row>
    <row r="2172" spans="1:20" ht="34" customHeight="1" x14ac:dyDescent="0.2">
      <c r="A2172"/>
      <c r="B2172" s="83"/>
      <c r="C2172" s="245"/>
      <c r="D2172" s="119">
        <v>2159</v>
      </c>
      <c r="E2172" s="2" t="s">
        <v>238</v>
      </c>
      <c r="F2172" s="40">
        <f t="shared" si="308"/>
        <v>0.06</v>
      </c>
      <c r="G2172" s="156">
        <v>1</v>
      </c>
      <c r="H2172" s="120">
        <f>Costs!F15</f>
        <v>0.06</v>
      </c>
      <c r="I2172" s="40" t="s">
        <v>26</v>
      </c>
      <c r="J2172" s="40">
        <f t="shared" si="315"/>
        <v>4.8240216092759677E-2</v>
      </c>
      <c r="K2172" s="40">
        <f t="shared" si="316"/>
        <v>7.1759783907240318E-2</v>
      </c>
      <c r="L2172" s="40" t="s">
        <v>26</v>
      </c>
      <c r="M2172" s="50" t="s">
        <v>148</v>
      </c>
      <c r="N2172" s="40">
        <f t="shared" ca="1" si="320"/>
        <v>6.0116483342907631E-2</v>
      </c>
      <c r="O2172" s="40">
        <f t="shared" ca="1" si="317"/>
        <v>6.810309856822705E-2</v>
      </c>
      <c r="P2172" s="51">
        <f t="shared" si="321"/>
        <v>99.999999999999986</v>
      </c>
      <c r="Q2172" s="51">
        <f t="shared" si="318"/>
        <v>6.0000000000000006E-4</v>
      </c>
      <c r="R2172" s="51">
        <f t="shared" si="319"/>
        <v>6.0000000000000001E-3</v>
      </c>
      <c r="S2172"/>
      <c r="T2172" s="83"/>
    </row>
    <row r="2173" spans="1:20" ht="25" customHeight="1" x14ac:dyDescent="0.2">
      <c r="A2173"/>
      <c r="B2173" s="83"/>
      <c r="C2173" s="244" t="s">
        <v>60</v>
      </c>
      <c r="D2173" s="119">
        <v>2160</v>
      </c>
      <c r="E2173" s="25" t="s">
        <v>41</v>
      </c>
      <c r="F2173" s="40">
        <f t="shared" si="308"/>
        <v>23.62</v>
      </c>
      <c r="G2173" s="156">
        <v>1</v>
      </c>
      <c r="H2173" s="120">
        <f>Costs!F27</f>
        <v>23.62</v>
      </c>
      <c r="I2173" s="40" t="s">
        <v>26</v>
      </c>
      <c r="J2173" s="40">
        <f t="shared" si="315"/>
        <v>18.990565068516393</v>
      </c>
      <c r="K2173" s="40">
        <f t="shared" si="316"/>
        <v>28.249434931483606</v>
      </c>
      <c r="L2173" s="40" t="s">
        <v>26</v>
      </c>
      <c r="M2173" s="50" t="s">
        <v>148</v>
      </c>
      <c r="N2173" s="40">
        <f t="shared" ca="1" si="320"/>
        <v>24.774708233698117</v>
      </c>
      <c r="O2173" s="40">
        <f t="shared" ca="1" si="317"/>
        <v>0.17606779670854833</v>
      </c>
      <c r="P2173" s="51">
        <f t="shared" si="321"/>
        <v>100</v>
      </c>
      <c r="Q2173" s="51">
        <f t="shared" si="318"/>
        <v>0.23620000000000002</v>
      </c>
      <c r="R2173" s="51">
        <f t="shared" si="319"/>
        <v>2.3620000000000001</v>
      </c>
      <c r="S2173"/>
      <c r="T2173" s="83"/>
    </row>
    <row r="2174" spans="1:20" ht="23" customHeight="1" x14ac:dyDescent="0.2">
      <c r="A2174"/>
      <c r="B2174" s="83"/>
      <c r="C2174" s="245"/>
      <c r="D2174" s="119">
        <v>2161</v>
      </c>
      <c r="E2174" s="25" t="s">
        <v>172</v>
      </c>
      <c r="F2174" s="40">
        <f t="shared" si="308"/>
        <v>94.87</v>
      </c>
      <c r="G2174" s="156">
        <v>1</v>
      </c>
      <c r="H2174" s="120">
        <f>Costs!F28</f>
        <v>94.87</v>
      </c>
      <c r="I2174" s="40" t="s">
        <v>26</v>
      </c>
      <c r="J2174" s="40">
        <f t="shared" si="315"/>
        <v>76.275821678668507</v>
      </c>
      <c r="K2174" s="40">
        <f t="shared" si="316"/>
        <v>113.46417832133149</v>
      </c>
      <c r="L2174" s="40" t="s">
        <v>26</v>
      </c>
      <c r="M2174" s="50" t="s">
        <v>148</v>
      </c>
      <c r="N2174" s="40">
        <f t="shared" ca="1" si="320"/>
        <v>85.819125237181055</v>
      </c>
      <c r="O2174" s="40">
        <f t="shared" ca="1" si="317"/>
        <v>0.65039314378194923</v>
      </c>
      <c r="P2174" s="51">
        <f t="shared" si="321"/>
        <v>100</v>
      </c>
      <c r="Q2174" s="51">
        <f t="shared" si="318"/>
        <v>0.94869999999999999</v>
      </c>
      <c r="R2174" s="51">
        <f t="shared" si="319"/>
        <v>9.4870000000000001</v>
      </c>
      <c r="S2174"/>
      <c r="T2174" s="83"/>
    </row>
    <row r="2175" spans="1:20" ht="21" customHeight="1" x14ac:dyDescent="0.2">
      <c r="A2175"/>
      <c r="B2175" s="83"/>
      <c r="C2175" s="246"/>
      <c r="D2175" s="119">
        <v>2162</v>
      </c>
      <c r="E2175" s="1" t="s">
        <v>219</v>
      </c>
      <c r="F2175" s="40">
        <f t="shared" si="308"/>
        <v>0.24</v>
      </c>
      <c r="G2175" s="156">
        <v>1</v>
      </c>
      <c r="H2175" s="120">
        <f>Costs!F29</f>
        <v>0.24</v>
      </c>
      <c r="I2175" s="40" t="s">
        <v>26</v>
      </c>
      <c r="J2175" s="40">
        <f t="shared" si="315"/>
        <v>0.19296086437103871</v>
      </c>
      <c r="K2175" s="40">
        <f t="shared" si="316"/>
        <v>0.28703913562896127</v>
      </c>
      <c r="L2175" s="40" t="s">
        <v>26</v>
      </c>
      <c r="M2175" s="51" t="s">
        <v>148</v>
      </c>
      <c r="N2175" s="40">
        <f t="shared" ca="1" si="320"/>
        <v>0.23647915359210228</v>
      </c>
      <c r="O2175" s="40">
        <f t="shared" ca="1" si="317"/>
        <v>0.61905980044760955</v>
      </c>
      <c r="P2175" s="51">
        <f t="shared" si="321"/>
        <v>99.999999999999986</v>
      </c>
      <c r="Q2175" s="51">
        <f t="shared" si="318"/>
        <v>2.4000000000000002E-3</v>
      </c>
      <c r="R2175" s="51">
        <f t="shared" si="319"/>
        <v>2.4E-2</v>
      </c>
      <c r="S2175"/>
      <c r="T2175" s="83"/>
    </row>
    <row r="2176" spans="1:20" ht="56.5" customHeight="1" x14ac:dyDescent="0.2">
      <c r="A2176"/>
      <c r="B2176" s="83"/>
      <c r="C2176" s="101" t="s">
        <v>14</v>
      </c>
      <c r="D2176" s="119">
        <v>2163</v>
      </c>
      <c r="E2176" s="25" t="s">
        <v>36</v>
      </c>
      <c r="F2176" s="40">
        <f t="shared" si="308"/>
        <v>580.26</v>
      </c>
      <c r="G2176" s="156">
        <v>1</v>
      </c>
      <c r="H2176" s="120">
        <f>Costs!F17</f>
        <v>580.26</v>
      </c>
      <c r="I2176" s="40" t="s">
        <v>26</v>
      </c>
      <c r="J2176" s="40">
        <f t="shared" si="315"/>
        <v>466.53112983307881</v>
      </c>
      <c r="K2176" s="40">
        <f t="shared" si="316"/>
        <v>693.98887016692117</v>
      </c>
      <c r="L2176" s="40" t="s">
        <v>26</v>
      </c>
      <c r="M2176" s="51" t="s">
        <v>148</v>
      </c>
      <c r="N2176" s="40">
        <f t="shared" ca="1" si="320"/>
        <v>551.32367656649762</v>
      </c>
      <c r="O2176" s="40">
        <f t="shared" ca="1" si="317"/>
        <v>0.23690762583932945</v>
      </c>
      <c r="P2176" s="51">
        <f t="shared" si="321"/>
        <v>100</v>
      </c>
      <c r="Q2176" s="51">
        <f t="shared" si="318"/>
        <v>5.8026</v>
      </c>
      <c r="R2176" s="51">
        <f t="shared" si="319"/>
        <v>58.026000000000003</v>
      </c>
      <c r="S2176"/>
      <c r="T2176" s="83"/>
    </row>
    <row r="2177" spans="1:20" ht="41.25" customHeight="1" x14ac:dyDescent="0.2">
      <c r="A2177"/>
      <c r="B2177" s="83"/>
      <c r="C2177" s="244" t="s">
        <v>15</v>
      </c>
      <c r="D2177" s="119">
        <v>2164</v>
      </c>
      <c r="E2177" s="58" t="s">
        <v>98</v>
      </c>
      <c r="F2177" s="40">
        <f t="shared" si="308"/>
        <v>1265.93</v>
      </c>
      <c r="G2177" s="156">
        <v>1</v>
      </c>
      <c r="H2177" s="120">
        <f>ICU_Cost_per_day_without</f>
        <v>1265.93</v>
      </c>
      <c r="I2177" s="40" t="s">
        <v>26</v>
      </c>
      <c r="J2177" s="40">
        <f t="shared" si="315"/>
        <v>1017.812279305121</v>
      </c>
      <c r="K2177" s="40">
        <f t="shared" si="316"/>
        <v>1514.047720694879</v>
      </c>
      <c r="L2177" s="40" t="s">
        <v>26</v>
      </c>
      <c r="M2177" s="51" t="s">
        <v>148</v>
      </c>
      <c r="N2177" s="40">
        <f t="shared" ca="1" si="320"/>
        <v>1246.5461023758207</v>
      </c>
      <c r="O2177" s="40">
        <f t="shared" ca="1" si="317"/>
        <v>0.8081764415235354</v>
      </c>
      <c r="P2177" s="51">
        <f t="shared" si="321"/>
        <v>99.999999999999972</v>
      </c>
      <c r="Q2177" s="51">
        <f t="shared" si="318"/>
        <v>12.659300000000004</v>
      </c>
      <c r="R2177" s="51">
        <f t="shared" si="319"/>
        <v>126.59300000000002</v>
      </c>
      <c r="S2177"/>
      <c r="T2177" s="83"/>
    </row>
    <row r="2178" spans="1:20" ht="41.25" customHeight="1" x14ac:dyDescent="0.2">
      <c r="A2178"/>
      <c r="B2178" s="83"/>
      <c r="C2178" s="246"/>
      <c r="D2178" s="119">
        <v>2165</v>
      </c>
      <c r="E2178" s="58" t="s">
        <v>38</v>
      </c>
      <c r="F2178" s="40">
        <f t="shared" si="308"/>
        <v>9.33</v>
      </c>
      <c r="G2178" s="156">
        <v>1</v>
      </c>
      <c r="H2178" s="120">
        <f>Costs!F22</f>
        <v>9.33</v>
      </c>
      <c r="I2178" s="40" t="s">
        <v>26</v>
      </c>
      <c r="J2178" s="40">
        <f t="shared" si="315"/>
        <v>7.5013536024241301</v>
      </c>
      <c r="K2178" s="40">
        <f t="shared" si="316"/>
        <v>11.15864639757587</v>
      </c>
      <c r="L2178" s="40" t="s">
        <v>26</v>
      </c>
      <c r="M2178" s="51" t="s">
        <v>148</v>
      </c>
      <c r="N2178" s="40">
        <f t="shared" ca="1" si="320"/>
        <v>7.6942245193561254</v>
      </c>
      <c r="O2178" s="40">
        <f t="shared" ca="1" si="317"/>
        <v>0.36013507205775752</v>
      </c>
      <c r="P2178" s="51">
        <f t="shared" si="321"/>
        <v>99.999999999999986</v>
      </c>
      <c r="Q2178" s="51">
        <f t="shared" si="318"/>
        <v>9.3300000000000008E-2</v>
      </c>
      <c r="R2178" s="51">
        <f t="shared" si="319"/>
        <v>0.93300000000000005</v>
      </c>
      <c r="S2178"/>
      <c r="T2178" s="83"/>
    </row>
    <row r="2179" spans="1:20" ht="46" customHeight="1" x14ac:dyDescent="0.2">
      <c r="A2179"/>
      <c r="B2179" s="83"/>
      <c r="C2179" s="101" t="s">
        <v>61</v>
      </c>
      <c r="D2179" s="119">
        <v>2166</v>
      </c>
      <c r="E2179" s="25" t="s">
        <v>62</v>
      </c>
      <c r="F2179" s="40">
        <f t="shared" si="308"/>
        <v>94.97</v>
      </c>
      <c r="G2179" s="156">
        <v>1</v>
      </c>
      <c r="H2179" s="118">
        <f>Resource_use_cost</f>
        <v>94.97</v>
      </c>
      <c r="I2179" s="40" t="s">
        <v>26</v>
      </c>
      <c r="J2179" s="40">
        <f t="shared" si="315"/>
        <v>76.356222038823105</v>
      </c>
      <c r="K2179" s="40">
        <f t="shared" si="316"/>
        <v>113.58377796117689</v>
      </c>
      <c r="L2179" s="40" t="s">
        <v>26</v>
      </c>
      <c r="M2179" s="51" t="s">
        <v>148</v>
      </c>
      <c r="N2179" s="40">
        <f t="shared" ca="1" si="320"/>
        <v>108.45870150297269</v>
      </c>
      <c r="O2179" s="40">
        <f t="shared" ca="1" si="317"/>
        <v>0.88893378260653877</v>
      </c>
      <c r="P2179" s="51">
        <f t="shared" si="321"/>
        <v>99.999999999999986</v>
      </c>
      <c r="Q2179" s="51">
        <f t="shared" si="318"/>
        <v>0.9497000000000001</v>
      </c>
      <c r="R2179" s="51">
        <f t="shared" si="319"/>
        <v>9.4969999999999999</v>
      </c>
      <c r="S2179"/>
      <c r="T2179" s="83"/>
    </row>
    <row r="2180" spans="1:20" ht="14.5" customHeight="1" x14ac:dyDescent="0.2">
      <c r="A2180"/>
      <c r="B2180" s="83"/>
      <c r="C2180" s="9"/>
      <c r="D2180" s="9"/>
      <c r="E2180" s="31"/>
      <c r="F2180" s="9"/>
      <c r="G2180" s="9"/>
      <c r="H2180" s="9"/>
      <c r="I2180" s="9"/>
      <c r="J2180" s="9"/>
      <c r="K2180" s="9"/>
      <c r="L2180" s="9"/>
      <c r="M2180" s="9"/>
      <c r="N2180" s="9"/>
      <c r="O2180" s="9"/>
      <c r="P2180" s="9"/>
      <c r="Q2180" s="9"/>
      <c r="R2180" s="9"/>
      <c r="S2180" s="9"/>
      <c r="T2180" s="83"/>
    </row>
    <row r="2181" spans="1:20" ht="14.5" customHeight="1" x14ac:dyDescent="0.2">
      <c r="A2181"/>
      <c r="B2181" s="83"/>
      <c r="C2181" s="9"/>
      <c r="D2181" s="9"/>
      <c r="E2181" s="31"/>
      <c r="F2181" s="9"/>
      <c r="G2181" s="9"/>
      <c r="H2181" s="9"/>
      <c r="I2181" s="9"/>
      <c r="J2181" s="9"/>
      <c r="K2181" s="9"/>
      <c r="L2181" s="9"/>
      <c r="M2181" s="9"/>
      <c r="N2181" s="9"/>
      <c r="O2181" s="9"/>
      <c r="P2181" s="9"/>
      <c r="Q2181" s="9"/>
      <c r="R2181" s="9"/>
      <c r="S2181" s="9"/>
      <c r="T2181" s="83"/>
    </row>
    <row r="2182" spans="1:20" ht="14.5" customHeight="1" x14ac:dyDescent="0.2">
      <c r="A2182"/>
      <c r="B2182" s="83"/>
      <c r="C2182" s="9"/>
      <c r="D2182" s="9"/>
      <c r="E2182" s="31"/>
      <c r="F2182" s="9"/>
      <c r="G2182" s="9"/>
      <c r="H2182" s="9"/>
      <c r="I2182" s="9"/>
      <c r="J2182" s="9"/>
      <c r="K2182" s="9"/>
      <c r="L2182" s="9"/>
      <c r="M2182" s="9"/>
      <c r="N2182" s="9"/>
      <c r="O2182" s="3"/>
      <c r="P2182" s="3"/>
      <c r="Q2182" s="3"/>
      <c r="R2182" s="3"/>
      <c r="S2182"/>
      <c r="T2182" s="83"/>
    </row>
    <row r="2183" spans="1:20" ht="14.5" customHeight="1" thickBot="1" x14ac:dyDescent="0.25">
      <c r="A2183" s="82"/>
      <c r="B2183" s="87"/>
      <c r="C2183" s="84"/>
      <c r="D2183" s="84"/>
      <c r="E2183" s="194"/>
      <c r="F2183" s="84"/>
      <c r="G2183" s="84"/>
      <c r="H2183" s="84"/>
      <c r="I2183" s="84"/>
      <c r="J2183" s="84"/>
      <c r="K2183" s="84"/>
      <c r="L2183" s="84"/>
      <c r="M2183" s="84"/>
      <c r="N2183" s="84"/>
      <c r="O2183" s="84"/>
      <c r="P2183" s="84"/>
      <c r="Q2183" s="84"/>
      <c r="R2183" s="84"/>
      <c r="S2183" s="84"/>
      <c r="T2183" s="83"/>
    </row>
    <row r="2184" spans="1:20" ht="14.5" customHeight="1" x14ac:dyDescent="0.2">
      <c r="A2184"/>
      <c r="B2184"/>
      <c r="C2184"/>
      <c r="D2184"/>
      <c r="E2184" s="1"/>
      <c r="F2184"/>
      <c r="G2184"/>
      <c r="H2184"/>
      <c r="I2184"/>
      <c r="J2184"/>
      <c r="K2184"/>
      <c r="L2184"/>
      <c r="M2184"/>
      <c r="N2184"/>
      <c r="O2184"/>
      <c r="P2184"/>
      <c r="Q2184"/>
      <c r="R2184"/>
      <c r="S2184"/>
      <c r="T2184"/>
    </row>
    <row r="2185" spans="1:20" ht="14.5" customHeight="1" x14ac:dyDescent="0.2">
      <c r="C2185" s="9"/>
      <c r="D2185" s="9"/>
      <c r="E2185" s="31"/>
      <c r="F2185" s="9"/>
      <c r="G2185" s="9"/>
      <c r="H2185" s="9"/>
      <c r="I2185" s="9"/>
      <c r="J2185" s="9"/>
      <c r="K2185" s="9"/>
      <c r="L2185" s="9"/>
      <c r="M2185" s="9"/>
      <c r="N2185" s="9"/>
      <c r="O2185" s="3"/>
      <c r="P2185" s="3"/>
      <c r="Q2185" s="3"/>
      <c r="R2185" s="3"/>
    </row>
    <row r="2186" spans="1:20" ht="14.5" customHeight="1" x14ac:dyDescent="0.2">
      <c r="C2186" s="9"/>
      <c r="D2186" s="9"/>
      <c r="E2186" s="31"/>
      <c r="F2186" s="9"/>
      <c r="G2186" s="9"/>
      <c r="H2186" s="9"/>
      <c r="I2186" s="9"/>
      <c r="J2186" s="9"/>
      <c r="K2186" s="9"/>
      <c r="L2186" s="9"/>
      <c r="M2186" s="9"/>
      <c r="N2186" s="9"/>
      <c r="O2186" s="3"/>
      <c r="P2186" s="3"/>
      <c r="Q2186" s="3"/>
      <c r="R2186" s="3"/>
    </row>
    <row r="2187" spans="1:20" ht="14.5" customHeight="1" x14ac:dyDescent="0.2">
      <c r="C2187" s="9"/>
      <c r="D2187" s="9"/>
      <c r="E2187" s="31"/>
      <c r="F2187" s="9"/>
      <c r="G2187" s="9"/>
      <c r="H2187" s="9"/>
      <c r="I2187" s="9"/>
      <c r="J2187" s="9"/>
      <c r="K2187" s="9"/>
      <c r="L2187" s="9"/>
      <c r="M2187" s="9"/>
      <c r="N2187" s="9"/>
      <c r="O2187" s="3"/>
      <c r="P2187" s="3"/>
      <c r="Q2187" s="3"/>
      <c r="R2187" s="3"/>
    </row>
    <row r="2188" spans="1:20" ht="14.5" customHeight="1" x14ac:dyDescent="0.2">
      <c r="C2188" s="9"/>
      <c r="D2188" s="9"/>
      <c r="E2188" s="31"/>
      <c r="F2188" s="9"/>
      <c r="G2188" s="9"/>
      <c r="H2188" s="9"/>
      <c r="I2188" s="9"/>
      <c r="J2188" s="9"/>
      <c r="K2188" s="9"/>
      <c r="L2188" s="9"/>
      <c r="M2188" s="9"/>
      <c r="N2188" s="9"/>
      <c r="O2188" s="3"/>
      <c r="P2188" s="3"/>
      <c r="Q2188" s="3"/>
      <c r="R2188" s="3"/>
    </row>
    <row r="2189" spans="1:20" ht="14.5" customHeight="1" x14ac:dyDescent="0.2">
      <c r="C2189" s="9"/>
      <c r="D2189" s="9"/>
      <c r="E2189" s="31"/>
      <c r="F2189" s="9"/>
      <c r="G2189" s="9"/>
      <c r="H2189" s="9"/>
      <c r="I2189" s="9"/>
      <c r="J2189" s="9"/>
      <c r="K2189" s="9"/>
      <c r="L2189" s="9"/>
      <c r="M2189" s="9"/>
      <c r="N2189" s="9"/>
      <c r="O2189" s="3"/>
      <c r="P2189" s="3"/>
      <c r="Q2189" s="3"/>
      <c r="R2189" s="3"/>
    </row>
    <row r="2190" spans="1:20" ht="14.5" customHeight="1" x14ac:dyDescent="0.2">
      <c r="C2190" s="9"/>
      <c r="D2190" s="9"/>
      <c r="E2190" s="31"/>
      <c r="F2190" s="9"/>
      <c r="G2190" s="9"/>
      <c r="H2190" s="9"/>
      <c r="I2190" s="9"/>
      <c r="J2190" s="9"/>
      <c r="K2190" s="9"/>
      <c r="L2190" s="9"/>
      <c r="M2190" s="9"/>
      <c r="N2190" s="9"/>
      <c r="O2190" s="3"/>
      <c r="P2190" s="3"/>
      <c r="Q2190" s="3"/>
      <c r="R2190" s="3"/>
    </row>
    <row r="2191" spans="1:20" ht="14.5" customHeight="1" x14ac:dyDescent="0.2">
      <c r="C2191" s="9"/>
      <c r="D2191" s="9"/>
      <c r="E2191" s="31"/>
      <c r="F2191" s="9"/>
      <c r="G2191" s="9"/>
      <c r="H2191" s="9"/>
      <c r="I2191" s="9"/>
      <c r="J2191" s="9"/>
      <c r="K2191" s="9"/>
      <c r="L2191" s="9"/>
      <c r="M2191" s="9"/>
      <c r="N2191" s="9"/>
      <c r="O2191" s="3"/>
      <c r="P2191" s="3"/>
      <c r="Q2191" s="3"/>
      <c r="R2191" s="3"/>
    </row>
    <row r="2192" spans="1:20" ht="14.5" customHeight="1" x14ac:dyDescent="0.2">
      <c r="C2192" s="9"/>
      <c r="D2192" s="9"/>
      <c r="E2192" s="31"/>
      <c r="F2192" s="9"/>
      <c r="G2192" s="9"/>
      <c r="H2192" s="9"/>
      <c r="I2192" s="9"/>
      <c r="J2192" s="9"/>
      <c r="K2192" s="9"/>
      <c r="L2192" s="9"/>
      <c r="M2192" s="9"/>
      <c r="N2192" s="9"/>
      <c r="O2192" s="3"/>
      <c r="P2192" s="3"/>
      <c r="Q2192" s="3"/>
      <c r="R2192" s="3"/>
    </row>
    <row r="2193" spans="1:20" ht="14.5" customHeight="1" x14ac:dyDescent="0.2">
      <c r="C2193" s="9"/>
      <c r="D2193" s="9"/>
      <c r="E2193" s="31"/>
      <c r="F2193" s="9"/>
      <c r="G2193" s="9"/>
      <c r="H2193" s="9"/>
      <c r="I2193" s="9"/>
      <c r="J2193" s="9"/>
      <c r="K2193" s="9"/>
      <c r="L2193" s="9"/>
      <c r="M2193" s="9"/>
      <c r="N2193" s="9"/>
      <c r="O2193" s="3"/>
      <c r="P2193" s="3"/>
      <c r="Q2193" s="3"/>
      <c r="R2193" s="3"/>
    </row>
    <row r="2194" spans="1:20" ht="14.5" customHeight="1" x14ac:dyDescent="0.2">
      <c r="C2194" s="9"/>
      <c r="D2194" s="9"/>
      <c r="E2194" s="31"/>
      <c r="F2194" s="9"/>
      <c r="G2194" s="9"/>
      <c r="H2194" s="9"/>
      <c r="I2194" s="9"/>
      <c r="J2194" s="9"/>
      <c r="K2194" s="9"/>
      <c r="L2194" s="9"/>
      <c r="M2194" s="9"/>
      <c r="N2194" s="9"/>
      <c r="O2194" s="3"/>
      <c r="P2194" s="3"/>
      <c r="Q2194" s="3"/>
      <c r="R2194" s="3"/>
    </row>
    <row r="2195" spans="1:20" ht="14.5" customHeight="1" x14ac:dyDescent="0.2">
      <c r="C2195" s="9"/>
      <c r="D2195" s="9"/>
      <c r="E2195" s="31"/>
      <c r="F2195" s="9"/>
      <c r="G2195" s="9"/>
      <c r="H2195" s="9"/>
      <c r="I2195" s="9"/>
      <c r="J2195" s="9"/>
      <c r="K2195" s="9"/>
      <c r="L2195" s="9"/>
      <c r="M2195" s="9"/>
      <c r="N2195" s="9"/>
      <c r="O2195" s="3"/>
      <c r="P2195" s="3"/>
      <c r="Q2195" s="3"/>
      <c r="R2195" s="3"/>
    </row>
    <row r="2196" spans="1:20" ht="14.5" customHeight="1" x14ac:dyDescent="0.2">
      <c r="C2196" s="9"/>
      <c r="D2196" s="9"/>
      <c r="E2196" s="31"/>
      <c r="F2196" s="9"/>
      <c r="G2196" s="9"/>
      <c r="H2196" s="9"/>
      <c r="I2196" s="9"/>
      <c r="J2196" s="9"/>
      <c r="K2196" s="9"/>
      <c r="L2196" s="9"/>
      <c r="M2196" s="9"/>
      <c r="N2196" s="9"/>
      <c r="O2196" s="3"/>
      <c r="P2196" s="3"/>
      <c r="Q2196" s="3"/>
      <c r="R2196" s="3"/>
    </row>
    <row r="2197" spans="1:20" ht="14.5" customHeight="1" x14ac:dyDescent="0.2">
      <c r="C2197" s="9"/>
      <c r="D2197" s="9"/>
      <c r="E2197" s="31"/>
      <c r="F2197" s="9"/>
      <c r="G2197" s="9"/>
      <c r="H2197" s="9"/>
      <c r="I2197" s="9"/>
      <c r="J2197" s="9"/>
      <c r="K2197" s="9"/>
      <c r="L2197" s="9"/>
      <c r="M2197" s="9"/>
      <c r="N2197" s="9"/>
      <c r="O2197" s="3"/>
      <c r="P2197" s="3"/>
      <c r="Q2197" s="3"/>
      <c r="R2197" s="3"/>
    </row>
    <row r="2198" spans="1:20" ht="14.5" customHeight="1" x14ac:dyDescent="0.2">
      <c r="C2198" s="9"/>
      <c r="D2198" s="9"/>
      <c r="E2198" s="31"/>
      <c r="F2198" s="9"/>
      <c r="G2198" s="9"/>
      <c r="H2198" s="9"/>
      <c r="I2198" s="9"/>
      <c r="J2198" s="9"/>
      <c r="K2198" s="9"/>
      <c r="L2198" s="9"/>
      <c r="M2198" s="9"/>
      <c r="N2198" s="9"/>
      <c r="O2198" s="3"/>
      <c r="P2198" s="3"/>
      <c r="Q2198" s="3"/>
      <c r="R2198" s="3"/>
    </row>
    <row r="2199" spans="1:20" ht="14.5" customHeight="1" x14ac:dyDescent="0.2">
      <c r="C2199" s="9"/>
      <c r="D2199" s="9"/>
      <c r="E2199" s="31"/>
      <c r="F2199" s="9"/>
      <c r="G2199" s="9"/>
      <c r="H2199" s="9"/>
      <c r="I2199" s="9"/>
      <c r="J2199" s="9"/>
      <c r="K2199" s="9"/>
      <c r="L2199" s="9"/>
      <c r="M2199" s="9"/>
      <c r="N2199" s="9"/>
      <c r="O2199" s="3"/>
      <c r="P2199" s="3"/>
      <c r="Q2199" s="3"/>
      <c r="R2199" s="3"/>
    </row>
    <row r="2200" spans="1:20" ht="14.5" customHeight="1" x14ac:dyDescent="0.2">
      <c r="C2200" s="9"/>
      <c r="D2200" s="9"/>
      <c r="E2200" s="31"/>
      <c r="F2200" s="9"/>
      <c r="G2200" s="9"/>
      <c r="H2200" s="9"/>
      <c r="I2200" s="9"/>
      <c r="J2200" s="9"/>
      <c r="K2200" s="9"/>
      <c r="L2200" s="9"/>
      <c r="M2200" s="9"/>
      <c r="N2200" s="9"/>
      <c r="O2200" s="3"/>
      <c r="P2200" s="3"/>
      <c r="Q2200" s="3"/>
      <c r="R2200" s="3"/>
    </row>
    <row r="2201" spans="1:20" ht="14.5" customHeight="1" x14ac:dyDescent="0.2">
      <c r="C2201" s="9"/>
      <c r="D2201" s="9"/>
      <c r="E2201" s="31"/>
      <c r="F2201" s="9"/>
      <c r="G2201" s="9"/>
      <c r="H2201" s="9"/>
      <c r="I2201" s="9"/>
      <c r="J2201" s="9"/>
      <c r="K2201" s="9"/>
      <c r="L2201" s="9"/>
      <c r="M2201" s="9"/>
      <c r="N2201" s="9"/>
      <c r="O2201" s="3"/>
      <c r="P2201" s="3"/>
      <c r="Q2201" s="3"/>
      <c r="R2201" s="3"/>
    </row>
    <row r="2202" spans="1:20" ht="14.5" customHeight="1" x14ac:dyDescent="0.2">
      <c r="C2202" s="9"/>
      <c r="D2202" s="9"/>
      <c r="E2202" s="31"/>
      <c r="F2202" s="9"/>
      <c r="G2202" s="9"/>
      <c r="H2202" s="9"/>
      <c r="I2202" s="9"/>
      <c r="J2202" s="9"/>
      <c r="K2202" s="9"/>
      <c r="L2202" s="9"/>
      <c r="M2202" s="9"/>
      <c r="N2202" s="9"/>
      <c r="O2202" s="3"/>
      <c r="P2202" s="3"/>
      <c r="Q2202" s="3"/>
      <c r="R2202" s="3"/>
    </row>
    <row r="2203" spans="1:20" ht="14.5" customHeight="1" x14ac:dyDescent="0.2">
      <c r="C2203" s="9"/>
      <c r="D2203" s="9"/>
      <c r="E2203" s="31"/>
      <c r="F2203" s="9"/>
      <c r="G2203" s="9"/>
      <c r="H2203" s="9"/>
      <c r="I2203" s="9"/>
      <c r="J2203" s="9"/>
      <c r="K2203" s="9"/>
      <c r="L2203" s="9"/>
      <c r="M2203" s="9"/>
      <c r="N2203" s="9"/>
      <c r="O2203" s="3"/>
      <c r="P2203" s="3"/>
      <c r="Q2203" s="3"/>
      <c r="R2203" s="3"/>
    </row>
    <row r="2204" spans="1:20" ht="14.5" customHeight="1" x14ac:dyDescent="0.2">
      <c r="C2204" s="9"/>
      <c r="D2204" s="9"/>
      <c r="E2204" s="31"/>
      <c r="F2204" s="9"/>
      <c r="G2204" s="9"/>
      <c r="H2204" s="9"/>
      <c r="I2204" s="9"/>
      <c r="J2204" s="9"/>
      <c r="K2204" s="9"/>
      <c r="L2204" s="9"/>
      <c r="M2204" s="9"/>
      <c r="N2204" s="9"/>
      <c r="O2204" s="3"/>
      <c r="P2204" s="3"/>
      <c r="Q2204" s="3"/>
      <c r="R2204" s="3"/>
    </row>
    <row r="2205" spans="1:20" s="7" customFormat="1" ht="15" x14ac:dyDescent="0.2">
      <c r="A2205" s="5"/>
      <c r="B2205" s="5"/>
      <c r="C2205" s="9"/>
      <c r="D2205" s="9"/>
      <c r="E2205" s="31"/>
      <c r="F2205" s="9"/>
      <c r="G2205" s="9"/>
      <c r="H2205" s="9"/>
      <c r="I2205" s="9"/>
      <c r="J2205" s="9"/>
      <c r="K2205" s="9"/>
      <c r="L2205" s="9"/>
      <c r="M2205" s="9"/>
      <c r="N2205" s="9"/>
      <c r="O2205" s="3"/>
      <c r="P2205" s="3"/>
      <c r="Q2205" s="3"/>
      <c r="R2205" s="3"/>
      <c r="S2205" s="5"/>
      <c r="T2205" s="5"/>
    </row>
    <row r="2206" spans="1:20" s="7" customFormat="1" ht="15" customHeight="1" x14ac:dyDescent="0.2">
      <c r="A2206" s="5"/>
      <c r="B2206" s="5"/>
      <c r="C2206" s="9"/>
      <c r="D2206" s="9"/>
      <c r="E2206" s="31"/>
      <c r="F2206" s="9"/>
      <c r="G2206" s="9"/>
      <c r="H2206" s="9"/>
      <c r="I2206" s="9"/>
      <c r="J2206" s="9"/>
      <c r="K2206" s="9"/>
      <c r="L2206" s="9"/>
      <c r="M2206" s="9"/>
      <c r="N2206" s="9"/>
      <c r="O2206" s="3"/>
      <c r="P2206" s="3"/>
      <c r="Q2206" s="3"/>
      <c r="R2206" s="3"/>
      <c r="S2206" s="5"/>
      <c r="T2206" s="5"/>
    </row>
    <row r="2207" spans="1:20" s="7" customFormat="1" ht="15" customHeight="1" x14ac:dyDescent="0.2">
      <c r="A2207" s="5"/>
      <c r="B2207" s="5"/>
      <c r="C2207" s="9"/>
      <c r="D2207" s="9"/>
      <c r="E2207" s="31"/>
      <c r="F2207" s="9"/>
      <c r="G2207" s="9"/>
      <c r="H2207" s="9"/>
      <c r="I2207" s="9"/>
      <c r="J2207" s="9"/>
      <c r="K2207" s="9"/>
      <c r="L2207" s="9"/>
      <c r="M2207" s="9"/>
      <c r="N2207" s="9"/>
      <c r="O2207" s="3"/>
      <c r="P2207" s="3"/>
      <c r="Q2207" s="3"/>
      <c r="R2207" s="3"/>
      <c r="S2207" s="5"/>
      <c r="T2207" s="5"/>
    </row>
    <row r="2208" spans="1:20" s="7" customFormat="1" ht="15" customHeight="1" x14ac:dyDescent="0.2">
      <c r="A2208" s="5"/>
      <c r="B2208" s="5"/>
      <c r="C2208" s="9"/>
      <c r="D2208" s="9"/>
      <c r="E2208" s="31"/>
      <c r="F2208" s="9"/>
      <c r="G2208" s="9"/>
      <c r="H2208" s="9"/>
      <c r="I2208" s="9"/>
      <c r="J2208" s="9"/>
      <c r="K2208" s="9"/>
      <c r="L2208" s="9"/>
      <c r="M2208" s="9"/>
      <c r="N2208" s="9"/>
      <c r="O2208" s="3"/>
      <c r="P2208" s="3"/>
      <c r="Q2208" s="3"/>
      <c r="R2208" s="3"/>
      <c r="S2208" s="5"/>
      <c r="T2208" s="5"/>
    </row>
    <row r="2209" spans="1:20" s="7" customFormat="1" ht="15" customHeight="1" x14ac:dyDescent="0.2">
      <c r="A2209" s="5"/>
      <c r="B2209" s="5"/>
      <c r="C2209" s="9"/>
      <c r="D2209" s="9"/>
      <c r="E2209" s="31"/>
      <c r="F2209" s="9"/>
      <c r="G2209" s="9"/>
      <c r="H2209" s="9"/>
      <c r="I2209" s="9"/>
      <c r="J2209" s="9"/>
      <c r="K2209" s="9"/>
      <c r="L2209" s="9"/>
      <c r="M2209" s="9"/>
      <c r="N2209" s="9"/>
      <c r="O2209" s="3"/>
      <c r="P2209" s="3"/>
      <c r="Q2209" s="3"/>
      <c r="R2209" s="3"/>
      <c r="S2209" s="5"/>
      <c r="T2209" s="5"/>
    </row>
    <row r="2210" spans="1:20" s="7" customFormat="1" ht="15" customHeight="1" x14ac:dyDescent="0.2">
      <c r="A2210" s="5"/>
      <c r="B2210" s="5"/>
      <c r="C2210" s="9"/>
      <c r="D2210" s="9"/>
      <c r="E2210" s="31"/>
      <c r="F2210" s="9"/>
      <c r="G2210" s="9"/>
      <c r="H2210" s="9"/>
      <c r="I2210" s="9"/>
      <c r="J2210" s="9"/>
      <c r="K2210" s="9"/>
      <c r="L2210" s="9"/>
      <c r="M2210" s="9"/>
      <c r="N2210" s="9"/>
      <c r="O2210" s="3"/>
      <c r="P2210" s="3"/>
      <c r="Q2210" s="3"/>
      <c r="R2210" s="3"/>
      <c r="S2210" s="5"/>
      <c r="T2210" s="5"/>
    </row>
    <row r="2211" spans="1:20" s="7" customFormat="1" ht="15" customHeight="1" x14ac:dyDescent="0.2">
      <c r="A2211" s="5"/>
      <c r="B2211" s="5"/>
      <c r="C2211" s="9"/>
      <c r="D2211" s="9"/>
      <c r="E2211" s="31"/>
      <c r="F2211" s="9"/>
      <c r="G2211" s="9"/>
      <c r="H2211" s="9"/>
      <c r="I2211" s="9"/>
      <c r="J2211" s="9"/>
      <c r="K2211" s="9"/>
      <c r="L2211" s="9"/>
      <c r="M2211" s="9"/>
      <c r="N2211" s="9"/>
      <c r="O2211" s="3"/>
      <c r="P2211" s="3"/>
      <c r="Q2211" s="3"/>
      <c r="R2211" s="3"/>
      <c r="S2211" s="5"/>
      <c r="T2211" s="5"/>
    </row>
    <row r="2212" spans="1:20" s="7" customFormat="1" ht="15" customHeight="1" x14ac:dyDescent="0.2">
      <c r="A2212" s="5"/>
      <c r="B2212" s="5"/>
      <c r="C2212" s="9"/>
      <c r="D2212" s="9"/>
      <c r="E2212" s="31"/>
      <c r="F2212" s="9"/>
      <c r="G2212" s="9"/>
      <c r="H2212" s="9"/>
      <c r="I2212" s="9"/>
      <c r="J2212" s="9"/>
      <c r="K2212" s="9"/>
      <c r="L2212" s="9"/>
      <c r="M2212" s="9"/>
      <c r="N2212" s="9"/>
      <c r="O2212" s="3"/>
      <c r="P2212" s="3"/>
      <c r="Q2212" s="3"/>
      <c r="R2212" s="3"/>
      <c r="S2212" s="5"/>
      <c r="T2212" s="5"/>
    </row>
    <row r="2213" spans="1:20" s="7" customFormat="1" ht="15" customHeight="1" x14ac:dyDescent="0.2">
      <c r="A2213" s="5"/>
      <c r="B2213" s="5"/>
      <c r="C2213" s="9"/>
      <c r="D2213" s="9"/>
      <c r="E2213" s="31"/>
      <c r="F2213" s="9"/>
      <c r="G2213" s="9"/>
      <c r="H2213" s="9"/>
      <c r="I2213" s="9"/>
      <c r="J2213" s="9"/>
      <c r="K2213" s="9"/>
      <c r="L2213" s="9"/>
      <c r="M2213" s="9"/>
      <c r="N2213" s="9"/>
      <c r="O2213" s="3"/>
      <c r="P2213" s="3"/>
      <c r="Q2213" s="3"/>
      <c r="R2213" s="3"/>
      <c r="S2213" s="5"/>
      <c r="T2213" s="5"/>
    </row>
    <row r="2214" spans="1:20" s="7" customFormat="1" ht="15" customHeight="1" x14ac:dyDescent="0.2">
      <c r="A2214" s="5"/>
      <c r="B2214" s="5"/>
      <c r="C2214" s="9"/>
      <c r="D2214" s="9"/>
      <c r="E2214" s="31"/>
      <c r="F2214" s="9"/>
      <c r="G2214" s="9"/>
      <c r="H2214" s="9"/>
      <c r="I2214" s="9"/>
      <c r="J2214" s="9"/>
      <c r="K2214" s="9"/>
      <c r="L2214" s="9"/>
      <c r="M2214" s="9"/>
      <c r="N2214" s="9"/>
      <c r="O2214" s="3"/>
      <c r="P2214" s="3"/>
      <c r="Q2214" s="3"/>
      <c r="R2214" s="3"/>
      <c r="S2214" s="5"/>
      <c r="T2214" s="5"/>
    </row>
    <row r="2215" spans="1:20" s="7" customFormat="1" ht="15" customHeight="1" x14ac:dyDescent="0.2">
      <c r="A2215" s="5"/>
      <c r="B2215" s="5"/>
      <c r="C2215" s="9"/>
      <c r="D2215" s="9"/>
      <c r="E2215" s="31"/>
      <c r="F2215" s="9"/>
      <c r="G2215" s="9"/>
      <c r="H2215" s="9"/>
      <c r="I2215" s="9"/>
      <c r="J2215" s="9"/>
      <c r="K2215" s="9"/>
      <c r="L2215" s="9"/>
      <c r="M2215" s="9"/>
      <c r="N2215" s="9"/>
      <c r="O2215" s="3"/>
      <c r="P2215" s="3"/>
      <c r="Q2215" s="3"/>
      <c r="R2215" s="3"/>
      <c r="S2215" s="5"/>
      <c r="T2215" s="5"/>
    </row>
    <row r="2216" spans="1:20" s="7" customFormat="1" ht="15" customHeight="1" x14ac:dyDescent="0.2">
      <c r="A2216" s="5"/>
      <c r="B2216" s="5"/>
      <c r="C2216" s="9"/>
      <c r="D2216" s="9"/>
      <c r="E2216" s="31"/>
      <c r="F2216" s="9"/>
      <c r="G2216" s="9"/>
      <c r="H2216" s="9"/>
      <c r="I2216" s="9"/>
      <c r="J2216" s="9"/>
      <c r="K2216" s="9"/>
      <c r="L2216" s="9"/>
      <c r="M2216" s="9"/>
      <c r="N2216" s="9"/>
      <c r="O2216" s="3"/>
      <c r="P2216" s="3"/>
      <c r="Q2216" s="3"/>
      <c r="R2216" s="3"/>
      <c r="S2216" s="5"/>
      <c r="T2216" s="5"/>
    </row>
    <row r="2217" spans="1:20" s="7" customFormat="1" ht="15" customHeight="1" x14ac:dyDescent="0.2">
      <c r="A2217" s="5"/>
      <c r="B2217" s="5"/>
      <c r="C2217" s="9"/>
      <c r="D2217" s="9"/>
      <c r="E2217" s="31"/>
      <c r="F2217" s="9"/>
      <c r="G2217" s="9"/>
      <c r="H2217" s="9"/>
      <c r="I2217" s="9"/>
      <c r="J2217" s="9"/>
      <c r="K2217" s="9"/>
      <c r="L2217" s="9"/>
      <c r="M2217" s="9"/>
      <c r="N2217" s="9"/>
      <c r="O2217" s="3"/>
      <c r="P2217" s="3"/>
      <c r="Q2217" s="3"/>
      <c r="R2217" s="3"/>
      <c r="S2217" s="5"/>
      <c r="T2217" s="5"/>
    </row>
    <row r="2218" spans="1:20" s="7" customFormat="1" ht="15" customHeight="1" x14ac:dyDescent="0.2">
      <c r="A2218" s="5"/>
      <c r="B2218" s="5"/>
      <c r="C2218" s="9"/>
      <c r="D2218" s="9"/>
      <c r="E2218" s="31"/>
      <c r="F2218" s="9"/>
      <c r="G2218" s="9"/>
      <c r="H2218" s="9"/>
      <c r="I2218" s="9"/>
      <c r="J2218" s="9"/>
      <c r="K2218" s="9"/>
      <c r="L2218" s="9"/>
      <c r="M2218" s="9"/>
      <c r="N2218" s="9"/>
      <c r="O2218" s="3"/>
      <c r="P2218" s="3"/>
      <c r="Q2218" s="3"/>
      <c r="R2218" s="3"/>
      <c r="S2218" s="5"/>
      <c r="T2218" s="5"/>
    </row>
    <row r="2219" spans="1:20" s="7" customFormat="1" ht="15" customHeight="1" x14ac:dyDescent="0.2">
      <c r="A2219" s="5"/>
      <c r="B2219" s="5"/>
      <c r="C2219" s="9"/>
      <c r="D2219" s="9"/>
      <c r="E2219" s="31"/>
      <c r="F2219" s="9"/>
      <c r="G2219" s="9"/>
      <c r="H2219" s="9"/>
      <c r="I2219" s="9"/>
      <c r="J2219" s="9"/>
      <c r="K2219" s="9"/>
      <c r="L2219" s="9"/>
      <c r="M2219" s="9"/>
      <c r="N2219" s="9"/>
      <c r="O2219" s="3"/>
      <c r="P2219" s="3"/>
      <c r="Q2219" s="3"/>
      <c r="R2219" s="3"/>
      <c r="S2219" s="5"/>
      <c r="T2219" s="5"/>
    </row>
    <row r="2220" spans="1:20" s="7" customFormat="1" ht="15" customHeight="1" x14ac:dyDescent="0.2">
      <c r="A2220" s="5"/>
      <c r="B2220" s="5"/>
      <c r="C2220" s="9"/>
      <c r="D2220" s="9"/>
      <c r="E2220" s="31"/>
      <c r="F2220" s="9"/>
      <c r="G2220" s="9"/>
      <c r="H2220" s="9"/>
      <c r="I2220" s="9"/>
      <c r="J2220" s="9"/>
      <c r="K2220" s="9"/>
      <c r="L2220" s="9"/>
      <c r="M2220" s="9"/>
      <c r="N2220" s="9"/>
      <c r="O2220" s="3"/>
      <c r="P2220" s="3"/>
      <c r="Q2220" s="3"/>
      <c r="R2220" s="3"/>
      <c r="S2220" s="5"/>
      <c r="T2220" s="5"/>
    </row>
    <row r="2221" spans="1:20" s="7" customFormat="1" ht="15" customHeight="1" x14ac:dyDescent="0.2">
      <c r="A2221" s="5"/>
      <c r="B2221" s="5"/>
      <c r="C2221" s="9"/>
      <c r="D2221" s="9"/>
      <c r="E2221" s="31"/>
      <c r="F2221" s="9"/>
      <c r="G2221" s="9"/>
      <c r="H2221" s="9"/>
      <c r="I2221" s="9"/>
      <c r="J2221" s="9"/>
      <c r="K2221" s="9"/>
      <c r="L2221" s="9"/>
      <c r="M2221" s="9"/>
      <c r="N2221" s="9"/>
      <c r="O2221" s="3"/>
      <c r="P2221" s="3"/>
      <c r="Q2221" s="3"/>
      <c r="R2221" s="3"/>
      <c r="S2221" s="5"/>
      <c r="T2221" s="5"/>
    </row>
    <row r="2222" spans="1:20" s="7" customFormat="1" ht="15" customHeight="1" x14ac:dyDescent="0.2">
      <c r="A2222" s="5"/>
      <c r="B2222" s="5"/>
      <c r="C2222" s="9"/>
      <c r="D2222" s="9"/>
      <c r="E2222" s="31"/>
      <c r="F2222" s="9"/>
      <c r="G2222" s="9"/>
      <c r="H2222" s="9"/>
      <c r="I2222" s="9"/>
      <c r="J2222" s="9"/>
      <c r="K2222" s="9"/>
      <c r="L2222" s="9"/>
      <c r="M2222" s="9"/>
      <c r="N2222" s="9"/>
      <c r="O2222" s="3"/>
      <c r="P2222" s="3"/>
      <c r="Q2222" s="3"/>
      <c r="R2222" s="3"/>
      <c r="S2222" s="5"/>
      <c r="T2222" s="5"/>
    </row>
    <row r="2223" spans="1:20" s="7" customFormat="1" ht="15" customHeight="1" x14ac:dyDescent="0.2">
      <c r="A2223" s="5"/>
      <c r="B2223" s="5"/>
      <c r="C2223" s="9"/>
      <c r="D2223" s="9"/>
      <c r="E2223" s="31"/>
      <c r="F2223" s="9"/>
      <c r="G2223" s="9"/>
      <c r="H2223" s="9"/>
      <c r="I2223" s="9"/>
      <c r="J2223" s="9"/>
      <c r="K2223" s="9"/>
      <c r="L2223" s="9"/>
      <c r="M2223" s="9"/>
      <c r="N2223" s="9"/>
      <c r="O2223" s="3"/>
      <c r="P2223" s="3"/>
      <c r="Q2223" s="3"/>
      <c r="R2223" s="3"/>
      <c r="S2223" s="5"/>
      <c r="T2223" s="5"/>
    </row>
    <row r="2224" spans="1:20" s="7" customFormat="1" ht="15" customHeight="1" x14ac:dyDescent="0.2">
      <c r="A2224" s="5"/>
      <c r="B2224" s="5"/>
      <c r="C2224" s="9"/>
      <c r="D2224" s="9"/>
      <c r="E2224" s="31"/>
      <c r="F2224" s="9"/>
      <c r="G2224" s="9"/>
      <c r="H2224" s="9"/>
      <c r="I2224" s="9"/>
      <c r="J2224" s="9"/>
      <c r="K2224" s="9"/>
      <c r="L2224" s="9"/>
      <c r="M2224" s="9"/>
      <c r="N2224" s="9"/>
      <c r="O2224" s="3"/>
      <c r="P2224" s="3"/>
      <c r="Q2224" s="3"/>
      <c r="R2224" s="3"/>
      <c r="S2224" s="5"/>
      <c r="T2224" s="5"/>
    </row>
    <row r="2225" spans="1:20" s="7" customFormat="1" ht="15" customHeight="1" x14ac:dyDescent="0.2">
      <c r="A2225" s="5"/>
      <c r="B2225" s="5"/>
      <c r="C2225" s="9"/>
      <c r="D2225" s="9"/>
      <c r="E2225" s="31"/>
      <c r="F2225" s="9"/>
      <c r="G2225" s="9"/>
      <c r="H2225" s="9"/>
      <c r="I2225" s="9"/>
      <c r="J2225" s="9"/>
      <c r="K2225" s="9"/>
      <c r="L2225" s="9"/>
      <c r="M2225" s="9"/>
      <c r="N2225" s="9"/>
      <c r="O2225" s="3"/>
      <c r="P2225" s="3"/>
      <c r="Q2225" s="3"/>
      <c r="R2225" s="3"/>
      <c r="S2225" s="5"/>
      <c r="T2225" s="5"/>
    </row>
    <row r="2226" spans="1:20" s="7" customFormat="1" ht="15" customHeight="1" x14ac:dyDescent="0.2">
      <c r="A2226" s="5"/>
      <c r="B2226" s="5"/>
      <c r="C2226" s="9"/>
      <c r="D2226" s="9"/>
      <c r="E2226" s="31"/>
      <c r="F2226" s="9"/>
      <c r="G2226" s="9"/>
      <c r="H2226" s="9"/>
      <c r="I2226" s="9"/>
      <c r="J2226" s="9"/>
      <c r="K2226" s="9"/>
      <c r="L2226" s="9"/>
      <c r="M2226" s="9"/>
      <c r="N2226" s="9"/>
      <c r="O2226" s="3"/>
      <c r="P2226" s="3"/>
      <c r="Q2226" s="3"/>
      <c r="R2226" s="3"/>
      <c r="S2226" s="5"/>
      <c r="T2226" s="5"/>
    </row>
    <row r="2227" spans="1:20" ht="15" x14ac:dyDescent="0.2">
      <c r="C2227" s="9"/>
      <c r="D2227" s="9"/>
      <c r="E2227" s="31"/>
      <c r="F2227" s="9"/>
      <c r="G2227" s="9"/>
      <c r="H2227" s="9"/>
      <c r="I2227" s="9"/>
      <c r="J2227" s="9"/>
      <c r="K2227" s="9"/>
      <c r="L2227" s="9"/>
      <c r="M2227" s="9"/>
      <c r="N2227" s="9"/>
      <c r="O2227" s="3"/>
      <c r="P2227" s="3"/>
      <c r="Q2227" s="3"/>
      <c r="R2227" s="3"/>
    </row>
    <row r="2228" spans="1:20" ht="15" x14ac:dyDescent="0.2">
      <c r="C2228" s="9"/>
      <c r="D2228" s="9"/>
      <c r="E2228" s="31"/>
      <c r="F2228" s="9"/>
      <c r="G2228" s="9"/>
      <c r="H2228" s="9"/>
      <c r="I2228" s="9"/>
      <c r="J2228" s="9"/>
      <c r="K2228" s="9"/>
      <c r="L2228" s="9"/>
      <c r="M2228" s="9"/>
      <c r="N2228" s="9"/>
      <c r="O2228" s="3"/>
      <c r="P2228" s="3"/>
      <c r="Q2228" s="3"/>
      <c r="R2228" s="3"/>
    </row>
    <row r="2229" spans="1:20" ht="15" customHeight="1" x14ac:dyDescent="0.2">
      <c r="C2229" s="9"/>
      <c r="D2229" s="9"/>
      <c r="E2229" s="31"/>
      <c r="F2229" s="9"/>
      <c r="G2229" s="9"/>
      <c r="H2229" s="9"/>
      <c r="I2229" s="9"/>
      <c r="J2229" s="9"/>
      <c r="K2229" s="9"/>
      <c r="L2229" s="9"/>
      <c r="M2229" s="9"/>
      <c r="N2229" s="9"/>
      <c r="O2229" s="3"/>
      <c r="P2229" s="3"/>
      <c r="Q2229" s="3"/>
      <c r="R2229" s="3"/>
    </row>
    <row r="2230" spans="1:20" ht="15" customHeight="1" x14ac:dyDescent="0.2">
      <c r="C2230" s="9"/>
      <c r="D2230" s="9"/>
      <c r="E2230" s="31"/>
      <c r="F2230" s="9"/>
      <c r="G2230" s="9"/>
      <c r="H2230" s="9"/>
      <c r="I2230" s="9"/>
      <c r="J2230" s="9"/>
      <c r="K2230" s="9"/>
      <c r="L2230" s="9"/>
      <c r="M2230" s="9"/>
      <c r="N2230" s="9"/>
      <c r="O2230" s="3"/>
      <c r="P2230" s="3"/>
      <c r="Q2230" s="3"/>
      <c r="R2230" s="3"/>
    </row>
    <row r="2231" spans="1:20" ht="14" customHeight="1" x14ac:dyDescent="0.2">
      <c r="C2231" s="9"/>
      <c r="D2231" s="9"/>
      <c r="E2231" s="31"/>
      <c r="F2231" s="9"/>
      <c r="G2231" s="9"/>
      <c r="H2231" s="9"/>
      <c r="I2231" s="9"/>
      <c r="J2231" s="9"/>
      <c r="K2231" s="9"/>
      <c r="L2231" s="9"/>
      <c r="M2231" s="9"/>
      <c r="N2231" s="9"/>
      <c r="O2231" s="3"/>
      <c r="P2231" s="3"/>
      <c r="Q2231" s="3"/>
      <c r="R2231" s="3"/>
    </row>
    <row r="2232" spans="1:20" ht="14.5" customHeight="1" x14ac:dyDescent="0.2">
      <c r="C2232" s="9"/>
      <c r="D2232" s="9"/>
      <c r="E2232" s="31"/>
      <c r="F2232" s="9"/>
      <c r="G2232" s="9"/>
      <c r="H2232" s="9"/>
      <c r="I2232" s="9"/>
      <c r="J2232" s="9"/>
      <c r="K2232" s="9"/>
      <c r="L2232" s="9"/>
      <c r="M2232" s="9"/>
      <c r="N2232" s="9"/>
      <c r="O2232" s="3"/>
      <c r="P2232" s="3"/>
      <c r="Q2232" s="3"/>
      <c r="R2232" s="3"/>
    </row>
    <row r="2233" spans="1:20" ht="14.5" customHeight="1" x14ac:dyDescent="0.2">
      <c r="C2233" s="9"/>
      <c r="D2233" s="9"/>
      <c r="E2233" s="31"/>
      <c r="F2233" s="9"/>
      <c r="G2233" s="9"/>
      <c r="H2233" s="9"/>
      <c r="I2233" s="9"/>
      <c r="J2233" s="9"/>
      <c r="K2233" s="9"/>
      <c r="L2233" s="9"/>
      <c r="M2233" s="9"/>
      <c r="N2233" s="9"/>
      <c r="O2233" s="3"/>
      <c r="P2233" s="3"/>
      <c r="Q2233" s="3"/>
      <c r="R2233" s="3"/>
    </row>
    <row r="2234" spans="1:20" ht="14.5" customHeight="1" x14ac:dyDescent="0.2">
      <c r="C2234" s="9"/>
      <c r="D2234" s="9"/>
      <c r="E2234" s="31"/>
      <c r="F2234" s="9"/>
      <c r="G2234" s="9"/>
      <c r="H2234" s="9"/>
      <c r="I2234" s="9"/>
      <c r="J2234" s="9"/>
      <c r="K2234" s="9"/>
      <c r="L2234" s="9"/>
      <c r="M2234" s="9"/>
      <c r="N2234" s="9"/>
      <c r="O2234" s="3"/>
      <c r="P2234" s="3"/>
      <c r="Q2234" s="3"/>
      <c r="R2234" s="3"/>
    </row>
    <row r="2235" spans="1:20" ht="14.5" customHeight="1" x14ac:dyDescent="0.2">
      <c r="C2235" s="9"/>
      <c r="D2235" s="9"/>
      <c r="E2235" s="31"/>
      <c r="F2235" s="9"/>
      <c r="G2235" s="9"/>
      <c r="H2235" s="9"/>
      <c r="I2235" s="9"/>
      <c r="J2235" s="9"/>
      <c r="K2235" s="9"/>
      <c r="L2235" s="9"/>
      <c r="M2235" s="9"/>
      <c r="N2235" s="9"/>
      <c r="O2235" s="3"/>
      <c r="P2235" s="3"/>
      <c r="Q2235" s="3"/>
      <c r="R2235" s="3"/>
    </row>
    <row r="2236" spans="1:20" ht="14.5" customHeight="1" x14ac:dyDescent="0.2">
      <c r="C2236" s="9"/>
      <c r="D2236" s="9"/>
      <c r="E2236" s="31"/>
      <c r="F2236" s="9"/>
      <c r="G2236" s="9"/>
      <c r="H2236" s="9"/>
      <c r="I2236" s="9"/>
      <c r="J2236" s="9"/>
      <c r="K2236" s="9"/>
      <c r="L2236" s="9"/>
      <c r="M2236" s="9"/>
      <c r="N2236" s="9"/>
      <c r="O2236" s="3"/>
      <c r="P2236" s="3"/>
      <c r="Q2236" s="3"/>
      <c r="R2236" s="3"/>
    </row>
    <row r="2237" spans="1:20" ht="14.5" customHeight="1" x14ac:dyDescent="0.15">
      <c r="C2237" s="3"/>
      <c r="D2237" s="3"/>
      <c r="F2237" s="3"/>
      <c r="G2237" s="3"/>
      <c r="H2237" s="3"/>
      <c r="I2237" s="3"/>
      <c r="J2237" s="3"/>
      <c r="K2237" s="3"/>
      <c r="L2237" s="3"/>
      <c r="M2237" s="3"/>
      <c r="N2237" s="3"/>
      <c r="O2237" s="3"/>
      <c r="P2237" s="3"/>
      <c r="Q2237" s="3"/>
      <c r="R2237" s="3"/>
    </row>
    <row r="2238" spans="1:20" ht="14.5" customHeight="1" x14ac:dyDescent="0.15">
      <c r="C2238" s="3"/>
      <c r="D2238" s="3"/>
      <c r="F2238" s="3"/>
      <c r="G2238" s="3"/>
      <c r="H2238" s="3"/>
      <c r="I2238" s="3"/>
      <c r="J2238" s="3"/>
      <c r="K2238" s="3"/>
      <c r="L2238" s="3"/>
      <c r="M2238" s="3"/>
      <c r="N2238" s="3"/>
      <c r="O2238" s="3"/>
      <c r="P2238" s="3"/>
      <c r="Q2238" s="3"/>
      <c r="R2238" s="3"/>
    </row>
    <row r="2239" spans="1:20" ht="14.5" customHeight="1" x14ac:dyDescent="0.15">
      <c r="C2239" s="3"/>
      <c r="D2239" s="3"/>
      <c r="F2239" s="3"/>
      <c r="G2239" s="3"/>
      <c r="H2239" s="3"/>
      <c r="I2239" s="3"/>
      <c r="J2239" s="3"/>
      <c r="K2239" s="3"/>
      <c r="L2239" s="3"/>
      <c r="M2239" s="3"/>
      <c r="N2239" s="3"/>
      <c r="O2239" s="3"/>
      <c r="P2239" s="3"/>
      <c r="Q2239" s="3"/>
      <c r="R2239" s="3"/>
    </row>
    <row r="2240" spans="1:20" ht="14.5" customHeight="1" x14ac:dyDescent="0.15">
      <c r="C2240" s="3"/>
      <c r="D2240" s="3"/>
      <c r="F2240" s="3"/>
      <c r="G2240" s="3"/>
      <c r="H2240" s="3"/>
      <c r="I2240" s="3"/>
      <c r="J2240" s="3"/>
      <c r="K2240" s="3"/>
      <c r="L2240" s="3"/>
      <c r="M2240" s="3"/>
      <c r="N2240" s="3"/>
      <c r="O2240" s="3"/>
      <c r="P2240" s="3"/>
      <c r="Q2240" s="3"/>
      <c r="R2240" s="3"/>
    </row>
    <row r="2241" spans="3:18" ht="14.5" customHeight="1" x14ac:dyDescent="0.15">
      <c r="C2241" s="3"/>
      <c r="D2241" s="3"/>
      <c r="F2241" s="3"/>
      <c r="G2241" s="3"/>
      <c r="H2241" s="3"/>
      <c r="I2241" s="3"/>
      <c r="J2241" s="3"/>
      <c r="K2241" s="3"/>
      <c r="L2241" s="3"/>
      <c r="M2241" s="3"/>
      <c r="N2241" s="3"/>
      <c r="O2241" s="3"/>
      <c r="P2241" s="3"/>
      <c r="Q2241" s="3"/>
      <c r="R2241" s="3"/>
    </row>
    <row r="2242" spans="3:18" ht="14.5" customHeight="1" x14ac:dyDescent="0.15">
      <c r="C2242" s="3"/>
      <c r="D2242" s="3"/>
      <c r="F2242" s="3"/>
      <c r="G2242" s="3"/>
      <c r="H2242" s="3"/>
      <c r="I2242" s="3"/>
      <c r="J2242" s="3"/>
      <c r="K2242" s="3"/>
      <c r="L2242" s="3"/>
      <c r="M2242" s="3"/>
      <c r="N2242" s="3"/>
      <c r="O2242" s="3"/>
      <c r="P2242" s="3"/>
      <c r="Q2242" s="3"/>
      <c r="R2242" s="3"/>
    </row>
    <row r="2243" spans="3:18" ht="14.5" customHeight="1" x14ac:dyDescent="0.15">
      <c r="C2243" s="3"/>
      <c r="D2243" s="3"/>
      <c r="F2243" s="3"/>
      <c r="G2243" s="3"/>
      <c r="H2243" s="3"/>
      <c r="I2243" s="3"/>
      <c r="J2243" s="3"/>
      <c r="K2243" s="3"/>
      <c r="L2243" s="3"/>
      <c r="M2243" s="3"/>
      <c r="N2243" s="3"/>
      <c r="O2243" s="3"/>
      <c r="P2243" s="3"/>
      <c r="Q2243" s="3"/>
      <c r="R2243" s="3"/>
    </row>
    <row r="2244" spans="3:18" ht="14.5" customHeight="1" x14ac:dyDescent="0.15">
      <c r="C2244" s="3"/>
      <c r="D2244" s="3"/>
      <c r="F2244" s="3"/>
      <c r="G2244" s="3"/>
      <c r="H2244" s="3"/>
      <c r="I2244" s="3"/>
      <c r="J2244" s="3"/>
      <c r="K2244" s="3"/>
      <c r="L2244" s="3"/>
      <c r="M2244" s="3"/>
      <c r="N2244" s="3"/>
      <c r="O2244" s="3"/>
      <c r="P2244" s="3"/>
      <c r="Q2244" s="3"/>
      <c r="R2244" s="3"/>
    </row>
    <row r="2245" spans="3:18" ht="14.5" customHeight="1" x14ac:dyDescent="0.15">
      <c r="C2245" s="3"/>
      <c r="D2245" s="3"/>
      <c r="F2245" s="3"/>
      <c r="G2245" s="3"/>
      <c r="H2245" s="3"/>
      <c r="I2245" s="3"/>
      <c r="J2245" s="3"/>
      <c r="K2245" s="3"/>
      <c r="L2245" s="3"/>
      <c r="M2245" s="3"/>
      <c r="N2245" s="3"/>
      <c r="O2245" s="3"/>
      <c r="P2245" s="3"/>
      <c r="Q2245" s="3"/>
      <c r="R2245" s="3"/>
    </row>
    <row r="2246" spans="3:18" ht="14.5" customHeight="1" x14ac:dyDescent="0.15">
      <c r="C2246" s="3"/>
      <c r="D2246" s="3"/>
      <c r="F2246" s="3"/>
      <c r="G2246" s="3"/>
      <c r="H2246" s="3"/>
      <c r="I2246" s="3"/>
      <c r="J2246" s="3"/>
      <c r="K2246" s="3"/>
      <c r="L2246" s="3"/>
      <c r="M2246" s="3"/>
      <c r="N2246" s="3"/>
      <c r="O2246" s="3"/>
      <c r="P2246" s="3"/>
      <c r="Q2246" s="3"/>
      <c r="R2246" s="3"/>
    </row>
    <row r="2247" spans="3:18" ht="14.5" customHeight="1" x14ac:dyDescent="0.15">
      <c r="C2247" s="3"/>
      <c r="D2247" s="3"/>
      <c r="F2247" s="3"/>
      <c r="G2247" s="3"/>
      <c r="H2247" s="3"/>
      <c r="I2247" s="3"/>
      <c r="J2247" s="3"/>
      <c r="K2247" s="3"/>
      <c r="L2247" s="3"/>
      <c r="M2247" s="3"/>
      <c r="N2247" s="3"/>
      <c r="O2247" s="3"/>
      <c r="P2247" s="3"/>
      <c r="Q2247" s="3"/>
      <c r="R2247" s="3"/>
    </row>
    <row r="2248" spans="3:18" ht="14.5" customHeight="1" x14ac:dyDescent="0.15">
      <c r="C2248" s="3"/>
      <c r="D2248" s="3"/>
      <c r="F2248" s="3"/>
      <c r="G2248" s="3"/>
      <c r="H2248" s="3"/>
      <c r="I2248" s="3"/>
      <c r="J2248" s="3"/>
      <c r="K2248" s="3"/>
      <c r="L2248" s="3"/>
      <c r="M2248" s="3"/>
      <c r="N2248" s="3"/>
      <c r="O2248" s="3"/>
      <c r="P2248" s="3"/>
      <c r="Q2248" s="3"/>
      <c r="R2248" s="3"/>
    </row>
    <row r="2249" spans="3:18" ht="14.5" customHeight="1" x14ac:dyDescent="0.15">
      <c r="C2249" s="3"/>
      <c r="D2249" s="3"/>
      <c r="F2249" s="3"/>
      <c r="G2249" s="3"/>
      <c r="H2249" s="3"/>
      <c r="I2249" s="3"/>
      <c r="J2249" s="3"/>
      <c r="K2249" s="3"/>
      <c r="L2249" s="3"/>
      <c r="M2249" s="3"/>
      <c r="N2249" s="3"/>
      <c r="O2249" s="3"/>
      <c r="P2249" s="3"/>
      <c r="Q2249" s="3"/>
      <c r="R2249" s="3"/>
    </row>
    <row r="2250" spans="3:18" ht="14.5" customHeight="1" x14ac:dyDescent="0.15">
      <c r="C2250" s="3"/>
      <c r="D2250" s="3"/>
      <c r="F2250" s="3"/>
      <c r="G2250" s="3"/>
      <c r="H2250" s="3"/>
      <c r="I2250" s="3"/>
      <c r="J2250" s="3"/>
      <c r="K2250" s="3"/>
      <c r="L2250" s="3"/>
      <c r="M2250" s="3"/>
      <c r="N2250" s="3"/>
      <c r="O2250" s="3"/>
      <c r="P2250" s="3"/>
      <c r="Q2250" s="3"/>
      <c r="R2250" s="3"/>
    </row>
    <row r="2251" spans="3:18" ht="14.5" customHeight="1" x14ac:dyDescent="0.15">
      <c r="C2251" s="3"/>
      <c r="D2251" s="3"/>
      <c r="F2251" s="3"/>
      <c r="G2251" s="3"/>
      <c r="H2251" s="3"/>
      <c r="I2251" s="3"/>
      <c r="J2251" s="3"/>
      <c r="K2251" s="3"/>
      <c r="L2251" s="3"/>
      <c r="M2251" s="3"/>
      <c r="N2251" s="3"/>
      <c r="O2251" s="3"/>
      <c r="P2251" s="3"/>
      <c r="Q2251" s="3"/>
      <c r="R2251" s="3"/>
    </row>
    <row r="2252" spans="3:18" ht="14.5" customHeight="1" x14ac:dyDescent="0.15">
      <c r="C2252" s="3"/>
      <c r="D2252" s="3"/>
      <c r="F2252" s="3"/>
      <c r="G2252" s="3"/>
      <c r="H2252" s="3"/>
      <c r="I2252" s="3"/>
      <c r="J2252" s="3"/>
      <c r="K2252" s="3"/>
      <c r="L2252" s="3"/>
      <c r="M2252" s="3"/>
      <c r="N2252" s="3"/>
      <c r="O2252" s="3"/>
      <c r="P2252" s="3"/>
      <c r="Q2252" s="3"/>
      <c r="R2252" s="3"/>
    </row>
    <row r="2253" spans="3:18" ht="14.5" customHeight="1" x14ac:dyDescent="0.15">
      <c r="C2253" s="3"/>
      <c r="D2253" s="3"/>
      <c r="F2253" s="3"/>
      <c r="G2253" s="3"/>
      <c r="H2253" s="3"/>
      <c r="I2253" s="3"/>
      <c r="J2253" s="3"/>
      <c r="K2253" s="3"/>
      <c r="L2253" s="3"/>
      <c r="M2253" s="3"/>
      <c r="N2253" s="3"/>
      <c r="O2253" s="3"/>
      <c r="P2253" s="3"/>
      <c r="Q2253" s="3"/>
      <c r="R2253" s="3"/>
    </row>
    <row r="2254" spans="3:18" ht="14.5" customHeight="1" x14ac:dyDescent="0.15">
      <c r="C2254" s="3"/>
      <c r="D2254" s="3"/>
      <c r="F2254" s="3"/>
      <c r="G2254" s="3"/>
      <c r="H2254" s="3"/>
      <c r="I2254" s="3"/>
      <c r="J2254" s="3"/>
      <c r="K2254" s="3"/>
      <c r="L2254" s="3"/>
      <c r="M2254" s="3"/>
      <c r="N2254" s="3"/>
      <c r="O2254" s="3"/>
      <c r="P2254" s="3"/>
      <c r="Q2254" s="3"/>
      <c r="R2254" s="3"/>
    </row>
    <row r="2255" spans="3:18" ht="14.5" customHeight="1" x14ac:dyDescent="0.15">
      <c r="C2255" s="3"/>
      <c r="D2255" s="3"/>
      <c r="F2255" s="3"/>
      <c r="G2255" s="3"/>
      <c r="H2255" s="3"/>
      <c r="I2255" s="3"/>
      <c r="J2255" s="3"/>
      <c r="K2255" s="3"/>
      <c r="L2255" s="3"/>
      <c r="M2255" s="3"/>
      <c r="N2255" s="3"/>
      <c r="O2255" s="3"/>
      <c r="P2255" s="3"/>
      <c r="Q2255" s="3"/>
      <c r="R2255" s="3"/>
    </row>
    <row r="2256" spans="3:18" ht="14.5" customHeight="1" x14ac:dyDescent="0.15">
      <c r="C2256" s="3"/>
      <c r="D2256" s="3"/>
      <c r="F2256" s="3"/>
      <c r="G2256" s="3"/>
      <c r="H2256" s="3"/>
      <c r="I2256" s="3"/>
      <c r="J2256" s="3"/>
      <c r="K2256" s="3"/>
      <c r="L2256" s="3"/>
      <c r="M2256" s="3"/>
      <c r="N2256" s="3"/>
      <c r="O2256" s="3"/>
      <c r="P2256" s="3"/>
      <c r="Q2256" s="3"/>
      <c r="R2256" s="3"/>
    </row>
    <row r="2257" spans="3:18" ht="14.5" customHeight="1" x14ac:dyDescent="0.15">
      <c r="C2257" s="3"/>
      <c r="D2257" s="3"/>
      <c r="F2257" s="3"/>
      <c r="G2257" s="3"/>
      <c r="H2257" s="3"/>
      <c r="I2257" s="3"/>
      <c r="J2257" s="3"/>
      <c r="K2257" s="3"/>
      <c r="L2257" s="3"/>
      <c r="M2257" s="3"/>
      <c r="N2257" s="3"/>
      <c r="O2257" s="3"/>
      <c r="P2257" s="3"/>
      <c r="Q2257" s="3"/>
      <c r="R2257" s="3"/>
    </row>
    <row r="2258" spans="3:18" ht="14.5" customHeight="1" x14ac:dyDescent="0.15">
      <c r="C2258" s="3"/>
      <c r="D2258" s="3"/>
      <c r="F2258" s="3"/>
      <c r="G2258" s="3"/>
      <c r="H2258" s="3"/>
      <c r="I2258" s="3"/>
      <c r="J2258" s="3"/>
      <c r="K2258" s="3"/>
      <c r="L2258" s="3"/>
      <c r="M2258" s="3"/>
      <c r="N2258" s="3"/>
      <c r="O2258" s="3"/>
      <c r="P2258" s="3"/>
      <c r="Q2258" s="3"/>
      <c r="R2258" s="3"/>
    </row>
    <row r="2259" spans="3:18" ht="14.5" customHeight="1" x14ac:dyDescent="0.15">
      <c r="C2259" s="3"/>
      <c r="D2259" s="3"/>
      <c r="F2259" s="3"/>
      <c r="G2259" s="3"/>
      <c r="H2259" s="3"/>
      <c r="I2259" s="3"/>
      <c r="J2259" s="3"/>
      <c r="K2259" s="3"/>
      <c r="L2259" s="3"/>
      <c r="M2259" s="3"/>
      <c r="N2259" s="3"/>
      <c r="O2259" s="3"/>
      <c r="P2259" s="3"/>
      <c r="Q2259" s="3"/>
      <c r="R2259" s="3"/>
    </row>
    <row r="2260" spans="3:18" ht="14.5" customHeight="1" x14ac:dyDescent="0.15">
      <c r="C2260" s="3"/>
      <c r="D2260" s="3"/>
      <c r="F2260" s="3"/>
      <c r="G2260" s="3"/>
      <c r="H2260" s="3"/>
      <c r="I2260" s="3"/>
      <c r="J2260" s="3"/>
      <c r="K2260" s="3"/>
      <c r="L2260" s="3"/>
      <c r="M2260" s="3"/>
      <c r="N2260" s="3"/>
      <c r="O2260" s="3"/>
      <c r="P2260" s="3"/>
      <c r="Q2260" s="3"/>
      <c r="R2260" s="3"/>
    </row>
    <row r="2261" spans="3:18" ht="14.5" customHeight="1" x14ac:dyDescent="0.15">
      <c r="C2261" s="3"/>
      <c r="D2261" s="3"/>
      <c r="F2261" s="3"/>
      <c r="G2261" s="3"/>
      <c r="H2261" s="3"/>
      <c r="I2261" s="3"/>
      <c r="J2261" s="3"/>
      <c r="K2261" s="3"/>
      <c r="L2261" s="3"/>
      <c r="M2261" s="3"/>
      <c r="N2261" s="3"/>
      <c r="O2261" s="3"/>
      <c r="P2261" s="3"/>
      <c r="Q2261" s="3"/>
      <c r="R2261" s="3"/>
    </row>
    <row r="2262" spans="3:18" ht="14.5" customHeight="1" x14ac:dyDescent="0.15">
      <c r="C2262" s="3"/>
      <c r="D2262" s="3"/>
      <c r="F2262" s="3"/>
      <c r="G2262" s="3"/>
      <c r="H2262" s="3"/>
      <c r="I2262" s="3"/>
      <c r="J2262" s="3"/>
      <c r="K2262" s="3"/>
      <c r="L2262" s="3"/>
      <c r="M2262" s="3"/>
      <c r="N2262" s="3"/>
      <c r="O2262" s="3"/>
      <c r="P2262" s="3"/>
      <c r="Q2262" s="3"/>
      <c r="R2262" s="3"/>
    </row>
    <row r="2263" spans="3:18" ht="14.5" customHeight="1" x14ac:dyDescent="0.15">
      <c r="C2263" s="3"/>
      <c r="D2263" s="3"/>
      <c r="F2263" s="3"/>
      <c r="G2263" s="3"/>
      <c r="H2263" s="3"/>
      <c r="I2263" s="3"/>
      <c r="J2263" s="3"/>
      <c r="K2263" s="3"/>
      <c r="L2263" s="3"/>
      <c r="M2263" s="3"/>
      <c r="N2263" s="3"/>
      <c r="O2263" s="3"/>
      <c r="P2263" s="3"/>
      <c r="Q2263" s="3"/>
      <c r="R2263" s="3"/>
    </row>
    <row r="2264" spans="3:18" ht="14.5" customHeight="1" x14ac:dyDescent="0.15">
      <c r="C2264" s="3"/>
      <c r="D2264" s="3"/>
      <c r="F2264" s="3"/>
      <c r="G2264" s="3"/>
      <c r="H2264" s="3"/>
      <c r="I2264" s="3"/>
      <c r="J2264" s="3"/>
      <c r="K2264" s="3"/>
      <c r="L2264" s="3"/>
      <c r="M2264" s="3"/>
      <c r="N2264" s="3"/>
      <c r="O2264" s="3"/>
      <c r="P2264" s="3"/>
      <c r="Q2264" s="3"/>
      <c r="R2264" s="3"/>
    </row>
    <row r="2265" spans="3:18" ht="14.5" customHeight="1" x14ac:dyDescent="0.15">
      <c r="C2265" s="3"/>
      <c r="D2265" s="3"/>
      <c r="F2265" s="3"/>
      <c r="G2265" s="3"/>
      <c r="H2265" s="3"/>
      <c r="I2265" s="3"/>
      <c r="J2265" s="3"/>
      <c r="K2265" s="3"/>
      <c r="L2265" s="3"/>
      <c r="M2265" s="3"/>
      <c r="N2265" s="3"/>
      <c r="O2265" s="3"/>
      <c r="P2265" s="3"/>
      <c r="Q2265" s="3"/>
      <c r="R2265" s="3"/>
    </row>
    <row r="2266" spans="3:18" ht="14.5" customHeight="1" x14ac:dyDescent="0.15">
      <c r="C2266" s="3"/>
      <c r="D2266" s="3"/>
      <c r="F2266" s="3"/>
      <c r="G2266" s="3"/>
      <c r="H2266" s="3"/>
      <c r="I2266" s="3"/>
      <c r="J2266" s="3"/>
      <c r="K2266" s="3"/>
      <c r="L2266" s="3"/>
      <c r="M2266" s="3"/>
      <c r="N2266" s="3"/>
      <c r="O2266" s="3"/>
      <c r="P2266" s="3"/>
      <c r="Q2266" s="3"/>
      <c r="R2266" s="3"/>
    </row>
    <row r="2267" spans="3:18" ht="14.5" customHeight="1" x14ac:dyDescent="0.15">
      <c r="C2267" s="3"/>
      <c r="D2267" s="3"/>
      <c r="F2267" s="3"/>
      <c r="G2267" s="3"/>
      <c r="H2267" s="3"/>
      <c r="I2267" s="3"/>
      <c r="J2267" s="3"/>
      <c r="K2267" s="3"/>
      <c r="L2267" s="3"/>
      <c r="M2267" s="3"/>
      <c r="N2267" s="3"/>
      <c r="O2267" s="3"/>
      <c r="P2267" s="3"/>
      <c r="Q2267" s="3"/>
      <c r="R2267" s="3"/>
    </row>
    <row r="2268" spans="3:18" ht="14.5" customHeight="1" x14ac:dyDescent="0.15">
      <c r="C2268" s="3"/>
      <c r="D2268" s="3"/>
      <c r="F2268" s="3"/>
      <c r="G2268" s="3"/>
      <c r="H2268" s="3"/>
      <c r="I2268" s="3"/>
      <c r="J2268" s="3"/>
      <c r="K2268" s="3"/>
      <c r="L2268" s="3"/>
      <c r="M2268" s="3"/>
      <c r="N2268" s="3"/>
      <c r="O2268" s="3"/>
      <c r="P2268" s="3"/>
      <c r="Q2268" s="3"/>
      <c r="R2268" s="3"/>
    </row>
    <row r="2269" spans="3:18" ht="14.5" customHeight="1" x14ac:dyDescent="0.15">
      <c r="C2269" s="3"/>
      <c r="D2269" s="3"/>
      <c r="F2269" s="3"/>
      <c r="G2269" s="3"/>
      <c r="H2269" s="3"/>
      <c r="I2269" s="3"/>
      <c r="J2269" s="3"/>
      <c r="K2269" s="3"/>
      <c r="L2269" s="3"/>
      <c r="M2269" s="3"/>
      <c r="N2269" s="3"/>
      <c r="O2269" s="3"/>
      <c r="P2269" s="3"/>
      <c r="Q2269" s="3"/>
      <c r="R2269" s="3"/>
    </row>
    <row r="2270" spans="3:18" ht="14.5" customHeight="1" x14ac:dyDescent="0.15">
      <c r="C2270" s="3"/>
      <c r="D2270" s="3"/>
      <c r="F2270" s="3"/>
      <c r="G2270" s="3"/>
      <c r="H2270" s="3"/>
      <c r="I2270" s="3"/>
      <c r="J2270" s="3"/>
      <c r="K2270" s="3"/>
      <c r="L2270" s="3"/>
      <c r="M2270" s="3"/>
      <c r="N2270" s="3"/>
      <c r="O2270" s="3"/>
      <c r="P2270" s="3"/>
      <c r="Q2270" s="3"/>
      <c r="R2270" s="3"/>
    </row>
    <row r="2271" spans="3:18" ht="14.5" customHeight="1" x14ac:dyDescent="0.15">
      <c r="C2271" s="3"/>
      <c r="D2271" s="3"/>
      <c r="F2271" s="3"/>
      <c r="G2271" s="3"/>
      <c r="H2271" s="3"/>
      <c r="I2271" s="3"/>
      <c r="J2271" s="3"/>
      <c r="K2271" s="3"/>
      <c r="L2271" s="3"/>
      <c r="M2271" s="3"/>
      <c r="N2271" s="3"/>
      <c r="O2271" s="3"/>
      <c r="P2271" s="3"/>
      <c r="Q2271" s="3"/>
      <c r="R2271" s="3"/>
    </row>
    <row r="2272" spans="3:18" ht="14.5" customHeight="1" x14ac:dyDescent="0.15">
      <c r="C2272" s="3"/>
      <c r="D2272" s="3"/>
      <c r="F2272" s="3"/>
      <c r="G2272" s="3"/>
      <c r="H2272" s="3"/>
      <c r="I2272" s="3"/>
      <c r="J2272" s="3"/>
      <c r="K2272" s="3"/>
      <c r="L2272" s="3"/>
      <c r="M2272" s="3"/>
      <c r="N2272" s="3"/>
      <c r="O2272" s="3"/>
      <c r="P2272" s="3"/>
      <c r="Q2272" s="3"/>
      <c r="R2272" s="3"/>
    </row>
    <row r="2273" spans="3:18" ht="14.5" customHeight="1" x14ac:dyDescent="0.15">
      <c r="C2273" s="3"/>
      <c r="D2273" s="3"/>
      <c r="F2273" s="3"/>
      <c r="G2273" s="3"/>
      <c r="H2273" s="3"/>
      <c r="I2273" s="3"/>
      <c r="J2273" s="3"/>
      <c r="K2273" s="3"/>
      <c r="L2273" s="3"/>
      <c r="M2273" s="3"/>
      <c r="N2273" s="3"/>
      <c r="O2273" s="3"/>
      <c r="P2273" s="3"/>
      <c r="Q2273" s="3"/>
      <c r="R2273" s="3"/>
    </row>
    <row r="2274" spans="3:18" ht="14.5" customHeight="1" x14ac:dyDescent="0.15">
      <c r="C2274" s="3"/>
      <c r="D2274" s="3"/>
      <c r="F2274" s="3"/>
      <c r="G2274" s="3"/>
      <c r="H2274" s="3"/>
      <c r="I2274" s="3"/>
      <c r="J2274" s="3"/>
      <c r="K2274" s="3"/>
      <c r="L2274" s="3"/>
      <c r="M2274" s="3"/>
      <c r="N2274" s="3"/>
      <c r="O2274" s="3"/>
      <c r="P2274" s="3"/>
      <c r="Q2274" s="3"/>
      <c r="R2274" s="3"/>
    </row>
    <row r="2275" spans="3:18" ht="14.5" customHeight="1" x14ac:dyDescent="0.15">
      <c r="C2275" s="3"/>
      <c r="D2275" s="3"/>
      <c r="F2275" s="3"/>
      <c r="G2275" s="3"/>
      <c r="H2275" s="3"/>
      <c r="I2275" s="3"/>
      <c r="J2275" s="3"/>
      <c r="K2275" s="3"/>
      <c r="L2275" s="3"/>
      <c r="M2275" s="3"/>
      <c r="N2275" s="3"/>
      <c r="O2275" s="3"/>
      <c r="P2275" s="3"/>
      <c r="Q2275" s="3"/>
      <c r="R2275" s="3"/>
    </row>
    <row r="2276" spans="3:18" ht="14.5" customHeight="1" x14ac:dyDescent="0.15">
      <c r="C2276" s="3"/>
      <c r="D2276" s="3"/>
      <c r="F2276" s="3"/>
      <c r="G2276" s="3"/>
      <c r="H2276" s="3"/>
      <c r="I2276" s="3"/>
      <c r="J2276" s="3"/>
      <c r="K2276" s="3"/>
      <c r="L2276" s="3"/>
      <c r="M2276" s="3"/>
      <c r="N2276" s="3"/>
      <c r="O2276" s="3"/>
      <c r="P2276" s="3"/>
      <c r="Q2276" s="3"/>
      <c r="R2276" s="3"/>
    </row>
    <row r="2277" spans="3:18" ht="14.5" customHeight="1" x14ac:dyDescent="0.15">
      <c r="C2277" s="3"/>
      <c r="D2277" s="3"/>
      <c r="F2277" s="3"/>
      <c r="G2277" s="3"/>
      <c r="H2277" s="3"/>
      <c r="I2277" s="3"/>
      <c r="J2277" s="3"/>
      <c r="K2277" s="3"/>
      <c r="L2277" s="3"/>
      <c r="M2277" s="3"/>
      <c r="N2277" s="3"/>
      <c r="O2277" s="3"/>
      <c r="P2277" s="3"/>
      <c r="Q2277" s="3"/>
      <c r="R2277" s="3"/>
    </row>
    <row r="2278" spans="3:18" ht="14.5" customHeight="1" x14ac:dyDescent="0.15">
      <c r="C2278" s="3"/>
      <c r="D2278" s="3"/>
      <c r="F2278" s="3"/>
      <c r="G2278" s="3"/>
      <c r="H2278" s="3"/>
      <c r="I2278" s="3"/>
      <c r="J2278" s="3"/>
      <c r="K2278" s="3"/>
      <c r="L2278" s="3"/>
      <c r="M2278" s="3"/>
      <c r="N2278" s="3"/>
      <c r="O2278" s="3"/>
      <c r="P2278" s="3"/>
      <c r="Q2278" s="3"/>
      <c r="R2278" s="3"/>
    </row>
    <row r="2279" spans="3:18" ht="14.5" customHeight="1" x14ac:dyDescent="0.15">
      <c r="C2279" s="3"/>
      <c r="D2279" s="3"/>
      <c r="F2279" s="3"/>
      <c r="G2279" s="3"/>
      <c r="H2279" s="3"/>
      <c r="I2279" s="3"/>
      <c r="J2279" s="3"/>
      <c r="K2279" s="3"/>
      <c r="L2279" s="3"/>
      <c r="M2279" s="3"/>
      <c r="N2279" s="3"/>
      <c r="O2279" s="3"/>
      <c r="P2279" s="3"/>
      <c r="Q2279" s="3"/>
      <c r="R2279" s="3"/>
    </row>
    <row r="2280" spans="3:18" ht="14.5" customHeight="1" x14ac:dyDescent="0.15">
      <c r="C2280" s="3"/>
      <c r="D2280" s="3"/>
      <c r="F2280" s="3"/>
      <c r="G2280" s="3"/>
      <c r="H2280" s="3"/>
      <c r="I2280" s="3"/>
      <c r="J2280" s="3"/>
      <c r="K2280" s="3"/>
      <c r="L2280" s="3"/>
      <c r="M2280" s="3"/>
      <c r="N2280" s="3"/>
      <c r="O2280" s="3"/>
      <c r="P2280" s="3"/>
      <c r="Q2280" s="3"/>
      <c r="R2280" s="3"/>
    </row>
    <row r="2281" spans="3:18" ht="14.5" customHeight="1" x14ac:dyDescent="0.15">
      <c r="C2281" s="3"/>
      <c r="D2281" s="3"/>
      <c r="F2281" s="3"/>
      <c r="G2281" s="3"/>
      <c r="H2281" s="3"/>
      <c r="I2281" s="3"/>
      <c r="J2281" s="3"/>
      <c r="K2281" s="3"/>
      <c r="L2281" s="3"/>
      <c r="M2281" s="3"/>
      <c r="N2281" s="3"/>
      <c r="O2281" s="3"/>
      <c r="P2281" s="3"/>
      <c r="Q2281" s="3"/>
      <c r="R2281" s="3"/>
    </row>
    <row r="2282" spans="3:18" ht="14.5" customHeight="1" x14ac:dyDescent="0.15">
      <c r="C2282" s="3"/>
      <c r="D2282" s="3"/>
      <c r="F2282" s="3"/>
      <c r="G2282" s="3"/>
      <c r="H2282" s="3"/>
      <c r="I2282" s="3"/>
      <c r="J2282" s="3"/>
      <c r="K2282" s="3"/>
      <c r="L2282" s="3"/>
      <c r="M2282" s="3"/>
      <c r="N2282" s="3"/>
      <c r="O2282" s="3"/>
      <c r="P2282" s="3"/>
      <c r="Q2282" s="3"/>
      <c r="R2282" s="3"/>
    </row>
    <row r="2283" spans="3:18" ht="14.5" customHeight="1" x14ac:dyDescent="0.15">
      <c r="C2283" s="3"/>
      <c r="D2283" s="3"/>
      <c r="F2283" s="3"/>
      <c r="G2283" s="3"/>
      <c r="H2283" s="3"/>
      <c r="I2283" s="3"/>
      <c r="J2283" s="3"/>
      <c r="K2283" s="3"/>
      <c r="L2283" s="3"/>
      <c r="M2283" s="3"/>
      <c r="N2283" s="3"/>
      <c r="O2283" s="3"/>
      <c r="P2283" s="3"/>
      <c r="Q2283" s="3"/>
      <c r="R2283" s="3"/>
    </row>
    <row r="2284" spans="3:18" ht="14.5" customHeight="1" x14ac:dyDescent="0.15">
      <c r="C2284" s="3"/>
      <c r="D2284" s="3"/>
      <c r="F2284" s="3"/>
      <c r="G2284" s="3"/>
      <c r="H2284" s="3"/>
      <c r="I2284" s="3"/>
      <c r="J2284" s="3"/>
      <c r="K2284" s="3"/>
      <c r="L2284" s="3"/>
      <c r="M2284" s="3"/>
      <c r="N2284" s="3"/>
      <c r="O2284" s="3"/>
      <c r="P2284" s="3"/>
      <c r="Q2284" s="3"/>
      <c r="R2284" s="3"/>
    </row>
    <row r="2285" spans="3:18" ht="14.5" customHeight="1" x14ac:dyDescent="0.15">
      <c r="C2285" s="3"/>
      <c r="D2285" s="3"/>
      <c r="F2285" s="3"/>
      <c r="G2285" s="3"/>
      <c r="H2285" s="3"/>
      <c r="I2285" s="3"/>
      <c r="J2285" s="3"/>
      <c r="K2285" s="3"/>
      <c r="L2285" s="3"/>
      <c r="M2285" s="3"/>
      <c r="N2285" s="3"/>
      <c r="O2285" s="3"/>
      <c r="P2285" s="3"/>
      <c r="Q2285" s="3"/>
      <c r="R2285" s="3"/>
    </row>
    <row r="2286" spans="3:18" ht="14.5" customHeight="1" x14ac:dyDescent="0.15">
      <c r="C2286" s="3"/>
      <c r="D2286" s="3"/>
      <c r="F2286" s="3"/>
      <c r="G2286" s="3"/>
      <c r="H2286" s="3"/>
      <c r="I2286" s="3"/>
      <c r="J2286" s="3"/>
      <c r="K2286" s="3"/>
      <c r="L2286" s="3"/>
      <c r="M2286" s="3"/>
      <c r="N2286" s="3"/>
      <c r="O2286" s="3"/>
      <c r="P2286" s="3"/>
      <c r="Q2286" s="3"/>
      <c r="R2286" s="3"/>
    </row>
    <row r="2287" spans="3:18" ht="14.5" customHeight="1" x14ac:dyDescent="0.15">
      <c r="C2287" s="3"/>
      <c r="D2287" s="3"/>
      <c r="F2287" s="3"/>
      <c r="G2287" s="3"/>
      <c r="H2287" s="3"/>
      <c r="I2287" s="3"/>
      <c r="J2287" s="3"/>
      <c r="K2287" s="3"/>
      <c r="L2287" s="3"/>
      <c r="M2287" s="3"/>
      <c r="N2287" s="3"/>
      <c r="O2287" s="3"/>
      <c r="P2287" s="3"/>
      <c r="Q2287" s="3"/>
      <c r="R2287" s="3"/>
    </row>
    <row r="2288" spans="3:18" ht="14.5" customHeight="1" x14ac:dyDescent="0.15">
      <c r="C2288" s="3"/>
      <c r="D2288" s="3"/>
      <c r="F2288" s="3"/>
      <c r="G2288" s="3"/>
      <c r="H2288" s="3"/>
      <c r="I2288" s="3"/>
      <c r="J2288" s="3"/>
      <c r="K2288" s="3"/>
      <c r="L2288" s="3"/>
      <c r="M2288" s="3"/>
      <c r="N2288" s="3"/>
      <c r="O2288" s="3"/>
      <c r="P2288" s="3"/>
      <c r="Q2288" s="3"/>
      <c r="R2288" s="3"/>
    </row>
    <row r="2289" spans="1:148" ht="14.5" customHeight="1" x14ac:dyDescent="0.15">
      <c r="C2289" s="3"/>
      <c r="D2289" s="3"/>
      <c r="F2289" s="3"/>
      <c r="G2289" s="3"/>
      <c r="H2289" s="3"/>
      <c r="I2289" s="3"/>
      <c r="J2289" s="3"/>
      <c r="K2289" s="3"/>
      <c r="L2289" s="3"/>
      <c r="M2289" s="3"/>
      <c r="N2289" s="3"/>
      <c r="O2289" s="3"/>
      <c r="P2289" s="3"/>
      <c r="Q2289" s="3"/>
      <c r="R2289" s="3"/>
    </row>
    <row r="2290" spans="1:148" x14ac:dyDescent="0.15">
      <c r="C2290" s="3"/>
      <c r="D2290" s="3"/>
      <c r="F2290" s="3"/>
      <c r="G2290" s="3"/>
      <c r="H2290" s="3"/>
      <c r="I2290" s="3"/>
      <c r="J2290" s="3"/>
      <c r="K2290" s="3"/>
      <c r="L2290" s="3"/>
      <c r="M2290" s="3"/>
      <c r="N2290" s="3"/>
      <c r="O2290" s="3"/>
      <c r="P2290" s="3"/>
      <c r="Q2290" s="3"/>
      <c r="R2290" s="3"/>
    </row>
    <row r="2291" spans="1:148" x14ac:dyDescent="0.15">
      <c r="C2291" s="3"/>
      <c r="D2291" s="3"/>
      <c r="F2291" s="3"/>
      <c r="G2291" s="3"/>
      <c r="H2291" s="3"/>
      <c r="I2291" s="3"/>
      <c r="J2291" s="3"/>
      <c r="K2291" s="3"/>
      <c r="L2291" s="3"/>
      <c r="M2291" s="3"/>
      <c r="N2291" s="3"/>
      <c r="O2291" s="3"/>
      <c r="P2291" s="3"/>
      <c r="Q2291" s="3"/>
      <c r="R2291" s="3"/>
    </row>
    <row r="2292" spans="1:148" x14ac:dyDescent="0.15">
      <c r="C2292" s="3"/>
      <c r="D2292" s="3"/>
      <c r="F2292" s="3"/>
      <c r="G2292" s="3"/>
      <c r="H2292" s="3"/>
      <c r="I2292" s="3"/>
      <c r="J2292" s="3"/>
      <c r="K2292" s="3"/>
      <c r="L2292" s="3"/>
      <c r="M2292" s="3"/>
      <c r="N2292" s="3"/>
      <c r="O2292" s="3"/>
      <c r="P2292" s="3"/>
      <c r="Q2292" s="3"/>
      <c r="R2292" s="3"/>
    </row>
    <row r="2293" spans="1:148" x14ac:dyDescent="0.15">
      <c r="C2293" s="3"/>
      <c r="D2293" s="3"/>
      <c r="F2293" s="3"/>
      <c r="G2293" s="3"/>
      <c r="H2293" s="3"/>
      <c r="I2293" s="3"/>
      <c r="J2293" s="3"/>
      <c r="K2293" s="3"/>
      <c r="L2293" s="3"/>
      <c r="M2293" s="3"/>
      <c r="N2293" s="3"/>
      <c r="O2293" s="3"/>
      <c r="P2293" s="3"/>
      <c r="Q2293" s="3"/>
      <c r="R2293" s="3"/>
    </row>
    <row r="2294" spans="1:148" x14ac:dyDescent="0.15">
      <c r="C2294" s="3"/>
      <c r="D2294" s="3"/>
      <c r="F2294" s="3"/>
      <c r="G2294" s="3"/>
      <c r="H2294" s="3"/>
      <c r="I2294" s="3"/>
      <c r="J2294" s="3"/>
      <c r="K2294" s="3"/>
      <c r="L2294" s="3"/>
      <c r="M2294" s="3"/>
      <c r="N2294" s="3"/>
      <c r="O2294" s="3"/>
      <c r="P2294" s="3"/>
      <c r="Q2294" s="3"/>
      <c r="R2294" s="3"/>
    </row>
    <row r="2295" spans="1:148" x14ac:dyDescent="0.15">
      <c r="C2295" s="3"/>
      <c r="D2295" s="3"/>
      <c r="F2295" s="3"/>
      <c r="G2295" s="3"/>
      <c r="H2295" s="3"/>
      <c r="I2295" s="3"/>
      <c r="J2295" s="3"/>
      <c r="K2295" s="3"/>
      <c r="L2295" s="3"/>
      <c r="M2295" s="3"/>
      <c r="N2295" s="3"/>
      <c r="O2295" s="3"/>
      <c r="P2295" s="3"/>
      <c r="Q2295" s="3"/>
      <c r="R2295" s="3"/>
    </row>
    <row r="2296" spans="1:148" x14ac:dyDescent="0.15">
      <c r="C2296" s="3"/>
      <c r="D2296" s="3"/>
      <c r="F2296" s="3"/>
      <c r="G2296" s="3"/>
      <c r="H2296" s="3"/>
      <c r="I2296" s="3"/>
      <c r="J2296" s="3"/>
      <c r="K2296" s="3"/>
      <c r="L2296" s="3"/>
      <c r="M2296" s="3"/>
      <c r="N2296" s="3"/>
      <c r="O2296" s="3"/>
      <c r="P2296" s="3"/>
      <c r="Q2296" s="3"/>
      <c r="R2296" s="3"/>
    </row>
    <row r="2297" spans="1:148" x14ac:dyDescent="0.15">
      <c r="C2297" s="3"/>
      <c r="D2297" s="3"/>
      <c r="F2297" s="3"/>
      <c r="G2297" s="3"/>
      <c r="H2297" s="3"/>
      <c r="I2297" s="3"/>
      <c r="J2297" s="3"/>
      <c r="K2297" s="3"/>
      <c r="L2297" s="3"/>
      <c r="M2297" s="3"/>
      <c r="N2297" s="3"/>
      <c r="O2297" s="3"/>
      <c r="P2297" s="3"/>
      <c r="Q2297" s="3"/>
      <c r="R2297" s="3"/>
    </row>
    <row r="2298" spans="1:148" x14ac:dyDescent="0.15">
      <c r="C2298" s="3"/>
      <c r="D2298" s="3"/>
      <c r="F2298" s="3"/>
      <c r="G2298" s="3"/>
      <c r="H2298" s="3"/>
      <c r="I2298" s="3"/>
      <c r="J2298" s="3"/>
      <c r="K2298" s="3"/>
      <c r="L2298" s="3"/>
      <c r="M2298" s="3"/>
      <c r="N2298" s="3"/>
      <c r="O2298" s="3"/>
      <c r="P2298" s="3"/>
      <c r="Q2298" s="3"/>
      <c r="R2298" s="3"/>
    </row>
    <row r="2299" spans="1:148" s="8" customFormat="1" x14ac:dyDescent="0.15">
      <c r="A2299" s="5"/>
      <c r="B2299" s="5"/>
      <c r="C2299" s="3"/>
      <c r="D2299" s="3"/>
      <c r="E2299" s="28"/>
      <c r="F2299" s="3"/>
      <c r="G2299" s="3"/>
      <c r="H2299" s="3"/>
      <c r="I2299" s="3"/>
      <c r="J2299" s="3"/>
      <c r="K2299" s="3"/>
      <c r="L2299" s="3"/>
      <c r="M2299" s="3"/>
      <c r="N2299" s="3"/>
      <c r="O2299" s="3"/>
      <c r="P2299" s="3"/>
      <c r="Q2299" s="3"/>
      <c r="R2299" s="3"/>
      <c r="S2299" s="5"/>
      <c r="T2299" s="5"/>
      <c r="U2299" s="5"/>
      <c r="V2299" s="5"/>
      <c r="W2299" s="5"/>
      <c r="X2299" s="5"/>
      <c r="Y2299" s="5"/>
      <c r="Z2299" s="5"/>
      <c r="AA2299" s="5"/>
      <c r="AB2299" s="5"/>
      <c r="AC2299" s="5"/>
      <c r="AD2299" s="5"/>
      <c r="AE2299" s="5"/>
      <c r="AF2299" s="5"/>
      <c r="AG2299" s="5"/>
      <c r="AH2299" s="5"/>
      <c r="AI2299" s="5"/>
      <c r="AJ2299" s="5"/>
      <c r="AK2299" s="5"/>
      <c r="AL2299" s="5"/>
      <c r="AM2299" s="5"/>
      <c r="AN2299" s="5"/>
      <c r="AO2299" s="5"/>
      <c r="AP2299" s="5"/>
      <c r="AQ2299" s="5"/>
      <c r="AR2299" s="5"/>
      <c r="AS2299" s="5"/>
      <c r="AT2299" s="5"/>
      <c r="AU2299" s="5"/>
      <c r="AV2299" s="5"/>
      <c r="AW2299" s="5"/>
      <c r="AX2299" s="5"/>
      <c r="AY2299" s="5"/>
      <c r="AZ2299" s="5"/>
      <c r="BA2299" s="5"/>
      <c r="BB2299" s="5"/>
      <c r="BC2299" s="5"/>
      <c r="BD2299" s="5"/>
      <c r="BE2299" s="5"/>
      <c r="BF2299" s="5"/>
      <c r="BG2299" s="5"/>
      <c r="BH2299" s="5"/>
      <c r="BI2299" s="5"/>
      <c r="BJ2299" s="5"/>
      <c r="BK2299" s="5"/>
      <c r="BL2299" s="5"/>
      <c r="BM2299" s="5"/>
      <c r="BN2299" s="5"/>
      <c r="BO2299" s="5"/>
      <c r="BP2299" s="5"/>
      <c r="BQ2299" s="5"/>
      <c r="BR2299" s="5"/>
      <c r="BS2299" s="5"/>
      <c r="BT2299" s="5"/>
      <c r="BU2299" s="5"/>
      <c r="BV2299" s="5"/>
      <c r="BW2299" s="5"/>
      <c r="BX2299" s="5"/>
      <c r="BY2299" s="5"/>
      <c r="BZ2299" s="5"/>
      <c r="CA2299" s="5"/>
      <c r="CB2299" s="5"/>
      <c r="CC2299" s="5"/>
      <c r="CD2299" s="5"/>
      <c r="CE2299" s="5"/>
      <c r="CF2299" s="5"/>
      <c r="CG2299" s="5"/>
      <c r="CH2299" s="5"/>
      <c r="CI2299" s="5"/>
      <c r="CJ2299" s="5"/>
      <c r="CK2299" s="5"/>
      <c r="CL2299" s="5"/>
      <c r="CM2299" s="5"/>
      <c r="CN2299" s="5"/>
      <c r="CO2299" s="5"/>
      <c r="CP2299" s="5"/>
      <c r="CQ2299" s="5"/>
      <c r="CR2299" s="5"/>
      <c r="CS2299" s="5"/>
      <c r="CT2299" s="5"/>
      <c r="CU2299" s="5"/>
      <c r="CV2299" s="5"/>
      <c r="CW2299" s="5"/>
      <c r="CX2299" s="5"/>
      <c r="CY2299" s="5"/>
      <c r="CZ2299" s="5"/>
      <c r="DA2299" s="5"/>
      <c r="DB2299" s="5"/>
      <c r="DC2299" s="5"/>
      <c r="DD2299" s="5"/>
      <c r="DE2299" s="5"/>
      <c r="DF2299" s="5"/>
      <c r="DG2299" s="5"/>
      <c r="DH2299" s="5"/>
      <c r="DI2299" s="5"/>
      <c r="DJ2299" s="5"/>
      <c r="DK2299" s="5"/>
      <c r="DL2299" s="5"/>
      <c r="DM2299" s="5"/>
      <c r="DN2299" s="5"/>
      <c r="DO2299" s="5"/>
      <c r="DP2299" s="5"/>
      <c r="DQ2299" s="5"/>
      <c r="DR2299" s="5"/>
      <c r="DS2299" s="5"/>
      <c r="DT2299" s="5"/>
      <c r="DU2299" s="5"/>
      <c r="DV2299" s="5"/>
      <c r="DW2299" s="5"/>
      <c r="DX2299" s="5"/>
      <c r="DY2299" s="5"/>
      <c r="DZ2299" s="5"/>
      <c r="EA2299" s="5"/>
      <c r="EB2299" s="5"/>
      <c r="EC2299" s="5"/>
      <c r="ED2299" s="5"/>
      <c r="EE2299" s="5"/>
      <c r="EF2299" s="5"/>
      <c r="EG2299" s="5"/>
      <c r="EH2299" s="5"/>
      <c r="EI2299" s="5"/>
      <c r="EJ2299" s="5"/>
      <c r="EK2299" s="5"/>
      <c r="EL2299" s="5"/>
      <c r="EM2299" s="5"/>
      <c r="EN2299" s="5"/>
      <c r="EO2299" s="5"/>
      <c r="EP2299" s="5"/>
      <c r="EQ2299" s="5"/>
      <c r="ER2299" s="5"/>
    </row>
    <row r="2300" spans="1:148" x14ac:dyDescent="0.15">
      <c r="C2300" s="3"/>
      <c r="D2300" s="3"/>
      <c r="F2300" s="3"/>
      <c r="G2300" s="3"/>
      <c r="H2300" s="3"/>
      <c r="I2300" s="3"/>
      <c r="J2300" s="3"/>
      <c r="K2300" s="3"/>
      <c r="L2300" s="3"/>
      <c r="M2300" s="3"/>
      <c r="N2300" s="3"/>
      <c r="O2300" s="3"/>
      <c r="P2300" s="3"/>
      <c r="Q2300" s="3"/>
      <c r="R2300" s="3"/>
    </row>
    <row r="2301" spans="1:148" x14ac:dyDescent="0.15">
      <c r="C2301" s="3"/>
      <c r="D2301" s="3"/>
      <c r="F2301" s="3"/>
      <c r="G2301" s="3"/>
      <c r="H2301" s="3"/>
      <c r="I2301" s="3"/>
      <c r="J2301" s="3"/>
      <c r="K2301" s="3"/>
      <c r="L2301" s="3"/>
      <c r="M2301" s="3"/>
      <c r="N2301" s="3"/>
      <c r="O2301" s="3"/>
      <c r="P2301" s="3"/>
      <c r="Q2301" s="3"/>
      <c r="R2301" s="3"/>
    </row>
    <row r="2302" spans="1:148" x14ac:dyDescent="0.15">
      <c r="C2302" s="3"/>
      <c r="D2302" s="3"/>
      <c r="F2302" s="3"/>
      <c r="G2302" s="3"/>
      <c r="H2302" s="3"/>
      <c r="I2302" s="3"/>
      <c r="J2302" s="3"/>
      <c r="K2302" s="3"/>
      <c r="L2302" s="3"/>
      <c r="M2302" s="3"/>
      <c r="N2302" s="3"/>
      <c r="O2302" s="3"/>
      <c r="P2302" s="3"/>
      <c r="Q2302" s="3"/>
      <c r="R2302" s="3"/>
    </row>
    <row r="2303" spans="1:148" x14ac:dyDescent="0.15">
      <c r="C2303" s="3"/>
      <c r="D2303" s="3"/>
      <c r="F2303" s="3"/>
      <c r="G2303" s="3"/>
      <c r="H2303" s="3"/>
      <c r="I2303" s="3"/>
      <c r="J2303" s="3"/>
      <c r="K2303" s="3"/>
      <c r="L2303" s="3"/>
      <c r="M2303" s="3"/>
      <c r="N2303" s="3"/>
      <c r="O2303" s="3"/>
      <c r="P2303" s="3"/>
      <c r="Q2303" s="3"/>
      <c r="R2303" s="3"/>
    </row>
    <row r="2304" spans="1:148" x14ac:dyDescent="0.15">
      <c r="C2304" s="3"/>
      <c r="D2304" s="3"/>
      <c r="F2304" s="3"/>
      <c r="G2304" s="3"/>
      <c r="H2304" s="3"/>
      <c r="I2304" s="3"/>
      <c r="J2304" s="3"/>
      <c r="K2304" s="3"/>
      <c r="L2304" s="3"/>
      <c r="M2304" s="3"/>
      <c r="N2304" s="3"/>
      <c r="O2304" s="3"/>
      <c r="P2304" s="3"/>
      <c r="Q2304" s="3"/>
      <c r="R2304" s="3"/>
    </row>
    <row r="2305" spans="3:20" x14ac:dyDescent="0.15">
      <c r="C2305" s="3"/>
      <c r="D2305" s="3"/>
      <c r="F2305" s="3"/>
      <c r="G2305" s="3"/>
      <c r="H2305" s="3"/>
      <c r="I2305" s="3"/>
      <c r="J2305" s="3"/>
      <c r="K2305" s="3"/>
      <c r="L2305" s="3"/>
      <c r="M2305" s="3"/>
      <c r="N2305" s="3"/>
      <c r="O2305" s="3"/>
      <c r="P2305" s="3"/>
      <c r="Q2305" s="3"/>
      <c r="R2305" s="3"/>
    </row>
    <row r="2306" spans="3:20" x14ac:dyDescent="0.15">
      <c r="C2306" s="3"/>
      <c r="D2306" s="3"/>
      <c r="F2306" s="3"/>
      <c r="G2306" s="3"/>
      <c r="H2306" s="3"/>
      <c r="I2306" s="3"/>
      <c r="J2306" s="3"/>
      <c r="K2306" s="3"/>
      <c r="L2306" s="3"/>
      <c r="M2306" s="3"/>
      <c r="N2306" s="3"/>
      <c r="O2306" s="3"/>
      <c r="P2306" s="3"/>
      <c r="Q2306" s="3"/>
      <c r="R2306" s="3"/>
    </row>
    <row r="2307" spans="3:20" x14ac:dyDescent="0.15">
      <c r="C2307" s="3"/>
      <c r="D2307" s="3"/>
      <c r="F2307" s="3"/>
      <c r="G2307" s="3"/>
      <c r="H2307" s="3"/>
      <c r="I2307" s="3"/>
      <c r="J2307" s="3"/>
      <c r="K2307" s="3"/>
      <c r="L2307" s="3"/>
      <c r="M2307" s="3"/>
      <c r="N2307" s="3"/>
      <c r="O2307" s="3"/>
      <c r="P2307" s="3"/>
      <c r="Q2307" s="3"/>
      <c r="R2307" s="3"/>
    </row>
    <row r="2308" spans="3:20" x14ac:dyDescent="0.15">
      <c r="C2308" s="3"/>
      <c r="D2308" s="3"/>
      <c r="F2308" s="3"/>
      <c r="G2308" s="3"/>
      <c r="H2308" s="3"/>
      <c r="I2308" s="3"/>
      <c r="J2308" s="3"/>
      <c r="K2308" s="3"/>
      <c r="L2308" s="3"/>
      <c r="M2308" s="3"/>
      <c r="N2308" s="3"/>
      <c r="O2308" s="3"/>
      <c r="P2308" s="3"/>
      <c r="Q2308" s="3"/>
      <c r="R2308" s="3"/>
    </row>
    <row r="2309" spans="3:20" x14ac:dyDescent="0.15">
      <c r="C2309" s="3"/>
      <c r="D2309" s="3"/>
      <c r="F2309" s="3"/>
      <c r="G2309" s="3"/>
      <c r="H2309" s="3"/>
      <c r="I2309" s="3"/>
      <c r="J2309" s="3"/>
      <c r="K2309" s="3"/>
      <c r="L2309" s="3"/>
      <c r="M2309" s="3"/>
      <c r="N2309" s="3"/>
      <c r="O2309" s="3"/>
      <c r="P2309" s="3"/>
      <c r="Q2309" s="3"/>
      <c r="R2309" s="3"/>
    </row>
    <row r="2310" spans="3:20" x14ac:dyDescent="0.15">
      <c r="C2310" s="3"/>
      <c r="D2310" s="3"/>
      <c r="F2310" s="3"/>
      <c r="G2310" s="3"/>
      <c r="H2310" s="3"/>
      <c r="I2310" s="3"/>
      <c r="J2310" s="3"/>
      <c r="K2310" s="3"/>
      <c r="L2310" s="3"/>
      <c r="M2310" s="3"/>
      <c r="N2310" s="3"/>
      <c r="O2310" s="3"/>
      <c r="P2310" s="3"/>
      <c r="Q2310" s="3"/>
      <c r="R2310" s="3"/>
    </row>
    <row r="2311" spans="3:20" x14ac:dyDescent="0.15">
      <c r="C2311" s="3"/>
      <c r="D2311" s="3"/>
      <c r="F2311" s="3"/>
      <c r="G2311" s="3"/>
      <c r="H2311" s="3"/>
      <c r="I2311" s="3"/>
      <c r="J2311" s="3"/>
      <c r="K2311" s="3"/>
      <c r="L2311" s="3"/>
      <c r="M2311" s="3"/>
      <c r="N2311" s="3"/>
      <c r="O2311" s="3"/>
      <c r="P2311" s="3"/>
      <c r="Q2311" s="3"/>
      <c r="R2311" s="3"/>
    </row>
    <row r="2312" spans="3:20" x14ac:dyDescent="0.15">
      <c r="C2312" s="3"/>
      <c r="D2312" s="3"/>
      <c r="F2312" s="3"/>
      <c r="G2312" s="3"/>
      <c r="H2312" s="3"/>
      <c r="I2312" s="3"/>
      <c r="J2312" s="3"/>
      <c r="K2312" s="3"/>
      <c r="L2312" s="3"/>
      <c r="M2312" s="3"/>
      <c r="N2312" s="3"/>
      <c r="O2312" s="3"/>
      <c r="P2312" s="3"/>
      <c r="Q2312" s="3"/>
      <c r="R2312" s="3"/>
    </row>
    <row r="2313" spans="3:20" x14ac:dyDescent="0.15">
      <c r="C2313" s="3"/>
      <c r="D2313" s="3"/>
      <c r="F2313" s="3"/>
      <c r="G2313" s="3"/>
      <c r="H2313" s="3"/>
      <c r="I2313" s="3"/>
      <c r="J2313" s="3"/>
      <c r="K2313" s="3"/>
      <c r="L2313" s="3"/>
      <c r="M2313" s="3"/>
      <c r="N2313" s="3"/>
      <c r="O2313" s="3"/>
      <c r="P2313" s="3"/>
      <c r="Q2313" s="3"/>
      <c r="R2313" s="3"/>
    </row>
    <row r="2314" spans="3:20" x14ac:dyDescent="0.15">
      <c r="C2314" s="3"/>
      <c r="D2314" s="3"/>
      <c r="F2314" s="3"/>
      <c r="G2314" s="3"/>
      <c r="H2314" s="3"/>
      <c r="I2314" s="3"/>
      <c r="J2314" s="3"/>
      <c r="K2314" s="3"/>
      <c r="L2314" s="3"/>
      <c r="M2314" s="3"/>
      <c r="N2314" s="3"/>
      <c r="O2314" s="3"/>
      <c r="P2314" s="3"/>
      <c r="Q2314" s="3"/>
      <c r="R2314" s="3"/>
    </row>
    <row r="2315" spans="3:20" x14ac:dyDescent="0.15">
      <c r="C2315" s="3"/>
      <c r="D2315" s="3"/>
      <c r="F2315" s="3"/>
      <c r="G2315" s="3"/>
      <c r="H2315" s="3"/>
      <c r="I2315" s="3"/>
      <c r="J2315" s="3"/>
      <c r="K2315" s="3"/>
      <c r="L2315" s="3"/>
      <c r="M2315" s="3"/>
      <c r="N2315" s="3"/>
      <c r="O2315" s="3"/>
      <c r="P2315" s="3"/>
      <c r="Q2315" s="3"/>
      <c r="R2315" s="3"/>
    </row>
    <row r="2316" spans="3:20" x14ac:dyDescent="0.15">
      <c r="C2316" s="3"/>
      <c r="D2316" s="3"/>
      <c r="F2316" s="3"/>
      <c r="G2316" s="3"/>
      <c r="H2316" s="3"/>
      <c r="I2316" s="3"/>
      <c r="J2316" s="3"/>
      <c r="K2316" s="3"/>
      <c r="L2316" s="3"/>
      <c r="M2316" s="3"/>
      <c r="N2316" s="3"/>
      <c r="O2316" s="3"/>
      <c r="P2316" s="3"/>
      <c r="Q2316" s="3"/>
      <c r="R2316" s="3"/>
    </row>
    <row r="2317" spans="3:20" x14ac:dyDescent="0.15">
      <c r="C2317" s="3"/>
      <c r="D2317" s="3"/>
      <c r="F2317" s="3"/>
      <c r="G2317" s="3"/>
      <c r="H2317" s="3"/>
      <c r="I2317" s="3"/>
      <c r="J2317" s="3"/>
      <c r="K2317" s="3"/>
      <c r="L2317" s="3"/>
      <c r="M2317" s="3"/>
      <c r="N2317" s="3"/>
      <c r="O2317" s="3"/>
      <c r="P2317" s="3"/>
      <c r="Q2317" s="3"/>
      <c r="R2317" s="3"/>
    </row>
    <row r="2318" spans="3:20" x14ac:dyDescent="0.15">
      <c r="C2318" s="3"/>
      <c r="D2318" s="3"/>
      <c r="F2318" s="3"/>
      <c r="G2318" s="3"/>
      <c r="H2318" s="3"/>
      <c r="I2318" s="3"/>
      <c r="J2318" s="3"/>
      <c r="K2318" s="3"/>
      <c r="L2318" s="3"/>
      <c r="M2318" s="3"/>
      <c r="N2318" s="3"/>
      <c r="O2318" s="3"/>
      <c r="P2318" s="3"/>
      <c r="Q2318" s="3"/>
      <c r="R2318" s="3"/>
    </row>
    <row r="2319" spans="3:20" x14ac:dyDescent="0.15">
      <c r="C2319" s="3"/>
      <c r="D2319" s="3"/>
      <c r="F2319" s="3"/>
      <c r="G2319" s="3"/>
      <c r="H2319" s="3"/>
      <c r="I2319" s="3"/>
      <c r="J2319" s="3"/>
      <c r="K2319" s="3"/>
      <c r="L2319" s="3"/>
      <c r="M2319" s="3"/>
      <c r="N2319" s="3"/>
      <c r="O2319" s="3"/>
      <c r="P2319" s="3"/>
      <c r="Q2319" s="3"/>
      <c r="R2319" s="3"/>
    </row>
    <row r="2320" spans="3:20" x14ac:dyDescent="0.15">
      <c r="C2320" s="3"/>
      <c r="D2320" s="3"/>
      <c r="F2320" s="3"/>
      <c r="G2320" s="3"/>
      <c r="H2320" s="3"/>
      <c r="I2320" s="3"/>
      <c r="J2320" s="3"/>
      <c r="K2320" s="3"/>
      <c r="L2320" s="3"/>
      <c r="M2320" s="3"/>
      <c r="N2320" s="3"/>
      <c r="O2320" s="3"/>
      <c r="P2320" s="3"/>
      <c r="Q2320" s="3"/>
      <c r="R2320" s="3"/>
      <c r="S2320" s="3"/>
      <c r="T2320" s="3"/>
    </row>
    <row r="2321" spans="3:20" x14ac:dyDescent="0.15">
      <c r="C2321" s="3"/>
      <c r="D2321" s="3"/>
      <c r="F2321" s="3"/>
      <c r="G2321" s="3"/>
      <c r="H2321" s="3"/>
      <c r="I2321" s="3"/>
      <c r="J2321" s="3"/>
      <c r="K2321" s="3"/>
      <c r="L2321" s="3"/>
      <c r="M2321" s="3"/>
      <c r="N2321" s="3"/>
      <c r="O2321" s="3"/>
      <c r="P2321" s="3"/>
      <c r="Q2321" s="3"/>
      <c r="R2321" s="3"/>
      <c r="S2321" s="3"/>
      <c r="T2321" s="3"/>
    </row>
    <row r="2322" spans="3:20" x14ac:dyDescent="0.15">
      <c r="C2322" s="3"/>
      <c r="D2322" s="3"/>
      <c r="F2322" s="3"/>
      <c r="G2322" s="3"/>
      <c r="H2322" s="3"/>
      <c r="I2322" s="3"/>
      <c r="J2322" s="3"/>
      <c r="K2322" s="3"/>
      <c r="L2322" s="3"/>
      <c r="M2322" s="3"/>
      <c r="N2322" s="3"/>
      <c r="O2322" s="3"/>
      <c r="P2322" s="3"/>
      <c r="Q2322" s="3"/>
      <c r="R2322" s="3"/>
      <c r="S2322" s="3"/>
      <c r="T2322" s="3"/>
    </row>
    <row r="2323" spans="3:20" x14ac:dyDescent="0.15">
      <c r="C2323" s="3"/>
      <c r="D2323" s="3"/>
      <c r="F2323" s="3"/>
      <c r="G2323" s="3"/>
      <c r="H2323" s="3"/>
      <c r="I2323" s="3"/>
      <c r="J2323" s="3"/>
      <c r="K2323" s="3"/>
      <c r="L2323" s="3"/>
      <c r="M2323" s="3"/>
      <c r="N2323" s="3"/>
      <c r="O2323" s="3"/>
      <c r="P2323" s="3"/>
      <c r="Q2323" s="3"/>
      <c r="R2323" s="3"/>
      <c r="S2323" s="3"/>
      <c r="T2323" s="3"/>
    </row>
    <row r="2324" spans="3:20" x14ac:dyDescent="0.15">
      <c r="C2324" s="3"/>
      <c r="D2324" s="3"/>
      <c r="F2324" s="3"/>
      <c r="G2324" s="3"/>
      <c r="H2324" s="3"/>
      <c r="I2324" s="3"/>
      <c r="J2324" s="3"/>
      <c r="K2324" s="3"/>
      <c r="L2324" s="3"/>
      <c r="M2324" s="3"/>
      <c r="N2324" s="3"/>
      <c r="O2324" s="3"/>
      <c r="P2324" s="3"/>
      <c r="Q2324" s="3"/>
      <c r="R2324" s="3"/>
      <c r="S2324" s="3"/>
      <c r="T2324" s="3"/>
    </row>
    <row r="2325" spans="3:20" x14ac:dyDescent="0.15">
      <c r="C2325" s="3"/>
      <c r="D2325" s="3"/>
      <c r="F2325" s="3"/>
      <c r="G2325" s="3"/>
      <c r="H2325" s="3"/>
      <c r="I2325" s="3"/>
      <c r="J2325" s="3"/>
      <c r="K2325" s="3"/>
      <c r="L2325" s="3"/>
      <c r="M2325" s="3"/>
      <c r="N2325" s="3"/>
      <c r="O2325" s="3"/>
      <c r="P2325" s="3"/>
      <c r="Q2325" s="3"/>
      <c r="R2325" s="3"/>
      <c r="S2325" s="3"/>
      <c r="T2325" s="3"/>
    </row>
    <row r="2326" spans="3:20" x14ac:dyDescent="0.15">
      <c r="C2326" s="3"/>
      <c r="D2326" s="3"/>
      <c r="F2326" s="3"/>
      <c r="G2326" s="3"/>
      <c r="H2326" s="3"/>
      <c r="I2326" s="3"/>
      <c r="J2326" s="3"/>
      <c r="K2326" s="3"/>
      <c r="L2326" s="3"/>
      <c r="M2326" s="3"/>
      <c r="N2326" s="3"/>
      <c r="O2326" s="3"/>
      <c r="P2326" s="3"/>
      <c r="Q2326" s="3"/>
      <c r="R2326" s="3"/>
      <c r="S2326" s="3"/>
      <c r="T2326" s="3"/>
    </row>
    <row r="2327" spans="3:20" x14ac:dyDescent="0.15">
      <c r="C2327" s="3"/>
      <c r="D2327" s="3"/>
      <c r="F2327" s="3"/>
      <c r="G2327" s="3"/>
      <c r="H2327" s="3"/>
      <c r="I2327" s="3"/>
      <c r="J2327" s="3"/>
      <c r="K2327" s="3"/>
      <c r="L2327" s="3"/>
      <c r="M2327" s="3"/>
      <c r="N2327" s="3"/>
      <c r="O2327" s="3"/>
      <c r="P2327" s="3"/>
      <c r="Q2327" s="3"/>
      <c r="R2327" s="3"/>
      <c r="S2327" s="3"/>
      <c r="T2327" s="3"/>
    </row>
    <row r="2328" spans="3:20" x14ac:dyDescent="0.15">
      <c r="C2328" s="3"/>
      <c r="D2328" s="3"/>
      <c r="F2328" s="3"/>
      <c r="G2328" s="3"/>
      <c r="H2328" s="3"/>
      <c r="I2328" s="3"/>
      <c r="J2328" s="3"/>
      <c r="K2328" s="3"/>
      <c r="L2328" s="3"/>
      <c r="M2328" s="3"/>
      <c r="N2328" s="3"/>
      <c r="O2328" s="3"/>
      <c r="P2328" s="3"/>
      <c r="Q2328" s="3"/>
      <c r="R2328" s="3"/>
      <c r="S2328" s="3"/>
      <c r="T2328" s="3"/>
    </row>
    <row r="2329" spans="3:20" x14ac:dyDescent="0.15">
      <c r="C2329" s="3"/>
      <c r="D2329" s="3"/>
      <c r="F2329" s="3"/>
      <c r="G2329" s="3"/>
      <c r="H2329" s="3"/>
      <c r="I2329" s="3"/>
      <c r="J2329" s="3"/>
      <c r="K2329" s="3"/>
      <c r="L2329" s="3"/>
      <c r="M2329" s="3"/>
      <c r="N2329" s="3"/>
      <c r="O2329" s="3"/>
      <c r="P2329" s="3"/>
      <c r="Q2329" s="3"/>
      <c r="R2329" s="3"/>
      <c r="S2329" s="3"/>
      <c r="T2329" s="3"/>
    </row>
    <row r="2330" spans="3:20" x14ac:dyDescent="0.15">
      <c r="C2330" s="3"/>
      <c r="D2330" s="3"/>
      <c r="F2330" s="3"/>
      <c r="G2330" s="3"/>
      <c r="H2330" s="3"/>
      <c r="I2330" s="3"/>
      <c r="J2330" s="3"/>
      <c r="K2330" s="3"/>
      <c r="L2330" s="3"/>
      <c r="M2330" s="3"/>
      <c r="N2330" s="3"/>
      <c r="O2330" s="3"/>
      <c r="P2330" s="3"/>
      <c r="Q2330" s="3"/>
      <c r="R2330" s="3"/>
      <c r="S2330" s="3"/>
      <c r="T2330" s="3"/>
    </row>
    <row r="2331" spans="3:20" x14ac:dyDescent="0.15">
      <c r="C2331" s="3"/>
      <c r="D2331" s="3"/>
      <c r="F2331" s="3"/>
      <c r="G2331" s="3"/>
      <c r="H2331" s="3"/>
      <c r="I2331" s="3"/>
      <c r="J2331" s="3"/>
      <c r="K2331" s="3"/>
      <c r="L2331" s="3"/>
      <c r="M2331" s="3"/>
      <c r="N2331" s="3"/>
      <c r="O2331" s="3"/>
      <c r="P2331" s="3"/>
      <c r="Q2331" s="3"/>
      <c r="R2331" s="3"/>
      <c r="S2331" s="3"/>
      <c r="T2331" s="3"/>
    </row>
    <row r="2332" spans="3:20" x14ac:dyDescent="0.15">
      <c r="C2332" s="3"/>
      <c r="D2332" s="3"/>
      <c r="F2332" s="3"/>
      <c r="G2332" s="3"/>
      <c r="H2332" s="3"/>
      <c r="I2332" s="3"/>
      <c r="J2332" s="3"/>
      <c r="K2332" s="3"/>
      <c r="L2332" s="3"/>
      <c r="M2332" s="3"/>
      <c r="N2332" s="3"/>
      <c r="O2332" s="3"/>
      <c r="P2332" s="3"/>
      <c r="Q2332" s="3"/>
      <c r="R2332" s="3"/>
      <c r="S2332" s="3"/>
      <c r="T2332" s="3"/>
    </row>
    <row r="2333" spans="3:20" x14ac:dyDescent="0.15">
      <c r="C2333" s="3"/>
      <c r="D2333" s="3"/>
      <c r="F2333" s="3"/>
      <c r="G2333" s="3"/>
      <c r="H2333" s="3"/>
      <c r="I2333" s="3"/>
      <c r="J2333" s="3"/>
      <c r="K2333" s="3"/>
      <c r="L2333" s="3"/>
      <c r="M2333" s="3"/>
      <c r="N2333" s="3"/>
      <c r="O2333" s="3"/>
      <c r="P2333" s="3"/>
      <c r="Q2333" s="3"/>
      <c r="R2333" s="3"/>
      <c r="S2333" s="3"/>
      <c r="T2333" s="3"/>
    </row>
    <row r="2334" spans="3:20" x14ac:dyDescent="0.15">
      <c r="C2334" s="3"/>
      <c r="D2334" s="3"/>
      <c r="F2334" s="3"/>
      <c r="G2334" s="3"/>
      <c r="H2334" s="3"/>
      <c r="I2334" s="3"/>
      <c r="J2334" s="3"/>
      <c r="K2334" s="3"/>
      <c r="L2334" s="3"/>
      <c r="M2334" s="3"/>
      <c r="N2334" s="3"/>
      <c r="O2334" s="3"/>
      <c r="P2334" s="3"/>
      <c r="Q2334" s="3"/>
      <c r="R2334" s="3"/>
      <c r="S2334" s="3"/>
      <c r="T2334" s="3"/>
    </row>
    <row r="2335" spans="3:20" x14ac:dyDescent="0.15">
      <c r="C2335" s="3"/>
      <c r="D2335" s="3"/>
      <c r="F2335" s="3"/>
      <c r="G2335" s="3"/>
      <c r="H2335" s="3"/>
      <c r="I2335" s="3"/>
      <c r="J2335" s="3"/>
      <c r="K2335" s="3"/>
      <c r="L2335" s="3"/>
      <c r="M2335" s="3"/>
      <c r="N2335" s="3"/>
      <c r="O2335" s="3"/>
      <c r="P2335" s="3"/>
      <c r="Q2335" s="3"/>
      <c r="R2335" s="3"/>
      <c r="S2335" s="3"/>
      <c r="T2335" s="3"/>
    </row>
    <row r="2336" spans="3:20" x14ac:dyDescent="0.15">
      <c r="C2336" s="3"/>
      <c r="D2336" s="3"/>
      <c r="F2336" s="3"/>
      <c r="G2336" s="3"/>
      <c r="H2336" s="3"/>
      <c r="I2336" s="3"/>
      <c r="J2336" s="3"/>
      <c r="K2336" s="3"/>
      <c r="L2336" s="3"/>
      <c r="M2336" s="3"/>
      <c r="N2336" s="3"/>
      <c r="O2336" s="3"/>
      <c r="P2336" s="3"/>
      <c r="Q2336" s="3"/>
      <c r="R2336" s="3"/>
      <c r="S2336" s="3"/>
      <c r="T2336" s="3"/>
    </row>
    <row r="2337" spans="2:20" x14ac:dyDescent="0.15">
      <c r="C2337" s="3"/>
      <c r="D2337" s="3"/>
      <c r="F2337" s="3"/>
      <c r="G2337" s="3"/>
      <c r="H2337" s="3"/>
      <c r="I2337" s="3"/>
      <c r="J2337" s="3"/>
      <c r="K2337" s="3"/>
      <c r="L2337" s="3"/>
      <c r="M2337" s="3"/>
      <c r="N2337" s="3"/>
      <c r="O2337" s="3"/>
      <c r="P2337" s="3"/>
      <c r="Q2337" s="3"/>
      <c r="R2337" s="3"/>
      <c r="S2337" s="3"/>
      <c r="T2337" s="3"/>
    </row>
    <row r="2338" spans="2:20" x14ac:dyDescent="0.15">
      <c r="C2338" s="3"/>
      <c r="D2338" s="3"/>
      <c r="F2338" s="3"/>
      <c r="G2338" s="3"/>
      <c r="H2338" s="3"/>
      <c r="I2338" s="3"/>
      <c r="J2338" s="3"/>
      <c r="K2338" s="3"/>
      <c r="L2338" s="3"/>
      <c r="M2338" s="3"/>
      <c r="N2338" s="3"/>
      <c r="O2338" s="3"/>
      <c r="P2338" s="3"/>
      <c r="Q2338" s="3"/>
      <c r="R2338" s="3"/>
      <c r="S2338" s="3"/>
      <c r="T2338" s="3"/>
    </row>
    <row r="2339" spans="2:20" x14ac:dyDescent="0.15">
      <c r="C2339" s="3"/>
      <c r="D2339" s="3"/>
      <c r="F2339" s="3"/>
      <c r="G2339" s="3"/>
      <c r="H2339" s="3"/>
      <c r="I2339" s="3"/>
      <c r="J2339" s="3"/>
      <c r="K2339" s="3"/>
      <c r="L2339" s="3"/>
      <c r="M2339" s="3"/>
      <c r="N2339" s="3"/>
      <c r="O2339" s="3"/>
      <c r="P2339" s="3"/>
      <c r="Q2339" s="3"/>
      <c r="R2339" s="3"/>
      <c r="S2339" s="3"/>
      <c r="T2339" s="3"/>
    </row>
    <row r="2340" spans="2:20" x14ac:dyDescent="0.15">
      <c r="C2340" s="3"/>
      <c r="D2340" s="3"/>
      <c r="F2340" s="3"/>
      <c r="G2340" s="3"/>
      <c r="H2340" s="3"/>
      <c r="I2340" s="3"/>
      <c r="J2340" s="3"/>
      <c r="K2340" s="3"/>
      <c r="L2340" s="3"/>
      <c r="M2340" s="3"/>
      <c r="N2340" s="3"/>
      <c r="O2340" s="3"/>
      <c r="P2340" s="3"/>
      <c r="Q2340" s="3"/>
      <c r="R2340" s="3"/>
      <c r="S2340" s="3"/>
      <c r="T2340" s="3"/>
    </row>
    <row r="2341" spans="2:20" x14ac:dyDescent="0.15">
      <c r="C2341" s="3"/>
      <c r="D2341" s="3"/>
      <c r="F2341" s="3"/>
      <c r="G2341" s="3"/>
      <c r="H2341" s="3"/>
      <c r="I2341" s="3"/>
      <c r="J2341" s="3"/>
      <c r="K2341" s="3"/>
      <c r="L2341" s="3"/>
      <c r="M2341" s="3"/>
      <c r="N2341" s="3"/>
      <c r="O2341" s="3"/>
      <c r="P2341" s="3"/>
      <c r="Q2341" s="3"/>
      <c r="R2341" s="3"/>
      <c r="S2341" s="3"/>
      <c r="T2341" s="3"/>
    </row>
    <row r="2342" spans="2:20" x14ac:dyDescent="0.15">
      <c r="C2342" s="3"/>
      <c r="D2342" s="3"/>
      <c r="F2342" s="3"/>
      <c r="G2342" s="3"/>
      <c r="H2342" s="3"/>
      <c r="I2342" s="3"/>
      <c r="J2342" s="3"/>
      <c r="K2342" s="3"/>
      <c r="L2342" s="3"/>
      <c r="M2342" s="3"/>
      <c r="N2342" s="3"/>
      <c r="O2342" s="3"/>
      <c r="P2342" s="3"/>
      <c r="Q2342" s="3"/>
      <c r="R2342" s="3"/>
      <c r="S2342" s="3"/>
      <c r="T2342" s="3"/>
    </row>
    <row r="2343" spans="2:20" x14ac:dyDescent="0.15">
      <c r="C2343" s="3"/>
      <c r="D2343" s="3"/>
      <c r="F2343" s="3"/>
      <c r="G2343" s="3"/>
      <c r="H2343" s="3"/>
      <c r="I2343" s="3"/>
      <c r="J2343" s="3"/>
      <c r="K2343" s="3"/>
      <c r="L2343" s="3"/>
      <c r="M2343" s="3"/>
      <c r="N2343" s="3"/>
      <c r="O2343" s="3"/>
      <c r="P2343" s="3"/>
      <c r="Q2343" s="3"/>
      <c r="R2343" s="3"/>
      <c r="S2343" s="3"/>
      <c r="T2343" s="3"/>
    </row>
    <row r="2344" spans="2:20" x14ac:dyDescent="0.15">
      <c r="C2344" s="3"/>
      <c r="D2344" s="3"/>
      <c r="F2344" s="3"/>
      <c r="G2344" s="3"/>
      <c r="H2344" s="3"/>
      <c r="I2344" s="3"/>
      <c r="J2344" s="3"/>
      <c r="K2344" s="3"/>
      <c r="L2344" s="3"/>
      <c r="M2344" s="3"/>
      <c r="N2344" s="3"/>
      <c r="O2344" s="3"/>
      <c r="P2344" s="3"/>
      <c r="Q2344" s="3"/>
      <c r="R2344" s="3"/>
      <c r="S2344" s="3"/>
      <c r="T2344" s="3"/>
    </row>
    <row r="2345" spans="2:20" x14ac:dyDescent="0.15">
      <c r="C2345" s="3"/>
      <c r="D2345" s="3"/>
      <c r="F2345" s="3"/>
      <c r="G2345" s="3"/>
      <c r="H2345" s="3"/>
      <c r="I2345" s="3"/>
      <c r="J2345" s="3"/>
      <c r="K2345" s="3"/>
      <c r="L2345" s="3"/>
      <c r="M2345" s="3"/>
      <c r="N2345" s="3"/>
      <c r="O2345" s="3"/>
      <c r="P2345" s="3"/>
      <c r="Q2345" s="3"/>
      <c r="R2345" s="3"/>
      <c r="S2345" s="3"/>
      <c r="T2345" s="3"/>
    </row>
    <row r="2346" spans="2:20" x14ac:dyDescent="0.15">
      <c r="C2346" s="3"/>
      <c r="D2346" s="3"/>
      <c r="F2346" s="3"/>
      <c r="G2346" s="3"/>
      <c r="H2346" s="3"/>
      <c r="I2346" s="3"/>
      <c r="J2346" s="3"/>
      <c r="K2346" s="3"/>
      <c r="L2346" s="3"/>
      <c r="M2346" s="3"/>
      <c r="N2346" s="3"/>
      <c r="O2346" s="3"/>
      <c r="P2346" s="3"/>
      <c r="Q2346" s="3"/>
      <c r="R2346" s="3"/>
      <c r="S2346" s="3"/>
      <c r="T2346" s="3"/>
    </row>
    <row r="2347" spans="2:20" x14ac:dyDescent="0.15">
      <c r="B2347" s="3"/>
      <c r="C2347" s="3"/>
      <c r="D2347" s="3"/>
      <c r="F2347" s="3"/>
      <c r="G2347" s="3"/>
      <c r="H2347" s="3"/>
      <c r="I2347" s="3"/>
      <c r="J2347" s="3"/>
      <c r="K2347" s="3"/>
      <c r="L2347" s="3"/>
      <c r="M2347" s="3"/>
      <c r="N2347" s="3"/>
      <c r="O2347" s="3"/>
      <c r="P2347" s="3"/>
      <c r="Q2347" s="3"/>
      <c r="R2347" s="3"/>
      <c r="S2347" s="3"/>
      <c r="T2347" s="3"/>
    </row>
    <row r="2348" spans="2:20" x14ac:dyDescent="0.15">
      <c r="B2348" s="3"/>
      <c r="C2348" s="3"/>
      <c r="D2348" s="3"/>
      <c r="F2348" s="3"/>
      <c r="G2348" s="3"/>
      <c r="H2348" s="3"/>
      <c r="I2348" s="3"/>
      <c r="J2348" s="3"/>
      <c r="K2348" s="3"/>
      <c r="L2348" s="3"/>
      <c r="M2348" s="3"/>
      <c r="N2348" s="3"/>
      <c r="O2348" s="3"/>
      <c r="P2348" s="3"/>
      <c r="Q2348" s="3"/>
      <c r="R2348" s="3"/>
      <c r="S2348" s="3"/>
      <c r="T2348" s="3"/>
    </row>
    <row r="2349" spans="2:20" x14ac:dyDescent="0.15">
      <c r="B2349" s="3"/>
      <c r="C2349" s="3"/>
      <c r="D2349" s="3"/>
      <c r="F2349" s="3"/>
      <c r="G2349" s="3"/>
      <c r="H2349" s="3"/>
      <c r="I2349" s="3"/>
      <c r="J2349" s="3"/>
      <c r="K2349" s="3"/>
      <c r="L2349" s="3"/>
      <c r="M2349" s="3"/>
      <c r="N2349" s="3"/>
      <c r="O2349" s="3"/>
      <c r="P2349" s="3"/>
      <c r="Q2349" s="3"/>
      <c r="R2349" s="3"/>
      <c r="S2349" s="3"/>
      <c r="T2349" s="3"/>
    </row>
    <row r="2350" spans="2:20" x14ac:dyDescent="0.15">
      <c r="B2350" s="3"/>
      <c r="C2350" s="3"/>
      <c r="D2350" s="3"/>
      <c r="F2350" s="3"/>
      <c r="G2350" s="3"/>
      <c r="H2350" s="3"/>
      <c r="I2350" s="3"/>
      <c r="J2350" s="3"/>
      <c r="K2350" s="3"/>
      <c r="L2350" s="3"/>
      <c r="M2350" s="3"/>
      <c r="N2350" s="3"/>
      <c r="O2350" s="3"/>
      <c r="P2350" s="3"/>
      <c r="Q2350" s="3"/>
      <c r="R2350" s="3"/>
      <c r="S2350" s="3"/>
      <c r="T2350" s="3"/>
    </row>
    <row r="2351" spans="2:20" x14ac:dyDescent="0.15">
      <c r="B2351" s="3"/>
      <c r="C2351" s="3"/>
      <c r="D2351" s="3"/>
      <c r="F2351" s="3"/>
      <c r="G2351" s="3"/>
      <c r="H2351" s="3"/>
      <c r="I2351" s="3"/>
      <c r="J2351" s="3"/>
      <c r="K2351" s="3"/>
      <c r="L2351" s="3"/>
      <c r="M2351" s="3"/>
      <c r="N2351" s="3"/>
      <c r="O2351" s="3"/>
      <c r="P2351" s="3"/>
      <c r="Q2351" s="3"/>
      <c r="R2351" s="3"/>
      <c r="S2351" s="3"/>
      <c r="T2351" s="3"/>
    </row>
    <row r="2352" spans="2:20" x14ac:dyDescent="0.15">
      <c r="B2352" s="3"/>
      <c r="C2352" s="3"/>
      <c r="D2352" s="3"/>
      <c r="F2352" s="3"/>
      <c r="G2352" s="3"/>
      <c r="H2352" s="3"/>
      <c r="I2352" s="3"/>
      <c r="J2352" s="3"/>
      <c r="K2352" s="3"/>
      <c r="L2352" s="3"/>
      <c r="M2352" s="3"/>
      <c r="N2352" s="3"/>
      <c r="O2352" s="3"/>
      <c r="P2352" s="3"/>
      <c r="Q2352" s="3"/>
      <c r="R2352" s="3"/>
      <c r="S2352" s="3"/>
      <c r="T2352" s="3"/>
    </row>
    <row r="2353" spans="2:20" x14ac:dyDescent="0.15">
      <c r="B2353" s="3"/>
      <c r="C2353" s="3"/>
      <c r="D2353" s="3"/>
      <c r="F2353" s="3"/>
      <c r="G2353" s="3"/>
      <c r="H2353" s="3"/>
      <c r="I2353" s="3"/>
      <c r="J2353" s="3"/>
      <c r="K2353" s="3"/>
      <c r="L2353" s="3"/>
      <c r="M2353" s="3"/>
      <c r="N2353" s="3"/>
      <c r="O2353" s="3"/>
      <c r="P2353" s="3"/>
      <c r="Q2353" s="3"/>
      <c r="R2353" s="3"/>
      <c r="S2353" s="3"/>
      <c r="T2353" s="3"/>
    </row>
    <row r="2354" spans="2:20" x14ac:dyDescent="0.15">
      <c r="B2354" s="3"/>
      <c r="C2354" s="3"/>
      <c r="D2354" s="3"/>
      <c r="F2354" s="3"/>
      <c r="G2354" s="3"/>
      <c r="H2354" s="3"/>
      <c r="I2354" s="3"/>
      <c r="J2354" s="3"/>
      <c r="K2354" s="3"/>
      <c r="L2354" s="3"/>
      <c r="M2354" s="3"/>
      <c r="N2354" s="3"/>
      <c r="O2354" s="3"/>
      <c r="P2354" s="3"/>
      <c r="Q2354" s="3"/>
      <c r="R2354" s="3"/>
      <c r="S2354" s="3"/>
      <c r="T2354" s="3"/>
    </row>
    <row r="2355" spans="2:20" x14ac:dyDescent="0.15">
      <c r="B2355" s="3"/>
      <c r="C2355" s="3"/>
      <c r="D2355" s="3"/>
      <c r="F2355" s="3"/>
      <c r="G2355" s="3"/>
      <c r="H2355" s="3"/>
      <c r="I2355" s="3"/>
      <c r="J2355" s="3"/>
      <c r="K2355" s="3"/>
      <c r="L2355" s="3"/>
      <c r="M2355" s="3"/>
      <c r="N2355" s="3"/>
      <c r="O2355" s="3"/>
      <c r="P2355" s="3"/>
      <c r="Q2355" s="3"/>
      <c r="R2355" s="3"/>
      <c r="S2355" s="3"/>
      <c r="T2355" s="3"/>
    </row>
    <row r="2356" spans="2:20" x14ac:dyDescent="0.15">
      <c r="B2356" s="3"/>
      <c r="C2356" s="3"/>
      <c r="D2356" s="3"/>
      <c r="F2356" s="3"/>
      <c r="G2356" s="3"/>
      <c r="H2356" s="3"/>
      <c r="I2356" s="3"/>
      <c r="J2356" s="3"/>
      <c r="K2356" s="3"/>
      <c r="L2356" s="3"/>
      <c r="M2356" s="3"/>
      <c r="N2356" s="3"/>
      <c r="O2356" s="3"/>
      <c r="P2356" s="3"/>
      <c r="Q2356" s="3"/>
      <c r="R2356" s="3"/>
      <c r="S2356" s="3"/>
      <c r="T2356" s="3"/>
    </row>
    <row r="2357" spans="2:20" x14ac:dyDescent="0.15">
      <c r="B2357" s="3"/>
      <c r="C2357" s="3"/>
      <c r="D2357" s="3"/>
      <c r="F2357" s="3"/>
      <c r="G2357" s="3"/>
      <c r="H2357" s="3"/>
      <c r="I2357" s="3"/>
      <c r="J2357" s="3"/>
      <c r="K2357" s="3"/>
      <c r="L2357" s="3"/>
      <c r="M2357" s="3"/>
      <c r="N2357" s="3"/>
      <c r="O2357" s="3"/>
      <c r="P2357" s="3"/>
      <c r="Q2357" s="3"/>
      <c r="R2357" s="3"/>
      <c r="S2357" s="3"/>
      <c r="T2357" s="3"/>
    </row>
    <row r="2358" spans="2:20" x14ac:dyDescent="0.15">
      <c r="B2358" s="3"/>
      <c r="C2358" s="3"/>
      <c r="D2358" s="3"/>
      <c r="F2358" s="3"/>
      <c r="G2358" s="3"/>
      <c r="H2358" s="3"/>
      <c r="I2358" s="3"/>
      <c r="J2358" s="3"/>
      <c r="K2358" s="3"/>
      <c r="L2358" s="3"/>
      <c r="M2358" s="3"/>
      <c r="N2358" s="3"/>
      <c r="O2358" s="3"/>
      <c r="P2358" s="3"/>
      <c r="Q2358" s="3"/>
      <c r="R2358" s="3"/>
      <c r="S2358" s="3"/>
      <c r="T2358" s="3"/>
    </row>
    <row r="2359" spans="2:20" x14ac:dyDescent="0.15">
      <c r="B2359" s="3"/>
      <c r="C2359" s="3"/>
      <c r="D2359" s="3"/>
      <c r="F2359" s="3"/>
      <c r="G2359" s="3"/>
      <c r="H2359" s="3"/>
      <c r="I2359" s="3"/>
      <c r="J2359" s="3"/>
      <c r="K2359" s="3"/>
      <c r="L2359" s="3"/>
      <c r="M2359" s="3"/>
      <c r="N2359" s="3"/>
      <c r="O2359" s="3"/>
      <c r="P2359" s="3"/>
      <c r="Q2359" s="3"/>
      <c r="R2359" s="3"/>
      <c r="S2359" s="3"/>
      <c r="T2359" s="3"/>
    </row>
    <row r="2360" spans="2:20" x14ac:dyDescent="0.15">
      <c r="B2360" s="3"/>
      <c r="C2360" s="3"/>
      <c r="D2360" s="3"/>
      <c r="F2360" s="3"/>
      <c r="G2360" s="3"/>
      <c r="H2360" s="3"/>
      <c r="I2360" s="3"/>
      <c r="J2360" s="3"/>
      <c r="K2360" s="3"/>
      <c r="L2360" s="3"/>
      <c r="M2360" s="3"/>
      <c r="N2360" s="3"/>
      <c r="O2360" s="3"/>
      <c r="P2360" s="3"/>
      <c r="Q2360" s="3"/>
      <c r="R2360" s="3"/>
      <c r="S2360" s="3"/>
      <c r="T2360" s="3"/>
    </row>
    <row r="2361" spans="2:20" x14ac:dyDescent="0.15">
      <c r="B2361" s="3"/>
      <c r="C2361" s="3"/>
      <c r="D2361" s="3"/>
      <c r="F2361" s="3"/>
      <c r="G2361" s="3"/>
      <c r="H2361" s="3"/>
      <c r="I2361" s="3"/>
      <c r="J2361" s="3"/>
      <c r="K2361" s="3"/>
      <c r="L2361" s="3"/>
      <c r="M2361" s="3"/>
      <c r="N2361" s="3"/>
      <c r="O2361" s="3"/>
      <c r="P2361" s="3"/>
      <c r="Q2361" s="3"/>
      <c r="R2361" s="3"/>
      <c r="S2361" s="3"/>
      <c r="T2361" s="3"/>
    </row>
    <row r="2362" spans="2:20" x14ac:dyDescent="0.15">
      <c r="B2362" s="3"/>
      <c r="C2362" s="3"/>
      <c r="D2362" s="3"/>
      <c r="F2362" s="3"/>
      <c r="G2362" s="3"/>
      <c r="H2362" s="3"/>
      <c r="I2362" s="3"/>
      <c r="J2362" s="3"/>
      <c r="K2362" s="3"/>
      <c r="L2362" s="3"/>
      <c r="M2362" s="3"/>
      <c r="N2362" s="3"/>
      <c r="O2362" s="3"/>
      <c r="P2362" s="3"/>
      <c r="Q2362" s="3"/>
      <c r="R2362" s="3"/>
      <c r="S2362" s="3"/>
      <c r="T2362" s="3"/>
    </row>
    <row r="2363" spans="2:20" x14ac:dyDescent="0.15">
      <c r="B2363" s="3"/>
      <c r="C2363" s="3"/>
      <c r="D2363" s="3"/>
      <c r="F2363" s="3"/>
      <c r="G2363" s="3"/>
      <c r="H2363" s="3"/>
      <c r="I2363" s="3"/>
      <c r="J2363" s="3"/>
      <c r="K2363" s="3"/>
      <c r="L2363" s="3"/>
      <c r="M2363" s="3"/>
      <c r="N2363" s="3"/>
      <c r="O2363" s="3"/>
      <c r="P2363" s="3"/>
      <c r="Q2363" s="3"/>
      <c r="R2363" s="3"/>
      <c r="S2363" s="3"/>
      <c r="T2363" s="3"/>
    </row>
    <row r="2364" spans="2:20" x14ac:dyDescent="0.15">
      <c r="B2364" s="3"/>
      <c r="C2364" s="3"/>
      <c r="D2364" s="3"/>
      <c r="F2364" s="3"/>
      <c r="G2364" s="3"/>
      <c r="H2364" s="3"/>
      <c r="I2364" s="3"/>
      <c r="J2364" s="3"/>
      <c r="K2364" s="3"/>
      <c r="L2364" s="3"/>
      <c r="M2364" s="3"/>
      <c r="N2364" s="3"/>
      <c r="O2364" s="3"/>
      <c r="P2364" s="3"/>
      <c r="Q2364" s="3"/>
      <c r="R2364" s="3"/>
      <c r="S2364" s="3"/>
      <c r="T2364" s="3"/>
    </row>
    <row r="2365" spans="2:20" x14ac:dyDescent="0.15">
      <c r="B2365" s="3"/>
      <c r="C2365" s="3"/>
      <c r="D2365" s="3"/>
      <c r="F2365" s="3"/>
      <c r="G2365" s="3"/>
      <c r="H2365" s="3"/>
      <c r="I2365" s="3"/>
      <c r="J2365" s="3"/>
      <c r="K2365" s="3"/>
      <c r="L2365" s="3"/>
      <c r="M2365" s="3"/>
      <c r="N2365" s="3"/>
      <c r="O2365" s="3"/>
      <c r="P2365" s="3"/>
      <c r="Q2365" s="3"/>
      <c r="R2365" s="3"/>
      <c r="S2365" s="3"/>
      <c r="T2365" s="3"/>
    </row>
    <row r="2366" spans="2:20" x14ac:dyDescent="0.15">
      <c r="B2366" s="3"/>
      <c r="C2366" s="3"/>
      <c r="D2366" s="3"/>
      <c r="F2366" s="3"/>
      <c r="G2366" s="3"/>
      <c r="H2366" s="3"/>
      <c r="I2366" s="3"/>
      <c r="J2366" s="3"/>
      <c r="K2366" s="3"/>
      <c r="L2366" s="3"/>
      <c r="M2366" s="3"/>
      <c r="N2366" s="3"/>
      <c r="O2366" s="3"/>
      <c r="P2366" s="3"/>
      <c r="Q2366" s="3"/>
      <c r="R2366" s="3"/>
      <c r="S2366" s="3"/>
      <c r="T2366" s="3"/>
    </row>
    <row r="2367" spans="2:20" x14ac:dyDescent="0.15">
      <c r="B2367" s="3"/>
      <c r="C2367" s="3"/>
      <c r="D2367" s="3"/>
      <c r="F2367" s="3"/>
      <c r="G2367" s="3"/>
      <c r="H2367" s="3"/>
      <c r="I2367" s="3"/>
      <c r="J2367" s="3"/>
      <c r="K2367" s="3"/>
      <c r="L2367" s="3"/>
      <c r="M2367" s="3"/>
      <c r="N2367" s="3"/>
      <c r="O2367" s="3"/>
      <c r="P2367" s="3"/>
      <c r="Q2367" s="3"/>
      <c r="R2367" s="3"/>
      <c r="S2367" s="3"/>
      <c r="T2367" s="3"/>
    </row>
    <row r="2368" spans="2:20" x14ac:dyDescent="0.15">
      <c r="B2368" s="3"/>
      <c r="C2368" s="3"/>
      <c r="D2368" s="3"/>
      <c r="F2368" s="3"/>
      <c r="G2368" s="3"/>
      <c r="H2368" s="3"/>
      <c r="I2368" s="3"/>
      <c r="J2368" s="3"/>
      <c r="K2368" s="3"/>
      <c r="L2368" s="3"/>
      <c r="M2368" s="3"/>
      <c r="N2368" s="3"/>
      <c r="O2368" s="3"/>
      <c r="P2368" s="3"/>
      <c r="Q2368" s="3"/>
      <c r="R2368" s="3"/>
      <c r="S2368" s="3"/>
      <c r="T2368" s="3"/>
    </row>
    <row r="2369" spans="2:20" x14ac:dyDescent="0.15">
      <c r="B2369" s="3"/>
      <c r="C2369" s="3"/>
      <c r="D2369" s="3"/>
      <c r="F2369" s="3"/>
      <c r="G2369" s="3"/>
      <c r="H2369" s="3"/>
      <c r="I2369" s="3"/>
      <c r="J2369" s="3"/>
      <c r="K2369" s="3"/>
      <c r="L2369" s="3"/>
      <c r="M2369" s="3"/>
      <c r="N2369" s="3"/>
      <c r="O2369" s="3"/>
      <c r="P2369" s="3"/>
      <c r="Q2369" s="3"/>
      <c r="R2369" s="3"/>
      <c r="S2369" s="3"/>
      <c r="T2369" s="3"/>
    </row>
    <row r="2370" spans="2:20" x14ac:dyDescent="0.15">
      <c r="B2370" s="3"/>
      <c r="C2370" s="3"/>
      <c r="D2370" s="3"/>
      <c r="F2370" s="3"/>
      <c r="G2370" s="3"/>
      <c r="H2370" s="3"/>
      <c r="I2370" s="3"/>
      <c r="J2370" s="3"/>
      <c r="K2370" s="3"/>
      <c r="L2370" s="3"/>
      <c r="M2370" s="3"/>
      <c r="N2370" s="3"/>
      <c r="O2370" s="3"/>
      <c r="P2370" s="3"/>
      <c r="Q2370" s="3"/>
      <c r="R2370" s="3"/>
      <c r="S2370" s="3"/>
      <c r="T2370" s="3"/>
    </row>
    <row r="2371" spans="2:20" x14ac:dyDescent="0.15">
      <c r="B2371" s="3"/>
      <c r="C2371" s="3"/>
      <c r="D2371" s="3"/>
      <c r="F2371" s="3"/>
      <c r="G2371" s="3"/>
      <c r="H2371" s="3"/>
      <c r="I2371" s="3"/>
      <c r="J2371" s="3"/>
      <c r="K2371" s="3"/>
      <c r="L2371" s="3"/>
      <c r="M2371" s="3"/>
      <c r="N2371" s="3"/>
      <c r="O2371" s="3"/>
      <c r="P2371" s="3"/>
      <c r="Q2371" s="3"/>
      <c r="R2371" s="3"/>
      <c r="S2371" s="3"/>
      <c r="T2371" s="3"/>
    </row>
    <row r="2372" spans="2:20" x14ac:dyDescent="0.15">
      <c r="B2372" s="3"/>
      <c r="C2372" s="3"/>
      <c r="D2372" s="3"/>
      <c r="F2372" s="3"/>
      <c r="G2372" s="3"/>
      <c r="H2372" s="3"/>
      <c r="I2372" s="3"/>
      <c r="J2372" s="3"/>
      <c r="K2372" s="3"/>
      <c r="L2372" s="3"/>
      <c r="M2372" s="3"/>
      <c r="N2372" s="3"/>
      <c r="O2372" s="3"/>
      <c r="P2372" s="3"/>
      <c r="Q2372" s="3"/>
      <c r="R2372" s="3"/>
      <c r="S2372" s="3"/>
      <c r="T2372" s="3"/>
    </row>
    <row r="2373" spans="2:20" x14ac:dyDescent="0.15">
      <c r="B2373" s="3"/>
      <c r="C2373" s="3"/>
      <c r="D2373" s="3"/>
      <c r="F2373" s="3"/>
      <c r="G2373" s="3"/>
      <c r="H2373" s="3"/>
      <c r="I2373" s="3"/>
      <c r="J2373" s="3"/>
      <c r="K2373" s="3"/>
      <c r="L2373" s="3"/>
      <c r="M2373" s="3"/>
      <c r="N2373" s="3"/>
      <c r="O2373" s="3"/>
      <c r="P2373" s="3"/>
      <c r="Q2373" s="3"/>
      <c r="R2373" s="3"/>
      <c r="S2373" s="3"/>
      <c r="T2373" s="3"/>
    </row>
    <row r="2374" spans="2:20" x14ac:dyDescent="0.15">
      <c r="B2374" s="3"/>
      <c r="C2374" s="3"/>
      <c r="D2374" s="3"/>
      <c r="F2374" s="3"/>
      <c r="G2374" s="3"/>
      <c r="H2374" s="3"/>
      <c r="I2374" s="3"/>
      <c r="J2374" s="3"/>
      <c r="K2374" s="3"/>
      <c r="L2374" s="3"/>
      <c r="M2374" s="3"/>
      <c r="N2374" s="3"/>
      <c r="O2374" s="3"/>
      <c r="P2374" s="3"/>
      <c r="Q2374" s="3"/>
      <c r="R2374" s="3"/>
      <c r="S2374" s="3"/>
      <c r="T2374" s="3"/>
    </row>
    <row r="2375" spans="2:20" x14ac:dyDescent="0.15">
      <c r="B2375" s="3"/>
      <c r="C2375" s="3"/>
      <c r="D2375" s="3"/>
      <c r="F2375" s="3"/>
      <c r="G2375" s="3"/>
      <c r="H2375" s="3"/>
      <c r="I2375" s="3"/>
      <c r="J2375" s="3"/>
      <c r="K2375" s="3"/>
      <c r="L2375" s="3"/>
      <c r="M2375" s="3"/>
      <c r="N2375" s="3"/>
      <c r="O2375" s="3"/>
      <c r="P2375" s="3"/>
      <c r="Q2375" s="3"/>
      <c r="R2375" s="3"/>
      <c r="S2375" s="3"/>
      <c r="T2375" s="3"/>
    </row>
    <row r="2376" spans="2:20" x14ac:dyDescent="0.15">
      <c r="B2376" s="3"/>
      <c r="C2376" s="3"/>
      <c r="D2376" s="3"/>
      <c r="F2376" s="3"/>
      <c r="G2376" s="3"/>
      <c r="H2376" s="3"/>
      <c r="I2376" s="3"/>
      <c r="J2376" s="3"/>
      <c r="K2376" s="3"/>
      <c r="L2376" s="3"/>
      <c r="M2376" s="3"/>
      <c r="N2376" s="3"/>
      <c r="O2376" s="3"/>
      <c r="P2376" s="3"/>
      <c r="Q2376" s="3"/>
      <c r="R2376" s="3"/>
      <c r="S2376" s="3"/>
      <c r="T2376" s="3"/>
    </row>
    <row r="2377" spans="2:20" x14ac:dyDescent="0.15">
      <c r="B2377" s="3"/>
      <c r="C2377" s="3"/>
      <c r="D2377" s="3"/>
      <c r="F2377" s="3"/>
      <c r="G2377" s="3"/>
      <c r="H2377" s="3"/>
      <c r="I2377" s="3"/>
      <c r="J2377" s="3"/>
      <c r="K2377" s="3"/>
      <c r="L2377" s="3"/>
      <c r="M2377" s="3"/>
      <c r="N2377" s="3"/>
      <c r="O2377" s="3"/>
      <c r="P2377" s="3"/>
      <c r="Q2377" s="3"/>
      <c r="R2377" s="3"/>
      <c r="S2377" s="3"/>
      <c r="T2377" s="3"/>
    </row>
    <row r="2378" spans="2:20" x14ac:dyDescent="0.15">
      <c r="B2378" s="3"/>
      <c r="C2378" s="3"/>
      <c r="D2378" s="3"/>
      <c r="F2378" s="3"/>
      <c r="G2378" s="3"/>
      <c r="H2378" s="3"/>
      <c r="I2378" s="3"/>
      <c r="J2378" s="3"/>
      <c r="K2378" s="3"/>
      <c r="L2378" s="3"/>
      <c r="M2378" s="3"/>
      <c r="N2378" s="3"/>
      <c r="O2378" s="3"/>
      <c r="P2378" s="3"/>
      <c r="Q2378" s="3"/>
      <c r="R2378" s="3"/>
      <c r="S2378" s="3"/>
      <c r="T2378" s="3"/>
    </row>
    <row r="2379" spans="2:20" x14ac:dyDescent="0.15">
      <c r="B2379" s="3"/>
      <c r="C2379" s="3"/>
      <c r="D2379" s="3"/>
      <c r="F2379" s="3"/>
      <c r="G2379" s="3"/>
      <c r="H2379" s="3"/>
      <c r="I2379" s="3"/>
      <c r="J2379" s="3"/>
      <c r="K2379" s="3"/>
      <c r="L2379" s="3"/>
      <c r="M2379" s="3"/>
      <c r="N2379" s="3"/>
      <c r="O2379" s="3"/>
      <c r="P2379" s="3"/>
      <c r="Q2379" s="3"/>
      <c r="R2379" s="3"/>
      <c r="S2379" s="3"/>
      <c r="T2379" s="3"/>
    </row>
    <row r="2380" spans="2:20" x14ac:dyDescent="0.15">
      <c r="B2380" s="3"/>
      <c r="C2380" s="3"/>
      <c r="D2380" s="3"/>
      <c r="F2380" s="3"/>
      <c r="G2380" s="3"/>
      <c r="H2380" s="3"/>
      <c r="I2380" s="3"/>
      <c r="J2380" s="3"/>
      <c r="K2380" s="3"/>
      <c r="L2380" s="3"/>
      <c r="M2380" s="3"/>
      <c r="N2380" s="3"/>
      <c r="O2380" s="3"/>
      <c r="P2380" s="3"/>
      <c r="Q2380" s="3"/>
      <c r="R2380" s="3"/>
      <c r="S2380" s="3"/>
      <c r="T2380" s="3"/>
    </row>
    <row r="2381" spans="2:20" x14ac:dyDescent="0.15">
      <c r="B2381" s="3"/>
      <c r="C2381" s="3"/>
      <c r="D2381" s="3"/>
      <c r="F2381" s="3"/>
      <c r="G2381" s="3"/>
      <c r="H2381" s="3"/>
      <c r="I2381" s="3"/>
      <c r="J2381" s="3"/>
      <c r="K2381" s="3"/>
      <c r="L2381" s="3"/>
      <c r="M2381" s="3"/>
      <c r="N2381" s="3"/>
      <c r="O2381" s="3"/>
      <c r="P2381" s="3"/>
      <c r="Q2381" s="3"/>
      <c r="R2381" s="3"/>
      <c r="S2381" s="3"/>
      <c r="T2381" s="3"/>
    </row>
    <row r="2382" spans="2:20" x14ac:dyDescent="0.15">
      <c r="B2382" s="3"/>
      <c r="C2382" s="3"/>
      <c r="D2382" s="3"/>
      <c r="F2382" s="3"/>
      <c r="G2382" s="3"/>
      <c r="H2382" s="3"/>
      <c r="I2382" s="3"/>
      <c r="J2382" s="3"/>
      <c r="K2382" s="3"/>
      <c r="L2382" s="3"/>
      <c r="M2382" s="3"/>
      <c r="N2382" s="3"/>
      <c r="O2382" s="3"/>
      <c r="P2382" s="3"/>
      <c r="Q2382" s="3"/>
      <c r="R2382" s="3"/>
      <c r="S2382" s="3"/>
      <c r="T2382" s="3"/>
    </row>
    <row r="2383" spans="2:20" x14ac:dyDescent="0.15">
      <c r="B2383" s="3"/>
      <c r="C2383" s="3"/>
      <c r="D2383" s="3"/>
      <c r="F2383" s="3"/>
      <c r="G2383" s="3"/>
      <c r="H2383" s="3"/>
      <c r="I2383" s="3"/>
      <c r="J2383" s="3"/>
      <c r="K2383" s="3"/>
      <c r="L2383" s="3"/>
      <c r="M2383" s="3"/>
      <c r="N2383" s="3"/>
      <c r="O2383" s="3"/>
      <c r="P2383" s="3"/>
      <c r="Q2383" s="3"/>
      <c r="R2383" s="3"/>
      <c r="S2383" s="3"/>
      <c r="T2383" s="3"/>
    </row>
    <row r="2384" spans="2:20" x14ac:dyDescent="0.15">
      <c r="B2384" s="3"/>
      <c r="C2384" s="3"/>
      <c r="D2384" s="3"/>
      <c r="F2384" s="3"/>
      <c r="G2384" s="3"/>
      <c r="H2384" s="3"/>
      <c r="I2384" s="3"/>
      <c r="J2384" s="3"/>
      <c r="K2384" s="3"/>
      <c r="L2384" s="3"/>
      <c r="M2384" s="3"/>
      <c r="N2384" s="3"/>
      <c r="O2384" s="3"/>
      <c r="P2384" s="3"/>
      <c r="Q2384" s="3"/>
      <c r="R2384" s="3"/>
      <c r="S2384" s="3"/>
      <c r="T2384" s="3"/>
    </row>
    <row r="2385" spans="2:20" x14ac:dyDescent="0.15">
      <c r="B2385" s="3"/>
      <c r="C2385" s="3"/>
      <c r="D2385" s="3"/>
      <c r="F2385" s="3"/>
      <c r="G2385" s="3"/>
      <c r="H2385" s="3"/>
      <c r="I2385" s="3"/>
      <c r="J2385" s="3"/>
      <c r="K2385" s="3"/>
      <c r="L2385" s="3"/>
      <c r="M2385" s="3"/>
      <c r="N2385" s="3"/>
      <c r="O2385" s="3"/>
      <c r="P2385" s="3"/>
      <c r="Q2385" s="3"/>
      <c r="R2385" s="3"/>
      <c r="S2385" s="3"/>
      <c r="T2385" s="3"/>
    </row>
    <row r="2386" spans="2:20" x14ac:dyDescent="0.15">
      <c r="B2386" s="3"/>
      <c r="C2386" s="3"/>
      <c r="D2386" s="3"/>
      <c r="F2386" s="3"/>
      <c r="G2386" s="3"/>
      <c r="H2386" s="3"/>
      <c r="I2386" s="3"/>
      <c r="J2386" s="3"/>
      <c r="K2386" s="3"/>
      <c r="L2386" s="3"/>
      <c r="M2386" s="3"/>
      <c r="N2386" s="3"/>
      <c r="O2386" s="3"/>
      <c r="P2386" s="3"/>
      <c r="Q2386" s="3"/>
      <c r="R2386" s="3"/>
      <c r="S2386" s="3"/>
      <c r="T2386" s="3"/>
    </row>
    <row r="2387" spans="2:20" x14ac:dyDescent="0.15">
      <c r="B2387" s="3"/>
      <c r="C2387" s="3"/>
      <c r="D2387" s="3"/>
      <c r="F2387" s="3"/>
      <c r="G2387" s="3"/>
      <c r="H2387" s="3"/>
      <c r="I2387" s="3"/>
      <c r="J2387" s="3"/>
      <c r="K2387" s="3"/>
      <c r="L2387" s="3"/>
      <c r="M2387" s="3"/>
      <c r="N2387" s="3"/>
      <c r="O2387" s="3"/>
      <c r="P2387" s="3"/>
      <c r="Q2387" s="3"/>
      <c r="R2387" s="3"/>
      <c r="S2387" s="3"/>
      <c r="T2387" s="3"/>
    </row>
    <row r="2388" spans="2:20" x14ac:dyDescent="0.15">
      <c r="B2388" s="3"/>
      <c r="C2388" s="3"/>
      <c r="D2388" s="3"/>
      <c r="F2388" s="3"/>
      <c r="G2388" s="3"/>
      <c r="H2388" s="3"/>
      <c r="I2388" s="3"/>
      <c r="J2388" s="3"/>
      <c r="K2388" s="3"/>
      <c r="L2388" s="3"/>
      <c r="M2388" s="3"/>
      <c r="N2388" s="3"/>
      <c r="O2388" s="3"/>
      <c r="P2388" s="3"/>
      <c r="Q2388" s="3"/>
      <c r="R2388" s="3"/>
      <c r="S2388" s="3"/>
      <c r="T2388" s="3"/>
    </row>
    <row r="2389" spans="2:20" x14ac:dyDescent="0.15">
      <c r="B2389" s="3"/>
      <c r="C2389" s="3"/>
      <c r="D2389" s="3"/>
      <c r="F2389" s="3"/>
      <c r="G2389" s="3"/>
      <c r="H2389" s="3"/>
      <c r="I2389" s="3"/>
      <c r="J2389" s="3"/>
      <c r="K2389" s="3"/>
      <c r="L2389" s="3"/>
      <c r="M2389" s="3"/>
      <c r="N2389" s="3"/>
      <c r="O2389" s="3"/>
      <c r="P2389" s="3"/>
      <c r="Q2389" s="3"/>
      <c r="R2389" s="3"/>
      <c r="S2389" s="3"/>
      <c r="T2389" s="3"/>
    </row>
    <row r="2390" spans="2:20" x14ac:dyDescent="0.15">
      <c r="B2390" s="3"/>
      <c r="C2390" s="3"/>
      <c r="D2390" s="3"/>
      <c r="F2390" s="3"/>
      <c r="G2390" s="3"/>
      <c r="H2390" s="3"/>
      <c r="I2390" s="3"/>
      <c r="J2390" s="3"/>
      <c r="K2390" s="3"/>
      <c r="L2390" s="3"/>
      <c r="M2390" s="3"/>
      <c r="N2390" s="3"/>
      <c r="O2390" s="3"/>
      <c r="P2390" s="3"/>
      <c r="Q2390" s="3"/>
      <c r="R2390" s="3"/>
      <c r="S2390" s="3"/>
      <c r="T2390" s="3"/>
    </row>
    <row r="2391" spans="2:20" x14ac:dyDescent="0.15">
      <c r="B2391" s="3"/>
      <c r="C2391" s="3"/>
      <c r="D2391" s="3"/>
      <c r="F2391" s="3"/>
      <c r="G2391" s="3"/>
      <c r="H2391" s="3"/>
      <c r="I2391" s="3"/>
      <c r="J2391" s="3"/>
      <c r="K2391" s="3"/>
      <c r="L2391" s="3"/>
      <c r="M2391" s="3"/>
      <c r="N2391" s="3"/>
      <c r="O2391" s="3"/>
      <c r="P2391" s="3"/>
      <c r="Q2391" s="3"/>
      <c r="R2391" s="3"/>
      <c r="S2391" s="3"/>
      <c r="T2391" s="3"/>
    </row>
    <row r="2392" spans="2:20" x14ac:dyDescent="0.15">
      <c r="B2392" s="3"/>
      <c r="C2392" s="3"/>
      <c r="D2392" s="3"/>
      <c r="F2392" s="3"/>
      <c r="G2392" s="3"/>
      <c r="H2392" s="3"/>
      <c r="I2392" s="3"/>
      <c r="J2392" s="3"/>
      <c r="K2392" s="3"/>
      <c r="L2392" s="3"/>
      <c r="M2392" s="3"/>
      <c r="N2392" s="3"/>
      <c r="O2392" s="3"/>
      <c r="P2392" s="3"/>
      <c r="Q2392" s="3"/>
      <c r="R2392" s="3"/>
      <c r="S2392" s="3"/>
      <c r="T2392" s="3"/>
    </row>
    <row r="2393" spans="2:20" x14ac:dyDescent="0.15">
      <c r="B2393" s="3"/>
      <c r="C2393" s="3"/>
      <c r="D2393" s="3"/>
      <c r="F2393" s="3"/>
      <c r="G2393" s="3"/>
      <c r="H2393" s="3"/>
      <c r="I2393" s="3"/>
      <c r="J2393" s="3"/>
      <c r="K2393" s="3"/>
      <c r="L2393" s="3"/>
      <c r="M2393" s="3"/>
      <c r="N2393" s="3"/>
      <c r="O2393" s="3"/>
      <c r="P2393" s="3"/>
      <c r="Q2393" s="3"/>
      <c r="R2393" s="3"/>
      <c r="S2393" s="3"/>
      <c r="T2393" s="3"/>
    </row>
    <row r="2394" spans="2:20" x14ac:dyDescent="0.15">
      <c r="B2394" s="3"/>
      <c r="C2394" s="3"/>
      <c r="D2394" s="3"/>
      <c r="F2394" s="3"/>
      <c r="G2394" s="3"/>
      <c r="H2394" s="3"/>
      <c r="I2394" s="3"/>
      <c r="J2394" s="3"/>
      <c r="K2394" s="3"/>
      <c r="L2394" s="3"/>
      <c r="M2394" s="3"/>
      <c r="N2394" s="3"/>
      <c r="O2394" s="3"/>
      <c r="P2394" s="3"/>
      <c r="Q2394" s="3"/>
      <c r="R2394" s="3"/>
      <c r="S2394" s="3"/>
      <c r="T2394" s="3"/>
    </row>
    <row r="2395" spans="2:20" x14ac:dyDescent="0.15">
      <c r="B2395" s="3"/>
      <c r="C2395" s="3"/>
      <c r="D2395" s="3"/>
      <c r="F2395" s="3"/>
      <c r="G2395" s="3"/>
      <c r="H2395" s="3"/>
      <c r="I2395" s="3"/>
      <c r="J2395" s="3"/>
      <c r="K2395" s="3"/>
      <c r="L2395" s="3"/>
      <c r="M2395" s="3"/>
      <c r="N2395" s="3"/>
      <c r="O2395" s="3"/>
      <c r="P2395" s="3"/>
      <c r="Q2395" s="3"/>
      <c r="R2395" s="3"/>
      <c r="S2395" s="3"/>
      <c r="T2395" s="3"/>
    </row>
    <row r="2396" spans="2:20" x14ac:dyDescent="0.15">
      <c r="B2396" s="3"/>
      <c r="C2396" s="3"/>
      <c r="D2396" s="3"/>
      <c r="F2396" s="3"/>
      <c r="G2396" s="3"/>
      <c r="H2396" s="3"/>
      <c r="I2396" s="3"/>
      <c r="J2396" s="3"/>
      <c r="K2396" s="3"/>
      <c r="L2396" s="3"/>
      <c r="M2396" s="3"/>
      <c r="N2396" s="3"/>
      <c r="O2396" s="3"/>
      <c r="P2396" s="3"/>
      <c r="Q2396" s="3"/>
      <c r="R2396" s="3"/>
      <c r="S2396" s="3"/>
      <c r="T2396" s="3"/>
    </row>
    <row r="2397" spans="2:20" x14ac:dyDescent="0.15">
      <c r="B2397" s="3"/>
      <c r="C2397" s="3"/>
      <c r="D2397" s="3"/>
      <c r="F2397" s="3"/>
      <c r="G2397" s="3"/>
      <c r="H2397" s="3"/>
      <c r="I2397" s="3"/>
      <c r="J2397" s="3"/>
      <c r="K2397" s="3"/>
      <c r="L2397" s="3"/>
      <c r="M2397" s="3"/>
      <c r="N2397" s="3"/>
      <c r="O2397" s="3"/>
      <c r="P2397" s="3"/>
      <c r="Q2397" s="3"/>
      <c r="R2397" s="3"/>
      <c r="S2397" s="3"/>
      <c r="T2397" s="3"/>
    </row>
    <row r="2398" spans="2:20" x14ac:dyDescent="0.15">
      <c r="B2398" s="3"/>
      <c r="C2398" s="3"/>
      <c r="D2398" s="3"/>
      <c r="F2398" s="3"/>
      <c r="G2398" s="3"/>
      <c r="H2398" s="3"/>
      <c r="I2398" s="3"/>
      <c r="J2398" s="3"/>
      <c r="K2398" s="3"/>
      <c r="L2398" s="3"/>
      <c r="M2398" s="3"/>
      <c r="N2398" s="3"/>
      <c r="O2398" s="3"/>
      <c r="P2398" s="3"/>
      <c r="Q2398" s="3"/>
      <c r="R2398" s="3"/>
      <c r="S2398" s="3"/>
      <c r="T2398" s="3"/>
    </row>
    <row r="2399" spans="2:20" x14ac:dyDescent="0.15">
      <c r="B2399" s="3"/>
      <c r="C2399" s="3"/>
      <c r="D2399" s="3"/>
      <c r="F2399" s="3"/>
      <c r="G2399" s="3"/>
      <c r="H2399" s="3"/>
      <c r="I2399" s="3"/>
      <c r="J2399" s="3"/>
      <c r="K2399" s="3"/>
      <c r="L2399" s="3"/>
      <c r="M2399" s="3"/>
      <c r="N2399" s="3"/>
      <c r="O2399" s="3"/>
      <c r="P2399" s="3"/>
      <c r="Q2399" s="3"/>
      <c r="R2399" s="3"/>
      <c r="S2399" s="3"/>
      <c r="T2399" s="3"/>
    </row>
    <row r="2400" spans="2:20" x14ac:dyDescent="0.15">
      <c r="B2400" s="3"/>
      <c r="C2400" s="3"/>
      <c r="D2400" s="3"/>
      <c r="F2400" s="3"/>
      <c r="G2400" s="3"/>
      <c r="H2400" s="3"/>
      <c r="I2400" s="3"/>
      <c r="J2400" s="3"/>
      <c r="K2400" s="3"/>
      <c r="L2400" s="3"/>
      <c r="M2400" s="3"/>
      <c r="N2400" s="3"/>
      <c r="O2400" s="3"/>
      <c r="P2400" s="3"/>
      <c r="Q2400" s="3"/>
      <c r="R2400" s="3"/>
      <c r="S2400" s="3"/>
      <c r="T2400" s="3"/>
    </row>
    <row r="2401" spans="2:20" x14ac:dyDescent="0.15">
      <c r="B2401" s="3"/>
      <c r="C2401" s="3"/>
      <c r="D2401" s="3"/>
      <c r="F2401" s="3"/>
      <c r="G2401" s="3"/>
      <c r="H2401" s="3"/>
      <c r="I2401" s="3"/>
      <c r="J2401" s="3"/>
      <c r="K2401" s="3"/>
      <c r="L2401" s="3"/>
      <c r="M2401" s="3"/>
      <c r="N2401" s="3"/>
      <c r="O2401" s="3"/>
      <c r="P2401" s="3"/>
      <c r="Q2401" s="3"/>
      <c r="R2401" s="3"/>
      <c r="S2401" s="3"/>
      <c r="T2401" s="3"/>
    </row>
    <row r="2402" spans="2:20" x14ac:dyDescent="0.15">
      <c r="B2402" s="3"/>
      <c r="C2402" s="3"/>
      <c r="D2402" s="3"/>
      <c r="F2402" s="3"/>
      <c r="G2402" s="3"/>
      <c r="H2402" s="3"/>
      <c r="I2402" s="3"/>
      <c r="J2402" s="3"/>
      <c r="K2402" s="3"/>
      <c r="L2402" s="3"/>
      <c r="M2402" s="3"/>
      <c r="N2402" s="3"/>
      <c r="O2402" s="3"/>
      <c r="P2402" s="3"/>
      <c r="Q2402" s="3"/>
      <c r="R2402" s="3"/>
      <c r="S2402" s="3"/>
      <c r="T2402" s="3"/>
    </row>
    <row r="2403" spans="2:20" x14ac:dyDescent="0.15">
      <c r="B2403" s="3"/>
      <c r="C2403" s="3"/>
      <c r="D2403" s="3"/>
      <c r="F2403" s="3"/>
      <c r="G2403" s="3"/>
      <c r="H2403" s="3"/>
      <c r="I2403" s="3"/>
      <c r="J2403" s="3"/>
      <c r="K2403" s="3"/>
      <c r="L2403" s="3"/>
      <c r="M2403" s="3"/>
      <c r="N2403" s="3"/>
      <c r="O2403" s="3"/>
      <c r="P2403" s="3"/>
      <c r="Q2403" s="3"/>
      <c r="R2403" s="3"/>
      <c r="S2403" s="3"/>
      <c r="T2403" s="3"/>
    </row>
    <row r="2404" spans="2:20" x14ac:dyDescent="0.15">
      <c r="B2404" s="3"/>
      <c r="C2404" s="3"/>
      <c r="D2404" s="3"/>
      <c r="F2404" s="3"/>
      <c r="G2404" s="3"/>
      <c r="H2404" s="3"/>
      <c r="I2404" s="3"/>
      <c r="J2404" s="3"/>
      <c r="K2404" s="3"/>
      <c r="L2404" s="3"/>
      <c r="M2404" s="3"/>
      <c r="N2404" s="3"/>
      <c r="O2404" s="3"/>
      <c r="P2404" s="3"/>
      <c r="Q2404" s="3"/>
      <c r="R2404" s="3"/>
      <c r="S2404" s="3"/>
      <c r="T2404" s="3"/>
    </row>
    <row r="2405" spans="2:20" x14ac:dyDescent="0.15">
      <c r="B2405" s="3"/>
      <c r="C2405" s="3"/>
      <c r="D2405" s="3"/>
      <c r="F2405" s="3"/>
      <c r="G2405" s="3"/>
      <c r="H2405" s="3"/>
      <c r="I2405" s="3"/>
      <c r="J2405" s="3"/>
      <c r="K2405" s="3"/>
      <c r="L2405" s="3"/>
      <c r="M2405" s="3"/>
      <c r="N2405" s="3"/>
      <c r="O2405" s="3"/>
      <c r="P2405" s="3"/>
      <c r="Q2405" s="3"/>
      <c r="R2405" s="3"/>
      <c r="S2405" s="3"/>
      <c r="T2405" s="3"/>
    </row>
    <row r="2406" spans="2:20" x14ac:dyDescent="0.15">
      <c r="B2406" s="3"/>
      <c r="C2406" s="3"/>
      <c r="D2406" s="3"/>
      <c r="F2406" s="3"/>
      <c r="G2406" s="3"/>
      <c r="H2406" s="3"/>
      <c r="I2406" s="3"/>
      <c r="J2406" s="3"/>
      <c r="K2406" s="3"/>
      <c r="L2406" s="3"/>
      <c r="M2406" s="3"/>
      <c r="N2406" s="3"/>
      <c r="O2406" s="3"/>
      <c r="P2406" s="3"/>
      <c r="Q2406" s="3"/>
      <c r="R2406" s="3"/>
      <c r="S2406" s="3"/>
      <c r="T2406" s="3"/>
    </row>
    <row r="2407" spans="2:20" x14ac:dyDescent="0.15">
      <c r="B2407" s="3"/>
      <c r="C2407" s="3"/>
      <c r="D2407" s="3"/>
      <c r="F2407" s="3"/>
      <c r="G2407" s="3"/>
      <c r="H2407" s="3"/>
      <c r="I2407" s="3"/>
      <c r="J2407" s="3"/>
      <c r="K2407" s="3"/>
      <c r="L2407" s="3"/>
      <c r="M2407" s="3"/>
      <c r="N2407" s="3"/>
      <c r="O2407" s="3"/>
      <c r="P2407" s="3"/>
      <c r="Q2407" s="3"/>
      <c r="R2407" s="3"/>
      <c r="S2407" s="3"/>
      <c r="T2407" s="3"/>
    </row>
    <row r="2408" spans="2:20" x14ac:dyDescent="0.15">
      <c r="B2408" s="3"/>
      <c r="C2408" s="3"/>
      <c r="D2408" s="3"/>
      <c r="F2408" s="3"/>
      <c r="G2408" s="3"/>
      <c r="H2408" s="3"/>
      <c r="I2408" s="3"/>
      <c r="J2408" s="3"/>
      <c r="K2408" s="3"/>
      <c r="L2408" s="3"/>
      <c r="M2408" s="3"/>
      <c r="N2408" s="3"/>
      <c r="O2408" s="3"/>
      <c r="P2408" s="3"/>
      <c r="Q2408" s="3"/>
      <c r="R2408" s="3"/>
      <c r="S2408" s="3"/>
      <c r="T2408" s="3"/>
    </row>
    <row r="2409" spans="2:20" x14ac:dyDescent="0.15">
      <c r="B2409" s="3"/>
      <c r="C2409" s="3"/>
      <c r="D2409" s="3"/>
      <c r="F2409" s="3"/>
      <c r="G2409" s="3"/>
      <c r="H2409" s="3"/>
      <c r="I2409" s="3"/>
      <c r="J2409" s="3"/>
      <c r="K2409" s="3"/>
      <c r="L2409" s="3"/>
      <c r="M2409" s="3"/>
      <c r="N2409" s="3"/>
      <c r="O2409" s="3"/>
      <c r="P2409" s="3"/>
      <c r="Q2409" s="3"/>
      <c r="R2409" s="3"/>
      <c r="S2409" s="3"/>
      <c r="T2409" s="3"/>
    </row>
    <row r="2410" spans="2:20" x14ac:dyDescent="0.15">
      <c r="B2410" s="3"/>
      <c r="C2410" s="3"/>
      <c r="D2410" s="3"/>
      <c r="F2410" s="3"/>
      <c r="G2410" s="3"/>
      <c r="H2410" s="3"/>
      <c r="I2410" s="3"/>
      <c r="J2410" s="3"/>
      <c r="K2410" s="3"/>
      <c r="L2410" s="3"/>
      <c r="M2410" s="3"/>
      <c r="N2410" s="3"/>
      <c r="O2410" s="3"/>
      <c r="P2410" s="3"/>
      <c r="Q2410" s="3"/>
      <c r="R2410" s="3"/>
      <c r="S2410" s="3"/>
      <c r="T2410" s="3"/>
    </row>
    <row r="2411" spans="2:20" x14ac:dyDescent="0.15">
      <c r="B2411" s="3"/>
      <c r="C2411" s="3"/>
      <c r="D2411" s="3"/>
      <c r="F2411" s="3"/>
      <c r="G2411" s="3"/>
      <c r="H2411" s="3"/>
      <c r="I2411" s="3"/>
      <c r="J2411" s="3"/>
      <c r="K2411" s="3"/>
      <c r="L2411" s="3"/>
      <c r="M2411" s="3"/>
      <c r="N2411" s="3"/>
      <c r="O2411" s="3"/>
      <c r="P2411" s="3"/>
      <c r="Q2411" s="3"/>
      <c r="R2411" s="3"/>
      <c r="S2411" s="3"/>
      <c r="T2411" s="3"/>
    </row>
    <row r="2412" spans="2:20" x14ac:dyDescent="0.15">
      <c r="B2412" s="3"/>
      <c r="C2412" s="3"/>
      <c r="D2412" s="3"/>
      <c r="F2412" s="3"/>
      <c r="G2412" s="3"/>
      <c r="H2412" s="3"/>
      <c r="I2412" s="3"/>
      <c r="J2412" s="3"/>
      <c r="K2412" s="3"/>
      <c r="L2412" s="3"/>
      <c r="M2412" s="3"/>
      <c r="N2412" s="3"/>
      <c r="O2412" s="3"/>
      <c r="P2412" s="3"/>
      <c r="Q2412" s="3"/>
      <c r="R2412" s="3"/>
      <c r="S2412" s="3"/>
      <c r="T2412" s="3"/>
    </row>
    <row r="2413" spans="2:20" x14ac:dyDescent="0.15">
      <c r="B2413" s="3"/>
      <c r="C2413" s="3"/>
      <c r="D2413" s="3"/>
      <c r="F2413" s="3"/>
      <c r="G2413" s="3"/>
      <c r="H2413" s="3"/>
      <c r="I2413" s="3"/>
      <c r="J2413" s="3"/>
      <c r="K2413" s="3"/>
      <c r="L2413" s="3"/>
      <c r="M2413" s="3"/>
      <c r="N2413" s="3"/>
      <c r="O2413" s="3"/>
      <c r="P2413" s="3"/>
      <c r="Q2413" s="3"/>
      <c r="R2413" s="3"/>
      <c r="S2413" s="3"/>
      <c r="T2413" s="3"/>
    </row>
    <row r="2414" spans="2:20" x14ac:dyDescent="0.15">
      <c r="B2414" s="3"/>
      <c r="C2414" s="3"/>
      <c r="D2414" s="3"/>
      <c r="F2414" s="3"/>
      <c r="G2414" s="3"/>
      <c r="H2414" s="3"/>
      <c r="I2414" s="3"/>
      <c r="J2414" s="3"/>
      <c r="K2414" s="3"/>
      <c r="L2414" s="3"/>
      <c r="M2414" s="3"/>
      <c r="N2414" s="3"/>
      <c r="O2414" s="3"/>
      <c r="P2414" s="3"/>
      <c r="Q2414" s="3"/>
      <c r="R2414" s="3"/>
      <c r="S2414" s="3"/>
      <c r="T2414" s="3"/>
    </row>
    <row r="2415" spans="2:20" x14ac:dyDescent="0.15">
      <c r="B2415" s="3"/>
      <c r="C2415" s="3"/>
      <c r="D2415" s="3"/>
      <c r="F2415" s="3"/>
      <c r="G2415" s="3"/>
      <c r="H2415" s="3"/>
      <c r="I2415" s="3"/>
      <c r="J2415" s="3"/>
      <c r="K2415" s="3"/>
      <c r="L2415" s="3"/>
      <c r="M2415" s="3"/>
      <c r="N2415" s="3"/>
      <c r="O2415" s="3"/>
      <c r="P2415" s="3"/>
      <c r="Q2415" s="3"/>
      <c r="R2415" s="3"/>
      <c r="S2415" s="3"/>
      <c r="T2415" s="3"/>
    </row>
    <row r="2416" spans="2:20" x14ac:dyDescent="0.15">
      <c r="B2416" s="3"/>
      <c r="C2416" s="3"/>
      <c r="D2416" s="3"/>
      <c r="F2416" s="3"/>
      <c r="G2416" s="3"/>
      <c r="H2416" s="3"/>
      <c r="I2416" s="3"/>
      <c r="J2416" s="3"/>
      <c r="K2416" s="3"/>
      <c r="L2416" s="3"/>
      <c r="M2416" s="3"/>
      <c r="N2416" s="3"/>
      <c r="O2416" s="3"/>
      <c r="P2416" s="3"/>
      <c r="Q2416" s="3"/>
      <c r="R2416" s="3"/>
      <c r="S2416" s="3"/>
      <c r="T2416" s="3"/>
    </row>
    <row r="2417" spans="2:20" x14ac:dyDescent="0.15">
      <c r="B2417" s="3"/>
      <c r="C2417" s="3"/>
      <c r="D2417" s="3"/>
      <c r="F2417" s="3"/>
      <c r="G2417" s="3"/>
      <c r="H2417" s="3"/>
      <c r="I2417" s="3"/>
      <c r="J2417" s="3"/>
      <c r="K2417" s="3"/>
      <c r="L2417" s="3"/>
      <c r="M2417" s="3"/>
      <c r="N2417" s="3"/>
      <c r="O2417" s="3"/>
      <c r="P2417" s="3"/>
      <c r="Q2417" s="3"/>
      <c r="R2417" s="3"/>
      <c r="S2417" s="3"/>
      <c r="T2417" s="3"/>
    </row>
    <row r="2418" spans="2:20" x14ac:dyDescent="0.15">
      <c r="B2418" s="3"/>
      <c r="C2418" s="3"/>
      <c r="D2418" s="3"/>
      <c r="F2418" s="3"/>
      <c r="G2418" s="3"/>
      <c r="H2418" s="3"/>
      <c r="I2418" s="3"/>
      <c r="J2418" s="3"/>
      <c r="K2418" s="3"/>
      <c r="L2418" s="3"/>
      <c r="M2418" s="3"/>
      <c r="N2418" s="3"/>
      <c r="O2418" s="3"/>
      <c r="P2418" s="3"/>
      <c r="Q2418" s="3"/>
      <c r="R2418" s="3"/>
      <c r="S2418" s="3"/>
      <c r="T2418" s="3"/>
    </row>
    <row r="2419" spans="2:20" x14ac:dyDescent="0.15">
      <c r="B2419" s="3"/>
      <c r="C2419" s="3"/>
      <c r="D2419" s="3"/>
      <c r="F2419" s="3"/>
      <c r="G2419" s="3"/>
      <c r="H2419" s="3"/>
      <c r="I2419" s="3"/>
      <c r="J2419" s="3"/>
      <c r="K2419" s="3"/>
      <c r="L2419" s="3"/>
      <c r="M2419" s="3"/>
      <c r="N2419" s="3"/>
      <c r="O2419" s="3"/>
      <c r="P2419" s="3"/>
      <c r="Q2419" s="3"/>
      <c r="R2419" s="3"/>
      <c r="S2419" s="3"/>
      <c r="T2419" s="3"/>
    </row>
    <row r="2420" spans="2:20" x14ac:dyDescent="0.15">
      <c r="B2420" s="3"/>
      <c r="C2420" s="3"/>
      <c r="D2420" s="3"/>
      <c r="F2420" s="3"/>
      <c r="G2420" s="3"/>
      <c r="H2420" s="3"/>
      <c r="I2420" s="3"/>
      <c r="J2420" s="3"/>
      <c r="K2420" s="3"/>
      <c r="L2420" s="3"/>
      <c r="M2420" s="3"/>
      <c r="N2420" s="3"/>
      <c r="O2420" s="3"/>
      <c r="P2420" s="3"/>
      <c r="Q2420" s="3"/>
      <c r="R2420" s="3"/>
      <c r="S2420" s="3"/>
      <c r="T2420" s="3"/>
    </row>
    <row r="2421" spans="2:20" x14ac:dyDescent="0.15">
      <c r="B2421" s="3"/>
      <c r="C2421" s="3"/>
      <c r="D2421" s="3"/>
      <c r="F2421" s="3"/>
      <c r="G2421" s="3"/>
      <c r="H2421" s="3"/>
      <c r="I2421" s="3"/>
      <c r="J2421" s="3"/>
      <c r="K2421" s="3"/>
      <c r="L2421" s="3"/>
      <c r="M2421" s="3"/>
      <c r="N2421" s="3"/>
      <c r="O2421" s="3"/>
      <c r="P2421" s="3"/>
      <c r="Q2421" s="3"/>
      <c r="R2421" s="3"/>
      <c r="S2421" s="3"/>
      <c r="T2421" s="3"/>
    </row>
  </sheetData>
  <mergeCells count="6">
    <mergeCell ref="C15:C1088"/>
    <mergeCell ref="C1089:C2168"/>
    <mergeCell ref="C2173:C2175"/>
    <mergeCell ref="C2177:C2178"/>
    <mergeCell ref="C2169:C2170"/>
    <mergeCell ref="C2171:C2172"/>
  </mergeCells>
  <phoneticPr fontId="2" type="noConversion"/>
  <conditionalFormatting sqref="P2205:Q2256 P2278:Q2293 P2182:Q2201">
    <cfRule type="cellIs" dxfId="5" priority="14" operator="equal">
      <formula>"No"</formula>
    </cfRule>
  </conditionalFormatting>
  <conditionalFormatting sqref="P2202:Q2202">
    <cfRule type="cellIs" dxfId="4" priority="12" operator="equal">
      <formula>"No"</formula>
    </cfRule>
  </conditionalFormatting>
  <conditionalFormatting sqref="P2203:Q2204">
    <cfRule type="cellIs" dxfId="3" priority="11" operator="equal">
      <formula>"No"</formula>
    </cfRule>
  </conditionalFormatting>
  <conditionalFormatting sqref="P2271:Q2277">
    <cfRule type="cellIs" dxfId="2" priority="8" operator="equal">
      <formula>"No"</formula>
    </cfRule>
  </conditionalFormatting>
  <conditionalFormatting sqref="P2257:Q2263">
    <cfRule type="cellIs" dxfId="1" priority="10" operator="equal">
      <formula>"No"</formula>
    </cfRule>
  </conditionalFormatting>
  <conditionalFormatting sqref="P2264:Q2270">
    <cfRule type="cellIs" dxfId="0" priority="9" operator="equal">
      <formula>"No"</formula>
    </cfRule>
  </conditionalFormatting>
  <dataValidations disablePrompts="1" count="1">
    <dataValidation type="list" allowBlank="1" showInputMessage="1" showErrorMessage="1" sqref="I14:I2179 L14:L2179" xr:uid="{733D9C18-326E-4989-BD72-F157BF6D4BB5}">
      <formula1>"Yes,No"</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15DA4-F2D5-4E27-94FA-15B6D99D1F17}">
  <sheetPr codeName="Sheet19">
    <tabColor theme="2" tint="-0.499984740745262"/>
  </sheetPr>
  <dimension ref="A3:M17"/>
  <sheetViews>
    <sheetView showGridLines="0" zoomScaleNormal="100" workbookViewId="0"/>
  </sheetViews>
  <sheetFormatPr baseColWidth="10" defaultColWidth="8.83203125" defaultRowHeight="15" x14ac:dyDescent="0.2"/>
  <cols>
    <col min="3" max="3" width="9.83203125" customWidth="1"/>
    <col min="4" max="4" width="14.5" customWidth="1"/>
    <col min="5" max="5" width="17.5" customWidth="1"/>
    <col min="6" max="6" width="16.33203125" bestFit="1" customWidth="1"/>
    <col min="7" max="8" width="9.5" customWidth="1"/>
    <col min="9" max="9" width="15" customWidth="1"/>
    <col min="10" max="10" width="13" customWidth="1"/>
  </cols>
  <sheetData>
    <row r="3" spans="2:13" ht="26" x14ac:dyDescent="0.3">
      <c r="F3" s="85" t="s">
        <v>170</v>
      </c>
    </row>
    <row r="4" spans="2:13" ht="16" thickBot="1" x14ac:dyDescent="0.25"/>
    <row r="5" spans="2:13" ht="16" thickBot="1" x14ac:dyDescent="0.25">
      <c r="B5" s="79"/>
      <c r="C5" s="80"/>
      <c r="D5" s="80"/>
      <c r="E5" s="80"/>
      <c r="F5" s="80"/>
      <c r="G5" s="80"/>
      <c r="H5" s="80"/>
      <c r="I5" s="80"/>
      <c r="J5" s="80"/>
      <c r="K5" s="80"/>
      <c r="L5" s="81"/>
    </row>
    <row r="6" spans="2:13" x14ac:dyDescent="0.2">
      <c r="B6" s="103"/>
      <c r="M6" s="83"/>
    </row>
    <row r="7" spans="2:13" x14ac:dyDescent="0.2">
      <c r="B7" s="103"/>
      <c r="M7" s="83"/>
    </row>
    <row r="8" spans="2:13" ht="21" x14ac:dyDescent="0.25">
      <c r="B8" s="103"/>
      <c r="C8" s="12" t="s">
        <v>28</v>
      </c>
      <c r="D8" s="1"/>
      <c r="E8" s="1"/>
      <c r="F8" s="1"/>
      <c r="G8" s="1"/>
      <c r="H8" s="1"/>
      <c r="I8" s="1"/>
      <c r="M8" s="83"/>
    </row>
    <row r="9" spans="2:13" x14ac:dyDescent="0.2">
      <c r="B9" s="103"/>
      <c r="C9" s="1"/>
      <c r="D9" s="1"/>
      <c r="E9" s="1"/>
      <c r="F9" s="1"/>
      <c r="G9" s="1"/>
      <c r="H9" s="1"/>
      <c r="I9" s="1"/>
      <c r="M9" s="83"/>
    </row>
    <row r="10" spans="2:13" ht="48" x14ac:dyDescent="0.2">
      <c r="B10" s="103"/>
      <c r="C10" s="88" t="s">
        <v>29</v>
      </c>
      <c r="D10" s="88" t="s">
        <v>30</v>
      </c>
      <c r="E10" s="88" t="str">
        <f>"Drug acquisition cost per treatment cycle" &amp; "("&amp;c_currency&amp;")"</f>
        <v>Drug acquisition cost per treatment cycle(€)</v>
      </c>
      <c r="F10" s="89" t="str">
        <f>"Treatment Cost" &amp; "("&amp;c_currency&amp;")"</f>
        <v>Treatment Cost(€)</v>
      </c>
      <c r="G10" s="249" t="str">
        <f>"ICU Cost" &amp; "("&amp;c_currency&amp;")"</f>
        <v>ICU Cost(€)</v>
      </c>
      <c r="H10" s="250"/>
      <c r="I10" s="88" t="str">
        <f>"Resource Cost" &amp; "("&amp;c_currency&amp;")"</f>
        <v>Resource Cost(€)</v>
      </c>
      <c r="J10" s="88" t="s">
        <v>164</v>
      </c>
      <c r="K10" s="115"/>
      <c r="M10" s="83"/>
    </row>
    <row r="11" spans="2:13" x14ac:dyDescent="0.2">
      <c r="B11" s="103"/>
      <c r="C11" s="13" t="s">
        <v>250</v>
      </c>
      <c r="D11" s="59">
        <v>1</v>
      </c>
      <c r="E11" s="63">
        <f>Parameters!F2169+Parameters!F2171</f>
        <v>0.24</v>
      </c>
      <c r="F11" s="247">
        <f>p_treatment_cost</f>
        <v>580.26</v>
      </c>
      <c r="G11" s="247">
        <f>p_ICU_cost</f>
        <v>1265.93</v>
      </c>
      <c r="H11" s="247">
        <f>Parameters!F2177*Parameters!F2178</f>
        <v>11811.126900000001</v>
      </c>
      <c r="I11" s="247">
        <f>p_Reso_cost</f>
        <v>94.97</v>
      </c>
      <c r="J11" s="247">
        <f>SUM(Parameters!F2173:F2175)</f>
        <v>118.73</v>
      </c>
      <c r="K11" s="116"/>
      <c r="M11" s="83"/>
    </row>
    <row r="12" spans="2:13" x14ac:dyDescent="0.2">
      <c r="B12" s="103"/>
      <c r="C12" s="13" t="s">
        <v>249</v>
      </c>
      <c r="D12" s="59">
        <v>1</v>
      </c>
      <c r="E12" s="63">
        <f>Parameters!F2170+Parameters!F2172</f>
        <v>3.65</v>
      </c>
      <c r="F12" s="248"/>
      <c r="G12" s="248"/>
      <c r="H12" s="248"/>
      <c r="I12" s="248"/>
      <c r="J12" s="248"/>
      <c r="K12" s="116"/>
      <c r="M12" s="83"/>
    </row>
    <row r="13" spans="2:13" x14ac:dyDescent="0.2">
      <c r="B13" s="103"/>
      <c r="C13" s="32"/>
      <c r="D13" s="60"/>
      <c r="E13" s="117"/>
      <c r="F13" s="116"/>
      <c r="G13" s="116"/>
      <c r="H13" s="116"/>
      <c r="I13" s="116"/>
      <c r="J13" s="116"/>
      <c r="K13" s="116"/>
      <c r="M13" s="83"/>
    </row>
    <row r="14" spans="2:13" x14ac:dyDescent="0.2">
      <c r="B14" s="103"/>
      <c r="C14" s="32"/>
      <c r="D14" s="60"/>
      <c r="E14" s="117"/>
      <c r="F14" s="116"/>
      <c r="G14" s="116"/>
      <c r="H14" s="116"/>
      <c r="I14" s="116"/>
      <c r="J14" s="116"/>
      <c r="K14" s="116"/>
      <c r="M14" s="83"/>
    </row>
    <row r="15" spans="2:13" x14ac:dyDescent="0.2">
      <c r="B15" s="103"/>
      <c r="C15" s="32"/>
      <c r="D15" s="60"/>
      <c r="E15" s="117"/>
      <c r="F15" s="116"/>
      <c r="G15" s="116"/>
      <c r="H15" s="116"/>
      <c r="I15" s="116"/>
      <c r="J15" s="116"/>
      <c r="K15" s="116"/>
      <c r="M15" s="83"/>
    </row>
    <row r="16" spans="2:13" x14ac:dyDescent="0.2">
      <c r="B16" s="103"/>
      <c r="C16" s="32"/>
      <c r="D16" s="60"/>
      <c r="E16" s="117"/>
      <c r="F16" s="116"/>
      <c r="G16" s="116"/>
      <c r="H16" s="116"/>
      <c r="I16" s="116"/>
      <c r="J16" s="116"/>
      <c r="K16" s="116"/>
      <c r="M16" s="83"/>
    </row>
    <row r="17" spans="1:13" ht="16" thickBot="1" x14ac:dyDescent="0.25">
      <c r="A17" s="82"/>
      <c r="B17" s="87"/>
      <c r="C17" s="84"/>
      <c r="D17" s="84"/>
      <c r="E17" s="84"/>
      <c r="F17" s="84"/>
      <c r="G17" s="84"/>
      <c r="H17" s="84"/>
      <c r="I17" s="84"/>
      <c r="J17" s="84"/>
      <c r="K17" s="84"/>
      <c r="L17" s="84"/>
      <c r="M17" s="83"/>
    </row>
  </sheetData>
  <mergeCells count="6">
    <mergeCell ref="J11:J12"/>
    <mergeCell ref="G10:H10"/>
    <mergeCell ref="F11:F12"/>
    <mergeCell ref="G11:G12"/>
    <mergeCell ref="H11:H12"/>
    <mergeCell ref="I11:I12"/>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64FF2-934B-48F6-A994-950AE5487BEA}">
  <sheetPr codeName="Sheet9">
    <tabColor theme="2" tint="-0.499984740745262"/>
  </sheetPr>
  <dimension ref="A3:Z112"/>
  <sheetViews>
    <sheetView showGridLines="0" zoomScaleNormal="100" workbookViewId="0"/>
  </sheetViews>
  <sheetFormatPr baseColWidth="10" defaultColWidth="8.83203125" defaultRowHeight="15" x14ac:dyDescent="0.2"/>
  <cols>
    <col min="1" max="1" width="11.5" customWidth="1"/>
    <col min="2" max="2" width="8.33203125" customWidth="1"/>
    <col min="3" max="3" width="8.6640625" customWidth="1"/>
    <col min="7" max="7" width="21.83203125" bestFit="1" customWidth="1"/>
    <col min="8" max="8" width="19.33203125" bestFit="1" customWidth="1"/>
    <col min="9" max="9" width="19.5" bestFit="1" customWidth="1"/>
    <col min="10" max="10" width="17.1640625" bestFit="1" customWidth="1"/>
    <col min="11" max="11" width="19.5" bestFit="1" customWidth="1"/>
    <col min="12" max="12" width="12.6640625" customWidth="1"/>
    <col min="13" max="13" width="10.83203125" customWidth="1"/>
    <col min="14" max="14" width="12.1640625" bestFit="1" customWidth="1"/>
    <col min="15" max="15" width="7.5" customWidth="1"/>
    <col min="16" max="16" width="19.5" bestFit="1" customWidth="1"/>
    <col min="17" max="17" width="17" bestFit="1" customWidth="1"/>
    <col min="18" max="18" width="17.83203125" bestFit="1" customWidth="1"/>
    <col min="19" max="19" width="21.83203125" bestFit="1" customWidth="1"/>
    <col min="20" max="20" width="19.1640625" bestFit="1" customWidth="1"/>
    <col min="21" max="21" width="20.5" bestFit="1" customWidth="1"/>
    <col min="22" max="22" width="18.6640625" bestFit="1" customWidth="1"/>
    <col min="23" max="23" width="19.33203125" bestFit="1" customWidth="1"/>
    <col min="24" max="24" width="11.5" customWidth="1"/>
  </cols>
  <sheetData>
    <row r="3" spans="2:26" ht="26" x14ac:dyDescent="0.3">
      <c r="I3" s="85" t="s">
        <v>168</v>
      </c>
    </row>
    <row r="4" spans="2:26" ht="16" thickBot="1" x14ac:dyDescent="0.25"/>
    <row r="5" spans="2:26" ht="16" thickBot="1" x14ac:dyDescent="0.25">
      <c r="B5" s="79"/>
      <c r="C5" s="80"/>
      <c r="D5" s="80"/>
      <c r="E5" s="80"/>
      <c r="F5" s="80"/>
      <c r="G5" s="80"/>
      <c r="H5" s="80"/>
      <c r="I5" s="80"/>
      <c r="J5" s="80"/>
      <c r="K5" s="80"/>
      <c r="L5" s="80"/>
      <c r="M5" s="80"/>
      <c r="N5" s="80"/>
      <c r="O5" s="80"/>
      <c r="P5" s="80"/>
      <c r="Q5" s="80"/>
      <c r="R5" s="80"/>
      <c r="S5" s="80"/>
      <c r="T5" s="80"/>
      <c r="U5" s="80"/>
      <c r="V5" s="80"/>
      <c r="W5" s="80"/>
      <c r="X5" s="80"/>
      <c r="Y5" s="81"/>
    </row>
    <row r="6" spans="2:26" x14ac:dyDescent="0.2">
      <c r="B6" s="103"/>
      <c r="Z6" s="103"/>
    </row>
    <row r="7" spans="2:26" x14ac:dyDescent="0.2">
      <c r="B7" s="103"/>
      <c r="C7" s="1"/>
      <c r="D7" s="1"/>
      <c r="E7" s="1"/>
      <c r="F7" s="1"/>
      <c r="G7" s="251" t="s">
        <v>90</v>
      </c>
      <c r="H7" s="253"/>
      <c r="I7" s="253"/>
      <c r="J7" s="253"/>
      <c r="K7" s="253"/>
      <c r="L7" s="253"/>
      <c r="M7" s="253"/>
      <c r="N7" s="252"/>
      <c r="O7" s="1"/>
      <c r="P7" s="251" t="s">
        <v>72</v>
      </c>
      <c r="Q7" s="252"/>
      <c r="R7" s="60"/>
      <c r="S7" s="251" t="s">
        <v>73</v>
      </c>
      <c r="T7" s="253"/>
      <c r="U7" s="253"/>
      <c r="V7" s="253"/>
      <c r="W7" s="252"/>
      <c r="X7" s="155"/>
      <c r="Z7" s="103"/>
    </row>
    <row r="8" spans="2:26" ht="30" customHeight="1" x14ac:dyDescent="0.2">
      <c r="B8" s="103"/>
      <c r="C8" s="90" t="s">
        <v>74</v>
      </c>
      <c r="D8" s="90" t="s">
        <v>75</v>
      </c>
      <c r="E8" s="90" t="s">
        <v>76</v>
      </c>
      <c r="F8" s="90" t="s">
        <v>25</v>
      </c>
      <c r="G8" s="90" t="s">
        <v>77</v>
      </c>
      <c r="H8" s="90" t="s">
        <v>78</v>
      </c>
      <c r="I8" s="90" t="s">
        <v>79</v>
      </c>
      <c r="J8" s="90" t="s">
        <v>80</v>
      </c>
      <c r="K8" s="90" t="s">
        <v>81</v>
      </c>
      <c r="L8" s="90" t="s">
        <v>82</v>
      </c>
      <c r="M8" s="90" t="s">
        <v>83</v>
      </c>
      <c r="N8" s="90" t="s">
        <v>84</v>
      </c>
      <c r="O8" s="90" t="s">
        <v>85</v>
      </c>
      <c r="P8" s="90" t="s">
        <v>42</v>
      </c>
      <c r="Q8" s="90" t="s">
        <v>43</v>
      </c>
      <c r="R8" s="90" t="s">
        <v>86</v>
      </c>
      <c r="S8" s="90" t="str">
        <f>"Drug Acquisition" &amp; "("&amp;c_currency&amp;")"</f>
        <v>Drug Acquisition(€)</v>
      </c>
      <c r="T8" s="90" t="str">
        <f>"Treatment Cost" &amp; "("&amp;c_currency&amp;")"</f>
        <v>Treatment Cost(€)</v>
      </c>
      <c r="U8" s="90" t="str">
        <f>"ICU Cost" &amp; "("&amp;c_currency&amp;")"</f>
        <v>ICU Cost(€)</v>
      </c>
      <c r="V8" s="90" t="str">
        <f>"Resource Use Cost" &amp; "("&amp;c_currency&amp;")"</f>
        <v>Resource Use Cost(€)</v>
      </c>
      <c r="W8" s="90" t="str">
        <f>"Adverse Event Cost" &amp; "("&amp;c_currency&amp;")"</f>
        <v>Adverse Event Cost(€)</v>
      </c>
      <c r="X8" s="90" t="s">
        <v>35</v>
      </c>
      <c r="Z8" s="103"/>
    </row>
    <row r="9" spans="2:26" x14ac:dyDescent="0.2">
      <c r="B9" s="103"/>
      <c r="C9" s="2"/>
      <c r="D9" s="2"/>
      <c r="E9" s="2"/>
      <c r="F9" s="2"/>
      <c r="G9" s="2"/>
      <c r="H9" s="2"/>
      <c r="I9" s="2"/>
      <c r="J9" s="2"/>
      <c r="K9" s="2"/>
      <c r="L9" s="2"/>
      <c r="M9" s="2"/>
      <c r="N9" s="2"/>
      <c r="O9" s="2"/>
      <c r="P9" s="10">
        <f t="shared" ref="P9:X9" si="0">SUM(P10:P110)</f>
        <v>0</v>
      </c>
      <c r="Q9" s="10">
        <f t="shared" si="0"/>
        <v>3.2119914346895064</v>
      </c>
      <c r="R9" s="10">
        <f t="shared" si="0"/>
        <v>3.2119914346895064</v>
      </c>
      <c r="S9" s="55">
        <f t="shared" si="0"/>
        <v>47.098286937901477</v>
      </c>
      <c r="T9" s="55">
        <f t="shared" si="0"/>
        <v>1.863790149892933</v>
      </c>
      <c r="U9" s="55">
        <f t="shared" si="0"/>
        <v>15103.046392612414</v>
      </c>
      <c r="V9" s="55">
        <f t="shared" si="0"/>
        <v>27.555535331905769</v>
      </c>
      <c r="W9" s="55">
        <f t="shared" si="0"/>
        <v>3.432237687366166</v>
      </c>
      <c r="X9" s="55">
        <f t="shared" si="0"/>
        <v>15182.996242719481</v>
      </c>
      <c r="Z9" s="103"/>
    </row>
    <row r="10" spans="2:26" x14ac:dyDescent="0.2">
      <c r="B10" s="103"/>
      <c r="C10" s="2">
        <v>0</v>
      </c>
      <c r="D10" s="2">
        <v>0</v>
      </c>
      <c r="E10" s="2">
        <f>D10*(1/365.25)</f>
        <v>0</v>
      </c>
      <c r="F10" s="11">
        <f>con_age</f>
        <v>62.03</v>
      </c>
      <c r="G10" s="2">
        <v>1000</v>
      </c>
      <c r="H10" s="2"/>
      <c r="I10" s="2"/>
      <c r="J10" s="2"/>
      <c r="K10" s="2"/>
      <c r="L10" s="2"/>
      <c r="M10" s="2"/>
      <c r="N10" s="2"/>
      <c r="O10" s="2" t="str">
        <f>IF(ROUND(SUM(G10:N10),6)=$G$10,"OK","ERROR")</f>
        <v>OK</v>
      </c>
      <c r="P10" s="2">
        <f>I10</f>
        <v>0</v>
      </c>
      <c r="Q10" s="2">
        <f>J10</f>
        <v>0</v>
      </c>
      <c r="R10" s="2">
        <f t="shared" ref="R10:R40" si="1">SUM(P10:Q10)</f>
        <v>0</v>
      </c>
      <c r="S10" s="52">
        <f t="shared" ref="S10:S40" si="2">CHG1_cost_perpatient*(G10/1000+H10/1000+J10/1000+I10/1000+K10/1000+L10/1000)</f>
        <v>3.65</v>
      </c>
      <c r="T10" s="52">
        <f t="shared" ref="T10:T40" si="3">treatment_cost*(I10/1000+J10/1000)</f>
        <v>0</v>
      </c>
      <c r="U10" s="52">
        <f t="shared" ref="U10:U40" si="4">ICU_Cost_without*((G11+H11+K11+L11)/1000)+ICU_cost_with*((I10+J10)/1000)</f>
        <v>1242.8884475374732</v>
      </c>
      <c r="V10" s="52">
        <f t="shared" ref="V10:V40" si="5">Resource_cost*((H10+J10)/1000)</f>
        <v>0</v>
      </c>
      <c r="W10" s="52">
        <f t="shared" ref="W10:W40" si="6">IF(Incl_AE="Yes",Adverse_Event_Cost*K10/1000,0)</f>
        <v>0</v>
      </c>
      <c r="X10" s="52">
        <f t="shared" ref="X10:X40" si="7">SUM(S10:W10)</f>
        <v>1246.5384475374733</v>
      </c>
      <c r="Z10" s="103"/>
    </row>
    <row r="11" spans="2:26" x14ac:dyDescent="0.2">
      <c r="B11" s="103"/>
      <c r="C11" s="2">
        <f>C10+1</f>
        <v>1</v>
      </c>
      <c r="D11" s="2">
        <f>D10+1</f>
        <v>1</v>
      </c>
      <c r="E11" s="2">
        <f t="shared" ref="E11:E40" si="8">D11*(1/365.25)</f>
        <v>2.7378507871321013E-3</v>
      </c>
      <c r="F11" s="2">
        <f>F10+1/365.25</f>
        <v>62.032737850787136</v>
      </c>
      <c r="G11" s="2">
        <f>G10*Parameters!F15+H10*Parameters!F149+I10*Parameters!F192+J10*Parameters!F222+L10*Parameters!F253</f>
        <v>978.58672376873653</v>
      </c>
      <c r="H11" s="2">
        <f>G10*Parameters!F16+H10*Parameters!F293+I10*Parameters!F346+J10*Parameters!F346+L10*Parameters!F375</f>
        <v>3.2119914346895073</v>
      </c>
      <c r="I11" s="2">
        <f>G10*Parameters!F401+H10*Parameters!F431+I10*Parameters!F461+J10*Parameters!F491+L10*Parameters!F521</f>
        <v>0</v>
      </c>
      <c r="J11" s="2">
        <f>G10*Parameters!F551+H10*Parameters!F578+I10*Parameters!F608+J10*Parameters!F638+L10*Parameters!F668</f>
        <v>0</v>
      </c>
      <c r="K11" s="2">
        <f>G10*Parameters!F698+H10*Parameters!F717+I10*Parameters!F745+J10*Parameters!F769+L10*Parameters!F799</f>
        <v>0</v>
      </c>
      <c r="L11" s="2">
        <f>K10*Parameters!F823</f>
        <v>0</v>
      </c>
      <c r="M11" s="2">
        <f>G10*Parameters!F17+H10*Parameters!F853+I10*Parameters!F882+J10*Parameters!F912+L10*Parameters!F942+M10</f>
        <v>3.2119914346895073</v>
      </c>
      <c r="N11" s="2">
        <f>G10*Parameters!F18+H10*Parameters!F972+J10*Parameters!F999+L10*Parameters!F1029+I10*Parameters!F1059+N10</f>
        <v>14.98929336188437</v>
      </c>
      <c r="O11" s="2" t="str">
        <f t="shared" ref="O11:O40" si="9">IF(ROUND(SUM(G11:N11),6)=$G$10,"OK","ERROR")</f>
        <v>OK</v>
      </c>
      <c r="P11" s="2">
        <f>I11</f>
        <v>0</v>
      </c>
      <c r="Q11" s="2">
        <f t="shared" ref="Q11:Q40" si="10">J11</f>
        <v>0</v>
      </c>
      <c r="R11" s="2">
        <f t="shared" si="1"/>
        <v>0</v>
      </c>
      <c r="S11" s="52">
        <f t="shared" si="2"/>
        <v>3.5835653104925052</v>
      </c>
      <c r="T11" s="52">
        <f t="shared" si="3"/>
        <v>0</v>
      </c>
      <c r="U11" s="52">
        <f t="shared" si="4"/>
        <v>1188.6730299785866</v>
      </c>
      <c r="V11" s="52">
        <f t="shared" si="5"/>
        <v>0.30504282655246251</v>
      </c>
      <c r="W11" s="52">
        <f t="shared" si="6"/>
        <v>0</v>
      </c>
      <c r="X11" s="52">
        <f t="shared" si="7"/>
        <v>1192.5616381156315</v>
      </c>
      <c r="Z11" s="103"/>
    </row>
    <row r="12" spans="2:26" x14ac:dyDescent="0.2">
      <c r="B12" s="103"/>
      <c r="C12" s="2">
        <f t="shared" ref="C12:D40" si="11">C11+1</f>
        <v>2</v>
      </c>
      <c r="D12" s="2">
        <f t="shared" si="11"/>
        <v>2</v>
      </c>
      <c r="E12" s="2">
        <f t="shared" si="8"/>
        <v>5.4757015742642025E-3</v>
      </c>
      <c r="F12" s="2">
        <f t="shared" ref="F12:F40" si="12">F11+1/365.25</f>
        <v>62.035475701574271</v>
      </c>
      <c r="G12" s="2">
        <f>G11*Parameters!F19+H11*Parameters!F150+I11*Parameters!F193+J11*Parameters!F223+L11*Parameters!F254</f>
        <v>913.27623126338312</v>
      </c>
      <c r="H12" s="2">
        <f>G11*Parameters!F20+H11*Parameters!F294+I11*Parameters!F347+J11*Parameters!F347+L11*Parameters!F376</f>
        <v>25.695931477516059</v>
      </c>
      <c r="I12" s="2">
        <f>G11*Parameters!F402+H11*Parameters!F432+I11*Parameters!F462+J11*Parameters!F492+L11*Parameters!F522</f>
        <v>0</v>
      </c>
      <c r="J12" s="2">
        <f>G11*Parameters!F552+H11*Parameters!F579+I11*Parameters!F609+J11*Parameters!F639+L11*Parameters!F669</f>
        <v>0</v>
      </c>
      <c r="K12" s="2">
        <f>G11*Parameters!F699+H11*Parameters!F718+I11*Parameters!F746+J11*Parameters!F770+L11*Parameters!F800</f>
        <v>0</v>
      </c>
      <c r="L12" s="2">
        <f>K11*Parameters!F824</f>
        <v>0</v>
      </c>
      <c r="M12" s="2">
        <f>G11*Parameters!F21+H11*Parameters!F854+I11*Parameters!F883+J11*Parameters!F913+L11*Parameters!F943+M11</f>
        <v>16.059957173447536</v>
      </c>
      <c r="N12" s="2">
        <f>G11*Parameters!F22+H11*Parameters!F973+J11*Parameters!F1000+L11*Parameters!F1030+I11*Parameters!F1060+N11</f>
        <v>44.9678800856531</v>
      </c>
      <c r="O12" s="2" t="str">
        <f t="shared" si="9"/>
        <v>OK</v>
      </c>
      <c r="P12" s="2">
        <f t="shared" ref="P12:P40" si="13">I12</f>
        <v>0</v>
      </c>
      <c r="Q12" s="2">
        <f t="shared" si="10"/>
        <v>0</v>
      </c>
      <c r="R12" s="2">
        <f t="shared" si="1"/>
        <v>0</v>
      </c>
      <c r="S12" s="52">
        <f t="shared" si="2"/>
        <v>3.4272483940042817</v>
      </c>
      <c r="T12" s="52">
        <f t="shared" si="3"/>
        <v>0</v>
      </c>
      <c r="U12" s="52">
        <f t="shared" si="4"/>
        <v>1084.3083511777299</v>
      </c>
      <c r="V12" s="52">
        <f t="shared" si="5"/>
        <v>2.4403426124197001</v>
      </c>
      <c r="W12" s="52">
        <f t="shared" si="6"/>
        <v>0</v>
      </c>
      <c r="X12" s="52">
        <f t="shared" si="7"/>
        <v>1090.1759421841539</v>
      </c>
      <c r="Z12" s="103"/>
    </row>
    <row r="13" spans="2:26" x14ac:dyDescent="0.2">
      <c r="B13" s="103"/>
      <c r="C13" s="2">
        <f t="shared" si="11"/>
        <v>3</v>
      </c>
      <c r="D13" s="2">
        <f t="shared" si="11"/>
        <v>3</v>
      </c>
      <c r="E13" s="2">
        <f t="shared" si="8"/>
        <v>8.2135523613963042E-3</v>
      </c>
      <c r="F13" s="2">
        <f t="shared" si="12"/>
        <v>62.038213552361405</v>
      </c>
      <c r="G13" s="2">
        <f>G12*Parameters!F23+H12*Parameters!F151+I12*Parameters!F194+J12*Parameters!F224+L12*Parameters!F255</f>
        <v>837.25910064239815</v>
      </c>
      <c r="H13" s="2">
        <f>G12*Parameters!F24+H12*Parameters!F152+I12*Parameters!F348+J12*Parameters!F348+L12*Parameters!F377</f>
        <v>19.271948608137041</v>
      </c>
      <c r="I13" s="2">
        <f>G12*Parameters!F403+H12*Parameters!F433+I12*Parameters!F463+J12*Parameters!F493+L12*Parameters!F523</f>
        <v>0</v>
      </c>
      <c r="J13" s="2">
        <f>G12*Parameters!F553+H12*Parameters!F580+I12*Parameters!F610+J12*Parameters!F640+L12*Parameters!F670</f>
        <v>0</v>
      </c>
      <c r="K13" s="2">
        <f>G12*Parameters!F700+H12*Parameters!F719+I12*Parameters!F747+J12*Parameters!F771+L12*Parameters!F801</f>
        <v>0</v>
      </c>
      <c r="L13" s="2">
        <f>K12*Parameters!F825</f>
        <v>0</v>
      </c>
      <c r="M13" s="2">
        <f>G12*Parameters!F25+H12*Parameters!F855+I12*Parameters!F884+J12*Parameters!F914+L12*Parameters!F944+M12</f>
        <v>72.805139186295492</v>
      </c>
      <c r="N13" s="2">
        <f>G12*Parameters!F26+H12*Parameters!F153+J12*Parameters!F1001+L12*Parameters!F1031+I12*Parameters!F1061+N12</f>
        <v>70.663811563169162</v>
      </c>
      <c r="O13" s="2" t="str">
        <f t="shared" si="9"/>
        <v>OK</v>
      </c>
      <c r="P13" s="2">
        <f t="shared" si="13"/>
        <v>0</v>
      </c>
      <c r="Q13" s="2">
        <f t="shared" si="10"/>
        <v>0</v>
      </c>
      <c r="R13" s="2">
        <f t="shared" si="1"/>
        <v>0</v>
      </c>
      <c r="S13" s="52">
        <f t="shared" si="2"/>
        <v>3.1263383297644536</v>
      </c>
      <c r="T13" s="52">
        <f t="shared" si="3"/>
        <v>0</v>
      </c>
      <c r="U13" s="52">
        <f t="shared" si="4"/>
        <v>1012.4729229122054</v>
      </c>
      <c r="V13" s="52">
        <f t="shared" si="5"/>
        <v>1.8302569593147748</v>
      </c>
      <c r="W13" s="52">
        <f t="shared" si="6"/>
        <v>0</v>
      </c>
      <c r="X13" s="52">
        <f t="shared" si="7"/>
        <v>1017.4295182012846</v>
      </c>
      <c r="Z13" s="103"/>
    </row>
    <row r="14" spans="2:26" x14ac:dyDescent="0.2">
      <c r="B14" s="103"/>
      <c r="C14" s="2">
        <f t="shared" si="11"/>
        <v>4</v>
      </c>
      <c r="D14" s="2">
        <f t="shared" si="11"/>
        <v>4</v>
      </c>
      <c r="E14" s="2">
        <f t="shared" si="8"/>
        <v>1.0951403148528405E-2</v>
      </c>
      <c r="F14" s="2">
        <f t="shared" si="12"/>
        <v>62.04095140314854</v>
      </c>
      <c r="G14" s="2">
        <f>G13*Parameters!F27+H13*Parameters!F154+I13*Parameters!F195+J13*Parameters!F225+L13*Parameters!F256</f>
        <v>779.44325481798694</v>
      </c>
      <c r="H14" s="2">
        <f>G13*Parameters!F28+H13*Parameters!F295+I13*Parameters!F349+J13*Parameters!F349+L13*Parameters!F378</f>
        <v>20.34261241970021</v>
      </c>
      <c r="I14" s="2">
        <f>G13*Parameters!F404+H13*Parameters!F434+I13*Parameters!F464+J13*Parameters!F494+L13*Parameters!F524</f>
        <v>0</v>
      </c>
      <c r="J14" s="2">
        <f>G13*Parameters!F554+H13*Parameters!F581+I13*Parameters!F611+J13*Parameters!F641+L13*Parameters!F671</f>
        <v>0</v>
      </c>
      <c r="K14" s="2">
        <f>G13*Parameters!F701+H13*Parameters!F720+I13*Parameters!F748+J13*Parameters!F772+L13*Parameters!F802</f>
        <v>0</v>
      </c>
      <c r="L14" s="2">
        <f>K13*Parameters!F826</f>
        <v>0</v>
      </c>
      <c r="M14" s="2">
        <f>G13*Parameters!F29+H13*Parameters!F856+I13*Parameters!F885+J13*Parameters!F915+L13*Parameters!F945+M13</f>
        <v>103.8543897216274</v>
      </c>
      <c r="N14" s="2">
        <f>G13*Parameters!F30+H13*Parameters!F155+J13*Parameters!F1002+L13*Parameters!F1032+I13*Parameters!F1062+N13</f>
        <v>96.359743040685217</v>
      </c>
      <c r="O14" s="2" t="str">
        <f t="shared" si="9"/>
        <v>OK</v>
      </c>
      <c r="P14" s="2">
        <f t="shared" si="13"/>
        <v>0</v>
      </c>
      <c r="Q14" s="2">
        <f t="shared" si="10"/>
        <v>0</v>
      </c>
      <c r="R14" s="2">
        <f t="shared" si="1"/>
        <v>0</v>
      </c>
      <c r="S14" s="52">
        <f t="shared" si="2"/>
        <v>2.919218415417558</v>
      </c>
      <c r="T14" s="52">
        <f t="shared" si="3"/>
        <v>0</v>
      </c>
      <c r="U14" s="52">
        <f t="shared" si="4"/>
        <v>904.04208779443229</v>
      </c>
      <c r="V14" s="52">
        <f t="shared" si="5"/>
        <v>1.9319379014989286</v>
      </c>
      <c r="W14" s="52">
        <f t="shared" si="6"/>
        <v>0</v>
      </c>
      <c r="X14" s="52">
        <f t="shared" si="7"/>
        <v>908.89324411134874</v>
      </c>
      <c r="Z14" s="103"/>
    </row>
    <row r="15" spans="2:26" x14ac:dyDescent="0.2">
      <c r="B15" s="103"/>
      <c r="C15" s="2">
        <f t="shared" si="11"/>
        <v>5</v>
      </c>
      <c r="D15" s="2">
        <f t="shared" si="11"/>
        <v>5</v>
      </c>
      <c r="E15" s="2">
        <f t="shared" si="8"/>
        <v>1.3689253935660506E-2</v>
      </c>
      <c r="F15" s="2">
        <f t="shared" si="12"/>
        <v>62.043689253935675</v>
      </c>
      <c r="G15" s="2">
        <f>G14*Parameters!F31+H14*Parameters!F156+I14*Parameters!F196+J14*Parameters!F226+L14*Parameters!F257</f>
        <v>700.21413276231237</v>
      </c>
      <c r="H15" s="2">
        <f>G14*Parameters!F32+H14*Parameters!F157+I14*Parameters!F350+J14*Parameters!F350+L14*Parameters!F379</f>
        <v>12.847965738758026</v>
      </c>
      <c r="I15" s="2">
        <f>G14*Parameters!F405+H14*Parameters!F435+I14*Parameters!F465+J14*Parameters!F495+L14*Parameters!F525</f>
        <v>0</v>
      </c>
      <c r="J15" s="2">
        <f>G14*Parameters!F555+H14*Parameters!F582+I14*Parameters!F612+J14*Parameters!F642+L14*Parameters!F672</f>
        <v>0</v>
      </c>
      <c r="K15" s="2">
        <f>G14*Parameters!F33+H14*Parameters!F721+I14*Parameters!F749+J14*Parameters!F773+L14*Parameters!F803</f>
        <v>1.070663811563169</v>
      </c>
      <c r="L15" s="2">
        <f>K14*Parameters!F827</f>
        <v>0</v>
      </c>
      <c r="M15" s="2">
        <f>G14*Parameters!F34+H14*Parameters!F857+I14*Parameters!F886+J14*Parameters!F916+L14*Parameters!F946+M14</f>
        <v>168.09421841541752</v>
      </c>
      <c r="N15" s="2">
        <f>G14*Parameters!F35+H14*Parameters!F974+J14*Parameters!F1003+L14*Parameters!F1033+I14*Parameters!F1063+N14</f>
        <v>117.7730192719486</v>
      </c>
      <c r="O15" s="2" t="str">
        <f t="shared" si="9"/>
        <v>OK</v>
      </c>
      <c r="P15" s="2">
        <f t="shared" si="13"/>
        <v>0</v>
      </c>
      <c r="Q15" s="2">
        <f t="shared" si="10"/>
        <v>0</v>
      </c>
      <c r="R15" s="2">
        <f t="shared" si="1"/>
        <v>0</v>
      </c>
      <c r="S15" s="52">
        <f t="shared" si="2"/>
        <v>2.6065845824411125</v>
      </c>
      <c r="T15" s="52">
        <f t="shared" si="3"/>
        <v>0</v>
      </c>
      <c r="U15" s="52">
        <f t="shared" si="4"/>
        <v>813.23126338329735</v>
      </c>
      <c r="V15" s="52">
        <f t="shared" si="5"/>
        <v>1.2201713062098498</v>
      </c>
      <c r="W15" s="52">
        <f t="shared" si="6"/>
        <v>0.12711991434689507</v>
      </c>
      <c r="X15" s="52">
        <f t="shared" si="7"/>
        <v>817.18513918629515</v>
      </c>
      <c r="Z15" s="103"/>
    </row>
    <row r="16" spans="2:26" x14ac:dyDescent="0.2">
      <c r="B16" s="103"/>
      <c r="C16" s="2">
        <f t="shared" si="11"/>
        <v>6</v>
      </c>
      <c r="D16" s="2">
        <f t="shared" si="11"/>
        <v>6</v>
      </c>
      <c r="E16" s="2">
        <f t="shared" si="8"/>
        <v>1.6427104722792608E-2</v>
      </c>
      <c r="F16" s="2">
        <f t="shared" si="12"/>
        <v>62.04642710472281</v>
      </c>
      <c r="G16" s="2">
        <f>G15*Parameters!F36+H15*Parameters!F158+I15*Parameters!F197+J15*Parameters!F227+L15*Parameters!F258</f>
        <v>624.1970021413274</v>
      </c>
      <c r="H16" s="2">
        <f>G15*Parameters!F37+H15*Parameters!F296+I15*Parameters!F351+J15*Parameters!F351+L15*Parameters!F380</f>
        <v>14.989293361884362</v>
      </c>
      <c r="I16" s="2">
        <f>G15*Parameters!F406+H15*Parameters!F436+I15*Parameters!F466+J15*Parameters!F496+L15*Parameters!F526</f>
        <v>0</v>
      </c>
      <c r="J16" s="2">
        <f>G15*Parameters!F556+H15*Parameters!F583+I15*Parameters!F613+J15*Parameters!F643+L15*Parameters!F673</f>
        <v>0</v>
      </c>
      <c r="K16" s="2">
        <f>G15*Parameters!F38+H15*Parameters!F722+I15*Parameters!F750+J15*Parameters!F774+L15*Parameters!F804</f>
        <v>2.1413276231263376</v>
      </c>
      <c r="L16" s="2">
        <f>K15*Parameters!F828</f>
        <v>1.070663811563169</v>
      </c>
      <c r="M16" s="2">
        <f>G15*Parameters!F39+H15*Parameters!F858+I15*Parameters!F887+J15*Parameters!F917+L15*Parameters!F947+M15</f>
        <v>215.20342612419694</v>
      </c>
      <c r="N16" s="2">
        <f>G15*Parameters!F40+H15*Parameters!F975+J15*Parameters!F1004+L15*Parameters!F1034+I15*Parameters!F1064+N15</f>
        <v>142.39828693790147</v>
      </c>
      <c r="O16" s="2" t="str">
        <f t="shared" si="9"/>
        <v>OK</v>
      </c>
      <c r="P16" s="2">
        <f t="shared" si="13"/>
        <v>0</v>
      </c>
      <c r="Q16" s="2">
        <f t="shared" si="10"/>
        <v>0</v>
      </c>
      <c r="R16" s="2">
        <f t="shared" si="1"/>
        <v>0</v>
      </c>
      <c r="S16" s="52">
        <f t="shared" si="2"/>
        <v>2.34475374732334</v>
      </c>
      <c r="T16" s="52">
        <f t="shared" si="3"/>
        <v>0</v>
      </c>
      <c r="U16" s="52">
        <f t="shared" si="4"/>
        <v>741.39583511777278</v>
      </c>
      <c r="V16" s="52">
        <f t="shared" si="5"/>
        <v>1.4235331905781579</v>
      </c>
      <c r="W16" s="52">
        <f t="shared" si="6"/>
        <v>0.25423982869379008</v>
      </c>
      <c r="X16" s="52">
        <f t="shared" si="7"/>
        <v>745.4183618843681</v>
      </c>
      <c r="Z16" s="103"/>
    </row>
    <row r="17" spans="2:26" x14ac:dyDescent="0.2">
      <c r="B17" s="103"/>
      <c r="C17" s="2">
        <f t="shared" si="11"/>
        <v>7</v>
      </c>
      <c r="D17" s="2">
        <f t="shared" si="11"/>
        <v>7</v>
      </c>
      <c r="E17" s="2">
        <f t="shared" si="8"/>
        <v>1.9164955509924708E-2</v>
      </c>
      <c r="F17" s="2">
        <f t="shared" si="12"/>
        <v>62.049164955509944</v>
      </c>
      <c r="G17" s="2">
        <f>G16*Parameters!F41+H16*Parameters!F160+I16*Parameters!F198+J16*Parameters!F228+L16*Parameters!F259</f>
        <v>567.45182012847943</v>
      </c>
      <c r="H17" s="2">
        <f>G16*Parameters!F42+H16*Parameters!F159+I16*Parameters!F352+J16*Parameters!F352+L16*Parameters!F381</f>
        <v>16.059957173447533</v>
      </c>
      <c r="I17" s="2">
        <f>G16*Parameters!F407+H16*Parameters!F437+I16*Parameters!F467+J16*Parameters!F497+L16*Parameters!F527</f>
        <v>0</v>
      </c>
      <c r="J17" s="2">
        <f>G16*Parameters!F43+H16*Parameters!F584+I16*Parameters!F614+J16*Parameters!F644+L16*Parameters!F674</f>
        <v>1.0706638115631688</v>
      </c>
      <c r="K17" s="2">
        <f>G16*Parameters!F702+H16*Parameters!F723+I16*Parameters!F751+J16*Parameters!F775+L16*Parameters!F805</f>
        <v>0</v>
      </c>
      <c r="L17" s="2">
        <f>K16*Parameters!F829</f>
        <v>2.1413276231263376</v>
      </c>
      <c r="M17" s="2">
        <f>G16*Parameters!F44+H16*Parameters!F859+I16*Parameters!F888+J16*Parameters!F918+L16*Parameters!F948+M16</f>
        <v>260.17130620985006</v>
      </c>
      <c r="N17" s="2">
        <f>G16*Parameters!F45+H16*Parameters!F976+J16*Parameters!F1005+L16*Parameters!F1035+I16*Parameters!F1065+N16</f>
        <v>153.10492505353315</v>
      </c>
      <c r="O17" s="2" t="str">
        <f t="shared" si="9"/>
        <v>OK</v>
      </c>
      <c r="P17" s="2">
        <f t="shared" si="13"/>
        <v>0</v>
      </c>
      <c r="Q17" s="2">
        <f t="shared" si="10"/>
        <v>1.0706638115631688</v>
      </c>
      <c r="R17" s="2">
        <f t="shared" si="1"/>
        <v>1.0706638115631688</v>
      </c>
      <c r="S17" s="52">
        <f t="shared" si="2"/>
        <v>2.14154175588865</v>
      </c>
      <c r="T17" s="52">
        <f t="shared" si="3"/>
        <v>0.6212633832976443</v>
      </c>
      <c r="U17" s="52">
        <f t="shared" si="4"/>
        <v>691.69385107066341</v>
      </c>
      <c r="V17" s="52">
        <f t="shared" si="5"/>
        <v>1.6268950749464661</v>
      </c>
      <c r="W17" s="52">
        <f t="shared" si="6"/>
        <v>0</v>
      </c>
      <c r="X17" s="52">
        <f t="shared" si="7"/>
        <v>696.08355128479616</v>
      </c>
      <c r="Z17" s="103"/>
    </row>
    <row r="18" spans="2:26" x14ac:dyDescent="0.2">
      <c r="B18" s="103"/>
      <c r="C18" s="2">
        <f t="shared" si="11"/>
        <v>8</v>
      </c>
      <c r="D18" s="2">
        <f t="shared" si="11"/>
        <v>8</v>
      </c>
      <c r="E18" s="2">
        <f t="shared" si="8"/>
        <v>2.190280629705681E-2</v>
      </c>
      <c r="F18" s="2">
        <f t="shared" si="12"/>
        <v>62.051902806297079</v>
      </c>
      <c r="G18" s="2">
        <f>G17*Parameters!F46+H17*Parameters!F161+I17*Parameters!F199+J17*Parameters!F229+L17*Parameters!F260</f>
        <v>514.98929336188417</v>
      </c>
      <c r="H18" s="2">
        <f>G17*Parameters!F47+H17*Parameters!F297+I17*Parameters!F230+J17*Parameters!F230+L17*Parameters!F382</f>
        <v>19.271948608137038</v>
      </c>
      <c r="I18" s="2">
        <f>G17*Parameters!F408+H17*Parameters!F438+I17*Parameters!F468+J17*Parameters!F498+L17*Parameters!F528</f>
        <v>0</v>
      </c>
      <c r="J18" s="2">
        <f>G17*Parameters!F48+H17*Parameters!F585+I17*Parameters!F615+J17*Parameters!F645+L17*Parameters!F675</f>
        <v>1.0706638115631688</v>
      </c>
      <c r="K18" s="2">
        <f>G17*Parameters!F49+H17*Parameters!F724+I17*Parameters!F752+J17*Parameters!F776+L17*Parameters!F806</f>
        <v>2.1413276231263376</v>
      </c>
      <c r="L18" s="2">
        <f>K17*Parameters!F830</f>
        <v>0</v>
      </c>
      <c r="M18" s="2">
        <f>G17*Parameters!F50+H17*Parameters!F860+I17*Parameters!F889+J17*Parameters!F919+L17*Parameters!F949+M17</f>
        <v>301.92719486081364</v>
      </c>
      <c r="N18" s="2">
        <f>G17*Parameters!F51+H17*Parameters!F977+J17*Parameters!F1006+L17*Parameters!F1036+I17*Parameters!F1066+N17</f>
        <v>160.59957173447532</v>
      </c>
      <c r="O18" s="2" t="str">
        <f t="shared" si="9"/>
        <v>OK</v>
      </c>
      <c r="P18" s="2">
        <f t="shared" si="13"/>
        <v>0</v>
      </c>
      <c r="Q18" s="2">
        <f t="shared" si="10"/>
        <v>1.0706638115631688</v>
      </c>
      <c r="R18" s="2">
        <f t="shared" si="1"/>
        <v>1.0706638115631688</v>
      </c>
      <c r="S18" s="52">
        <f t="shared" si="2"/>
        <v>1.9617773019271942</v>
      </c>
      <c r="T18" s="52">
        <f t="shared" si="3"/>
        <v>0.6212633832976443</v>
      </c>
      <c r="U18" s="52">
        <f t="shared" si="4"/>
        <v>637.4784335117771</v>
      </c>
      <c r="V18" s="52">
        <f t="shared" si="5"/>
        <v>1.9319379014989284</v>
      </c>
      <c r="W18" s="52">
        <f t="shared" si="6"/>
        <v>0.25423982869379008</v>
      </c>
      <c r="X18" s="52">
        <f t="shared" si="7"/>
        <v>642.24765192719474</v>
      </c>
      <c r="Z18" s="103"/>
    </row>
    <row r="19" spans="2:26" x14ac:dyDescent="0.2">
      <c r="B19" s="103"/>
      <c r="C19" s="2">
        <f t="shared" si="11"/>
        <v>9</v>
      </c>
      <c r="D19" s="2">
        <f t="shared" si="11"/>
        <v>9</v>
      </c>
      <c r="E19" s="2">
        <f t="shared" si="8"/>
        <v>2.4640657084188913E-2</v>
      </c>
      <c r="F19" s="2">
        <f t="shared" si="12"/>
        <v>62.054640657084214</v>
      </c>
      <c r="G19" s="2">
        <f>G18*Parameters!F52+H18*Parameters!F162+I18*Parameters!F200+J18*Parameters!F231+L18*Parameters!F261</f>
        <v>479.6573875802996</v>
      </c>
      <c r="H19" s="2">
        <f>G18*Parameters!F53+H18*Parameters!F298+I18*Parameters!F353+J18*Parameters!F353+L18*Parameters!F383</f>
        <v>9.6359743040685188</v>
      </c>
      <c r="I19" s="2">
        <f>G18*Parameters!F409+H18*Parameters!F439+I18*Parameters!F469+J18*Parameters!F499+L18*Parameters!F529</f>
        <v>0</v>
      </c>
      <c r="J19" s="2">
        <f>G18*Parameters!F557+H18*Parameters!F586+I18*Parameters!F616+J18*Parameters!F646+L18*Parameters!F676</f>
        <v>0</v>
      </c>
      <c r="K19" s="2">
        <f>G18*Parameters!F54+H18*Parameters!F163+I18*Parameters!F753+J18*Parameters!F777+L18*Parameters!F807</f>
        <v>2.1413276231263376</v>
      </c>
      <c r="L19" s="2">
        <f>K18*Parameters!F831</f>
        <v>2.1413276231263376</v>
      </c>
      <c r="M19" s="2">
        <f>G18*Parameters!F55+H18*Parameters!F861+I18*Parameters!F890+J18*Parameters!F920+L18*Parameters!F950+M18</f>
        <v>334.04710920770873</v>
      </c>
      <c r="N19" s="2">
        <f>G18*Parameters!F56+H18*Parameters!F164+J18*Parameters!F1007+L18*Parameters!F1037+I18*Parameters!F1067+N18</f>
        <v>172.37687366167017</v>
      </c>
      <c r="O19" s="2" t="str">
        <f t="shared" si="9"/>
        <v>OK</v>
      </c>
      <c r="P19" s="2">
        <f t="shared" si="13"/>
        <v>0</v>
      </c>
      <c r="Q19" s="2">
        <f t="shared" si="10"/>
        <v>0</v>
      </c>
      <c r="R19" s="2">
        <f t="shared" si="1"/>
        <v>0</v>
      </c>
      <c r="S19" s="52">
        <f t="shared" si="2"/>
        <v>1.801552462526766</v>
      </c>
      <c r="T19" s="52">
        <f t="shared" si="3"/>
        <v>0</v>
      </c>
      <c r="U19" s="52">
        <f t="shared" si="4"/>
        <v>570.61726980728031</v>
      </c>
      <c r="V19" s="52">
        <f t="shared" si="5"/>
        <v>0.91512847965738719</v>
      </c>
      <c r="W19" s="52">
        <f t="shared" si="6"/>
        <v>0.25423982869379008</v>
      </c>
      <c r="X19" s="52">
        <f t="shared" si="7"/>
        <v>573.58819057815822</v>
      </c>
      <c r="Z19" s="103"/>
    </row>
    <row r="20" spans="2:26" x14ac:dyDescent="0.2">
      <c r="B20" s="103"/>
      <c r="C20" s="2">
        <f t="shared" si="11"/>
        <v>10</v>
      </c>
      <c r="D20" s="2">
        <f t="shared" si="11"/>
        <v>10</v>
      </c>
      <c r="E20" s="2">
        <f t="shared" si="8"/>
        <v>2.7378507871321012E-2</v>
      </c>
      <c r="F20" s="2">
        <f t="shared" si="12"/>
        <v>62.057378507871348</v>
      </c>
      <c r="G20" s="2">
        <f>G19*Parameters!F57+H19*Parameters!F165+I19*Parameters!F201+J19*Parameters!F232+L19*Parameters!F262</f>
        <v>427.19486081370428</v>
      </c>
      <c r="H20" s="2">
        <f>G19*Parameters!F58+H19*Parameters!F299+I19*Parameters!F354+J19*Parameters!F354+L19*Parameters!F384</f>
        <v>18.201284796573866</v>
      </c>
      <c r="I20" s="2">
        <f>G19*Parameters!F410+H19*Parameters!F440+I19*Parameters!F470+J19*Parameters!F500+L19*Parameters!F530</f>
        <v>0</v>
      </c>
      <c r="J20" s="2">
        <f>G19*Parameters!F558+H19*Parameters!F587+I19*Parameters!F617+J19*Parameters!F647+L19*Parameters!F677</f>
        <v>0</v>
      </c>
      <c r="K20" s="2">
        <f>G19*Parameters!F59+H19*Parameters!F725+I19*Parameters!F754+J19*Parameters!F778+L19*Parameters!F263</f>
        <v>3.211991434689506</v>
      </c>
      <c r="L20" s="2">
        <f>K19*Parameters!F832</f>
        <v>2.1413276231263376</v>
      </c>
      <c r="M20" s="2">
        <f>G19*Parameters!F60+H19*Parameters!F862+I19*Parameters!F891+J19*Parameters!F921+L19*Parameters!F951+M19</f>
        <v>368.30835117773012</v>
      </c>
      <c r="N20" s="2">
        <f>G19*Parameters!F61+H19*Parameters!F978+J19*Parameters!F1008+L19*Parameters!F1038+I19*Parameters!F1068+N19</f>
        <v>180.94218415417552</v>
      </c>
      <c r="O20" s="2" t="str">
        <f t="shared" si="9"/>
        <v>OK</v>
      </c>
      <c r="P20" s="2">
        <f t="shared" si="13"/>
        <v>0</v>
      </c>
      <c r="Q20" s="2">
        <f t="shared" si="10"/>
        <v>0</v>
      </c>
      <c r="R20" s="2">
        <f t="shared" si="1"/>
        <v>0</v>
      </c>
      <c r="S20" s="52">
        <f t="shared" si="2"/>
        <v>1.6452355460385431</v>
      </c>
      <c r="T20" s="52">
        <f t="shared" si="3"/>
        <v>0</v>
      </c>
      <c r="U20" s="52">
        <f t="shared" si="4"/>
        <v>529.95570663811532</v>
      </c>
      <c r="V20" s="52">
        <f t="shared" si="5"/>
        <v>1.7285760171306201</v>
      </c>
      <c r="W20" s="52">
        <f t="shared" si="6"/>
        <v>0.38135974304068504</v>
      </c>
      <c r="X20" s="52">
        <f t="shared" si="7"/>
        <v>533.71087794432515</v>
      </c>
      <c r="Z20" s="103"/>
    </row>
    <row r="21" spans="2:26" x14ac:dyDescent="0.2">
      <c r="B21" s="103"/>
      <c r="C21" s="2">
        <f t="shared" si="11"/>
        <v>11</v>
      </c>
      <c r="D21" s="2">
        <f t="shared" si="11"/>
        <v>11</v>
      </c>
      <c r="E21" s="2">
        <f t="shared" si="8"/>
        <v>3.0116358658453114E-2</v>
      </c>
      <c r="F21" s="2">
        <f t="shared" si="12"/>
        <v>62.060116358658483</v>
      </c>
      <c r="G21" s="2">
        <f>G20*Parameters!F62+H20*Parameters!F166+I20*Parameters!F202+J20*Parameters!F233+L20*Parameters!F264</f>
        <v>403.64025695931457</v>
      </c>
      <c r="H21" s="2">
        <f>G20*Parameters!F63+H20*Parameters!F300+I20*Parameters!F355+J20*Parameters!F355+L20*Parameters!F385</f>
        <v>7.4946466809421803</v>
      </c>
      <c r="I21" s="2">
        <f>G20*Parameters!F411+H20*Parameters!F441+I20*Parameters!F471+J20*Parameters!F501+L20*Parameters!F531</f>
        <v>0</v>
      </c>
      <c r="J21" s="2">
        <f>G20*Parameters!F559+H20*Parameters!F588+I20*Parameters!F618+J20*Parameters!F648+L20*Parameters!F678</f>
        <v>0</v>
      </c>
      <c r="K21" s="2">
        <f>G20*Parameters!F64+H20*Parameters!F726+I20*Parameters!F755+J20*Parameters!F779+L20*Parameters!F265</f>
        <v>4.2826552462526744</v>
      </c>
      <c r="L21" s="2">
        <f>K20*Parameters!F833</f>
        <v>3.211991434689506</v>
      </c>
      <c r="M21" s="2">
        <f>G20*Parameters!F65+H20*Parameters!F863+I20*Parameters!F892+J20*Parameters!F922+L20*Parameters!F952+M20</f>
        <v>392.93361884368301</v>
      </c>
      <c r="N21" s="2">
        <f>G20*Parameters!F66+H20*Parameters!F979+J20*Parameters!F1009+L20*Parameters!F1039+I20*Parameters!F1069+N20</f>
        <v>188.43683083511769</v>
      </c>
      <c r="O21" s="2" t="str">
        <f t="shared" si="9"/>
        <v>OK</v>
      </c>
      <c r="P21" s="2">
        <f t="shared" si="13"/>
        <v>0</v>
      </c>
      <c r="Q21" s="2">
        <f t="shared" si="10"/>
        <v>0</v>
      </c>
      <c r="R21" s="2">
        <f t="shared" si="1"/>
        <v>0</v>
      </c>
      <c r="S21" s="52">
        <f t="shared" si="2"/>
        <v>1.5279978586723759</v>
      </c>
      <c r="T21" s="52">
        <f t="shared" si="3"/>
        <v>0</v>
      </c>
      <c r="U21" s="52">
        <f t="shared" si="4"/>
        <v>492.00491434689491</v>
      </c>
      <c r="V21" s="52">
        <f t="shared" si="5"/>
        <v>0.71176659528907882</v>
      </c>
      <c r="W21" s="52">
        <f t="shared" si="6"/>
        <v>0.50847965738758005</v>
      </c>
      <c r="X21" s="52">
        <f t="shared" si="7"/>
        <v>494.75315845824395</v>
      </c>
      <c r="Z21" s="103"/>
    </row>
    <row r="22" spans="2:26" x14ac:dyDescent="0.2">
      <c r="B22" s="103"/>
      <c r="C22" s="2">
        <f t="shared" si="11"/>
        <v>12</v>
      </c>
      <c r="D22" s="2">
        <f t="shared" si="11"/>
        <v>12</v>
      </c>
      <c r="E22" s="2">
        <f t="shared" si="8"/>
        <v>3.2854209445585217E-2</v>
      </c>
      <c r="F22" s="2">
        <f t="shared" si="12"/>
        <v>62.062854209445618</v>
      </c>
      <c r="G22" s="2">
        <f>G21*Parameters!F67+H21*Parameters!F167+I21*Parameters!F203+J21*Parameters!F234+L21*Parameters!F266</f>
        <v>375.8029978586722</v>
      </c>
      <c r="H22" s="2">
        <f>G21*Parameters!F68+H21*Parameters!F301+I21*Parameters!F356+J21*Parameters!F356+L21*Parameters!F267</f>
        <v>7.4946466809421803</v>
      </c>
      <c r="I22" s="2">
        <f>G21*Parameters!F412+H21*Parameters!F442+I21*Parameters!F472+J21*Parameters!F502+L21*Parameters!F532</f>
        <v>0</v>
      </c>
      <c r="J22" s="2">
        <f>G21*Parameters!F560+H21*Parameters!F589+I21*Parameters!F619+J21*Parameters!F649+L21*Parameters!F679</f>
        <v>0</v>
      </c>
      <c r="K22" s="2">
        <f>G21*Parameters!F703+H21*Parameters!F727+I21*Parameters!F756+J21*Parameters!F780+L21*Parameters!F268</f>
        <v>1.0706638115631686</v>
      </c>
      <c r="L22" s="2">
        <f>K21*Parameters!F834</f>
        <v>4.2826552462526744</v>
      </c>
      <c r="M22" s="2">
        <f>G21*Parameters!F69+H21*Parameters!F864+I21*Parameters!F893+J21*Parameters!F923+L21*Parameters!F953+M21</f>
        <v>417.5588865096359</v>
      </c>
      <c r="N22" s="2">
        <f>G21*Parameters!F70+H21*Parameters!F980+J21*Parameters!F1010+L21*Parameters!F1040+I21*Parameters!F1070+N21</f>
        <v>193.79014989293353</v>
      </c>
      <c r="O22" s="2" t="str">
        <f t="shared" si="9"/>
        <v>OK</v>
      </c>
      <c r="P22" s="2">
        <f t="shared" si="13"/>
        <v>0</v>
      </c>
      <c r="Q22" s="2">
        <f t="shared" si="10"/>
        <v>0</v>
      </c>
      <c r="R22" s="2">
        <f t="shared" si="1"/>
        <v>0</v>
      </c>
      <c r="S22" s="52">
        <f t="shared" si="2"/>
        <v>1.4185760171306203</v>
      </c>
      <c r="T22" s="52">
        <f t="shared" si="3"/>
        <v>0</v>
      </c>
      <c r="U22" s="52">
        <f t="shared" si="4"/>
        <v>460.8310492505351</v>
      </c>
      <c r="V22" s="52">
        <f t="shared" si="5"/>
        <v>0.71176659528907882</v>
      </c>
      <c r="W22" s="52">
        <f t="shared" si="6"/>
        <v>0.12711991434689501</v>
      </c>
      <c r="X22" s="52">
        <f t="shared" si="7"/>
        <v>463.08851177730173</v>
      </c>
      <c r="Z22" s="103"/>
    </row>
    <row r="23" spans="2:26" x14ac:dyDescent="0.2">
      <c r="B23" s="103"/>
      <c r="C23" s="2">
        <f t="shared" si="11"/>
        <v>13</v>
      </c>
      <c r="D23" s="2">
        <f t="shared" si="11"/>
        <v>13</v>
      </c>
      <c r="E23" s="2">
        <f t="shared" si="8"/>
        <v>3.5592060232717319E-2</v>
      </c>
      <c r="F23" s="2">
        <f t="shared" si="12"/>
        <v>62.065592060232753</v>
      </c>
      <c r="G23" s="2">
        <f>G22*Parameters!F71+H22*Parameters!F168+I22*Parameters!F204+J22*Parameters!F235+L22*Parameters!F269</f>
        <v>349.03640256959301</v>
      </c>
      <c r="H23" s="2">
        <f>G22*Parameters!F72+H22*Parameters!F169+I22*Parameters!F357+J22*Parameters!F357+L22*Parameters!F386</f>
        <v>10.706638115631687</v>
      </c>
      <c r="I23" s="2">
        <f>G22*Parameters!F413+H22*Parameters!F443+I22*Parameters!F473+J22*Parameters!F503+L22*Parameters!F533</f>
        <v>0</v>
      </c>
      <c r="J23" s="2">
        <f>G22*Parameters!F561+H22*Parameters!F590+I22*Parameters!F620+J22*Parameters!F650+L22*Parameters!F680</f>
        <v>0</v>
      </c>
      <c r="K23" s="2">
        <f>G22*Parameters!F704+H22*Parameters!F728+I22*Parameters!F757+J22*Parameters!F781+L22*Parameters!F270</f>
        <v>3.211991434689506</v>
      </c>
      <c r="L23" s="2">
        <f>K22*Parameters!F835</f>
        <v>1.0706638115631686</v>
      </c>
      <c r="M23" s="2">
        <f>G22*Parameters!F73+H22*Parameters!F865+I22*Parameters!F894+J22*Parameters!F924+L22*Parameters!F954+M22</f>
        <v>433.61884368308341</v>
      </c>
      <c r="N23" s="2">
        <f>G22*Parameters!F74+H22*Parameters!F981+J22*Parameters!F1011+L22*Parameters!F1041+I22*Parameters!F1071+N22</f>
        <v>202.35546038543887</v>
      </c>
      <c r="O23" s="2" t="str">
        <f t="shared" si="9"/>
        <v>OK</v>
      </c>
      <c r="P23" s="2">
        <f t="shared" si="13"/>
        <v>0</v>
      </c>
      <c r="Q23" s="2">
        <f t="shared" si="10"/>
        <v>0</v>
      </c>
      <c r="R23" s="2">
        <f t="shared" si="1"/>
        <v>0</v>
      </c>
      <c r="S23" s="52">
        <f t="shared" si="2"/>
        <v>1.3286937901498923</v>
      </c>
      <c r="T23" s="52">
        <f t="shared" si="3"/>
        <v>0</v>
      </c>
      <c r="U23" s="52">
        <f t="shared" si="4"/>
        <v>421.52487152034246</v>
      </c>
      <c r="V23" s="52">
        <f t="shared" si="5"/>
        <v>1.0168094218415413</v>
      </c>
      <c r="W23" s="52">
        <f t="shared" si="6"/>
        <v>0.38135974304068504</v>
      </c>
      <c r="X23" s="52">
        <f t="shared" si="7"/>
        <v>424.25173447537452</v>
      </c>
      <c r="Z23" s="103"/>
    </row>
    <row r="24" spans="2:26" x14ac:dyDescent="0.2">
      <c r="B24" s="103"/>
      <c r="C24" s="2">
        <f t="shared" si="11"/>
        <v>14</v>
      </c>
      <c r="D24" s="2">
        <f t="shared" si="11"/>
        <v>14</v>
      </c>
      <c r="E24" s="2">
        <f t="shared" si="8"/>
        <v>3.8329911019849415E-2</v>
      </c>
      <c r="F24" s="2">
        <f t="shared" si="12"/>
        <v>62.068329911019887</v>
      </c>
      <c r="G24" s="2">
        <f>G23*Parameters!F75+H23*Parameters!F170+I23*Parameters!F205+J23*Parameters!F236+L23*Parameters!F271</f>
        <v>316.91648822269792</v>
      </c>
      <c r="H24" s="2">
        <f>G23*Parameters!F76+H23*Parameters!F302+I23*Parameters!F358+J23*Parameters!F358+L23*Parameters!F387</f>
        <v>10.706638115631687</v>
      </c>
      <c r="I24" s="2">
        <f>G23*Parameters!F414+H23*Parameters!F444+I23*Parameters!F474+J23*Parameters!F504+L23*Parameters!F534</f>
        <v>0</v>
      </c>
      <c r="J24" s="2">
        <f>G23*Parameters!F562+H23*Parameters!F591+I23*Parameters!F621+J23*Parameters!F651+L23*Parameters!F681</f>
        <v>0</v>
      </c>
      <c r="K24" s="2">
        <f>G23*Parameters!F77+H23*Parameters!F729+I23*Parameters!F758+J23*Parameters!F782+L23*Parameters!F808</f>
        <v>2.1413276231263376</v>
      </c>
      <c r="L24" s="2">
        <f>K23*Parameters!F836</f>
        <v>3.211991434689506</v>
      </c>
      <c r="M24" s="2">
        <f>G23*Parameters!F78+H23*Parameters!F866+I23*Parameters!F895+J23*Parameters!F925+L23*Parameters!F955+M23</f>
        <v>455.03211991434677</v>
      </c>
      <c r="N24" s="2">
        <f>G23*Parameters!F79+H23*Parameters!F982+J23*Parameters!F1012+L23*Parameters!F1042+I23*Parameters!F1072+N23</f>
        <v>211.9914346895074</v>
      </c>
      <c r="O24" s="2" t="str">
        <f t="shared" si="9"/>
        <v>OK</v>
      </c>
      <c r="P24" s="2">
        <f t="shared" si="13"/>
        <v>0</v>
      </c>
      <c r="Q24" s="2">
        <f t="shared" si="10"/>
        <v>0</v>
      </c>
      <c r="R24" s="2">
        <f t="shared" si="1"/>
        <v>0</v>
      </c>
      <c r="S24" s="52">
        <f t="shared" si="2"/>
        <v>1.2153640256959308</v>
      </c>
      <c r="T24" s="52">
        <f t="shared" si="3"/>
        <v>0</v>
      </c>
      <c r="U24" s="52">
        <f t="shared" si="4"/>
        <v>394.41716274089924</v>
      </c>
      <c r="V24" s="52">
        <f t="shared" si="5"/>
        <v>1.0168094218415413</v>
      </c>
      <c r="W24" s="52">
        <f t="shared" si="6"/>
        <v>0.25423982869379008</v>
      </c>
      <c r="X24" s="52">
        <f t="shared" si="7"/>
        <v>396.90357601713049</v>
      </c>
      <c r="Z24" s="103"/>
    </row>
    <row r="25" spans="2:26" x14ac:dyDescent="0.2">
      <c r="B25" s="103"/>
      <c r="C25" s="2">
        <f t="shared" si="11"/>
        <v>15</v>
      </c>
      <c r="D25" s="2">
        <f t="shared" si="11"/>
        <v>15</v>
      </c>
      <c r="E25" s="2">
        <f t="shared" si="8"/>
        <v>4.1067761806981518E-2</v>
      </c>
      <c r="F25" s="2">
        <f t="shared" si="12"/>
        <v>62.071067761807022</v>
      </c>
      <c r="G25" s="2">
        <f>G24*Parameters!F80+H24*Parameters!F171+I24*Parameters!F206+J24*Parameters!F237+L24*Parameters!F272</f>
        <v>302.99785867237676</v>
      </c>
      <c r="H25" s="2">
        <f>G24*Parameters!F81+H24*Parameters!F303+I24*Parameters!F359+J24*Parameters!F359+L24*Parameters!F388</f>
        <v>5.3533190578158436</v>
      </c>
      <c r="I25" s="2">
        <f>G24*Parameters!F415+H24*Parameters!F445+I24*Parameters!F475+J24*Parameters!F505+L24*Parameters!F535</f>
        <v>0</v>
      </c>
      <c r="J25" s="2">
        <f>G24*Parameters!F82+H24*Parameters!F592+I24*Parameters!F622+J24*Parameters!F652+L24*Parameters!F682</f>
        <v>1.0706638115631688</v>
      </c>
      <c r="K25" s="2">
        <f>G24*Parameters!F705+H24*Parameters!F730+I24*Parameters!F759+J24*Parameters!F783+L24*Parameters!F273</f>
        <v>1.0706638115631686</v>
      </c>
      <c r="L25" s="2">
        <f>K24*Parameters!F837</f>
        <v>2.1413276231263376</v>
      </c>
      <c r="M25" s="2">
        <f>G24*Parameters!F83+H24*Parameters!F867+I24*Parameters!F896+J24*Parameters!F926+L24*Parameters!F956+M24</f>
        <v>467.8800856531048</v>
      </c>
      <c r="N25" s="2">
        <f>G24*Parameters!F84+H24*Parameters!F983+J24*Parameters!F1013+L24*Parameters!F1043+I24*Parameters!F1073+N24</f>
        <v>219.48608137044957</v>
      </c>
      <c r="O25" s="2" t="str">
        <f t="shared" si="9"/>
        <v>OK</v>
      </c>
      <c r="P25" s="2">
        <f t="shared" si="13"/>
        <v>0</v>
      </c>
      <c r="Q25" s="2">
        <f t="shared" si="10"/>
        <v>1.0706638115631688</v>
      </c>
      <c r="R25" s="2">
        <f t="shared" si="1"/>
        <v>1.0706638115631688</v>
      </c>
      <c r="S25" s="52">
        <f t="shared" si="2"/>
        <v>1.1411134903640254</v>
      </c>
      <c r="T25" s="52">
        <f t="shared" si="3"/>
        <v>0.6212633832976443</v>
      </c>
      <c r="U25" s="52">
        <f t="shared" si="4"/>
        <v>388.08751274089934</v>
      </c>
      <c r="V25" s="52">
        <f t="shared" si="5"/>
        <v>0.6100856531049248</v>
      </c>
      <c r="W25" s="52">
        <f t="shared" si="6"/>
        <v>0.12711991434689501</v>
      </c>
      <c r="X25" s="52">
        <f t="shared" si="7"/>
        <v>390.58709518201283</v>
      </c>
      <c r="Z25" s="103"/>
    </row>
    <row r="26" spans="2:26" x14ac:dyDescent="0.2">
      <c r="B26" s="103"/>
      <c r="C26" s="2">
        <f t="shared" si="11"/>
        <v>16</v>
      </c>
      <c r="D26" s="2">
        <f t="shared" si="11"/>
        <v>16</v>
      </c>
      <c r="E26" s="2">
        <f t="shared" si="8"/>
        <v>4.380561259411362E-2</v>
      </c>
      <c r="F26" s="2">
        <f t="shared" si="12"/>
        <v>62.073805612594157</v>
      </c>
      <c r="G26" s="2">
        <f>G25*Parameters!F85+H25*Parameters!F172+I25*Parameters!F207+J25*Parameters!F238+L25*Parameters!F274</f>
        <v>283.72591006423977</v>
      </c>
      <c r="H26" s="2">
        <f>G25*Parameters!F86+H25*Parameters!F304+I25*Parameters!F360+J25*Parameters!F360+L25*Parameters!F389</f>
        <v>11.777301927194856</v>
      </c>
      <c r="I26" s="2">
        <f>G25*Parameters!F416+H25*Parameters!F446+I25*Parameters!F476+J25*Parameters!F506+L25*Parameters!F536</f>
        <v>0</v>
      </c>
      <c r="J26" s="2">
        <f>G25*Parameters!F563+H25*Parameters!F593+I25*Parameters!F623+J25*Parameters!F653+L25*Parameters!F683</f>
        <v>0</v>
      </c>
      <c r="K26" s="2">
        <f>G25*Parameters!F706+H25*Parameters!F731+I25*Parameters!F760+J25*Parameters!F784+L25*Parameters!F809</f>
        <v>0</v>
      </c>
      <c r="L26" s="2">
        <f>K25*Parameters!F838</f>
        <v>1.0706638115631686</v>
      </c>
      <c r="M26" s="2">
        <f>G25*Parameters!F87+H25*Parameters!F868+I25*Parameters!F897+J25*Parameters!F927+L25*Parameters!F957+M25</f>
        <v>480.72805139186283</v>
      </c>
      <c r="N26" s="2">
        <f>G25*Parameters!F88+H25*Parameters!F984+J25*Parameters!F1014+L25*Parameters!F1044+I25*Parameters!F1074+N25</f>
        <v>222.69807280513908</v>
      </c>
      <c r="O26" s="2" t="str">
        <f t="shared" si="9"/>
        <v>OK</v>
      </c>
      <c r="P26" s="2">
        <f t="shared" si="13"/>
        <v>0</v>
      </c>
      <c r="Q26" s="2">
        <f t="shared" si="10"/>
        <v>0</v>
      </c>
      <c r="R26" s="2">
        <f t="shared" si="1"/>
        <v>0</v>
      </c>
      <c r="S26" s="52">
        <f t="shared" si="2"/>
        <v>1.0824946466809418</v>
      </c>
      <c r="T26" s="52">
        <f t="shared" si="3"/>
        <v>0</v>
      </c>
      <c r="U26" s="52">
        <f t="shared" si="4"/>
        <v>348.33405781584582</v>
      </c>
      <c r="V26" s="52">
        <f t="shared" si="5"/>
        <v>1.1184903640256956</v>
      </c>
      <c r="W26" s="52">
        <f t="shared" si="6"/>
        <v>0</v>
      </c>
      <c r="X26" s="52">
        <f t="shared" si="7"/>
        <v>350.53504282655246</v>
      </c>
      <c r="Z26" s="103"/>
    </row>
    <row r="27" spans="2:26" x14ac:dyDescent="0.2">
      <c r="B27" s="103"/>
      <c r="C27" s="2">
        <f t="shared" si="11"/>
        <v>17</v>
      </c>
      <c r="D27" s="2">
        <f t="shared" si="11"/>
        <v>17</v>
      </c>
      <c r="E27" s="2">
        <f t="shared" si="8"/>
        <v>4.6543463381245723E-2</v>
      </c>
      <c r="F27" s="2">
        <f t="shared" si="12"/>
        <v>62.076543463381292</v>
      </c>
      <c r="G27" s="2">
        <f>G26*Parameters!F89+H26*Parameters!F173+I26*Parameters!F208+J26*Parameters!F239+L26*Parameters!F275</f>
        <v>263.3832976445396</v>
      </c>
      <c r="H27" s="2">
        <f>G26*Parameters!F90+H26*Parameters!F174+I26*Parameters!F361+J26*Parameters!F361+L26*Parameters!F276</f>
        <v>11.777301927194857</v>
      </c>
      <c r="I27" s="2">
        <f>G26*Parameters!F417+H26*Parameters!F447+I26*Parameters!F477+J26*Parameters!F507+L26*Parameters!F537</f>
        <v>0</v>
      </c>
      <c r="J27" s="2">
        <f>G26*Parameters!F564+H26*Parameters!F594+I26*Parameters!F624+J26*Parameters!F654+L26*Parameters!F684</f>
        <v>0</v>
      </c>
      <c r="K27" s="2">
        <f>G26*Parameters!F707+H26*Parameters!F732+I26*Parameters!F761+J26*Parameters!F785+L26*Parameters!F810</f>
        <v>0</v>
      </c>
      <c r="L27" s="2">
        <f>K26*Parameters!F839</f>
        <v>0</v>
      </c>
      <c r="M27" s="2">
        <f>G26*Parameters!F91+H26*Parameters!F869+I26*Parameters!F898+J26*Parameters!F928+L26*Parameters!F958+M26</f>
        <v>495.71734475374723</v>
      </c>
      <c r="N27" s="2">
        <f>G26*Parameters!F92+H26*Parameters!F985+J26*Parameters!F1015+L26*Parameters!F1045+I26*Parameters!F1075+N26</f>
        <v>229.12205567451809</v>
      </c>
      <c r="O27" s="2" t="str">
        <f t="shared" si="9"/>
        <v>OK</v>
      </c>
      <c r="P27" s="2">
        <f t="shared" si="13"/>
        <v>0</v>
      </c>
      <c r="Q27" s="2">
        <f t="shared" si="10"/>
        <v>0</v>
      </c>
      <c r="R27" s="2">
        <f t="shared" si="1"/>
        <v>0</v>
      </c>
      <c r="S27" s="52">
        <f t="shared" si="2"/>
        <v>1.0043361884368307</v>
      </c>
      <c r="T27" s="52">
        <f t="shared" si="3"/>
        <v>0</v>
      </c>
      <c r="U27" s="52">
        <f t="shared" si="4"/>
        <v>332.06943254817986</v>
      </c>
      <c r="V27" s="52">
        <f t="shared" si="5"/>
        <v>1.1184903640256956</v>
      </c>
      <c r="W27" s="52">
        <f t="shared" si="6"/>
        <v>0</v>
      </c>
      <c r="X27" s="52">
        <f t="shared" si="7"/>
        <v>334.19225910064239</v>
      </c>
      <c r="Z27" s="103"/>
    </row>
    <row r="28" spans="2:26" x14ac:dyDescent="0.2">
      <c r="B28" s="103"/>
      <c r="C28" s="2">
        <f t="shared" si="11"/>
        <v>18</v>
      </c>
      <c r="D28" s="2">
        <f t="shared" si="11"/>
        <v>18</v>
      </c>
      <c r="E28" s="2">
        <f t="shared" si="8"/>
        <v>4.9281314168377825E-2</v>
      </c>
      <c r="F28" s="2">
        <f t="shared" si="12"/>
        <v>62.079281314168426</v>
      </c>
      <c r="G28" s="2">
        <f>G27*Parameters!F93+H27*Parameters!F175+I27*Parameters!F209+J27*Parameters!F240+L27*Parameters!F277</f>
        <v>254.81798715203422</v>
      </c>
      <c r="H28" s="2">
        <f>G27*Parameters!F94+H27*Parameters!F305+I27*Parameters!F362+J27*Parameters!F362+L27*Parameters!F390</f>
        <v>7.494646680942183</v>
      </c>
      <c r="I28" s="2">
        <f>G27*Parameters!F418+H27*Parameters!F448+I27*Parameters!F478+J27*Parameters!F508+L27*Parameters!F538</f>
        <v>0</v>
      </c>
      <c r="J28" s="2">
        <f>G27*Parameters!F565+H27*Parameters!F595+I27*Parameters!F625+J27*Parameters!F655+L27*Parameters!F685</f>
        <v>0</v>
      </c>
      <c r="K28" s="2">
        <f>G27*Parameters!F708+H27*Parameters!F733+I27*Parameters!F762+J27*Parameters!F786+L27*Parameters!F811</f>
        <v>0</v>
      </c>
      <c r="L28" s="2">
        <f>K27*Parameters!F840</f>
        <v>0</v>
      </c>
      <c r="M28" s="2">
        <f>G27*Parameters!F95+H27*Parameters!F870+I27*Parameters!F899+J27*Parameters!F929+L27*Parameters!F959+M27</f>
        <v>505.35331905781572</v>
      </c>
      <c r="N28" s="2">
        <f>G27*Parameters!F96+H27*Parameters!F986+J27*Parameters!F1016+L27*Parameters!F1046+I27*Parameters!F1076+N27</f>
        <v>232.3340471092076</v>
      </c>
      <c r="O28" s="2" t="str">
        <f t="shared" si="9"/>
        <v>OK</v>
      </c>
      <c r="P28" s="2">
        <f t="shared" si="13"/>
        <v>0</v>
      </c>
      <c r="Q28" s="2">
        <f t="shared" si="10"/>
        <v>0</v>
      </c>
      <c r="R28" s="2">
        <f t="shared" si="1"/>
        <v>0</v>
      </c>
      <c r="S28" s="52">
        <f t="shared" si="2"/>
        <v>0.95744111349036398</v>
      </c>
      <c r="T28" s="52">
        <f t="shared" si="3"/>
        <v>0</v>
      </c>
      <c r="U28" s="52">
        <f t="shared" si="4"/>
        <v>322.58173447537473</v>
      </c>
      <c r="V28" s="52">
        <f t="shared" si="5"/>
        <v>0.71176659528907904</v>
      </c>
      <c r="W28" s="52">
        <f t="shared" si="6"/>
        <v>0</v>
      </c>
      <c r="X28" s="52">
        <f t="shared" si="7"/>
        <v>324.25094218415416</v>
      </c>
      <c r="Z28" s="103"/>
    </row>
    <row r="29" spans="2:26" x14ac:dyDescent="0.2">
      <c r="B29" s="103"/>
      <c r="C29" s="2">
        <f t="shared" si="11"/>
        <v>19</v>
      </c>
      <c r="D29" s="2">
        <f t="shared" si="11"/>
        <v>19</v>
      </c>
      <c r="E29" s="2">
        <f t="shared" si="8"/>
        <v>5.2019164955509921E-2</v>
      </c>
      <c r="F29" s="2">
        <f t="shared" si="12"/>
        <v>62.082019164955561</v>
      </c>
      <c r="G29" s="2">
        <f>G28*Parameters!F97+H28*Parameters!F176+I28*Parameters!F210+J28*Parameters!F241+L28*Parameters!F278</f>
        <v>248.3940042826552</v>
      </c>
      <c r="H29" s="2">
        <f>G28*Parameters!F98+H28*Parameters!F306+I28*Parameters!F363+J28*Parameters!F363+L28*Parameters!F391</f>
        <v>5.3533190578158454</v>
      </c>
      <c r="I29" s="2">
        <f>G28*Parameters!F419+H28*Parameters!F449+I28*Parameters!F479+J28*Parameters!F509+L28*Parameters!F539</f>
        <v>0</v>
      </c>
      <c r="J29" s="2">
        <f>G28*Parameters!F566+H28*Parameters!F596+I28*Parameters!F626+J28*Parameters!F656+L28*Parameters!F686</f>
        <v>0</v>
      </c>
      <c r="K29" s="2">
        <f>G28*Parameters!F99+H28*Parameters!F734+I28*Parameters!F763+J28*Parameters!F787+L28*Parameters!F812</f>
        <v>1.070663811563169</v>
      </c>
      <c r="L29" s="2">
        <f>K28*Parameters!F841</f>
        <v>0</v>
      </c>
      <c r="M29" s="2">
        <f>G28*Parameters!F100+H28*Parameters!F871+I28*Parameters!F900+J28*Parameters!F930+L28*Parameters!F960+M28</f>
        <v>509.63597430406838</v>
      </c>
      <c r="N29" s="2">
        <f>G28*Parameters!F101+H28*Parameters!F987+J28*Parameters!F1017+L28*Parameters!F1047+I28*Parameters!F1077+N28</f>
        <v>235.54603854389711</v>
      </c>
      <c r="O29" s="2" t="str">
        <f t="shared" si="9"/>
        <v>OK</v>
      </c>
      <c r="P29" s="2">
        <f t="shared" si="13"/>
        <v>0</v>
      </c>
      <c r="Q29" s="2">
        <f t="shared" si="10"/>
        <v>0</v>
      </c>
      <c r="R29" s="2">
        <f t="shared" si="1"/>
        <v>0</v>
      </c>
      <c r="S29" s="52">
        <f t="shared" si="2"/>
        <v>0.93008565310492497</v>
      </c>
      <c r="T29" s="52">
        <f t="shared" si="3"/>
        <v>0</v>
      </c>
      <c r="U29" s="52">
        <f t="shared" si="4"/>
        <v>303.60633832976436</v>
      </c>
      <c r="V29" s="52">
        <f t="shared" si="5"/>
        <v>0.50840471092077089</v>
      </c>
      <c r="W29" s="52">
        <f t="shared" si="6"/>
        <v>0.12711991434689507</v>
      </c>
      <c r="X29" s="52">
        <f t="shared" si="7"/>
        <v>305.17194860813697</v>
      </c>
      <c r="Z29" s="103"/>
    </row>
    <row r="30" spans="2:26" x14ac:dyDescent="0.2">
      <c r="B30" s="103"/>
      <c r="C30" s="2">
        <f t="shared" si="11"/>
        <v>20</v>
      </c>
      <c r="D30" s="2">
        <f t="shared" si="11"/>
        <v>20</v>
      </c>
      <c r="E30" s="2">
        <f t="shared" si="8"/>
        <v>5.4757015742642023E-2</v>
      </c>
      <c r="F30" s="2">
        <f t="shared" si="12"/>
        <v>62.084757015742696</v>
      </c>
      <c r="G30" s="2">
        <f>G29*Parameters!F102+H29*Parameters!F177+I29*Parameters!F211+J29*Parameters!F242+L29*Parameters!F279</f>
        <v>236.61670235546032</v>
      </c>
      <c r="H30" s="2">
        <f>G29*Parameters!F103+H29*Parameters!F307+I29*Parameters!F364+J29*Parameters!F364+L29*Parameters!F392</f>
        <v>2.1413276231263381</v>
      </c>
      <c r="I30" s="2">
        <f>G29*Parameters!F420+H29*Parameters!F450+I29*Parameters!F480+J29*Parameters!F510+L29*Parameters!F540</f>
        <v>0</v>
      </c>
      <c r="J30" s="2">
        <f>G29*Parameters!F567+H29*Parameters!F597+I29*Parameters!F627+J29*Parameters!F657+L29*Parameters!F687</f>
        <v>0</v>
      </c>
      <c r="K30" s="2">
        <f>G29*Parameters!F709+H29*Parameters!F735+I29*Parameters!F764+J29*Parameters!F788+L29*Parameters!F813</f>
        <v>0</v>
      </c>
      <c r="L30" s="2">
        <f>K29*Parameters!F842</f>
        <v>1.070663811563169</v>
      </c>
      <c r="M30" s="2">
        <f>G29*Parameters!F104+H29*Parameters!F872+I29*Parameters!F901+J29*Parameters!F931+L29*Parameters!F961+M29</f>
        <v>521.41327623126324</v>
      </c>
      <c r="N30" s="2">
        <f>G29*Parameters!F105+H29*Parameters!F988+J29*Parameters!F1018+L29*Parameters!F1048+I29*Parameters!F1078+N29</f>
        <v>238.75802997858662</v>
      </c>
      <c r="O30" s="2" t="str">
        <f t="shared" si="9"/>
        <v>OK</v>
      </c>
      <c r="P30" s="2">
        <f t="shared" si="13"/>
        <v>0</v>
      </c>
      <c r="Q30" s="2">
        <f t="shared" si="10"/>
        <v>0</v>
      </c>
      <c r="R30" s="2">
        <f t="shared" si="1"/>
        <v>0</v>
      </c>
      <c r="S30" s="52">
        <f t="shared" si="2"/>
        <v>0.87537473233404683</v>
      </c>
      <c r="T30" s="52">
        <f t="shared" si="3"/>
        <v>0</v>
      </c>
      <c r="U30" s="52">
        <f t="shared" si="4"/>
        <v>285.98632762312633</v>
      </c>
      <c r="V30" s="52">
        <f t="shared" si="5"/>
        <v>0.20336188436830832</v>
      </c>
      <c r="W30" s="52">
        <f t="shared" si="6"/>
        <v>0</v>
      </c>
      <c r="X30" s="52">
        <f t="shared" si="7"/>
        <v>287.06506423982864</v>
      </c>
      <c r="Z30" s="103"/>
    </row>
    <row r="31" spans="2:26" x14ac:dyDescent="0.2">
      <c r="B31" s="103"/>
      <c r="C31" s="2">
        <f t="shared" si="11"/>
        <v>21</v>
      </c>
      <c r="D31" s="2">
        <f t="shared" si="11"/>
        <v>21</v>
      </c>
      <c r="E31" s="2">
        <f t="shared" si="8"/>
        <v>5.7494866529774126E-2</v>
      </c>
      <c r="F31" s="2">
        <f t="shared" si="12"/>
        <v>62.087494866529831</v>
      </c>
      <c r="G31" s="2">
        <f>G30*Parameters!F106+H30*Parameters!F178+I30*Parameters!F212+J30*Parameters!F243+L30*Parameters!F280</f>
        <v>217.3447537473233</v>
      </c>
      <c r="H31" s="2">
        <f>G30*Parameters!F107+H30*Parameters!F308+I30*Parameters!F365+J30*Parameters!F365+L30*Parameters!F393</f>
        <v>7.4946466809421821</v>
      </c>
      <c r="I31" s="2">
        <f>G30*Parameters!F421+H30*Parameters!F451+I30*Parameters!F481+J30*Parameters!F511+L30*Parameters!F541</f>
        <v>0</v>
      </c>
      <c r="J31" s="2">
        <f>G30*Parameters!F568+H30*Parameters!F598+I30*Parameters!F628+J30*Parameters!F658+L30*Parameters!F688</f>
        <v>0</v>
      </c>
      <c r="K31" s="2">
        <f>G30*Parameters!F108+H30*Parameters!F736+I30*Parameters!F765+J30*Parameters!F789+L30*Parameters!F814</f>
        <v>1.070663811563169</v>
      </c>
      <c r="L31" s="2">
        <f>K30*Parameters!F843</f>
        <v>0</v>
      </c>
      <c r="M31" s="2">
        <f>G30*Parameters!F109+H30*Parameters!F873+I30*Parameters!F902+J30*Parameters!F932+L30*Parameters!F962+M30</f>
        <v>532.11991434689492</v>
      </c>
      <c r="N31" s="2">
        <f>G30*Parameters!F110+H30*Parameters!F989+J30*Parameters!F1019+L30*Parameters!F1049+I30*Parameters!F1079+N30</f>
        <v>241.97002141327613</v>
      </c>
      <c r="O31" s="2" t="str">
        <f t="shared" si="9"/>
        <v>OK</v>
      </c>
      <c r="P31" s="2">
        <f t="shared" si="13"/>
        <v>0</v>
      </c>
      <c r="Q31" s="2">
        <f t="shared" si="10"/>
        <v>0</v>
      </c>
      <c r="R31" s="2">
        <f t="shared" si="1"/>
        <v>0</v>
      </c>
      <c r="S31" s="52">
        <f t="shared" si="2"/>
        <v>0.82457173447537457</v>
      </c>
      <c r="T31" s="52">
        <f t="shared" si="3"/>
        <v>0</v>
      </c>
      <c r="U31" s="52">
        <f t="shared" si="4"/>
        <v>272.43247323340466</v>
      </c>
      <c r="V31" s="52">
        <f t="shared" si="5"/>
        <v>0.71176659528907904</v>
      </c>
      <c r="W31" s="52">
        <f t="shared" si="6"/>
        <v>0.12711991434689507</v>
      </c>
      <c r="X31" s="52">
        <f t="shared" si="7"/>
        <v>274.09593147751605</v>
      </c>
      <c r="Z31" s="103"/>
    </row>
    <row r="32" spans="2:26" x14ac:dyDescent="0.2">
      <c r="B32" s="103"/>
      <c r="C32" s="2">
        <f t="shared" si="11"/>
        <v>22</v>
      </c>
      <c r="D32" s="2">
        <f t="shared" si="11"/>
        <v>22</v>
      </c>
      <c r="E32" s="2">
        <f t="shared" si="8"/>
        <v>6.0232717316906229E-2</v>
      </c>
      <c r="F32" s="2">
        <f t="shared" si="12"/>
        <v>62.090232717316965</v>
      </c>
      <c r="G32" s="2">
        <f>G31*Parameters!F111+H31*Parameters!F179+I31*Parameters!F213+J31*Parameters!F244+L31*Parameters!F281</f>
        <v>208.77944325481792</v>
      </c>
      <c r="H32" s="2">
        <f>G31*Parameters!F112+H31*Parameters!F309+I31*Parameters!F366+J31*Parameters!F366+L31*Parameters!F394</f>
        <v>5.3533190578158454</v>
      </c>
      <c r="I32" s="2">
        <f>G31*Parameters!F422+H31*Parameters!F452+I31*Parameters!F482+J31*Parameters!F512+L31*Parameters!F542</f>
        <v>0</v>
      </c>
      <c r="J32" s="2">
        <f>G31*Parameters!F569+H31*Parameters!F599+I31*Parameters!F629+J31*Parameters!F659+L31*Parameters!F689</f>
        <v>0</v>
      </c>
      <c r="K32" s="2">
        <f>G31*Parameters!F710+H31*Parameters!F737+I31*Parameters!F766+J31*Parameters!F790+L31*Parameters!F815</f>
        <v>0</v>
      </c>
      <c r="L32" s="2">
        <f>K31*Parameters!F844</f>
        <v>1.070663811563169</v>
      </c>
      <c r="M32" s="2">
        <f>G31*Parameters!F113+H31*Parameters!F874+I31*Parameters!F903+J31*Parameters!F933+L31*Parameters!F963+M31</f>
        <v>541.75588865096347</v>
      </c>
      <c r="N32" s="2">
        <f>G31*Parameters!F114+H31*Parameters!F990+J31*Parameters!F1020+L31*Parameters!F1050+I31*Parameters!F1080+N31</f>
        <v>243.04068522483931</v>
      </c>
      <c r="O32" s="2" t="str">
        <f t="shared" si="9"/>
        <v>OK</v>
      </c>
      <c r="P32" s="2">
        <f t="shared" si="13"/>
        <v>0</v>
      </c>
      <c r="Q32" s="2">
        <f t="shared" si="10"/>
        <v>0</v>
      </c>
      <c r="R32" s="2">
        <f t="shared" si="1"/>
        <v>0</v>
      </c>
      <c r="S32" s="52">
        <f t="shared" si="2"/>
        <v>0.78549250535331894</v>
      </c>
      <c r="T32" s="52">
        <f t="shared" si="3"/>
        <v>0</v>
      </c>
      <c r="U32" s="52">
        <f t="shared" si="4"/>
        <v>250.74630620985005</v>
      </c>
      <c r="V32" s="52">
        <f t="shared" si="5"/>
        <v>0.50840471092077089</v>
      </c>
      <c r="W32" s="52">
        <f t="shared" si="6"/>
        <v>0</v>
      </c>
      <c r="X32" s="52">
        <f t="shared" si="7"/>
        <v>252.04020342612412</v>
      </c>
      <c r="Z32" s="103"/>
    </row>
    <row r="33" spans="2:26" x14ac:dyDescent="0.2">
      <c r="B33" s="103"/>
      <c r="C33" s="2">
        <f t="shared" si="11"/>
        <v>23</v>
      </c>
      <c r="D33" s="2">
        <f t="shared" si="11"/>
        <v>23</v>
      </c>
      <c r="E33" s="2">
        <f t="shared" si="8"/>
        <v>6.2970568104038324E-2</v>
      </c>
      <c r="F33" s="2">
        <f t="shared" si="12"/>
        <v>62.0929705681041</v>
      </c>
      <c r="G33" s="2">
        <f>G32*Parameters!F115+H32*Parameters!F180+I32*Parameters!F214+J32*Parameters!F245+L32*Parameters!F282</f>
        <v>189.50749464668087</v>
      </c>
      <c r="H33" s="2">
        <f>G32*Parameters!F116+H32*Parameters!F310+I32*Parameters!F367+J32*Parameters!F367+L32*Parameters!F283</f>
        <v>7.4946466809421821</v>
      </c>
      <c r="I33" s="2">
        <f>G32*Parameters!F423+H32*Parameters!F453+I32*Parameters!F483+J32*Parameters!F513+L32*Parameters!F543</f>
        <v>0</v>
      </c>
      <c r="J33" s="2">
        <f>G32*Parameters!F570+H32*Parameters!F600+I32*Parameters!F630+J32*Parameters!F660+L32*Parameters!F690</f>
        <v>0</v>
      </c>
      <c r="K33" s="2">
        <f>G32*Parameters!F117+H32*Parameters!F738+I32*Parameters!F767+J32*Parameters!F791+L32*Parameters!F816</f>
        <v>1.0706638115631688</v>
      </c>
      <c r="L33" s="2">
        <f>K32*Parameters!F845</f>
        <v>0</v>
      </c>
      <c r="M33" s="2">
        <f>G32*Parameters!F118+H32*Parameters!F875+I32*Parameters!F904+J32*Parameters!F934+L32*Parameters!F964+M32</f>
        <v>555.67451820128463</v>
      </c>
      <c r="N33" s="2">
        <f>G32*Parameters!F119+H32*Parameters!F991+J32*Parameters!F1021+L32*Parameters!F1051+I32*Parameters!F1081+N32</f>
        <v>246.25267665952882</v>
      </c>
      <c r="O33" s="2" t="str">
        <f t="shared" si="9"/>
        <v>OK</v>
      </c>
      <c r="P33" s="2">
        <f t="shared" si="13"/>
        <v>0</v>
      </c>
      <c r="Q33" s="2">
        <f t="shared" si="10"/>
        <v>0</v>
      </c>
      <c r="R33" s="2">
        <f t="shared" si="1"/>
        <v>0</v>
      </c>
      <c r="S33" s="52">
        <f t="shared" si="2"/>
        <v>0.72296573875802972</v>
      </c>
      <c r="T33" s="52">
        <f t="shared" si="3"/>
        <v>0</v>
      </c>
      <c r="U33" s="52">
        <f t="shared" si="4"/>
        <v>241.25860813704486</v>
      </c>
      <c r="V33" s="52">
        <f t="shared" si="5"/>
        <v>0.71176659528907904</v>
      </c>
      <c r="W33" s="52">
        <f t="shared" si="6"/>
        <v>0.12711991434689504</v>
      </c>
      <c r="X33" s="52">
        <f t="shared" si="7"/>
        <v>242.82046038543888</v>
      </c>
      <c r="Z33" s="103"/>
    </row>
    <row r="34" spans="2:26" x14ac:dyDescent="0.2">
      <c r="B34" s="103"/>
      <c r="C34" s="2">
        <f t="shared" si="11"/>
        <v>24</v>
      </c>
      <c r="D34" s="2">
        <f t="shared" si="11"/>
        <v>24</v>
      </c>
      <c r="E34" s="2">
        <f t="shared" si="8"/>
        <v>6.5708418891170434E-2</v>
      </c>
      <c r="F34" s="2">
        <f t="shared" si="12"/>
        <v>62.095708418891235</v>
      </c>
      <c r="G34" s="2">
        <f>G33*Parameters!F120+H33*Parameters!F181+I33*Parameters!F215+J33*Parameters!F246+L33*Parameters!F284</f>
        <v>187.36616702355451</v>
      </c>
      <c r="H34" s="2">
        <f>G33*Parameters!F121+H33*Parameters!F311+I33*Parameters!F368+J33*Parameters!F368+L33*Parameters!F395</f>
        <v>2.1413276231263376</v>
      </c>
      <c r="I34" s="2">
        <f>G33*Parameters!F424+H33*Parameters!F454+I33*Parameters!F484+J33*Parameters!F514+L33*Parameters!F544</f>
        <v>0</v>
      </c>
      <c r="J34" s="2">
        <f>G33*Parameters!F571+H33*Parameters!F601+I33*Parameters!F631+J33*Parameters!F661+L33*Parameters!F691</f>
        <v>0</v>
      </c>
      <c r="K34" s="2">
        <f>G33*Parameters!F711+H33*Parameters!F739+I33*Parameters!F768+J33*Parameters!F792+L33*Parameters!F817</f>
        <v>0</v>
      </c>
      <c r="L34" s="2">
        <f>K33*Parameters!F846</f>
        <v>1.0706638115631688</v>
      </c>
      <c r="M34" s="2">
        <f>G33*Parameters!F122+H33*Parameters!F876+I33*Parameters!F905+J33*Parameters!F935+L33*Parameters!F965+M33</f>
        <v>562.09850107066359</v>
      </c>
      <c r="N34" s="2">
        <f>G33*Parameters!F123+H33*Parameters!F992+J33*Parameters!F1022+L33*Parameters!F1052+I33*Parameters!F1082+N33</f>
        <v>247.323340471092</v>
      </c>
      <c r="O34" s="2" t="str">
        <f t="shared" si="9"/>
        <v>OK</v>
      </c>
      <c r="P34" s="2">
        <f t="shared" si="13"/>
        <v>0</v>
      </c>
      <c r="Q34" s="2">
        <f t="shared" si="10"/>
        <v>0</v>
      </c>
      <c r="R34" s="2">
        <f t="shared" si="1"/>
        <v>0</v>
      </c>
      <c r="S34" s="52">
        <f t="shared" si="2"/>
        <v>0.69561027837259071</v>
      </c>
      <c r="T34" s="52">
        <f t="shared" si="3"/>
        <v>0</v>
      </c>
      <c r="U34" s="52">
        <f t="shared" si="4"/>
        <v>223.6385974304068</v>
      </c>
      <c r="V34" s="52">
        <f t="shared" si="5"/>
        <v>0.20336188436830827</v>
      </c>
      <c r="W34" s="52">
        <f t="shared" si="6"/>
        <v>0</v>
      </c>
      <c r="X34" s="52">
        <f t="shared" si="7"/>
        <v>224.53756959314771</v>
      </c>
      <c r="Z34" s="103"/>
    </row>
    <row r="35" spans="2:26" x14ac:dyDescent="0.2">
      <c r="B35" s="103"/>
      <c r="C35" s="2">
        <f t="shared" si="11"/>
        <v>25</v>
      </c>
      <c r="D35" s="2">
        <f t="shared" si="11"/>
        <v>25</v>
      </c>
      <c r="E35" s="2">
        <f t="shared" si="8"/>
        <v>6.8446269678302529E-2</v>
      </c>
      <c r="F35" s="2">
        <f t="shared" si="12"/>
        <v>62.098446269678369</v>
      </c>
      <c r="G35" s="2">
        <f>G34*Parameters!F124+H34*Parameters!F182+I34*Parameters!F216+J34*Parameters!F247+L34*Parameters!F285</f>
        <v>169.16488222698067</v>
      </c>
      <c r="H35" s="2">
        <f>G34*Parameters!F125+H34*Parameters!F183+I34*Parameters!F369+J34*Parameters!F369+L34*Parameters!F396</f>
        <v>6.423982869379012</v>
      </c>
      <c r="I35" s="2">
        <f>G34*Parameters!F425+H34*Parameters!F455+I34*Parameters!F485+J34*Parameters!F515+L34*Parameters!F545</f>
        <v>0</v>
      </c>
      <c r="J35" s="2">
        <f>G34*Parameters!F572+H34*Parameters!F602+I34*Parameters!F632+J34*Parameters!F662+L34*Parameters!F692</f>
        <v>0</v>
      </c>
      <c r="K35" s="2">
        <f>G34*Parameters!F712+H34*Parameters!F740+I34*Parameters!F769+J34*Parameters!F793+L34*Parameters!F286</f>
        <v>1.0706638115631688</v>
      </c>
      <c r="L35" s="2">
        <f>K34*Parameters!F847</f>
        <v>0</v>
      </c>
      <c r="M35" s="2">
        <f>G34*Parameters!F126+H34*Parameters!F877+I34*Parameters!F906+J34*Parameters!F936+L34*Parameters!F966+M34</f>
        <v>574.94646680942162</v>
      </c>
      <c r="N35" s="2">
        <f>G34*Parameters!F127+H34*Parameters!F993+J34*Parameters!F1023+L34*Parameters!F1053+I34*Parameters!F1083+N34</f>
        <v>248.39400428265517</v>
      </c>
      <c r="O35" s="2" t="str">
        <f t="shared" si="9"/>
        <v>OK</v>
      </c>
      <c r="P35" s="2">
        <f t="shared" si="13"/>
        <v>0</v>
      </c>
      <c r="Q35" s="2">
        <f t="shared" si="10"/>
        <v>0</v>
      </c>
      <c r="R35" s="2">
        <f t="shared" si="1"/>
        <v>0</v>
      </c>
      <c r="S35" s="52">
        <f t="shared" si="2"/>
        <v>0.64480728051391845</v>
      </c>
      <c r="T35" s="52">
        <f t="shared" si="3"/>
        <v>0</v>
      </c>
      <c r="U35" s="52">
        <f t="shared" si="4"/>
        <v>212.79551391862952</v>
      </c>
      <c r="V35" s="52">
        <f t="shared" si="5"/>
        <v>0.6100856531049248</v>
      </c>
      <c r="W35" s="52">
        <f t="shared" si="6"/>
        <v>0.12711991434689504</v>
      </c>
      <c r="X35" s="52">
        <f t="shared" si="7"/>
        <v>214.17752676659529</v>
      </c>
      <c r="Z35" s="103"/>
    </row>
    <row r="36" spans="2:26" x14ac:dyDescent="0.2">
      <c r="B36" s="103"/>
      <c r="C36" s="2">
        <f t="shared" si="11"/>
        <v>26</v>
      </c>
      <c r="D36" s="2">
        <f t="shared" si="11"/>
        <v>26</v>
      </c>
      <c r="E36" s="2">
        <f t="shared" si="8"/>
        <v>7.1184120465434639E-2</v>
      </c>
      <c r="F36" s="2">
        <f t="shared" si="12"/>
        <v>62.101184120465504</v>
      </c>
      <c r="G36" s="2">
        <f>G35*Parameters!F128+H35*Parameters!F184+I35*Parameters!F217+J35*Parameters!F248+L35*Parameters!F287</f>
        <v>163.81156316916483</v>
      </c>
      <c r="H36" s="2">
        <f>G35*Parameters!F129+H35*Parameters!F312+I35*Parameters!F370+J35*Parameters!F370+L35*Parameters!F397</f>
        <v>2.1413276231263376</v>
      </c>
      <c r="I36" s="2">
        <f>G35*Parameters!F426+H35*Parameters!F456+I35*Parameters!F486+J35*Parameters!F516+L35*Parameters!F546</f>
        <v>0</v>
      </c>
      <c r="J36" s="2">
        <f>G35*Parameters!F573+H35*Parameters!F603+I35*Parameters!F633+J35*Parameters!F663+L35*Parameters!F693</f>
        <v>0</v>
      </c>
      <c r="K36" s="2">
        <f>G35*Parameters!F130+H35*Parameters!F741+I35*Parameters!F770+J35*Parameters!F794+L35*Parameters!F818</f>
        <v>1.0706638115631688</v>
      </c>
      <c r="L36" s="2">
        <f>K35*Parameters!F848</f>
        <v>1.0706638115631688</v>
      </c>
      <c r="M36" s="2">
        <f>G35*Parameters!F131+H35*Parameters!F878+I35*Parameters!F907+J35*Parameters!F937+L35*Parameters!F967+M35</f>
        <v>579.22912205567434</v>
      </c>
      <c r="N36" s="2">
        <f>G35*Parameters!F132+H35*Parameters!F994+J35*Parameters!F1024+L35*Parameters!F1054+I35*Parameters!F1084+N35</f>
        <v>252.67665952890786</v>
      </c>
      <c r="O36" s="2" t="str">
        <f t="shared" si="9"/>
        <v>OK</v>
      </c>
      <c r="P36" s="2">
        <f t="shared" si="13"/>
        <v>0</v>
      </c>
      <c r="Q36" s="2">
        <f t="shared" si="10"/>
        <v>0</v>
      </c>
      <c r="R36" s="2">
        <f t="shared" si="1"/>
        <v>0</v>
      </c>
      <c r="S36" s="52">
        <f t="shared" si="2"/>
        <v>0.61354389721627389</v>
      </c>
      <c r="T36" s="52">
        <f t="shared" si="3"/>
        <v>0</v>
      </c>
      <c r="U36" s="52">
        <f t="shared" si="4"/>
        <v>201.95243040685216</v>
      </c>
      <c r="V36" s="52">
        <f t="shared" si="5"/>
        <v>0.20336188436830827</v>
      </c>
      <c r="W36" s="52">
        <f t="shared" si="6"/>
        <v>0.12711991434689504</v>
      </c>
      <c r="X36" s="52">
        <f t="shared" si="7"/>
        <v>202.89645610278365</v>
      </c>
      <c r="Z36" s="103"/>
    </row>
    <row r="37" spans="2:26" x14ac:dyDescent="0.2">
      <c r="B37" s="103"/>
      <c r="C37" s="2">
        <f t="shared" si="11"/>
        <v>27</v>
      </c>
      <c r="D37" s="2">
        <f t="shared" si="11"/>
        <v>27</v>
      </c>
      <c r="E37" s="2">
        <f t="shared" si="8"/>
        <v>7.3921971252566734E-2</v>
      </c>
      <c r="F37" s="2">
        <f t="shared" si="12"/>
        <v>62.103921971252639</v>
      </c>
      <c r="G37" s="2">
        <f>G36*Parameters!F133+H36*Parameters!F185+I36*Parameters!F218+J36*Parameters!F249+L36*Parameters!F288</f>
        <v>150.96359743040679</v>
      </c>
      <c r="H37" s="2">
        <f>G36*Parameters!F134+H36*Parameters!F186+I36*Parameters!F371+J36*Parameters!F371+L36*Parameters!F289</f>
        <v>7.4946466809421821</v>
      </c>
      <c r="I37" s="2">
        <f>G36*Parameters!F427+H36*Parameters!F457+I36*Parameters!F487+J36*Parameters!F517+L36*Parameters!F547</f>
        <v>0</v>
      </c>
      <c r="J37" s="2">
        <f>G36*Parameters!F574+H36*Parameters!F604+I36*Parameters!F634+J36*Parameters!F664+L36*Parameters!F694</f>
        <v>0</v>
      </c>
      <c r="K37" s="2">
        <f>G36*Parameters!F713+H36*Parameters!F742+I36*Parameters!F771+J36*Parameters!F795+L36*Parameters!F819</f>
        <v>0</v>
      </c>
      <c r="L37" s="2">
        <f>K36*Parameters!F849</f>
        <v>1.0706638115631688</v>
      </c>
      <c r="M37" s="2">
        <f>G36*Parameters!F135+H36*Parameters!F879+I36*Parameters!F908+J36*Parameters!F938+L36*Parameters!F968+M36</f>
        <v>584.58244111349018</v>
      </c>
      <c r="N37" s="2">
        <f>G36*Parameters!F136+H36*Parameters!F995+J36*Parameters!F1025+L36*Parameters!F1055+I36*Parameters!F1085+N36</f>
        <v>255.88865096359737</v>
      </c>
      <c r="O37" s="2" t="str">
        <f t="shared" si="9"/>
        <v>OK</v>
      </c>
      <c r="P37" s="2">
        <f t="shared" si="13"/>
        <v>0</v>
      </c>
      <c r="Q37" s="2">
        <f t="shared" si="10"/>
        <v>0</v>
      </c>
      <c r="R37" s="2">
        <f t="shared" si="1"/>
        <v>0</v>
      </c>
      <c r="S37" s="52">
        <f t="shared" si="2"/>
        <v>0.58228051391862934</v>
      </c>
      <c r="T37" s="52">
        <f t="shared" si="3"/>
        <v>0</v>
      </c>
      <c r="U37" s="52">
        <f t="shared" si="4"/>
        <v>189.75396145610276</v>
      </c>
      <c r="V37" s="52">
        <f t="shared" si="5"/>
        <v>0.71176659528907904</v>
      </c>
      <c r="W37" s="52">
        <f t="shared" si="6"/>
        <v>0</v>
      </c>
      <c r="X37" s="52">
        <f t="shared" si="7"/>
        <v>191.04800856531045</v>
      </c>
      <c r="Z37" s="103"/>
    </row>
    <row r="38" spans="2:26" x14ac:dyDescent="0.2">
      <c r="B38" s="103"/>
      <c r="C38" s="2">
        <f t="shared" si="11"/>
        <v>28</v>
      </c>
      <c r="D38" s="2">
        <f t="shared" si="11"/>
        <v>28</v>
      </c>
      <c r="E38" s="2">
        <f t="shared" si="8"/>
        <v>7.665982203969883E-2</v>
      </c>
      <c r="F38" s="2">
        <f t="shared" si="12"/>
        <v>62.106659822039774</v>
      </c>
      <c r="G38" s="2">
        <f>G37*Parameters!F137+H37*Parameters!F187+I37*Parameters!F219+J37*Parameters!F250+L37*Parameters!F290</f>
        <v>145.61027837259095</v>
      </c>
      <c r="H38" s="2">
        <f>G37*Parameters!F138+H37*Parameters!F313+I37*Parameters!F372+J37*Parameters!F372+L37*Parameters!F398</f>
        <v>3.211991434689506</v>
      </c>
      <c r="I38" s="2">
        <f>G37*Parameters!F428+H37*Parameters!F458+I37*Parameters!F488+J37*Parameters!F518+L37*Parameters!F548</f>
        <v>0</v>
      </c>
      <c r="J38" s="2">
        <f>G37*Parameters!F575+H37*Parameters!F605+I37*Parameters!F635+J37*Parameters!F665+L37*Parameters!F695</f>
        <v>0</v>
      </c>
      <c r="K38" s="2">
        <f>G37*Parameters!F714+H37*Parameters!F188+I37*Parameters!F772+J37*Parameters!F796+L37*Parameters!F820</f>
        <v>1.0706638115631688</v>
      </c>
      <c r="L38" s="2">
        <f>K37*Parameters!F850</f>
        <v>0</v>
      </c>
      <c r="M38" s="2">
        <f>G37*Parameters!F139+H37*Parameters!F189+I37*Parameters!F909+J37*Parameters!F939+L37*Parameters!F969+M37</f>
        <v>591.00642398286914</v>
      </c>
      <c r="N38" s="2">
        <f>G37*Parameters!F140+H37*Parameters!F996+J37*Parameters!F1026+L37*Parameters!F1056+I37*Parameters!F1086+N37</f>
        <v>259.10064239828688</v>
      </c>
      <c r="O38" s="2" t="str">
        <f t="shared" si="9"/>
        <v>OK</v>
      </c>
      <c r="P38" s="2">
        <f t="shared" si="13"/>
        <v>0</v>
      </c>
      <c r="Q38" s="2">
        <f t="shared" si="10"/>
        <v>0</v>
      </c>
      <c r="R38" s="2">
        <f t="shared" si="1"/>
        <v>0</v>
      </c>
      <c r="S38" s="52">
        <f t="shared" si="2"/>
        <v>0.54710920770877935</v>
      </c>
      <c r="T38" s="52">
        <f t="shared" si="3"/>
        <v>0</v>
      </c>
      <c r="U38" s="52">
        <f t="shared" si="4"/>
        <v>177.55549250535327</v>
      </c>
      <c r="V38" s="52">
        <f t="shared" si="5"/>
        <v>0.3050428265524624</v>
      </c>
      <c r="W38" s="52">
        <f t="shared" si="6"/>
        <v>0.12711991434689504</v>
      </c>
      <c r="X38" s="52">
        <f t="shared" si="7"/>
        <v>178.53476445396143</v>
      </c>
      <c r="Z38" s="103"/>
    </row>
    <row r="39" spans="2:26" x14ac:dyDescent="0.2">
      <c r="B39" s="103"/>
      <c r="C39" s="2">
        <f t="shared" si="11"/>
        <v>29</v>
      </c>
      <c r="D39" s="2">
        <f t="shared" si="11"/>
        <v>29</v>
      </c>
      <c r="E39" s="2">
        <f t="shared" si="8"/>
        <v>7.939767282683094E-2</v>
      </c>
      <c r="F39" s="2">
        <f t="shared" si="12"/>
        <v>62.109397672826908</v>
      </c>
      <c r="G39" s="2">
        <f>G38*Parameters!F141+H38*Parameters!F190+I38*Parameters!F220+J38*Parameters!F251+L38*Parameters!F291</f>
        <v>137.04496788008561</v>
      </c>
      <c r="H39" s="2">
        <f>G38*Parameters!F142+H38*Parameters!F314+I38*Parameters!F373+J38*Parameters!F373+L38*Parameters!F399</f>
        <v>2.1413276231263376</v>
      </c>
      <c r="I39" s="2">
        <f>G38*Parameters!F429+H38*Parameters!F459+I38*Parameters!F489+J38*Parameters!F519+L38*Parameters!F549</f>
        <v>0</v>
      </c>
      <c r="J39" s="2">
        <f>G38*Parameters!F576+H38*Parameters!F606+I38*Parameters!F636+J38*Parameters!F666+L38*Parameters!F696</f>
        <v>0</v>
      </c>
      <c r="K39" s="2">
        <f>G38*Parameters!F715+H38*Parameters!F743+I38*Parameters!F773+J38*Parameters!F797+L38*Parameters!F821</f>
        <v>0</v>
      </c>
      <c r="L39" s="2">
        <f>K38*Parameters!F851</f>
        <v>1.0706638115631688</v>
      </c>
      <c r="M39" s="2">
        <f>G38*Parameters!F143+H38*Parameters!F880+I38*Parameters!F910+J38*Parameters!F940+L38*Parameters!F970+M38</f>
        <v>598.50107066381133</v>
      </c>
      <c r="N39" s="2">
        <f>G38*Parameters!F144+H38*Parameters!F997+J38*Parameters!F1027+L38*Parameters!F1057+I38*Parameters!F1087+N38</f>
        <v>261.24197002141324</v>
      </c>
      <c r="O39" s="2" t="str">
        <f t="shared" si="9"/>
        <v>OK</v>
      </c>
      <c r="P39" s="2">
        <f t="shared" si="13"/>
        <v>0</v>
      </c>
      <c r="Q39" s="2">
        <f t="shared" si="10"/>
        <v>0</v>
      </c>
      <c r="R39" s="2">
        <f t="shared" si="1"/>
        <v>0</v>
      </c>
      <c r="S39" s="52">
        <f t="shared" si="2"/>
        <v>0.51193790149892915</v>
      </c>
      <c r="T39" s="52">
        <f t="shared" si="3"/>
        <v>0</v>
      </c>
      <c r="U39" s="52">
        <f t="shared" si="4"/>
        <v>166.71240899357599</v>
      </c>
      <c r="V39" s="52">
        <f t="shared" si="5"/>
        <v>0.20336188436830827</v>
      </c>
      <c r="W39" s="52">
        <f t="shared" si="6"/>
        <v>0</v>
      </c>
      <c r="X39" s="52">
        <f t="shared" si="7"/>
        <v>167.42770877944324</v>
      </c>
      <c r="Z39" s="103"/>
    </row>
    <row r="40" spans="2:26" x14ac:dyDescent="0.2">
      <c r="B40" s="103"/>
      <c r="C40" s="2">
        <f t="shared" si="11"/>
        <v>30</v>
      </c>
      <c r="D40" s="2">
        <f t="shared" si="11"/>
        <v>30</v>
      </c>
      <c r="E40" s="2">
        <f t="shared" si="8"/>
        <v>8.2135523613963035E-2</v>
      </c>
      <c r="F40" s="2">
        <f t="shared" si="12"/>
        <v>62.112135523614043</v>
      </c>
      <c r="G40" s="2">
        <f>G39*Parameters!F145+H39*Parameters!F191+I39*Parameters!F221+J39*Parameters!F252+L39*Parameters!F292</f>
        <v>128.47965738758026</v>
      </c>
      <c r="H40" s="2">
        <f>G39*Parameters!F146+H39*Parameters!F315+I39*Parameters!F374+J39*Parameters!F374+L39*Parameters!F400</f>
        <v>3.2119914346895064</v>
      </c>
      <c r="I40" s="2">
        <f>G39*Parameters!F430+H39*Parameters!F460+I39*Parameters!F490+J39*Parameters!F520+L39*Parameters!F550</f>
        <v>0</v>
      </c>
      <c r="J40" s="2">
        <f>G39*Parameters!F577+H39*Parameters!F607+I39*Parameters!F637+J39*Parameters!F667+L39*Parameters!F697</f>
        <v>0</v>
      </c>
      <c r="K40" s="2">
        <f>G39*Parameters!F716+H39*Parameters!F744+I39*Parameters!F774+J39*Parameters!F798+L39*Parameters!F822</f>
        <v>0</v>
      </c>
      <c r="L40" s="2">
        <f>K39*Parameters!F852</f>
        <v>0</v>
      </c>
      <c r="M40" s="2">
        <f>G39*Parameters!F147+H39*Parameters!F881+I39*Parameters!F911+J39*Parameters!F941+L39*Parameters!F971+M39</f>
        <v>603.85438972162717</v>
      </c>
      <c r="N40" s="2">
        <f>G39*Parameters!F148+H39*Parameters!F998+J39*Parameters!F1028+L39*Parameters!F1058+I39*Parameters!F1088+N39</f>
        <v>264.45396145610272</v>
      </c>
      <c r="O40" s="2" t="str">
        <f t="shared" si="9"/>
        <v>OK</v>
      </c>
      <c r="P40" s="2">
        <f t="shared" si="13"/>
        <v>0</v>
      </c>
      <c r="Q40" s="2">
        <f t="shared" si="10"/>
        <v>0</v>
      </c>
      <c r="R40" s="2">
        <f t="shared" si="1"/>
        <v>0</v>
      </c>
      <c r="S40" s="52">
        <f t="shared" si="2"/>
        <v>0.48067451820128465</v>
      </c>
      <c r="T40" s="52">
        <f t="shared" si="3"/>
        <v>0</v>
      </c>
      <c r="U40" s="52">
        <f t="shared" si="4"/>
        <v>0</v>
      </c>
      <c r="V40" s="52">
        <f t="shared" si="5"/>
        <v>0.30504282655246245</v>
      </c>
      <c r="W40" s="52">
        <f t="shared" si="6"/>
        <v>0</v>
      </c>
      <c r="X40" s="52">
        <f t="shared" si="7"/>
        <v>0.7857173447537471</v>
      </c>
      <c r="Z40" s="103"/>
    </row>
    <row r="41" spans="2:26" x14ac:dyDescent="0.2">
      <c r="B41" s="103"/>
      <c r="C41" s="2"/>
      <c r="D41" s="2"/>
      <c r="E41" s="2"/>
      <c r="F41" s="2"/>
      <c r="G41" s="2"/>
      <c r="H41" s="2"/>
      <c r="I41" s="2"/>
      <c r="J41" s="2"/>
      <c r="K41" s="2"/>
      <c r="L41" s="70"/>
      <c r="M41" s="2"/>
      <c r="N41" s="2"/>
      <c r="O41" s="2"/>
      <c r="P41" s="2"/>
      <c r="Q41" s="2"/>
      <c r="R41" s="2"/>
      <c r="S41" s="52"/>
      <c r="T41" s="52"/>
      <c r="U41" s="52"/>
      <c r="V41" s="52"/>
      <c r="W41" s="52"/>
      <c r="X41" s="52"/>
      <c r="Z41" s="103"/>
    </row>
    <row r="42" spans="2:26" x14ac:dyDescent="0.2">
      <c r="B42" s="103"/>
      <c r="C42" s="2"/>
      <c r="D42" s="2"/>
      <c r="E42" s="2"/>
      <c r="F42" s="2"/>
      <c r="G42" s="2"/>
      <c r="H42" s="2"/>
      <c r="I42" s="2"/>
      <c r="J42" s="2"/>
      <c r="K42" s="2"/>
      <c r="L42" s="70"/>
      <c r="M42" s="2"/>
      <c r="N42" s="2"/>
      <c r="O42" s="2"/>
      <c r="P42" s="2"/>
      <c r="Q42" s="2"/>
      <c r="R42" s="2"/>
      <c r="S42" s="52"/>
      <c r="T42" s="52"/>
      <c r="U42" s="52"/>
      <c r="V42" s="52"/>
      <c r="W42" s="52"/>
      <c r="X42" s="52"/>
      <c r="Z42" s="103"/>
    </row>
    <row r="43" spans="2:26" x14ac:dyDescent="0.2">
      <c r="B43" s="103"/>
      <c r="C43" s="2"/>
      <c r="D43" s="2"/>
      <c r="E43" s="2"/>
      <c r="F43" s="2"/>
      <c r="G43" s="2"/>
      <c r="H43" s="2"/>
      <c r="I43" s="2"/>
      <c r="J43" s="2"/>
      <c r="K43" s="2"/>
      <c r="L43" s="70"/>
      <c r="M43" s="2"/>
      <c r="N43" s="2"/>
      <c r="O43" s="2"/>
      <c r="P43" s="2"/>
      <c r="Q43" s="2"/>
      <c r="R43" s="2"/>
      <c r="S43" s="52"/>
      <c r="T43" s="52"/>
      <c r="U43" s="52"/>
      <c r="V43" s="52"/>
      <c r="W43" s="52"/>
      <c r="X43" s="52"/>
      <c r="Z43" s="103"/>
    </row>
    <row r="44" spans="2:26" x14ac:dyDescent="0.2">
      <c r="B44" s="103"/>
      <c r="C44" s="2"/>
      <c r="D44" s="2"/>
      <c r="E44" s="2"/>
      <c r="F44" s="2"/>
      <c r="G44" s="2"/>
      <c r="H44" s="2"/>
      <c r="I44" s="2"/>
      <c r="J44" s="2"/>
      <c r="K44" s="2"/>
      <c r="L44" s="70"/>
      <c r="M44" s="2"/>
      <c r="N44" s="2"/>
      <c r="O44" s="2"/>
      <c r="P44" s="2"/>
      <c r="Q44" s="2"/>
      <c r="R44" s="2"/>
      <c r="S44" s="52"/>
      <c r="T44" s="52"/>
      <c r="U44" s="52"/>
      <c r="V44" s="52"/>
      <c r="W44" s="52"/>
      <c r="X44" s="52"/>
      <c r="Z44" s="103"/>
    </row>
    <row r="45" spans="2:26" x14ac:dyDescent="0.2">
      <c r="B45" s="103"/>
      <c r="C45" s="2"/>
      <c r="D45" s="2"/>
      <c r="E45" s="2"/>
      <c r="F45" s="2"/>
      <c r="G45" s="2"/>
      <c r="H45" s="2"/>
      <c r="I45" s="2"/>
      <c r="J45" s="2"/>
      <c r="K45" s="2"/>
      <c r="L45" s="70"/>
      <c r="M45" s="2"/>
      <c r="N45" s="2"/>
      <c r="O45" s="2"/>
      <c r="P45" s="2"/>
      <c r="Q45" s="2"/>
      <c r="R45" s="2"/>
      <c r="S45" s="52"/>
      <c r="T45" s="52"/>
      <c r="U45" s="52"/>
      <c r="V45" s="52"/>
      <c r="W45" s="52"/>
      <c r="X45" s="52"/>
      <c r="Z45" s="103"/>
    </row>
    <row r="46" spans="2:26" x14ac:dyDescent="0.2">
      <c r="B46" s="103"/>
      <c r="C46" s="2"/>
      <c r="D46" s="2"/>
      <c r="E46" s="2"/>
      <c r="F46" s="2"/>
      <c r="G46" s="2"/>
      <c r="H46" s="2"/>
      <c r="I46" s="2"/>
      <c r="J46" s="2"/>
      <c r="K46" s="2"/>
      <c r="L46" s="70"/>
      <c r="M46" s="2"/>
      <c r="N46" s="2"/>
      <c r="O46" s="2"/>
      <c r="P46" s="2"/>
      <c r="Q46" s="2"/>
      <c r="R46" s="2"/>
      <c r="S46" s="52"/>
      <c r="T46" s="52"/>
      <c r="U46" s="52"/>
      <c r="V46" s="52"/>
      <c r="W46" s="52"/>
      <c r="X46" s="52"/>
      <c r="Z46" s="103"/>
    </row>
    <row r="47" spans="2:26" x14ac:dyDescent="0.2">
      <c r="B47" s="103"/>
      <c r="C47" s="2"/>
      <c r="D47" s="2"/>
      <c r="E47" s="2"/>
      <c r="F47" s="2"/>
      <c r="G47" s="2"/>
      <c r="H47" s="2"/>
      <c r="I47" s="2"/>
      <c r="J47" s="2"/>
      <c r="K47" s="2"/>
      <c r="L47" s="70"/>
      <c r="M47" s="2"/>
      <c r="N47" s="2"/>
      <c r="O47" s="2"/>
      <c r="P47" s="2"/>
      <c r="Q47" s="2"/>
      <c r="R47" s="2"/>
      <c r="S47" s="52"/>
      <c r="T47" s="52"/>
      <c r="U47" s="52"/>
      <c r="V47" s="52"/>
      <c r="W47" s="52"/>
      <c r="X47" s="52"/>
      <c r="Z47" s="103"/>
    </row>
    <row r="48" spans="2:26" x14ac:dyDescent="0.2">
      <c r="B48" s="103"/>
      <c r="C48" s="2"/>
      <c r="D48" s="2"/>
      <c r="E48" s="2"/>
      <c r="F48" s="2"/>
      <c r="G48" s="2"/>
      <c r="H48" s="2"/>
      <c r="I48" s="2"/>
      <c r="J48" s="2"/>
      <c r="K48" s="2"/>
      <c r="L48" s="70"/>
      <c r="M48" s="2"/>
      <c r="N48" s="2"/>
      <c r="O48" s="2"/>
      <c r="P48" s="2"/>
      <c r="Q48" s="2"/>
      <c r="R48" s="2"/>
      <c r="S48" s="52"/>
      <c r="T48" s="52"/>
      <c r="U48" s="52"/>
      <c r="V48" s="52"/>
      <c r="W48" s="52"/>
      <c r="X48" s="52"/>
      <c r="Z48" s="103"/>
    </row>
    <row r="49" spans="2:26" x14ac:dyDescent="0.2">
      <c r="B49" s="103"/>
      <c r="C49" s="2"/>
      <c r="D49" s="2"/>
      <c r="E49" s="2"/>
      <c r="F49" s="2"/>
      <c r="G49" s="2"/>
      <c r="H49" s="2"/>
      <c r="I49" s="2"/>
      <c r="J49" s="2"/>
      <c r="K49" s="2"/>
      <c r="L49" s="70"/>
      <c r="M49" s="2"/>
      <c r="N49" s="2"/>
      <c r="O49" s="2"/>
      <c r="P49" s="2"/>
      <c r="Q49" s="2"/>
      <c r="R49" s="2"/>
      <c r="S49" s="52"/>
      <c r="T49" s="52"/>
      <c r="U49" s="52"/>
      <c r="V49" s="52"/>
      <c r="W49" s="52"/>
      <c r="X49" s="52"/>
      <c r="Z49" s="103"/>
    </row>
    <row r="50" spans="2:26" x14ac:dyDescent="0.2">
      <c r="B50" s="103"/>
      <c r="C50" s="2"/>
      <c r="D50" s="2"/>
      <c r="E50" s="2"/>
      <c r="F50" s="2"/>
      <c r="G50" s="2"/>
      <c r="H50" s="2"/>
      <c r="I50" s="2"/>
      <c r="J50" s="2"/>
      <c r="K50" s="2"/>
      <c r="L50" s="70"/>
      <c r="M50" s="2"/>
      <c r="N50" s="2"/>
      <c r="O50" s="2"/>
      <c r="P50" s="2"/>
      <c r="Q50" s="2"/>
      <c r="R50" s="2"/>
      <c r="S50" s="52"/>
      <c r="T50" s="52"/>
      <c r="U50" s="52"/>
      <c r="V50" s="52"/>
      <c r="W50" s="52"/>
      <c r="X50" s="52"/>
      <c r="Z50" s="103"/>
    </row>
    <row r="51" spans="2:26" x14ac:dyDescent="0.2">
      <c r="B51" s="103"/>
      <c r="C51" s="2"/>
      <c r="D51" s="2"/>
      <c r="E51" s="2"/>
      <c r="F51" s="2"/>
      <c r="G51" s="2"/>
      <c r="H51" s="2"/>
      <c r="I51" s="2"/>
      <c r="J51" s="2"/>
      <c r="K51" s="2"/>
      <c r="L51" s="70"/>
      <c r="M51" s="2"/>
      <c r="N51" s="2"/>
      <c r="O51" s="2"/>
      <c r="P51" s="2"/>
      <c r="Q51" s="2"/>
      <c r="R51" s="2"/>
      <c r="S51" s="52"/>
      <c r="T51" s="52"/>
      <c r="U51" s="52"/>
      <c r="V51" s="52"/>
      <c r="W51" s="52"/>
      <c r="X51" s="52"/>
      <c r="Z51" s="103"/>
    </row>
    <row r="52" spans="2:26" x14ac:dyDescent="0.2">
      <c r="B52" s="103"/>
      <c r="C52" s="2"/>
      <c r="D52" s="2"/>
      <c r="E52" s="2"/>
      <c r="F52" s="2"/>
      <c r="G52" s="2"/>
      <c r="H52" s="2"/>
      <c r="I52" s="2"/>
      <c r="J52" s="2"/>
      <c r="K52" s="2"/>
      <c r="L52" s="70"/>
      <c r="M52" s="2"/>
      <c r="N52" s="2"/>
      <c r="O52" s="2"/>
      <c r="P52" s="2"/>
      <c r="Q52" s="2"/>
      <c r="R52" s="2"/>
      <c r="S52" s="52"/>
      <c r="T52" s="52"/>
      <c r="U52" s="52"/>
      <c r="V52" s="52"/>
      <c r="W52" s="52"/>
      <c r="X52" s="52"/>
      <c r="Z52" s="103"/>
    </row>
    <row r="53" spans="2:26" x14ac:dyDescent="0.2">
      <c r="B53" s="103"/>
      <c r="C53" s="2"/>
      <c r="D53" s="2"/>
      <c r="E53" s="2"/>
      <c r="F53" s="2"/>
      <c r="G53" s="2"/>
      <c r="H53" s="2"/>
      <c r="I53" s="2"/>
      <c r="J53" s="2"/>
      <c r="K53" s="2"/>
      <c r="L53" s="70"/>
      <c r="M53" s="2"/>
      <c r="N53" s="2"/>
      <c r="O53" s="2"/>
      <c r="P53" s="2"/>
      <c r="Q53" s="2"/>
      <c r="R53" s="2"/>
      <c r="S53" s="52"/>
      <c r="T53" s="52"/>
      <c r="U53" s="52"/>
      <c r="V53" s="52"/>
      <c r="W53" s="52"/>
      <c r="X53" s="52"/>
      <c r="Z53" s="103"/>
    </row>
    <row r="54" spans="2:26" x14ac:dyDescent="0.2">
      <c r="B54" s="103"/>
      <c r="C54" s="2"/>
      <c r="D54" s="2"/>
      <c r="E54" s="2"/>
      <c r="F54" s="2"/>
      <c r="G54" s="2"/>
      <c r="H54" s="2"/>
      <c r="I54" s="2"/>
      <c r="J54" s="2"/>
      <c r="K54" s="2"/>
      <c r="L54" s="70"/>
      <c r="M54" s="2"/>
      <c r="N54" s="2"/>
      <c r="O54" s="2"/>
      <c r="P54" s="2"/>
      <c r="Q54" s="2"/>
      <c r="R54" s="2"/>
      <c r="S54" s="52"/>
      <c r="T54" s="52"/>
      <c r="U54" s="52"/>
      <c r="V54" s="52"/>
      <c r="W54" s="52"/>
      <c r="X54" s="52"/>
      <c r="Z54" s="103"/>
    </row>
    <row r="55" spans="2:26" x14ac:dyDescent="0.2">
      <c r="B55" s="103"/>
      <c r="C55" s="2"/>
      <c r="D55" s="2"/>
      <c r="E55" s="2"/>
      <c r="F55" s="2"/>
      <c r="G55" s="2"/>
      <c r="H55" s="2"/>
      <c r="I55" s="2"/>
      <c r="J55" s="2"/>
      <c r="K55" s="2"/>
      <c r="L55" s="70"/>
      <c r="M55" s="2"/>
      <c r="N55" s="2"/>
      <c r="O55" s="2"/>
      <c r="P55" s="2"/>
      <c r="Q55" s="2"/>
      <c r="R55" s="2"/>
      <c r="S55" s="52"/>
      <c r="T55" s="52"/>
      <c r="U55" s="52"/>
      <c r="V55" s="52"/>
      <c r="W55" s="52"/>
      <c r="X55" s="52"/>
      <c r="Z55" s="103"/>
    </row>
    <row r="56" spans="2:26" x14ac:dyDescent="0.2">
      <c r="B56" s="103"/>
      <c r="C56" s="2"/>
      <c r="D56" s="2"/>
      <c r="E56" s="2"/>
      <c r="F56" s="2"/>
      <c r="G56" s="2"/>
      <c r="H56" s="2"/>
      <c r="I56" s="2"/>
      <c r="J56" s="2"/>
      <c r="K56" s="2"/>
      <c r="L56" s="70"/>
      <c r="M56" s="2"/>
      <c r="N56" s="2"/>
      <c r="O56" s="2"/>
      <c r="P56" s="2"/>
      <c r="Q56" s="2"/>
      <c r="R56" s="2"/>
      <c r="S56" s="52"/>
      <c r="T56" s="52"/>
      <c r="U56" s="52"/>
      <c r="V56" s="52"/>
      <c r="W56" s="52"/>
      <c r="X56" s="52"/>
      <c r="Z56" s="103"/>
    </row>
    <row r="57" spans="2:26" x14ac:dyDescent="0.2">
      <c r="B57" s="103"/>
      <c r="C57" s="2"/>
      <c r="D57" s="2"/>
      <c r="E57" s="2"/>
      <c r="F57" s="2"/>
      <c r="G57" s="2"/>
      <c r="H57" s="2"/>
      <c r="I57" s="2"/>
      <c r="J57" s="2"/>
      <c r="K57" s="2"/>
      <c r="L57" s="70"/>
      <c r="M57" s="2"/>
      <c r="N57" s="2"/>
      <c r="O57" s="2"/>
      <c r="P57" s="2"/>
      <c r="Q57" s="2"/>
      <c r="R57" s="2"/>
      <c r="S57" s="52"/>
      <c r="T57" s="52"/>
      <c r="U57" s="52"/>
      <c r="V57" s="52"/>
      <c r="W57" s="52"/>
      <c r="X57" s="52"/>
      <c r="Z57" s="103"/>
    </row>
    <row r="58" spans="2:26" x14ac:dyDescent="0.2">
      <c r="B58" s="103"/>
      <c r="C58" s="2"/>
      <c r="D58" s="2"/>
      <c r="E58" s="2"/>
      <c r="F58" s="2"/>
      <c r="G58" s="2"/>
      <c r="H58" s="2"/>
      <c r="I58" s="2"/>
      <c r="J58" s="2"/>
      <c r="K58" s="2"/>
      <c r="L58" s="70"/>
      <c r="M58" s="2"/>
      <c r="N58" s="2"/>
      <c r="O58" s="2"/>
      <c r="P58" s="2"/>
      <c r="Q58" s="2"/>
      <c r="R58" s="2"/>
      <c r="S58" s="52"/>
      <c r="T58" s="52"/>
      <c r="U58" s="52"/>
      <c r="V58" s="52"/>
      <c r="W58" s="52"/>
      <c r="X58" s="52"/>
      <c r="Z58" s="103"/>
    </row>
    <row r="59" spans="2:26" x14ac:dyDescent="0.2">
      <c r="B59" s="103"/>
      <c r="C59" s="2"/>
      <c r="D59" s="2"/>
      <c r="E59" s="2"/>
      <c r="F59" s="2"/>
      <c r="G59" s="2"/>
      <c r="H59" s="2"/>
      <c r="I59" s="2"/>
      <c r="J59" s="2"/>
      <c r="K59" s="2"/>
      <c r="L59" s="70"/>
      <c r="M59" s="2"/>
      <c r="N59" s="2"/>
      <c r="O59" s="2"/>
      <c r="P59" s="2"/>
      <c r="Q59" s="2"/>
      <c r="R59" s="2"/>
      <c r="S59" s="52"/>
      <c r="T59" s="52"/>
      <c r="U59" s="52"/>
      <c r="V59" s="52"/>
      <c r="W59" s="52"/>
      <c r="X59" s="52"/>
      <c r="Z59" s="103"/>
    </row>
    <row r="60" spans="2:26" x14ac:dyDescent="0.2">
      <c r="B60" s="103"/>
      <c r="C60" s="2"/>
      <c r="D60" s="2"/>
      <c r="E60" s="2"/>
      <c r="F60" s="2"/>
      <c r="G60" s="2"/>
      <c r="H60" s="2"/>
      <c r="I60" s="2"/>
      <c r="J60" s="2"/>
      <c r="K60" s="2"/>
      <c r="L60" s="70"/>
      <c r="M60" s="2"/>
      <c r="N60" s="2"/>
      <c r="O60" s="2"/>
      <c r="P60" s="2"/>
      <c r="Q60" s="2"/>
      <c r="R60" s="2"/>
      <c r="S60" s="52"/>
      <c r="T60" s="52"/>
      <c r="U60" s="52"/>
      <c r="V60" s="52"/>
      <c r="W60" s="52"/>
      <c r="X60" s="52"/>
      <c r="Z60" s="103"/>
    </row>
    <row r="61" spans="2:26" x14ac:dyDescent="0.2">
      <c r="B61" s="103"/>
      <c r="C61" s="2"/>
      <c r="D61" s="2"/>
      <c r="E61" s="2"/>
      <c r="F61" s="2"/>
      <c r="G61" s="2"/>
      <c r="H61" s="2"/>
      <c r="I61" s="2"/>
      <c r="J61" s="2"/>
      <c r="K61" s="2"/>
      <c r="L61" s="70"/>
      <c r="M61" s="2"/>
      <c r="N61" s="2"/>
      <c r="O61" s="2"/>
      <c r="P61" s="2"/>
      <c r="Q61" s="2"/>
      <c r="R61" s="2"/>
      <c r="S61" s="52"/>
      <c r="T61" s="52"/>
      <c r="U61" s="52"/>
      <c r="V61" s="52"/>
      <c r="W61" s="52"/>
      <c r="X61" s="52"/>
      <c r="Z61" s="103"/>
    </row>
    <row r="62" spans="2:26" x14ac:dyDescent="0.2">
      <c r="B62" s="103"/>
      <c r="C62" s="2"/>
      <c r="D62" s="2"/>
      <c r="E62" s="2"/>
      <c r="F62" s="2"/>
      <c r="G62" s="2"/>
      <c r="H62" s="2"/>
      <c r="I62" s="2"/>
      <c r="J62" s="2"/>
      <c r="K62" s="2"/>
      <c r="L62" s="70"/>
      <c r="M62" s="2"/>
      <c r="N62" s="2"/>
      <c r="O62" s="2"/>
      <c r="P62" s="2"/>
      <c r="Q62" s="2"/>
      <c r="R62" s="2"/>
      <c r="S62" s="52"/>
      <c r="T62" s="52"/>
      <c r="U62" s="52"/>
      <c r="V62" s="52"/>
      <c r="W62" s="52"/>
      <c r="X62" s="52"/>
      <c r="Z62" s="103"/>
    </row>
    <row r="63" spans="2:26" x14ac:dyDescent="0.2">
      <c r="B63" s="103"/>
      <c r="C63" s="2"/>
      <c r="D63" s="2"/>
      <c r="E63" s="2"/>
      <c r="F63" s="2"/>
      <c r="G63" s="2"/>
      <c r="H63" s="2"/>
      <c r="I63" s="2"/>
      <c r="J63" s="2"/>
      <c r="K63" s="2"/>
      <c r="L63" s="70"/>
      <c r="M63" s="2"/>
      <c r="N63" s="2"/>
      <c r="O63" s="2"/>
      <c r="P63" s="2"/>
      <c r="Q63" s="2"/>
      <c r="R63" s="2"/>
      <c r="S63" s="52"/>
      <c r="T63" s="52"/>
      <c r="U63" s="52"/>
      <c r="V63" s="52"/>
      <c r="W63" s="52"/>
      <c r="X63" s="52"/>
      <c r="Z63" s="103"/>
    </row>
    <row r="64" spans="2:26" x14ac:dyDescent="0.2">
      <c r="B64" s="103"/>
      <c r="C64" s="2"/>
      <c r="D64" s="2"/>
      <c r="E64" s="2"/>
      <c r="F64" s="2"/>
      <c r="G64" s="2"/>
      <c r="H64" s="2"/>
      <c r="I64" s="2"/>
      <c r="J64" s="2"/>
      <c r="K64" s="2"/>
      <c r="L64" s="70"/>
      <c r="M64" s="2"/>
      <c r="N64" s="2"/>
      <c r="O64" s="2"/>
      <c r="P64" s="2"/>
      <c r="Q64" s="2"/>
      <c r="R64" s="2"/>
      <c r="S64" s="52"/>
      <c r="T64" s="52"/>
      <c r="U64" s="52"/>
      <c r="V64" s="52"/>
      <c r="W64" s="52"/>
      <c r="X64" s="52"/>
      <c r="Z64" s="103"/>
    </row>
    <row r="65" spans="2:26" x14ac:dyDescent="0.2">
      <c r="B65" s="103"/>
      <c r="C65" s="2"/>
      <c r="D65" s="2"/>
      <c r="E65" s="2"/>
      <c r="F65" s="2"/>
      <c r="G65" s="2"/>
      <c r="H65" s="2"/>
      <c r="I65" s="2"/>
      <c r="J65" s="2"/>
      <c r="K65" s="2"/>
      <c r="L65" s="70"/>
      <c r="M65" s="2"/>
      <c r="N65" s="2"/>
      <c r="O65" s="2"/>
      <c r="P65" s="2"/>
      <c r="Q65" s="2"/>
      <c r="R65" s="2"/>
      <c r="S65" s="52"/>
      <c r="T65" s="52"/>
      <c r="U65" s="52"/>
      <c r="V65" s="52"/>
      <c r="W65" s="52"/>
      <c r="X65" s="52"/>
      <c r="Z65" s="103"/>
    </row>
    <row r="66" spans="2:26" x14ac:dyDescent="0.2">
      <c r="B66" s="103"/>
      <c r="C66" s="2"/>
      <c r="D66" s="2"/>
      <c r="E66" s="2"/>
      <c r="F66" s="2"/>
      <c r="G66" s="2"/>
      <c r="H66" s="2"/>
      <c r="I66" s="2"/>
      <c r="J66" s="2"/>
      <c r="K66" s="2"/>
      <c r="L66" s="70"/>
      <c r="M66" s="2"/>
      <c r="N66" s="2"/>
      <c r="O66" s="2"/>
      <c r="P66" s="2"/>
      <c r="Q66" s="2"/>
      <c r="R66" s="2"/>
      <c r="S66" s="52"/>
      <c r="T66" s="52"/>
      <c r="U66" s="52"/>
      <c r="V66" s="52"/>
      <c r="W66" s="52"/>
      <c r="X66" s="52"/>
      <c r="Z66" s="103"/>
    </row>
    <row r="67" spans="2:26" x14ac:dyDescent="0.2">
      <c r="B67" s="103"/>
      <c r="C67" s="2"/>
      <c r="D67" s="2"/>
      <c r="E67" s="2"/>
      <c r="F67" s="2"/>
      <c r="G67" s="2"/>
      <c r="H67" s="2"/>
      <c r="I67" s="2"/>
      <c r="J67" s="2"/>
      <c r="K67" s="2"/>
      <c r="L67" s="70"/>
      <c r="M67" s="2"/>
      <c r="N67" s="2"/>
      <c r="O67" s="2"/>
      <c r="P67" s="2"/>
      <c r="Q67" s="2"/>
      <c r="R67" s="2"/>
      <c r="S67" s="52"/>
      <c r="T67" s="52"/>
      <c r="U67" s="52"/>
      <c r="V67" s="52"/>
      <c r="W67" s="52"/>
      <c r="X67" s="52"/>
      <c r="Z67" s="103"/>
    </row>
    <row r="68" spans="2:26" x14ac:dyDescent="0.2">
      <c r="B68" s="103"/>
      <c r="C68" s="2"/>
      <c r="D68" s="2"/>
      <c r="E68" s="2"/>
      <c r="F68" s="2"/>
      <c r="G68" s="2"/>
      <c r="H68" s="2"/>
      <c r="I68" s="2"/>
      <c r="J68" s="2"/>
      <c r="K68" s="2"/>
      <c r="L68" s="70"/>
      <c r="M68" s="2"/>
      <c r="N68" s="2"/>
      <c r="O68" s="2"/>
      <c r="P68" s="2"/>
      <c r="Q68" s="2"/>
      <c r="R68" s="2"/>
      <c r="S68" s="52"/>
      <c r="T68" s="52"/>
      <c r="U68" s="52"/>
      <c r="V68" s="52"/>
      <c r="W68" s="52"/>
      <c r="X68" s="52"/>
      <c r="Z68" s="103"/>
    </row>
    <row r="69" spans="2:26" x14ac:dyDescent="0.2">
      <c r="B69" s="103"/>
      <c r="C69" s="2"/>
      <c r="D69" s="2"/>
      <c r="E69" s="2"/>
      <c r="F69" s="2"/>
      <c r="G69" s="2"/>
      <c r="H69" s="2"/>
      <c r="I69" s="2"/>
      <c r="J69" s="2"/>
      <c r="K69" s="2"/>
      <c r="L69" s="70"/>
      <c r="M69" s="2"/>
      <c r="N69" s="2"/>
      <c r="O69" s="2"/>
      <c r="P69" s="2"/>
      <c r="Q69" s="2"/>
      <c r="R69" s="2"/>
      <c r="S69" s="52"/>
      <c r="T69" s="52"/>
      <c r="U69" s="52"/>
      <c r="V69" s="52"/>
      <c r="W69" s="52"/>
      <c r="X69" s="52"/>
      <c r="Z69" s="103"/>
    </row>
    <row r="70" spans="2:26" x14ac:dyDescent="0.2">
      <c r="B70" s="103"/>
      <c r="C70" s="2"/>
      <c r="D70" s="2"/>
      <c r="E70" s="2"/>
      <c r="F70" s="2"/>
      <c r="G70" s="2"/>
      <c r="H70" s="2"/>
      <c r="I70" s="2"/>
      <c r="J70" s="2"/>
      <c r="K70" s="2"/>
      <c r="L70" s="70"/>
      <c r="M70" s="2"/>
      <c r="N70" s="2"/>
      <c r="O70" s="2"/>
      <c r="P70" s="2"/>
      <c r="Q70" s="2"/>
      <c r="R70" s="2"/>
      <c r="S70" s="52"/>
      <c r="T70" s="52"/>
      <c r="U70" s="52"/>
      <c r="V70" s="52"/>
      <c r="W70" s="52"/>
      <c r="X70" s="52"/>
      <c r="Z70" s="103"/>
    </row>
    <row r="71" spans="2:26" x14ac:dyDescent="0.2">
      <c r="B71" s="103"/>
      <c r="C71" s="2"/>
      <c r="D71" s="2"/>
      <c r="E71" s="2"/>
      <c r="F71" s="2"/>
      <c r="G71" s="2"/>
      <c r="H71" s="2"/>
      <c r="I71" s="2"/>
      <c r="J71" s="2"/>
      <c r="K71" s="2"/>
      <c r="L71" s="70"/>
      <c r="M71" s="2"/>
      <c r="N71" s="2"/>
      <c r="O71" s="2"/>
      <c r="P71" s="2"/>
      <c r="Q71" s="2"/>
      <c r="R71" s="2"/>
      <c r="S71" s="52"/>
      <c r="T71" s="52"/>
      <c r="U71" s="52"/>
      <c r="V71" s="52"/>
      <c r="W71" s="52"/>
      <c r="X71" s="52"/>
      <c r="Z71" s="103"/>
    </row>
    <row r="72" spans="2:26" x14ac:dyDescent="0.2">
      <c r="B72" s="103"/>
      <c r="C72" s="2"/>
      <c r="D72" s="2"/>
      <c r="E72" s="2"/>
      <c r="F72" s="2"/>
      <c r="G72" s="2"/>
      <c r="H72" s="2"/>
      <c r="I72" s="2"/>
      <c r="J72" s="2"/>
      <c r="K72" s="2"/>
      <c r="L72" s="70"/>
      <c r="M72" s="2"/>
      <c r="N72" s="2"/>
      <c r="O72" s="2"/>
      <c r="P72" s="2"/>
      <c r="Q72" s="2"/>
      <c r="R72" s="2"/>
      <c r="S72" s="52"/>
      <c r="T72" s="52"/>
      <c r="U72" s="52"/>
      <c r="V72" s="52"/>
      <c r="W72" s="52"/>
      <c r="X72" s="52"/>
      <c r="Z72" s="103"/>
    </row>
    <row r="73" spans="2:26" x14ac:dyDescent="0.2">
      <c r="B73" s="103"/>
      <c r="C73" s="2"/>
      <c r="D73" s="2"/>
      <c r="E73" s="2"/>
      <c r="F73" s="2"/>
      <c r="G73" s="2"/>
      <c r="H73" s="2"/>
      <c r="I73" s="2"/>
      <c r="J73" s="2"/>
      <c r="K73" s="2"/>
      <c r="L73" s="70"/>
      <c r="M73" s="2"/>
      <c r="N73" s="2"/>
      <c r="O73" s="2"/>
      <c r="P73" s="2"/>
      <c r="Q73" s="2"/>
      <c r="R73" s="2"/>
      <c r="S73" s="52"/>
      <c r="T73" s="52"/>
      <c r="U73" s="52"/>
      <c r="V73" s="52"/>
      <c r="W73" s="52"/>
      <c r="X73" s="52"/>
      <c r="Z73" s="103"/>
    </row>
    <row r="74" spans="2:26" x14ac:dyDescent="0.2">
      <c r="B74" s="103"/>
      <c r="C74" s="2"/>
      <c r="D74" s="2"/>
      <c r="E74" s="2"/>
      <c r="F74" s="2"/>
      <c r="G74" s="2"/>
      <c r="H74" s="2"/>
      <c r="I74" s="2"/>
      <c r="J74" s="2"/>
      <c r="K74" s="2"/>
      <c r="L74" s="70"/>
      <c r="M74" s="2"/>
      <c r="N74" s="2"/>
      <c r="O74" s="2"/>
      <c r="P74" s="2"/>
      <c r="Q74" s="2"/>
      <c r="R74" s="2"/>
      <c r="S74" s="52"/>
      <c r="T74" s="52"/>
      <c r="U74" s="52"/>
      <c r="V74" s="52"/>
      <c r="W74" s="52"/>
      <c r="X74" s="52"/>
      <c r="Z74" s="103"/>
    </row>
    <row r="75" spans="2:26" x14ac:dyDescent="0.2">
      <c r="B75" s="103"/>
      <c r="C75" s="2"/>
      <c r="D75" s="2"/>
      <c r="E75" s="2"/>
      <c r="F75" s="2"/>
      <c r="G75" s="2"/>
      <c r="H75" s="2"/>
      <c r="I75" s="2"/>
      <c r="J75" s="2"/>
      <c r="K75" s="2"/>
      <c r="L75" s="70"/>
      <c r="M75" s="2"/>
      <c r="N75" s="2"/>
      <c r="O75" s="2"/>
      <c r="P75" s="2"/>
      <c r="Q75" s="2"/>
      <c r="R75" s="2"/>
      <c r="S75" s="52"/>
      <c r="T75" s="52"/>
      <c r="U75" s="52"/>
      <c r="V75" s="52"/>
      <c r="W75" s="52"/>
      <c r="X75" s="52"/>
      <c r="Z75" s="103"/>
    </row>
    <row r="76" spans="2:26" x14ac:dyDescent="0.2">
      <c r="B76" s="103"/>
      <c r="C76" s="2"/>
      <c r="D76" s="2"/>
      <c r="E76" s="2"/>
      <c r="F76" s="2"/>
      <c r="G76" s="2"/>
      <c r="H76" s="2"/>
      <c r="I76" s="2"/>
      <c r="J76" s="2"/>
      <c r="K76" s="2"/>
      <c r="L76" s="70"/>
      <c r="M76" s="2"/>
      <c r="N76" s="2"/>
      <c r="O76" s="2"/>
      <c r="P76" s="2"/>
      <c r="Q76" s="2"/>
      <c r="R76" s="2"/>
      <c r="S76" s="52"/>
      <c r="T76" s="52"/>
      <c r="U76" s="52"/>
      <c r="V76" s="52"/>
      <c r="W76" s="52"/>
      <c r="X76" s="52"/>
      <c r="Z76" s="103"/>
    </row>
    <row r="77" spans="2:26" x14ac:dyDescent="0.2">
      <c r="B77" s="103"/>
      <c r="C77" s="2"/>
      <c r="D77" s="2"/>
      <c r="E77" s="2"/>
      <c r="F77" s="2"/>
      <c r="G77" s="2"/>
      <c r="H77" s="2"/>
      <c r="I77" s="2"/>
      <c r="J77" s="2"/>
      <c r="K77" s="2"/>
      <c r="L77" s="70"/>
      <c r="M77" s="2"/>
      <c r="N77" s="2"/>
      <c r="O77" s="2"/>
      <c r="P77" s="2"/>
      <c r="Q77" s="2"/>
      <c r="R77" s="2"/>
      <c r="S77" s="52"/>
      <c r="T77" s="52"/>
      <c r="U77" s="52"/>
      <c r="V77" s="52"/>
      <c r="W77" s="52"/>
      <c r="X77" s="52"/>
      <c r="Z77" s="103"/>
    </row>
    <row r="78" spans="2:26" x14ac:dyDescent="0.2">
      <c r="B78" s="103"/>
      <c r="C78" s="2"/>
      <c r="D78" s="2"/>
      <c r="E78" s="2"/>
      <c r="F78" s="2"/>
      <c r="G78" s="2"/>
      <c r="H78" s="2"/>
      <c r="I78" s="2"/>
      <c r="J78" s="2"/>
      <c r="K78" s="2"/>
      <c r="L78" s="70"/>
      <c r="M78" s="2"/>
      <c r="N78" s="2"/>
      <c r="O78" s="2"/>
      <c r="P78" s="2"/>
      <c r="Q78" s="2"/>
      <c r="R78" s="2"/>
      <c r="S78" s="52"/>
      <c r="T78" s="52"/>
      <c r="U78" s="52"/>
      <c r="V78" s="52"/>
      <c r="W78" s="52"/>
      <c r="X78" s="52"/>
      <c r="Z78" s="103"/>
    </row>
    <row r="79" spans="2:26" x14ac:dyDescent="0.2">
      <c r="B79" s="103"/>
      <c r="C79" s="2"/>
      <c r="D79" s="2"/>
      <c r="E79" s="2"/>
      <c r="F79" s="2"/>
      <c r="G79" s="2"/>
      <c r="H79" s="2"/>
      <c r="I79" s="2"/>
      <c r="J79" s="2"/>
      <c r="K79" s="2"/>
      <c r="L79" s="70"/>
      <c r="M79" s="2"/>
      <c r="N79" s="2"/>
      <c r="O79" s="2"/>
      <c r="P79" s="2"/>
      <c r="Q79" s="2"/>
      <c r="R79" s="2"/>
      <c r="S79" s="52"/>
      <c r="T79" s="52"/>
      <c r="U79" s="52"/>
      <c r="V79" s="52"/>
      <c r="W79" s="52"/>
      <c r="X79" s="52"/>
      <c r="Z79" s="103"/>
    </row>
    <row r="80" spans="2:26" x14ac:dyDescent="0.2">
      <c r="B80" s="103"/>
      <c r="C80" s="2"/>
      <c r="D80" s="2"/>
      <c r="E80" s="2"/>
      <c r="F80" s="2"/>
      <c r="G80" s="2"/>
      <c r="H80" s="2"/>
      <c r="I80" s="2"/>
      <c r="J80" s="2"/>
      <c r="K80" s="2"/>
      <c r="L80" s="70"/>
      <c r="M80" s="2"/>
      <c r="N80" s="2"/>
      <c r="O80" s="2"/>
      <c r="P80" s="2"/>
      <c r="Q80" s="2"/>
      <c r="R80" s="2"/>
      <c r="S80" s="52"/>
      <c r="T80" s="52"/>
      <c r="U80" s="52"/>
      <c r="V80" s="52"/>
      <c r="W80" s="52"/>
      <c r="X80" s="52"/>
      <c r="Z80" s="103"/>
    </row>
    <row r="81" spans="2:26" x14ac:dyDescent="0.2">
      <c r="B81" s="103"/>
      <c r="C81" s="2"/>
      <c r="D81" s="2"/>
      <c r="E81" s="2"/>
      <c r="F81" s="2"/>
      <c r="G81" s="2"/>
      <c r="H81" s="2"/>
      <c r="I81" s="2"/>
      <c r="J81" s="2"/>
      <c r="K81" s="2"/>
      <c r="L81" s="70"/>
      <c r="M81" s="2"/>
      <c r="N81" s="2"/>
      <c r="O81" s="2"/>
      <c r="P81" s="2"/>
      <c r="Q81" s="2"/>
      <c r="R81" s="2"/>
      <c r="S81" s="52"/>
      <c r="T81" s="52"/>
      <c r="U81" s="52"/>
      <c r="V81" s="52"/>
      <c r="W81" s="52"/>
      <c r="X81" s="52"/>
      <c r="Z81" s="103"/>
    </row>
    <row r="82" spans="2:26" x14ac:dyDescent="0.2">
      <c r="B82" s="103"/>
      <c r="C82" s="2"/>
      <c r="D82" s="2"/>
      <c r="E82" s="2"/>
      <c r="F82" s="2"/>
      <c r="G82" s="2"/>
      <c r="H82" s="2"/>
      <c r="I82" s="2"/>
      <c r="J82" s="2"/>
      <c r="K82" s="2"/>
      <c r="L82" s="70"/>
      <c r="M82" s="2"/>
      <c r="N82" s="2"/>
      <c r="O82" s="2"/>
      <c r="P82" s="2"/>
      <c r="Q82" s="2"/>
      <c r="R82" s="2"/>
      <c r="S82" s="52"/>
      <c r="T82" s="52"/>
      <c r="U82" s="52"/>
      <c r="V82" s="52"/>
      <c r="W82" s="52"/>
      <c r="X82" s="52"/>
      <c r="Z82" s="103"/>
    </row>
    <row r="83" spans="2:26" x14ac:dyDescent="0.2">
      <c r="B83" s="103"/>
      <c r="C83" s="2"/>
      <c r="D83" s="2"/>
      <c r="E83" s="2"/>
      <c r="F83" s="2"/>
      <c r="G83" s="2"/>
      <c r="H83" s="2"/>
      <c r="I83" s="2"/>
      <c r="J83" s="2"/>
      <c r="K83" s="2"/>
      <c r="L83" s="70"/>
      <c r="M83" s="2"/>
      <c r="N83" s="2"/>
      <c r="O83" s="2"/>
      <c r="P83" s="2"/>
      <c r="Q83" s="2"/>
      <c r="R83" s="2"/>
      <c r="S83" s="52"/>
      <c r="T83" s="52"/>
      <c r="U83" s="52"/>
      <c r="V83" s="52"/>
      <c r="W83" s="52"/>
      <c r="X83" s="52"/>
      <c r="Z83" s="103"/>
    </row>
    <row r="84" spans="2:26" x14ac:dyDescent="0.2">
      <c r="B84" s="103"/>
      <c r="C84" s="2"/>
      <c r="D84" s="2"/>
      <c r="E84" s="2"/>
      <c r="F84" s="2"/>
      <c r="G84" s="2"/>
      <c r="H84" s="2"/>
      <c r="I84" s="2"/>
      <c r="J84" s="2"/>
      <c r="K84" s="2"/>
      <c r="L84" s="70"/>
      <c r="M84" s="2"/>
      <c r="N84" s="2"/>
      <c r="O84" s="2"/>
      <c r="P84" s="2"/>
      <c r="Q84" s="2"/>
      <c r="R84" s="2"/>
      <c r="S84" s="52"/>
      <c r="T84" s="52"/>
      <c r="U84" s="52"/>
      <c r="V84" s="52"/>
      <c r="W84" s="52"/>
      <c r="X84" s="52"/>
      <c r="Z84" s="103"/>
    </row>
    <row r="85" spans="2:26" x14ac:dyDescent="0.2">
      <c r="B85" s="103"/>
      <c r="C85" s="2"/>
      <c r="D85" s="2"/>
      <c r="E85" s="2"/>
      <c r="F85" s="2"/>
      <c r="G85" s="2"/>
      <c r="H85" s="2"/>
      <c r="I85" s="2"/>
      <c r="J85" s="2"/>
      <c r="K85" s="2"/>
      <c r="L85" s="70"/>
      <c r="M85" s="2"/>
      <c r="N85" s="2"/>
      <c r="O85" s="2"/>
      <c r="P85" s="2"/>
      <c r="Q85" s="2"/>
      <c r="R85" s="2"/>
      <c r="S85" s="52"/>
      <c r="T85" s="52"/>
      <c r="U85" s="52"/>
      <c r="V85" s="52"/>
      <c r="W85" s="52"/>
      <c r="X85" s="52"/>
      <c r="Z85" s="103"/>
    </row>
    <row r="86" spans="2:26" x14ac:dyDescent="0.2">
      <c r="B86" s="103"/>
      <c r="C86" s="2"/>
      <c r="D86" s="2"/>
      <c r="E86" s="2"/>
      <c r="F86" s="2"/>
      <c r="G86" s="2"/>
      <c r="H86" s="2"/>
      <c r="I86" s="2"/>
      <c r="J86" s="2"/>
      <c r="K86" s="2"/>
      <c r="L86" s="70"/>
      <c r="M86" s="2"/>
      <c r="N86" s="2"/>
      <c r="O86" s="2"/>
      <c r="P86" s="2"/>
      <c r="Q86" s="2"/>
      <c r="R86" s="2"/>
      <c r="S86" s="52"/>
      <c r="T86" s="52"/>
      <c r="U86" s="52"/>
      <c r="V86" s="52"/>
      <c r="W86" s="52"/>
      <c r="X86" s="52"/>
      <c r="Z86" s="103"/>
    </row>
    <row r="87" spans="2:26" x14ac:dyDescent="0.2">
      <c r="B87" s="103"/>
      <c r="C87" s="2"/>
      <c r="D87" s="2"/>
      <c r="E87" s="2"/>
      <c r="F87" s="2"/>
      <c r="G87" s="2"/>
      <c r="H87" s="2"/>
      <c r="I87" s="2"/>
      <c r="J87" s="2"/>
      <c r="K87" s="2"/>
      <c r="L87" s="70"/>
      <c r="M87" s="2"/>
      <c r="N87" s="2"/>
      <c r="O87" s="2"/>
      <c r="P87" s="2"/>
      <c r="Q87" s="2"/>
      <c r="R87" s="2"/>
      <c r="S87" s="52"/>
      <c r="T87" s="52"/>
      <c r="U87" s="52"/>
      <c r="V87" s="52"/>
      <c r="W87" s="52"/>
      <c r="X87" s="52"/>
      <c r="Z87" s="103"/>
    </row>
    <row r="88" spans="2:26" x14ac:dyDescent="0.2">
      <c r="B88" s="103"/>
      <c r="C88" s="2"/>
      <c r="D88" s="2"/>
      <c r="E88" s="2"/>
      <c r="F88" s="2"/>
      <c r="G88" s="2"/>
      <c r="H88" s="2"/>
      <c r="I88" s="2"/>
      <c r="J88" s="2"/>
      <c r="K88" s="2"/>
      <c r="L88" s="70"/>
      <c r="M88" s="2"/>
      <c r="N88" s="2"/>
      <c r="O88" s="2"/>
      <c r="P88" s="2"/>
      <c r="Q88" s="2"/>
      <c r="R88" s="2"/>
      <c r="S88" s="52"/>
      <c r="T88" s="52"/>
      <c r="U88" s="52"/>
      <c r="V88" s="52"/>
      <c r="W88" s="52"/>
      <c r="X88" s="52"/>
      <c r="Z88" s="103"/>
    </row>
    <row r="89" spans="2:26" x14ac:dyDescent="0.2">
      <c r="B89" s="103"/>
      <c r="C89" s="2"/>
      <c r="D89" s="2"/>
      <c r="E89" s="2"/>
      <c r="F89" s="2"/>
      <c r="G89" s="2"/>
      <c r="H89" s="2"/>
      <c r="I89" s="2"/>
      <c r="J89" s="2"/>
      <c r="K89" s="2"/>
      <c r="L89" s="70"/>
      <c r="M89" s="2"/>
      <c r="N89" s="2"/>
      <c r="O89" s="2"/>
      <c r="P89" s="2"/>
      <c r="Q89" s="2"/>
      <c r="R89" s="2"/>
      <c r="S89" s="52"/>
      <c r="T89" s="52"/>
      <c r="U89" s="52"/>
      <c r="V89" s="52"/>
      <c r="W89" s="52"/>
      <c r="X89" s="52"/>
      <c r="Z89" s="103"/>
    </row>
    <row r="90" spans="2:26" x14ac:dyDescent="0.2">
      <c r="B90" s="103"/>
      <c r="C90" s="2"/>
      <c r="D90" s="2"/>
      <c r="E90" s="2"/>
      <c r="F90" s="2"/>
      <c r="G90" s="2"/>
      <c r="H90" s="2"/>
      <c r="I90" s="2"/>
      <c r="J90" s="2"/>
      <c r="K90" s="2"/>
      <c r="L90" s="70"/>
      <c r="M90" s="2"/>
      <c r="N90" s="2"/>
      <c r="O90" s="2"/>
      <c r="P90" s="2"/>
      <c r="Q90" s="2"/>
      <c r="R90" s="2"/>
      <c r="S90" s="52"/>
      <c r="T90" s="52"/>
      <c r="U90" s="52"/>
      <c r="V90" s="52"/>
      <c r="W90" s="52"/>
      <c r="X90" s="52"/>
      <c r="Z90" s="103"/>
    </row>
    <row r="91" spans="2:26" x14ac:dyDescent="0.2">
      <c r="B91" s="103"/>
      <c r="C91" s="2"/>
      <c r="D91" s="2"/>
      <c r="E91" s="2"/>
      <c r="F91" s="2"/>
      <c r="G91" s="2"/>
      <c r="H91" s="2"/>
      <c r="I91" s="2"/>
      <c r="J91" s="2"/>
      <c r="K91" s="2"/>
      <c r="L91" s="70"/>
      <c r="M91" s="2"/>
      <c r="N91" s="2"/>
      <c r="O91" s="2"/>
      <c r="P91" s="2"/>
      <c r="Q91" s="2"/>
      <c r="R91" s="2"/>
      <c r="S91" s="52"/>
      <c r="T91" s="52"/>
      <c r="U91" s="52"/>
      <c r="V91" s="52"/>
      <c r="W91" s="52"/>
      <c r="X91" s="52"/>
      <c r="Z91" s="103"/>
    </row>
    <row r="92" spans="2:26" x14ac:dyDescent="0.2">
      <c r="B92" s="103"/>
      <c r="C92" s="2"/>
      <c r="D92" s="2"/>
      <c r="E92" s="2"/>
      <c r="F92" s="2"/>
      <c r="G92" s="2"/>
      <c r="H92" s="2"/>
      <c r="I92" s="2"/>
      <c r="J92" s="2"/>
      <c r="K92" s="2"/>
      <c r="L92" s="70"/>
      <c r="M92" s="2"/>
      <c r="N92" s="2"/>
      <c r="O92" s="2"/>
      <c r="P92" s="2"/>
      <c r="Q92" s="2"/>
      <c r="R92" s="2"/>
      <c r="S92" s="52"/>
      <c r="T92" s="52"/>
      <c r="U92" s="52"/>
      <c r="V92" s="52"/>
      <c r="W92" s="52"/>
      <c r="X92" s="52"/>
      <c r="Z92" s="103"/>
    </row>
    <row r="93" spans="2:26" x14ac:dyDescent="0.2">
      <c r="B93" s="103"/>
      <c r="C93" s="2"/>
      <c r="D93" s="2"/>
      <c r="E93" s="2"/>
      <c r="F93" s="2"/>
      <c r="G93" s="2"/>
      <c r="H93" s="2"/>
      <c r="I93" s="2"/>
      <c r="J93" s="2"/>
      <c r="K93" s="2"/>
      <c r="L93" s="70"/>
      <c r="M93" s="2"/>
      <c r="N93" s="2"/>
      <c r="O93" s="2"/>
      <c r="P93" s="2"/>
      <c r="Q93" s="2"/>
      <c r="R93" s="2"/>
      <c r="S93" s="52"/>
      <c r="T93" s="52"/>
      <c r="U93" s="52"/>
      <c r="V93" s="52"/>
      <c r="W93" s="52"/>
      <c r="X93" s="52"/>
      <c r="Z93" s="103"/>
    </row>
    <row r="94" spans="2:26" x14ac:dyDescent="0.2">
      <c r="B94" s="103"/>
      <c r="C94" s="2"/>
      <c r="D94" s="2"/>
      <c r="E94" s="2"/>
      <c r="F94" s="2"/>
      <c r="G94" s="2"/>
      <c r="H94" s="2"/>
      <c r="I94" s="2"/>
      <c r="J94" s="2"/>
      <c r="K94" s="2"/>
      <c r="L94" s="70"/>
      <c r="M94" s="2"/>
      <c r="N94" s="2"/>
      <c r="O94" s="2"/>
      <c r="P94" s="2"/>
      <c r="Q94" s="2"/>
      <c r="R94" s="2"/>
      <c r="S94" s="52"/>
      <c r="T94" s="52"/>
      <c r="U94" s="52"/>
      <c r="V94" s="52"/>
      <c r="W94" s="52"/>
      <c r="X94" s="52"/>
      <c r="Z94" s="103"/>
    </row>
    <row r="95" spans="2:26" x14ac:dyDescent="0.2">
      <c r="B95" s="103"/>
      <c r="C95" s="2"/>
      <c r="D95" s="2"/>
      <c r="E95" s="2"/>
      <c r="F95" s="2"/>
      <c r="G95" s="2"/>
      <c r="H95" s="2"/>
      <c r="I95" s="2"/>
      <c r="J95" s="2"/>
      <c r="K95" s="2"/>
      <c r="L95" s="70"/>
      <c r="M95" s="2"/>
      <c r="N95" s="2"/>
      <c r="O95" s="2"/>
      <c r="P95" s="2"/>
      <c r="Q95" s="2"/>
      <c r="R95" s="2"/>
      <c r="S95" s="52"/>
      <c r="T95" s="52"/>
      <c r="U95" s="52"/>
      <c r="V95" s="52"/>
      <c r="W95" s="52"/>
      <c r="X95" s="52"/>
      <c r="Z95" s="103"/>
    </row>
    <row r="96" spans="2:26" x14ac:dyDescent="0.2">
      <c r="B96" s="103"/>
      <c r="C96" s="2"/>
      <c r="D96" s="2"/>
      <c r="E96" s="2"/>
      <c r="F96" s="2"/>
      <c r="G96" s="2"/>
      <c r="H96" s="2"/>
      <c r="I96" s="2"/>
      <c r="J96" s="2"/>
      <c r="K96" s="2"/>
      <c r="L96" s="70"/>
      <c r="M96" s="2"/>
      <c r="N96" s="2"/>
      <c r="O96" s="2"/>
      <c r="P96" s="2"/>
      <c r="Q96" s="2"/>
      <c r="R96" s="2"/>
      <c r="S96" s="52"/>
      <c r="T96" s="52"/>
      <c r="U96" s="52"/>
      <c r="V96" s="52"/>
      <c r="W96" s="52"/>
      <c r="X96" s="52"/>
      <c r="Z96" s="103"/>
    </row>
    <row r="97" spans="1:26" x14ac:dyDescent="0.2">
      <c r="B97" s="103"/>
      <c r="C97" s="2"/>
      <c r="D97" s="2"/>
      <c r="E97" s="2"/>
      <c r="F97" s="2"/>
      <c r="G97" s="2"/>
      <c r="H97" s="2"/>
      <c r="I97" s="2"/>
      <c r="J97" s="2"/>
      <c r="K97" s="2"/>
      <c r="L97" s="70"/>
      <c r="M97" s="2"/>
      <c r="N97" s="2"/>
      <c r="O97" s="2"/>
      <c r="P97" s="2"/>
      <c r="Q97" s="2"/>
      <c r="R97" s="2"/>
      <c r="S97" s="52"/>
      <c r="T97" s="52"/>
      <c r="U97" s="52"/>
      <c r="V97" s="52"/>
      <c r="W97" s="52"/>
      <c r="X97" s="52"/>
      <c r="Z97" s="103"/>
    </row>
    <row r="98" spans="1:26" x14ac:dyDescent="0.2">
      <c r="B98" s="103"/>
      <c r="C98" s="2"/>
      <c r="D98" s="2"/>
      <c r="E98" s="2"/>
      <c r="F98" s="2"/>
      <c r="G98" s="2"/>
      <c r="H98" s="2"/>
      <c r="I98" s="2"/>
      <c r="J98" s="2"/>
      <c r="K98" s="2"/>
      <c r="L98" s="70"/>
      <c r="M98" s="2"/>
      <c r="N98" s="2"/>
      <c r="O98" s="2"/>
      <c r="P98" s="2"/>
      <c r="Q98" s="2"/>
      <c r="R98" s="2"/>
      <c r="S98" s="52"/>
      <c r="T98" s="52"/>
      <c r="U98" s="52"/>
      <c r="V98" s="52"/>
      <c r="W98" s="52"/>
      <c r="X98" s="52"/>
      <c r="Z98" s="103"/>
    </row>
    <row r="99" spans="1:26" x14ac:dyDescent="0.2">
      <c r="B99" s="103"/>
      <c r="C99" s="2"/>
      <c r="D99" s="2"/>
      <c r="E99" s="2"/>
      <c r="F99" s="2"/>
      <c r="G99" s="2"/>
      <c r="H99" s="2"/>
      <c r="I99" s="2"/>
      <c r="J99" s="2"/>
      <c r="K99" s="2"/>
      <c r="L99" s="70"/>
      <c r="M99" s="2"/>
      <c r="N99" s="2"/>
      <c r="O99" s="2"/>
      <c r="P99" s="2"/>
      <c r="Q99" s="2"/>
      <c r="R99" s="2"/>
      <c r="S99" s="52"/>
      <c r="T99" s="52"/>
      <c r="U99" s="52"/>
      <c r="V99" s="52"/>
      <c r="W99" s="52"/>
      <c r="X99" s="52"/>
      <c r="Z99" s="103"/>
    </row>
    <row r="100" spans="1:26" x14ac:dyDescent="0.2">
      <c r="B100" s="103"/>
      <c r="C100" s="2"/>
      <c r="D100" s="2"/>
      <c r="E100" s="2"/>
      <c r="F100" s="2"/>
      <c r="G100" s="2"/>
      <c r="H100" s="2"/>
      <c r="I100" s="2"/>
      <c r="J100" s="2"/>
      <c r="K100" s="2"/>
      <c r="L100" s="70"/>
      <c r="M100" s="2"/>
      <c r="N100" s="2"/>
      <c r="O100" s="2"/>
      <c r="P100" s="2"/>
      <c r="Q100" s="2"/>
      <c r="R100" s="2"/>
      <c r="S100" s="52"/>
      <c r="T100" s="52"/>
      <c r="U100" s="52"/>
      <c r="V100" s="52"/>
      <c r="W100" s="52"/>
      <c r="X100" s="52"/>
      <c r="Z100" s="103"/>
    </row>
    <row r="101" spans="1:26" x14ac:dyDescent="0.2">
      <c r="B101" s="103"/>
      <c r="C101" s="2"/>
      <c r="D101" s="2"/>
      <c r="E101" s="2"/>
      <c r="F101" s="2"/>
      <c r="G101" s="2"/>
      <c r="H101" s="2"/>
      <c r="I101" s="2"/>
      <c r="J101" s="2"/>
      <c r="K101" s="2"/>
      <c r="L101" s="70"/>
      <c r="M101" s="2"/>
      <c r="N101" s="2"/>
      <c r="O101" s="2"/>
      <c r="P101" s="2"/>
      <c r="Q101" s="2"/>
      <c r="R101" s="2"/>
      <c r="S101" s="52"/>
      <c r="T101" s="52"/>
      <c r="U101" s="52"/>
      <c r="V101" s="52"/>
      <c r="W101" s="52"/>
      <c r="X101" s="52"/>
      <c r="Z101" s="103"/>
    </row>
    <row r="102" spans="1:26" x14ac:dyDescent="0.2">
      <c r="B102" s="103"/>
      <c r="C102" s="2"/>
      <c r="D102" s="2"/>
      <c r="E102" s="2"/>
      <c r="F102" s="2"/>
      <c r="G102" s="2"/>
      <c r="H102" s="2"/>
      <c r="I102" s="2"/>
      <c r="J102" s="2"/>
      <c r="K102" s="2"/>
      <c r="L102" s="70"/>
      <c r="M102" s="2"/>
      <c r="N102" s="2"/>
      <c r="O102" s="2"/>
      <c r="P102" s="2"/>
      <c r="Q102" s="2"/>
      <c r="R102" s="2"/>
      <c r="S102" s="52"/>
      <c r="T102" s="52"/>
      <c r="U102" s="52"/>
      <c r="V102" s="52"/>
      <c r="W102" s="52"/>
      <c r="X102" s="52"/>
      <c r="Z102" s="103"/>
    </row>
    <row r="103" spans="1:26" x14ac:dyDescent="0.2">
      <c r="B103" s="103"/>
      <c r="C103" s="2"/>
      <c r="D103" s="2"/>
      <c r="E103" s="2"/>
      <c r="F103" s="2"/>
      <c r="G103" s="2"/>
      <c r="H103" s="2"/>
      <c r="I103" s="2"/>
      <c r="J103" s="2"/>
      <c r="K103" s="2"/>
      <c r="L103" s="70"/>
      <c r="M103" s="2"/>
      <c r="N103" s="2"/>
      <c r="O103" s="2"/>
      <c r="P103" s="2"/>
      <c r="Q103" s="2"/>
      <c r="R103" s="2"/>
      <c r="S103" s="52"/>
      <c r="T103" s="52"/>
      <c r="U103" s="52"/>
      <c r="V103" s="52"/>
      <c r="W103" s="52"/>
      <c r="X103" s="52"/>
      <c r="Z103" s="103"/>
    </row>
    <row r="104" spans="1:26" x14ac:dyDescent="0.2">
      <c r="B104" s="103"/>
      <c r="C104" s="2"/>
      <c r="D104" s="2"/>
      <c r="E104" s="2"/>
      <c r="F104" s="2"/>
      <c r="G104" s="2"/>
      <c r="H104" s="2"/>
      <c r="I104" s="2"/>
      <c r="J104" s="2"/>
      <c r="K104" s="2"/>
      <c r="L104" s="70"/>
      <c r="M104" s="2"/>
      <c r="N104" s="2"/>
      <c r="O104" s="2"/>
      <c r="P104" s="2"/>
      <c r="Q104" s="2"/>
      <c r="R104" s="2"/>
      <c r="S104" s="52"/>
      <c r="T104" s="52"/>
      <c r="U104" s="52"/>
      <c r="V104" s="52"/>
      <c r="W104" s="52"/>
      <c r="X104" s="52"/>
      <c r="Z104" s="103"/>
    </row>
    <row r="105" spans="1:26" x14ac:dyDescent="0.2">
      <c r="B105" s="103"/>
      <c r="C105" s="2"/>
      <c r="D105" s="2"/>
      <c r="E105" s="2"/>
      <c r="F105" s="2"/>
      <c r="G105" s="2"/>
      <c r="H105" s="2"/>
      <c r="I105" s="2"/>
      <c r="J105" s="2"/>
      <c r="K105" s="2"/>
      <c r="L105" s="70"/>
      <c r="M105" s="2"/>
      <c r="N105" s="2"/>
      <c r="O105" s="2"/>
      <c r="P105" s="2"/>
      <c r="Q105" s="2"/>
      <c r="R105" s="2"/>
      <c r="S105" s="52"/>
      <c r="T105" s="52"/>
      <c r="U105" s="52"/>
      <c r="V105" s="52"/>
      <c r="W105" s="52"/>
      <c r="X105" s="52"/>
      <c r="Z105" s="103"/>
    </row>
    <row r="106" spans="1:26" x14ac:dyDescent="0.2">
      <c r="B106" s="103"/>
      <c r="C106" s="2"/>
      <c r="D106" s="2"/>
      <c r="E106" s="2"/>
      <c r="F106" s="2"/>
      <c r="G106" s="2"/>
      <c r="H106" s="2"/>
      <c r="I106" s="2"/>
      <c r="J106" s="2"/>
      <c r="K106" s="2"/>
      <c r="L106" s="70"/>
      <c r="M106" s="2"/>
      <c r="N106" s="2"/>
      <c r="O106" s="2"/>
      <c r="P106" s="2"/>
      <c r="Q106" s="2"/>
      <c r="R106" s="2"/>
      <c r="S106" s="52"/>
      <c r="T106" s="52"/>
      <c r="U106" s="52"/>
      <c r="V106" s="52"/>
      <c r="W106" s="52"/>
      <c r="X106" s="52"/>
      <c r="Z106" s="103"/>
    </row>
    <row r="107" spans="1:26" x14ac:dyDescent="0.2">
      <c r="B107" s="103"/>
      <c r="C107" s="2"/>
      <c r="D107" s="2"/>
      <c r="E107" s="2"/>
      <c r="F107" s="2"/>
      <c r="G107" s="2"/>
      <c r="H107" s="2"/>
      <c r="I107" s="2"/>
      <c r="J107" s="2"/>
      <c r="K107" s="2"/>
      <c r="L107" s="70"/>
      <c r="M107" s="2"/>
      <c r="N107" s="2"/>
      <c r="O107" s="2"/>
      <c r="P107" s="2"/>
      <c r="Q107" s="2"/>
      <c r="R107" s="2"/>
      <c r="S107" s="52"/>
      <c r="T107" s="52"/>
      <c r="U107" s="52"/>
      <c r="V107" s="52"/>
      <c r="W107" s="52"/>
      <c r="X107" s="52"/>
      <c r="Z107" s="103"/>
    </row>
    <row r="108" spans="1:26" x14ac:dyDescent="0.2">
      <c r="B108" s="103"/>
      <c r="C108" s="2"/>
      <c r="D108" s="2"/>
      <c r="E108" s="2"/>
      <c r="F108" s="2"/>
      <c r="G108" s="2"/>
      <c r="H108" s="2"/>
      <c r="I108" s="2"/>
      <c r="J108" s="2"/>
      <c r="K108" s="2"/>
      <c r="L108" s="70"/>
      <c r="M108" s="2"/>
      <c r="N108" s="2"/>
      <c r="O108" s="2"/>
      <c r="P108" s="2"/>
      <c r="Q108" s="2"/>
      <c r="R108" s="2"/>
      <c r="S108" s="52"/>
      <c r="T108" s="52"/>
      <c r="U108" s="52"/>
      <c r="V108" s="52"/>
      <c r="W108" s="52"/>
      <c r="X108" s="52"/>
      <c r="Z108" s="103"/>
    </row>
    <row r="109" spans="1:26" x14ac:dyDescent="0.2">
      <c r="B109" s="103"/>
      <c r="C109" s="2"/>
      <c r="D109" s="2"/>
      <c r="E109" s="2"/>
      <c r="F109" s="2"/>
      <c r="G109" s="2"/>
      <c r="H109" s="2"/>
      <c r="I109" s="2"/>
      <c r="J109" s="2"/>
      <c r="K109" s="2"/>
      <c r="L109" s="70"/>
      <c r="M109" s="2"/>
      <c r="N109" s="2"/>
      <c r="O109" s="2"/>
      <c r="P109" s="2"/>
      <c r="Q109" s="2"/>
      <c r="R109" s="2"/>
      <c r="S109" s="52"/>
      <c r="T109" s="52"/>
      <c r="U109" s="52"/>
      <c r="V109" s="52"/>
      <c r="W109" s="52"/>
      <c r="X109" s="52"/>
      <c r="Z109" s="103"/>
    </row>
    <row r="110" spans="1:26" x14ac:dyDescent="0.2">
      <c r="B110" s="103"/>
      <c r="C110" s="2"/>
      <c r="D110" s="2"/>
      <c r="E110" s="2"/>
      <c r="F110" s="2"/>
      <c r="G110" s="2"/>
      <c r="H110" s="2"/>
      <c r="I110" s="2"/>
      <c r="J110" s="2"/>
      <c r="K110" s="2"/>
      <c r="L110" s="70"/>
      <c r="M110" s="2"/>
      <c r="N110" s="2"/>
      <c r="O110" s="2"/>
      <c r="P110" s="2"/>
      <c r="Q110" s="2"/>
      <c r="R110" s="2"/>
      <c r="S110" s="52"/>
      <c r="T110" s="52"/>
      <c r="U110" s="52"/>
      <c r="V110" s="52"/>
      <c r="W110" s="52"/>
      <c r="X110" s="52"/>
      <c r="Z110" s="103"/>
    </row>
    <row r="111" spans="1:26" x14ac:dyDescent="0.2">
      <c r="B111" s="103"/>
      <c r="C111" s="1"/>
      <c r="D111" s="1"/>
      <c r="E111" s="1"/>
      <c r="F111" s="1"/>
      <c r="G111" s="1"/>
      <c r="H111" s="1"/>
      <c r="I111" s="1"/>
      <c r="J111" s="1"/>
      <c r="K111" s="1"/>
      <c r="L111" s="1"/>
      <c r="M111" s="1"/>
      <c r="N111" s="1"/>
      <c r="O111" s="1"/>
      <c r="P111" s="1"/>
      <c r="Q111" s="1"/>
      <c r="R111" s="1"/>
      <c r="S111" s="1"/>
      <c r="T111" s="1"/>
      <c r="U111" s="1"/>
      <c r="V111" s="1"/>
      <c r="W111" s="1"/>
      <c r="X111" s="1"/>
      <c r="Z111" s="103"/>
    </row>
    <row r="112" spans="1:26" ht="16" thickBot="1" x14ac:dyDescent="0.25">
      <c r="A112" s="82"/>
      <c r="B112" s="87"/>
      <c r="C112" s="84"/>
      <c r="D112" s="84"/>
      <c r="E112" s="84"/>
      <c r="F112" s="84"/>
      <c r="G112" s="84"/>
      <c r="H112" s="84"/>
      <c r="I112" s="84"/>
      <c r="J112" s="84"/>
      <c r="K112" s="84"/>
      <c r="L112" s="84"/>
      <c r="M112" s="84"/>
      <c r="N112" s="84"/>
      <c r="O112" s="84"/>
      <c r="P112" s="84"/>
      <c r="Q112" s="84"/>
      <c r="R112" s="84"/>
      <c r="S112" s="84"/>
      <c r="T112" s="84"/>
      <c r="U112" s="84"/>
      <c r="V112" s="84"/>
      <c r="W112" s="84"/>
      <c r="X112" s="84"/>
      <c r="Y112" s="84"/>
      <c r="Z112" s="83"/>
    </row>
  </sheetData>
  <mergeCells count="3">
    <mergeCell ref="P7:Q7"/>
    <mergeCell ref="S7:W7"/>
    <mergeCell ref="G7:N7"/>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FAC1A-CAB7-4CF0-A53D-0973ED245F3A}">
  <sheetPr codeName="Sheet11">
    <tabColor theme="2" tint="-0.499984740745262"/>
  </sheetPr>
  <dimension ref="A3:Z43"/>
  <sheetViews>
    <sheetView showGridLines="0" zoomScaleNormal="100" workbookViewId="0"/>
  </sheetViews>
  <sheetFormatPr baseColWidth="10" defaultColWidth="8.83203125" defaultRowHeight="15" x14ac:dyDescent="0.2"/>
  <cols>
    <col min="1" max="1" width="11.83203125" customWidth="1"/>
    <col min="2" max="2" width="8.1640625" customWidth="1"/>
    <col min="7" max="7" width="21.83203125" bestFit="1" customWidth="1"/>
    <col min="8" max="8" width="19.33203125" bestFit="1" customWidth="1"/>
    <col min="9" max="9" width="19.5" bestFit="1" customWidth="1"/>
    <col min="10" max="10" width="17.1640625" bestFit="1" customWidth="1"/>
    <col min="11" max="11" width="19.5" bestFit="1" customWidth="1"/>
    <col min="12" max="12" width="12.6640625" customWidth="1"/>
    <col min="13" max="13" width="10.83203125" customWidth="1"/>
    <col min="15" max="15" width="7.5" customWidth="1"/>
    <col min="16" max="16" width="19.5" bestFit="1" customWidth="1"/>
    <col min="17" max="17" width="17" bestFit="1" customWidth="1"/>
    <col min="18" max="18" width="17.6640625" bestFit="1" customWidth="1"/>
    <col min="19" max="19" width="21.83203125" bestFit="1" customWidth="1"/>
    <col min="20" max="20" width="19.1640625" bestFit="1" customWidth="1"/>
    <col min="21" max="21" width="20.5" bestFit="1" customWidth="1"/>
    <col min="22" max="22" width="18.6640625" bestFit="1" customWidth="1"/>
    <col min="23" max="23" width="19.33203125" bestFit="1" customWidth="1"/>
    <col min="24" max="24" width="12.6640625" bestFit="1" customWidth="1"/>
  </cols>
  <sheetData>
    <row r="3" spans="2:26" ht="26" x14ac:dyDescent="0.3">
      <c r="I3" s="85" t="s">
        <v>169</v>
      </c>
    </row>
    <row r="4" spans="2:26" ht="16" thickBot="1" x14ac:dyDescent="0.25"/>
    <row r="5" spans="2:26" ht="16" thickBot="1" x14ac:dyDescent="0.25">
      <c r="B5" s="79"/>
      <c r="C5" s="80"/>
      <c r="D5" s="80"/>
      <c r="E5" s="80"/>
      <c r="F5" s="80"/>
      <c r="G5" s="80"/>
      <c r="H5" s="80"/>
      <c r="I5" s="80"/>
      <c r="J5" s="80"/>
      <c r="K5" s="80"/>
      <c r="L5" s="80"/>
      <c r="M5" s="80"/>
      <c r="N5" s="80"/>
      <c r="O5" s="80"/>
      <c r="P5" s="80"/>
      <c r="Q5" s="80"/>
      <c r="R5" s="80"/>
      <c r="S5" s="80"/>
      <c r="T5" s="80"/>
      <c r="U5" s="80"/>
      <c r="V5" s="80"/>
      <c r="W5" s="80"/>
      <c r="X5" s="80"/>
      <c r="Y5" s="81"/>
    </row>
    <row r="6" spans="2:26" x14ac:dyDescent="0.2">
      <c r="B6" s="103"/>
      <c r="Z6" s="103"/>
    </row>
    <row r="7" spans="2:26" x14ac:dyDescent="0.2">
      <c r="B7" s="103"/>
      <c r="G7" s="1"/>
      <c r="H7" s="1"/>
      <c r="I7" s="1"/>
      <c r="J7" s="1"/>
      <c r="K7" s="1"/>
      <c r="L7" s="1"/>
      <c r="M7" s="1"/>
      <c r="N7" s="1"/>
      <c r="O7" s="1"/>
      <c r="P7" s="1"/>
      <c r="Q7" s="1"/>
      <c r="R7" s="1">
        <f>AVERAGE(R11:R41)</f>
        <v>0.48300845264792136</v>
      </c>
      <c r="S7" s="1"/>
      <c r="T7" s="1"/>
      <c r="U7" s="1"/>
      <c r="V7" s="1"/>
      <c r="W7" s="1"/>
      <c r="Z7" s="103"/>
    </row>
    <row r="8" spans="2:26" x14ac:dyDescent="0.2">
      <c r="B8" s="103"/>
      <c r="C8" s="1"/>
      <c r="D8" s="1"/>
      <c r="E8" s="1"/>
      <c r="F8" s="1"/>
      <c r="G8" s="251" t="s">
        <v>90</v>
      </c>
      <c r="H8" s="253"/>
      <c r="I8" s="253"/>
      <c r="J8" s="253" t="s">
        <v>87</v>
      </c>
      <c r="K8" s="253"/>
      <c r="L8" s="253"/>
      <c r="M8" s="253"/>
      <c r="N8" s="252"/>
      <c r="O8" s="1"/>
      <c r="P8" s="251" t="s">
        <v>72</v>
      </c>
      <c r="Q8" s="252"/>
      <c r="R8" s="60"/>
      <c r="S8" s="251" t="s">
        <v>73</v>
      </c>
      <c r="T8" s="253"/>
      <c r="U8" s="253"/>
      <c r="V8" s="252"/>
      <c r="W8" s="1"/>
      <c r="X8" s="1"/>
      <c r="Z8" s="103"/>
    </row>
    <row r="9" spans="2:26" ht="30" customHeight="1" x14ac:dyDescent="0.2">
      <c r="B9" s="103"/>
      <c r="C9" s="90" t="s">
        <v>74</v>
      </c>
      <c r="D9" s="90" t="s">
        <v>75</v>
      </c>
      <c r="E9" s="90" t="s">
        <v>76</v>
      </c>
      <c r="F9" s="90" t="s">
        <v>25</v>
      </c>
      <c r="G9" s="90" t="s">
        <v>77</v>
      </c>
      <c r="H9" s="90" t="s">
        <v>78</v>
      </c>
      <c r="I9" s="90" t="s">
        <v>79</v>
      </c>
      <c r="J9" s="90" t="s">
        <v>80</v>
      </c>
      <c r="K9" s="90" t="s">
        <v>81</v>
      </c>
      <c r="L9" s="90" t="s">
        <v>82</v>
      </c>
      <c r="M9" s="90" t="s">
        <v>83</v>
      </c>
      <c r="N9" s="90" t="s">
        <v>84</v>
      </c>
      <c r="O9" s="90" t="s">
        <v>85</v>
      </c>
      <c r="P9" s="90" t="s">
        <v>42</v>
      </c>
      <c r="Q9" s="90" t="s">
        <v>43</v>
      </c>
      <c r="R9" s="90" t="s">
        <v>86</v>
      </c>
      <c r="S9" s="90" t="str">
        <f>"Drug Acquisition" &amp; "("&amp;c_currency&amp;")"</f>
        <v>Drug Acquisition(€)</v>
      </c>
      <c r="T9" s="90" t="str">
        <f>"Treatment Cost" &amp; "("&amp;c_currency&amp;")"</f>
        <v>Treatment Cost(€)</v>
      </c>
      <c r="U9" s="90" t="str">
        <f>"ICU Cost" &amp; "("&amp;c_currency&amp;")"</f>
        <v>ICU Cost(€)</v>
      </c>
      <c r="V9" s="90" t="str">
        <f>"Resource Use Cost" &amp; "("&amp;c_currency&amp;")"</f>
        <v>Resource Use Cost(€)</v>
      </c>
      <c r="W9" s="90" t="str">
        <f>"Adverse Event Cost" &amp; "("&amp;c_currency&amp;")"</f>
        <v>Adverse Event Cost(€)</v>
      </c>
      <c r="X9" s="90" t="s">
        <v>35</v>
      </c>
      <c r="Z9" s="103"/>
    </row>
    <row r="10" spans="2:26" x14ac:dyDescent="0.2">
      <c r="B10" s="103"/>
      <c r="C10" s="2"/>
      <c r="D10" s="2"/>
      <c r="E10" s="2"/>
      <c r="F10" s="2"/>
      <c r="G10" s="2"/>
      <c r="H10" s="2"/>
      <c r="I10" s="2"/>
      <c r="J10" s="2"/>
      <c r="K10" s="2"/>
      <c r="L10" s="2"/>
      <c r="M10" s="2"/>
      <c r="N10" s="2"/>
      <c r="O10" s="2"/>
      <c r="P10" s="10">
        <f t="shared" ref="P10:X10" si="0">SUM(P11:P41)</f>
        <v>5.3475935828877006</v>
      </c>
      <c r="Q10" s="10">
        <f t="shared" si="0"/>
        <v>9.6256684491978604</v>
      </c>
      <c r="R10" s="10">
        <f t="shared" si="0"/>
        <v>14.973262032085563</v>
      </c>
      <c r="S10" s="55">
        <f t="shared" si="0"/>
        <v>3.0494117647058827</v>
      </c>
      <c r="T10" s="55">
        <f t="shared" si="0"/>
        <v>8.6883850267379668</v>
      </c>
      <c r="U10" s="55">
        <f t="shared" si="0"/>
        <v>15014.633846631017</v>
      </c>
      <c r="V10" s="55">
        <f t="shared" si="0"/>
        <v>25.596192513368983</v>
      </c>
      <c r="W10" s="55">
        <f t="shared" si="0"/>
        <v>1.5238074866310156</v>
      </c>
      <c r="X10" s="55">
        <f t="shared" si="0"/>
        <v>15053.491643422463</v>
      </c>
      <c r="Z10" s="103"/>
    </row>
    <row r="11" spans="2:26" x14ac:dyDescent="0.2">
      <c r="B11" s="103"/>
      <c r="C11" s="2">
        <v>0</v>
      </c>
      <c r="D11" s="2">
        <v>0</v>
      </c>
      <c r="E11" s="2">
        <f>D11*(1/365.25)</f>
        <v>0</v>
      </c>
      <c r="F11" s="11">
        <f>con_age</f>
        <v>62.03</v>
      </c>
      <c r="G11" s="2">
        <v>1000</v>
      </c>
      <c r="H11" s="2"/>
      <c r="I11" s="2"/>
      <c r="J11" s="2"/>
      <c r="K11" s="2"/>
      <c r="L11" s="2"/>
      <c r="M11" s="2"/>
      <c r="N11" s="2"/>
      <c r="O11" s="2" t="str">
        <f>IF(ROUND(SUM(G11:N11),6)=$G$11,"OK","ERROR")</f>
        <v>OK</v>
      </c>
      <c r="P11" s="2">
        <f>I11</f>
        <v>0</v>
      </c>
      <c r="Q11" s="2">
        <f>J11</f>
        <v>0</v>
      </c>
      <c r="R11" s="2">
        <f t="shared" ref="R11:R41" si="1">SUM(P11:Q11)</f>
        <v>0</v>
      </c>
      <c r="S11" s="52">
        <f t="shared" ref="S11:S41" si="2">PVI1_cost_perpatient*((G11+H11+J11)/1000)</f>
        <v>0.24</v>
      </c>
      <c r="T11" s="52">
        <f t="shared" ref="T11:T41" si="3">treatment_cost*((I11+J11)/1000)</f>
        <v>0</v>
      </c>
      <c r="U11" s="52">
        <f t="shared" ref="U11:U41" si="4">ICU_Cost_without*((G12+H12+K12+L12)/1000)+ICU_cost_with*((I11+J11)/1000)</f>
        <v>1248.3288342245989</v>
      </c>
      <c r="V11" s="52">
        <f t="shared" ref="V11:V41" si="5">Resource_cost*((H11+J11)/1000)</f>
        <v>0</v>
      </c>
      <c r="W11" s="52">
        <f t="shared" ref="W11:W41" si="6">IF(Incl_AE="Yes",Adverse_Event_Cost*K13/1000,0)</f>
        <v>0</v>
      </c>
      <c r="X11" s="52">
        <f t="shared" ref="X11:X41" si="7">SUM(S11:W11)</f>
        <v>1248.568834224599</v>
      </c>
      <c r="Z11" s="103"/>
    </row>
    <row r="12" spans="2:26" x14ac:dyDescent="0.2">
      <c r="B12" s="103"/>
      <c r="C12" s="2">
        <f>C11+1</f>
        <v>1</v>
      </c>
      <c r="D12" s="2">
        <f>D11+1</f>
        <v>1</v>
      </c>
      <c r="E12" s="2">
        <f t="shared" ref="E12:E41" si="8">D12*(1/365.25)</f>
        <v>2.7378507871321013E-3</v>
      </c>
      <c r="F12" s="2">
        <f>F11+1/365.25</f>
        <v>62.032737850787136</v>
      </c>
      <c r="G12" s="2">
        <f>G11*Parameters!F1089+H11*Parameters!F1231+I11*Parameters!F1275+J11*Parameters!F1305+L11*Parameters!F1337</f>
        <v>979.6791443850268</v>
      </c>
      <c r="H12" s="2">
        <f>G11*Parameters!F1090+H11*Parameters!F1373+I11*Parameters!F1398+J11*Parameters!F1428+L11*Parameters!F1457</f>
        <v>6.4171122994652405</v>
      </c>
      <c r="I12" s="2">
        <f>G11*Parameters!F1487+H11*Parameters!F1512+I11*Parameters!F1542+J11*Parameters!F1572+L11*Parameters!F1602</f>
        <v>0</v>
      </c>
      <c r="J12" s="2">
        <f>G11*Parameters!F1632+H11*Parameters!F1653+I11*Parameters!F1683+J11*Parameters!F1713+L11*Parameters!F1743</f>
        <v>0</v>
      </c>
      <c r="K12" s="2">
        <f>G11*Parameters!F1773+H11*Parameters!F1794+I11*Parameters!F1823+J11*Parameters!F1853+L11*Parameters!F1883</f>
        <v>0</v>
      </c>
      <c r="L12" s="2">
        <f>K11*Parameters!F1911</f>
        <v>0</v>
      </c>
      <c r="M12" s="2">
        <f>G11*Parameters!F1091+H11*Parameters!F1941+I11*Parameters!F1969+J11*Parameters!F1999+L11*Parameters!F2028+M11</f>
        <v>3.2085561497326203</v>
      </c>
      <c r="N12" s="2">
        <f>G11*Parameters!F1092+H11*Parameters!F2057+I11*Parameters!F2081+J11*Parameters!F2111+L11*Parameters!F2141+N11</f>
        <v>10.695187165775401</v>
      </c>
      <c r="O12" s="2" t="str">
        <f t="shared" ref="O12:O41" si="9">IF(ROUND(SUM(G12:N12),6)=$G$11,"OK","ERROR")</f>
        <v>OK</v>
      </c>
      <c r="P12" s="2">
        <f t="shared" ref="P12:P41" si="10">I12</f>
        <v>0</v>
      </c>
      <c r="Q12" s="2">
        <f t="shared" ref="Q12:Q41" si="11">J12</f>
        <v>0</v>
      </c>
      <c r="R12" s="2">
        <f t="shared" si="1"/>
        <v>0</v>
      </c>
      <c r="S12" s="52">
        <f t="shared" si="2"/>
        <v>0.23666310160427806</v>
      </c>
      <c r="T12" s="52">
        <f t="shared" si="3"/>
        <v>0</v>
      </c>
      <c r="U12" s="52">
        <f t="shared" si="4"/>
        <v>1168.4466203208556</v>
      </c>
      <c r="V12" s="52">
        <f t="shared" si="5"/>
        <v>0.6094331550802139</v>
      </c>
      <c r="W12" s="52">
        <f t="shared" si="6"/>
        <v>0</v>
      </c>
      <c r="X12" s="52">
        <f t="shared" si="7"/>
        <v>1169.2927165775402</v>
      </c>
      <c r="Z12" s="103"/>
    </row>
    <row r="13" spans="2:26" x14ac:dyDescent="0.2">
      <c r="B13" s="103"/>
      <c r="C13" s="2">
        <f t="shared" ref="C13:D28" si="12">C12+1</f>
        <v>2</v>
      </c>
      <c r="D13" s="2">
        <f t="shared" si="12"/>
        <v>2</v>
      </c>
      <c r="E13" s="2">
        <f t="shared" si="8"/>
        <v>5.4757015742642025E-3</v>
      </c>
      <c r="F13" s="2">
        <f t="shared" ref="F13:F41" si="13">F12+1/365.25</f>
        <v>62.035475701574271</v>
      </c>
      <c r="G13" s="2">
        <f>G12*Parameters!F1093+H12*Parameters!F1232+I12*Parameters!F1276+J12*Parameters!F1306+L12*Parameters!F1338</f>
        <v>897.32620320855619</v>
      </c>
      <c r="H13" s="2">
        <f>G12*Parameters!F1094+H12*Parameters!F1374+I12*Parameters!F1399+J12*Parameters!F1429+L12*Parameters!F1458</f>
        <v>25.668449197860962</v>
      </c>
      <c r="I13" s="2">
        <f>G12*Parameters!F1488+H12*Parameters!F1513+I12*Parameters!F1543+J12*Parameters!F1573+L12*Parameters!F1603</f>
        <v>0</v>
      </c>
      <c r="J13" s="2">
        <f>G12*Parameters!F1633+H12*Parameters!F1654+I12*Parameters!F1684+J12*Parameters!F1714+L12*Parameters!F1744</f>
        <v>0</v>
      </c>
      <c r="K13" s="2">
        <f>G12*Parameters!F1774+H12*Parameters!F1795+I12*Parameters!F1824+J12*Parameters!F1854+L12*Parameters!F1884</f>
        <v>0</v>
      </c>
      <c r="L13" s="2">
        <f>K12*Parameters!F1912</f>
        <v>0</v>
      </c>
      <c r="M13" s="2">
        <f>G12*Parameters!F1095+H12*Parameters!F1942+I12*Parameters!F1970+J12*Parameters!F2000+L12*Parameters!F2029+M12</f>
        <v>29.946524064171125</v>
      </c>
      <c r="N13" s="2">
        <f>G12*Parameters!F1096+H12*Parameters!F1233+I12*Parameters!F2082+J12*Parameters!F2112+L12*Parameters!F2142+N12</f>
        <v>47.058823529411768</v>
      </c>
      <c r="O13" s="2" t="str">
        <f t="shared" si="9"/>
        <v>OK</v>
      </c>
      <c r="P13" s="2">
        <f t="shared" si="10"/>
        <v>0</v>
      </c>
      <c r="Q13" s="2">
        <f t="shared" si="11"/>
        <v>0</v>
      </c>
      <c r="R13" s="2">
        <f t="shared" si="1"/>
        <v>0</v>
      </c>
      <c r="S13" s="52">
        <f t="shared" si="2"/>
        <v>0.2215187165775401</v>
      </c>
      <c r="T13" s="52">
        <f t="shared" si="3"/>
        <v>0</v>
      </c>
      <c r="U13" s="52">
        <f t="shared" si="4"/>
        <v>1064.1935614973261</v>
      </c>
      <c r="V13" s="52">
        <f t="shared" si="5"/>
        <v>2.4377326203208556</v>
      </c>
      <c r="W13" s="52">
        <f t="shared" si="6"/>
        <v>0</v>
      </c>
      <c r="X13" s="52">
        <f t="shared" si="7"/>
        <v>1066.8528128342246</v>
      </c>
      <c r="Z13" s="103"/>
    </row>
    <row r="14" spans="2:26" x14ac:dyDescent="0.2">
      <c r="B14" s="103"/>
      <c r="C14" s="2">
        <f t="shared" si="12"/>
        <v>3</v>
      </c>
      <c r="D14" s="2">
        <f t="shared" si="12"/>
        <v>3</v>
      </c>
      <c r="E14" s="2">
        <f t="shared" si="8"/>
        <v>8.2135523613963042E-3</v>
      </c>
      <c r="F14" s="2">
        <f t="shared" si="13"/>
        <v>62.038213552361405</v>
      </c>
      <c r="G14" s="2">
        <f>G13*Parameters!F1097+H13*Parameters!F1234+I13*Parameters!F1277+J13*Parameters!F1307+L13*Parameters!F1339</f>
        <v>824.59893048128345</v>
      </c>
      <c r="H14" s="2">
        <f>G13*Parameters!F1098+H13*Parameters!F1375+I13*Parameters!F1400+J13*Parameters!F1430+L13*Parameters!F1459</f>
        <v>16.042780748663102</v>
      </c>
      <c r="I14" s="2">
        <f>G13*Parameters!F1489+H13*Parameters!F1514+I13*Parameters!F1544+J13*Parameters!F1574+L13*Parameters!F1604</f>
        <v>0</v>
      </c>
      <c r="J14" s="2">
        <f>G13*Parameters!F1634+H13*Parameters!F1655+I13*Parameters!F1685+J13*Parameters!F1715+L13*Parameters!F1745</f>
        <v>0</v>
      </c>
      <c r="K14" s="2">
        <f>G13*Parameters!F1775+H13*Parameters!F1796+I13*Parameters!F1825+J13*Parameters!F1855+L13*Parameters!F1885</f>
        <v>0</v>
      </c>
      <c r="L14" s="2">
        <f>K13*Parameters!F1913</f>
        <v>0</v>
      </c>
      <c r="M14" s="2">
        <f>G13*Parameters!F1099+H13*Parameters!F1943+I13*Parameters!F1971+J13*Parameters!F2001+L13*Parameters!F2030+M13</f>
        <v>78.074866310160431</v>
      </c>
      <c r="N14" s="2">
        <f>G13*Parameters!F1100+H13*Parameters!F1235+I13*Parameters!F2083+J13*Parameters!F2113+L13*Parameters!F2143+N13</f>
        <v>81.283422459893046</v>
      </c>
      <c r="O14" s="2" t="str">
        <f t="shared" si="9"/>
        <v>OK</v>
      </c>
      <c r="P14" s="2">
        <f t="shared" si="10"/>
        <v>0</v>
      </c>
      <c r="Q14" s="2">
        <f t="shared" si="11"/>
        <v>0</v>
      </c>
      <c r="R14" s="2">
        <f t="shared" si="1"/>
        <v>0</v>
      </c>
      <c r="S14" s="52">
        <f t="shared" si="2"/>
        <v>0.20175401069518714</v>
      </c>
      <c r="T14" s="52">
        <f t="shared" si="3"/>
        <v>0</v>
      </c>
      <c r="U14" s="52">
        <f t="shared" si="4"/>
        <v>984.31134759358304</v>
      </c>
      <c r="V14" s="52">
        <f t="shared" si="5"/>
        <v>1.5235828877005348</v>
      </c>
      <c r="W14" s="52">
        <f t="shared" si="6"/>
        <v>0</v>
      </c>
      <c r="X14" s="52">
        <f t="shared" si="7"/>
        <v>986.03668449197869</v>
      </c>
      <c r="Z14" s="103"/>
    </row>
    <row r="15" spans="2:26" x14ac:dyDescent="0.2">
      <c r="B15" s="103"/>
      <c r="C15" s="2">
        <f t="shared" si="12"/>
        <v>4</v>
      </c>
      <c r="D15" s="2">
        <f t="shared" si="12"/>
        <v>4</v>
      </c>
      <c r="E15" s="2">
        <f t="shared" si="8"/>
        <v>1.0951403148528405E-2</v>
      </c>
      <c r="F15" s="2">
        <f t="shared" si="13"/>
        <v>62.04095140314854</v>
      </c>
      <c r="G15" s="2">
        <f>G14*Parameters!F1101+H14*Parameters!F1236+I14*Parameters!F1278+J14*Parameters!F1308+L14*Parameters!F1340</f>
        <v>766.84491978609628</v>
      </c>
      <c r="H15" s="2">
        <f>G14*Parameters!F1102+H14*Parameters!F1237+I14*Parameters!F1401+J14*Parameters!F1431+L14*Parameters!F1460</f>
        <v>10.695187165775403</v>
      </c>
      <c r="I15" s="2">
        <f>G14*Parameters!F1490+H14*Parameters!F1515+I14*Parameters!F1545+J14*Parameters!F1575+L14*Parameters!F1605</f>
        <v>0</v>
      </c>
      <c r="J15" s="2">
        <f>G14*Parameters!F1635+H14*Parameters!F1656+I14*Parameters!F1686+J14*Parameters!F1716+L14*Parameters!F1746</f>
        <v>0</v>
      </c>
      <c r="K15" s="2">
        <f>G14*Parameters!F1776+H14*Parameters!F1797+I14*Parameters!F1826+J14*Parameters!F1856+L14*Parameters!F1886</f>
        <v>0</v>
      </c>
      <c r="L15" s="2">
        <f>K14*Parameters!F1914</f>
        <v>0</v>
      </c>
      <c r="M15" s="2">
        <f>G14*Parameters!F1103+H14*Parameters!F1944+I14*Parameters!F1972+J14*Parameters!F2002+L14*Parameters!F2031+M14</f>
        <v>122.99465240641712</v>
      </c>
      <c r="N15" s="2">
        <f>G14*Parameters!F1104+H14*Parameters!F2058+I14*Parameters!F2084+J14*Parameters!F2114+L14*Parameters!F2144+N14</f>
        <v>99.465240641711233</v>
      </c>
      <c r="O15" s="2" t="str">
        <f t="shared" si="9"/>
        <v>OK</v>
      </c>
      <c r="P15" s="2">
        <f t="shared" si="10"/>
        <v>0</v>
      </c>
      <c r="Q15" s="2">
        <f t="shared" si="11"/>
        <v>0</v>
      </c>
      <c r="R15" s="2">
        <f t="shared" si="1"/>
        <v>0</v>
      </c>
      <c r="S15" s="52">
        <f t="shared" si="2"/>
        <v>0.18660962566844921</v>
      </c>
      <c r="T15" s="52">
        <f t="shared" si="3"/>
        <v>0</v>
      </c>
      <c r="U15" s="52">
        <f t="shared" si="4"/>
        <v>892.2437112299466</v>
      </c>
      <c r="V15" s="52">
        <f t="shared" si="5"/>
        <v>1.01572192513369</v>
      </c>
      <c r="W15" s="52">
        <f t="shared" si="6"/>
        <v>0.12698395721925135</v>
      </c>
      <c r="X15" s="52">
        <f t="shared" si="7"/>
        <v>893.57302673796801</v>
      </c>
      <c r="Z15" s="103"/>
    </row>
    <row r="16" spans="2:26" x14ac:dyDescent="0.2">
      <c r="B16" s="103"/>
      <c r="C16" s="2">
        <f t="shared" si="12"/>
        <v>5</v>
      </c>
      <c r="D16" s="2">
        <f t="shared" si="12"/>
        <v>5</v>
      </c>
      <c r="E16" s="2">
        <f t="shared" si="8"/>
        <v>1.3689253935660506E-2</v>
      </c>
      <c r="F16" s="2">
        <f t="shared" si="13"/>
        <v>62.043689253935675</v>
      </c>
      <c r="G16" s="2">
        <f>G15*Parameters!F1105+H15*Parameters!F1238+I15*Parameters!F1279+J15*Parameters!F1309+L15*Parameters!F1341</f>
        <v>693.04812834224606</v>
      </c>
      <c r="H16" s="2">
        <f>G15*Parameters!F1106+H15*Parameters!F1376+I15*Parameters!F1402+J15*Parameters!F1432+L15*Parameters!F1461</f>
        <v>11.764705882352942</v>
      </c>
      <c r="I16" s="2">
        <f>G15*Parameters!F1491+H15*Parameters!F1516+I15*Parameters!F1546+J15*Parameters!F1576+L15*Parameters!F1606</f>
        <v>0</v>
      </c>
      <c r="J16" s="2">
        <f>G15*Parameters!F1636+H15*Parameters!F1657+I15*Parameters!F1687+J15*Parameters!F1717+L15*Parameters!F1747</f>
        <v>0</v>
      </c>
      <c r="K16" s="2">
        <f>G15*Parameters!F1777+H15*Parameters!F1798+I15*Parameters!F1827+J15*Parameters!F1857+L15*Parameters!F1887</f>
        <v>0</v>
      </c>
      <c r="L16" s="2">
        <f>K15*Parameters!F1915</f>
        <v>0</v>
      </c>
      <c r="M16" s="2">
        <f>G15*Parameters!F1107+H15*Parameters!F1945+I15*Parameters!F1973+J15*Parameters!F2003+L15*Parameters!F2032+M15</f>
        <v>177.54010695187168</v>
      </c>
      <c r="N16" s="2">
        <f>G15*Parameters!F1108+H15*Parameters!F2059+I15*Parameters!F2085+J15*Parameters!F2115+L15*Parameters!F2145+N15</f>
        <v>117.64705882352942</v>
      </c>
      <c r="O16" s="2" t="str">
        <f t="shared" si="9"/>
        <v>OK</v>
      </c>
      <c r="P16" s="2">
        <f t="shared" si="10"/>
        <v>0</v>
      </c>
      <c r="Q16" s="2">
        <f t="shared" si="11"/>
        <v>0</v>
      </c>
      <c r="R16" s="2">
        <f t="shared" si="1"/>
        <v>0</v>
      </c>
      <c r="S16" s="52">
        <f t="shared" si="2"/>
        <v>0.16915508021390374</v>
      </c>
      <c r="T16" s="52">
        <f t="shared" si="3"/>
        <v>0</v>
      </c>
      <c r="U16" s="52">
        <f t="shared" si="4"/>
        <v>805.59181818181833</v>
      </c>
      <c r="V16" s="52">
        <f t="shared" si="5"/>
        <v>1.117294117647059</v>
      </c>
      <c r="W16" s="52">
        <f t="shared" si="6"/>
        <v>0.12698395721925135</v>
      </c>
      <c r="X16" s="52">
        <f t="shared" si="7"/>
        <v>807.0052513368986</v>
      </c>
      <c r="Z16" s="103"/>
    </row>
    <row r="17" spans="2:26" x14ac:dyDescent="0.2">
      <c r="B17" s="103"/>
      <c r="C17" s="2">
        <f t="shared" si="12"/>
        <v>6</v>
      </c>
      <c r="D17" s="2">
        <f t="shared" si="12"/>
        <v>6</v>
      </c>
      <c r="E17" s="2">
        <f t="shared" si="8"/>
        <v>1.6427104722792608E-2</v>
      </c>
      <c r="F17" s="2">
        <f t="shared" si="13"/>
        <v>62.04642710472281</v>
      </c>
      <c r="G17" s="2">
        <f>G16*Parameters!F1109+H16*Parameters!F1239+I16*Parameters!F1280+J16*Parameters!F1310+L16*Parameters!F1342</f>
        <v>614.97326203208559</v>
      </c>
      <c r="H17" s="2">
        <f>G16*Parameters!F1110+H16*Parameters!F1377+I16*Parameters!F1403+J16*Parameters!F1433+L16*Parameters!F1462</f>
        <v>20.320855614973262</v>
      </c>
      <c r="I17" s="2">
        <f>G16*Parameters!F1492+H16*Parameters!F1517+I16*Parameters!F1547+J16*Parameters!F1577+L16*Parameters!F1607</f>
        <v>0</v>
      </c>
      <c r="J17" s="2">
        <f>G16*Parameters!F1111+H16*Parameters!F1658+I16*Parameters!F1688+J16*Parameters!F1718+L16*Parameters!F1748</f>
        <v>1.0695187165775402</v>
      </c>
      <c r="K17" s="2">
        <f>G16*Parameters!F1112+H16*Parameters!F1799+I16*Parameters!F1828+J16*Parameters!F1858+L16*Parameters!F1888</f>
        <v>1.0695187165775402</v>
      </c>
      <c r="L17" s="2">
        <f>K16*Parameters!F1916</f>
        <v>0</v>
      </c>
      <c r="M17" s="2">
        <f>G16*Parameters!F1113+H16*Parameters!F1946+I16*Parameters!F1974+J16*Parameters!F2004+L16*Parameters!F2033+M16</f>
        <v>232.08556149732624</v>
      </c>
      <c r="N17" s="2">
        <f>G16*Parameters!F1114+H16*Parameters!F2060+I16*Parameters!F2086+J16*Parameters!F2116+L16*Parameters!F2146+N16</f>
        <v>130.48128342245991</v>
      </c>
      <c r="O17" s="2" t="str">
        <f t="shared" si="9"/>
        <v>OK</v>
      </c>
      <c r="P17" s="2">
        <f t="shared" si="10"/>
        <v>0</v>
      </c>
      <c r="Q17" s="2">
        <f t="shared" si="11"/>
        <v>1.0695187165775402</v>
      </c>
      <c r="R17" s="2">
        <f t="shared" si="1"/>
        <v>1.0695187165775402</v>
      </c>
      <c r="S17" s="52">
        <f t="shared" si="2"/>
        <v>0.15272727272727274</v>
      </c>
      <c r="T17" s="52">
        <f t="shared" si="3"/>
        <v>0.62059893048128345</v>
      </c>
      <c r="U17" s="52">
        <f t="shared" si="4"/>
        <v>735.63395390374376</v>
      </c>
      <c r="V17" s="52">
        <f t="shared" si="5"/>
        <v>2.0314438502673795</v>
      </c>
      <c r="W17" s="52">
        <f t="shared" si="6"/>
        <v>0</v>
      </c>
      <c r="X17" s="52">
        <f t="shared" si="7"/>
        <v>738.43872395721962</v>
      </c>
      <c r="Z17" s="103"/>
    </row>
    <row r="18" spans="2:26" x14ac:dyDescent="0.2">
      <c r="B18" s="103"/>
      <c r="C18" s="2">
        <f t="shared" si="12"/>
        <v>7</v>
      </c>
      <c r="D18" s="2">
        <f t="shared" si="12"/>
        <v>7</v>
      </c>
      <c r="E18" s="2">
        <f t="shared" si="8"/>
        <v>1.9164955509924708E-2</v>
      </c>
      <c r="F18" s="2">
        <f t="shared" si="13"/>
        <v>62.049164955509944</v>
      </c>
      <c r="G18" s="2">
        <f>G17*Parameters!F1115+H17*Parameters!F1240+I17*Parameters!F1281+J17*Parameters!F1311+L17*Parameters!F1343</f>
        <v>548.66310160427815</v>
      </c>
      <c r="H18" s="2">
        <f>G17*Parameters!F1116+H17*Parameters!F1241+I17*Parameters!F1404+J17*Parameters!F1434+L17*Parameters!F1463</f>
        <v>20.320855614973265</v>
      </c>
      <c r="I18" s="2">
        <f>G17*Parameters!F1493+H17*Parameters!F1518+I17*Parameters!F1548+J17*Parameters!F1578+L17*Parameters!F1608</f>
        <v>0</v>
      </c>
      <c r="J18" s="2">
        <f>G17*Parameters!F1117+H17*Parameters!F1659+I17*Parameters!F1689+J17*Parameters!F1719+L17*Parameters!F1749</f>
        <v>1.0695187165775402</v>
      </c>
      <c r="K18" s="2">
        <f>G17*Parameters!F1118+H17*Parameters!F1800+I17*Parameters!F1829+J17*Parameters!F1859+L17*Parameters!F1889</f>
        <v>1.0695187165775402</v>
      </c>
      <c r="L18" s="2">
        <f>K17*Parameters!F1917</f>
        <v>1.0695187165775402</v>
      </c>
      <c r="M18" s="2">
        <f>G17*Parameters!F1119+H17*Parameters!F1947+I17*Parameters!F1975+J17*Parameters!F2005+L17*Parameters!F2034+M17</f>
        <v>285.56149732620327</v>
      </c>
      <c r="N18" s="2">
        <f>G17*Parameters!F1120+H17*Parameters!F2061+I17*Parameters!F2087+J17*Parameters!F2117+L17*Parameters!F2147+N17</f>
        <v>142.24598930481284</v>
      </c>
      <c r="O18" s="2" t="str">
        <f t="shared" si="9"/>
        <v>OK</v>
      </c>
      <c r="P18" s="2">
        <f t="shared" si="10"/>
        <v>0</v>
      </c>
      <c r="Q18" s="2">
        <f t="shared" si="11"/>
        <v>1.0695187165775402</v>
      </c>
      <c r="R18" s="2">
        <f t="shared" si="1"/>
        <v>1.0695187165775402</v>
      </c>
      <c r="S18" s="52">
        <f t="shared" si="2"/>
        <v>0.13681283422459894</v>
      </c>
      <c r="T18" s="52">
        <f t="shared" si="3"/>
        <v>0.62059893048128345</v>
      </c>
      <c r="U18" s="52">
        <f t="shared" si="4"/>
        <v>682.8304565775403</v>
      </c>
      <c r="V18" s="52">
        <f t="shared" si="5"/>
        <v>2.0314438502673799</v>
      </c>
      <c r="W18" s="52">
        <f t="shared" si="6"/>
        <v>0.12698395721925138</v>
      </c>
      <c r="X18" s="52">
        <f t="shared" si="7"/>
        <v>685.74629614973287</v>
      </c>
      <c r="Z18" s="103"/>
    </row>
    <row r="19" spans="2:26" x14ac:dyDescent="0.2">
      <c r="B19" s="103"/>
      <c r="C19" s="2">
        <f t="shared" si="12"/>
        <v>8</v>
      </c>
      <c r="D19" s="2">
        <f t="shared" si="12"/>
        <v>8</v>
      </c>
      <c r="E19" s="2">
        <f t="shared" si="8"/>
        <v>2.190280629705681E-2</v>
      </c>
      <c r="F19" s="2">
        <f t="shared" si="13"/>
        <v>62.051902806297079</v>
      </c>
      <c r="G19" s="2">
        <f>G18*Parameters!F1121+H18*Parameters!F1242+I18*Parameters!F1282+J18*Parameters!F1312+L18*Parameters!F1344</f>
        <v>512.29946524064178</v>
      </c>
      <c r="H19" s="2">
        <f>G18*Parameters!F1122+H18*Parameters!F1243+I18*Parameters!F1405+J18*Parameters!F1435+L18*Parameters!F1464</f>
        <v>16.042780748663105</v>
      </c>
      <c r="I19" s="2">
        <f>G18*Parameters!F1494+H18*Parameters!F1519+I18*Parameters!F1549+J18*Parameters!F1579+L18*Parameters!F1609</f>
        <v>0</v>
      </c>
      <c r="J19" s="2">
        <f>G18*Parameters!F1637+H18*Parameters!F1660+I18*Parameters!F1690+J18*Parameters!F1720+L18*Parameters!F1750</f>
        <v>0</v>
      </c>
      <c r="K19" s="2">
        <f>G18*Parameters!F1778+H18*Parameters!F1801+I18*Parameters!F1830+J18*Parameters!F1860+L18*Parameters!F1890</f>
        <v>0</v>
      </c>
      <c r="L19" s="2">
        <f>K18*Parameters!F1918</f>
        <v>1.0695187165775402</v>
      </c>
      <c r="M19" s="2">
        <f>G18*Parameters!F1123+H18*Parameters!F1948+I18*Parameters!F1976+J18*Parameters!F2006+L18*Parameters!F2035+M18</f>
        <v>320.85561497326211</v>
      </c>
      <c r="N19" s="2">
        <f>G18*Parameters!F1124+H18*Parameters!F2062+I18*Parameters!F2088+J18*Parameters!F2118+L18*Parameters!F1345+N18</f>
        <v>149.73262032085563</v>
      </c>
      <c r="O19" s="2" t="str">
        <f t="shared" si="9"/>
        <v>OK</v>
      </c>
      <c r="P19" s="2">
        <f t="shared" si="10"/>
        <v>0</v>
      </c>
      <c r="Q19" s="2">
        <f t="shared" si="11"/>
        <v>0</v>
      </c>
      <c r="R19" s="2">
        <f t="shared" si="1"/>
        <v>0</v>
      </c>
      <c r="S19" s="52">
        <f t="shared" si="2"/>
        <v>0.12680213903743315</v>
      </c>
      <c r="T19" s="52">
        <f t="shared" si="3"/>
        <v>0</v>
      </c>
      <c r="U19" s="52">
        <f t="shared" si="4"/>
        <v>616.04080213903751</v>
      </c>
      <c r="V19" s="52">
        <f t="shared" si="5"/>
        <v>1.5235828877005353</v>
      </c>
      <c r="W19" s="52">
        <f t="shared" si="6"/>
        <v>0</v>
      </c>
      <c r="X19" s="52">
        <f t="shared" si="7"/>
        <v>617.69118716577543</v>
      </c>
      <c r="Z19" s="103"/>
    </row>
    <row r="20" spans="2:26" x14ac:dyDescent="0.2">
      <c r="B20" s="103"/>
      <c r="C20" s="2">
        <f t="shared" si="12"/>
        <v>9</v>
      </c>
      <c r="D20" s="2">
        <f t="shared" si="12"/>
        <v>9</v>
      </c>
      <c r="E20" s="2">
        <f t="shared" si="8"/>
        <v>2.4640657084188913E-2</v>
      </c>
      <c r="F20" s="2">
        <f t="shared" si="13"/>
        <v>62.054640657084214</v>
      </c>
      <c r="G20" s="2">
        <f>G19*Parameters!F1125+H19*Parameters!F1244+I19*Parameters!F1283+J19*Parameters!F1313+L19*Parameters!F1346</f>
        <v>472.7272727272728</v>
      </c>
      <c r="H20" s="2">
        <f>G19*Parameters!F1126+H19*Parameters!F1378+I19*Parameters!F1406+J19*Parameters!F1436+L19*Parameters!F1465</f>
        <v>12.834224598930483</v>
      </c>
      <c r="I20" s="2">
        <f>G19*Parameters!F1127+H19*Parameters!F1520+I19*Parameters!F1550+J19*Parameters!F1580+L19*Parameters!F1610</f>
        <v>1.0695187165775402</v>
      </c>
      <c r="J20" s="2">
        <f>G19*Parameters!F1128+H19*Parameters!F1661+I19*Parameters!F1691+J19*Parameters!F1721+L19*Parameters!F1751</f>
        <v>1.0695187165775402</v>
      </c>
      <c r="K20" s="2">
        <f>G19*Parameters!F1779+H19*Parameters!F1245+I19*Parameters!F1831+J19*Parameters!F1861+L19*Parameters!F1891</f>
        <v>1.0695187165775404</v>
      </c>
      <c r="L20" s="2">
        <f>K19*Parameters!F1919</f>
        <v>0</v>
      </c>
      <c r="M20" s="2">
        <f>G19*Parameters!F1129+H19*Parameters!F1949+I19*Parameters!F1977+J19*Parameters!F2007+L19*Parameters!F2036+M19</f>
        <v>355.08021390374341</v>
      </c>
      <c r="N20" s="2">
        <f>G19*Parameters!F1130+H19*Parameters!F1246+I19*Parameters!F2089+J19*Parameters!F2119+L19*Parameters!F1347+N19</f>
        <v>156.14973262032086</v>
      </c>
      <c r="O20" s="2" t="str">
        <f t="shared" si="9"/>
        <v>OK</v>
      </c>
      <c r="P20" s="2">
        <f t="shared" si="10"/>
        <v>1.0695187165775402</v>
      </c>
      <c r="Q20" s="2">
        <f t="shared" si="11"/>
        <v>1.0695187165775402</v>
      </c>
      <c r="R20" s="2">
        <f t="shared" si="1"/>
        <v>2.1390374331550803</v>
      </c>
      <c r="S20" s="52">
        <f t="shared" si="2"/>
        <v>0.11679144385026739</v>
      </c>
      <c r="T20" s="52">
        <f t="shared" si="3"/>
        <v>1.2411978609625669</v>
      </c>
      <c r="U20" s="52">
        <f t="shared" si="4"/>
        <v>602.04110566844918</v>
      </c>
      <c r="V20" s="52">
        <f t="shared" si="5"/>
        <v>1.320438502673797</v>
      </c>
      <c r="W20" s="52">
        <f t="shared" si="6"/>
        <v>0</v>
      </c>
      <c r="X20" s="52">
        <f t="shared" si="7"/>
        <v>604.7195334759358</v>
      </c>
      <c r="Z20" s="103"/>
    </row>
    <row r="21" spans="2:26" x14ac:dyDescent="0.2">
      <c r="B21" s="103"/>
      <c r="C21" s="2">
        <f t="shared" si="12"/>
        <v>10</v>
      </c>
      <c r="D21" s="2">
        <f t="shared" si="12"/>
        <v>10</v>
      </c>
      <c r="E21" s="2">
        <f t="shared" si="8"/>
        <v>2.7378507871321012E-2</v>
      </c>
      <c r="F21" s="2">
        <f t="shared" si="13"/>
        <v>62.057378507871348</v>
      </c>
      <c r="G21" s="2">
        <f>G20*Parameters!F1131+H20*Parameters!F1247+I20*Parameters!F1284+J20*Parameters!F1314+L20*Parameters!F1348</f>
        <v>449.19786096256684</v>
      </c>
      <c r="H21" s="2">
        <f>G20*Parameters!F1132+H20*Parameters!F1379+I20*Parameters!F1407+J20*Parameters!F1437+L20*Parameters!F1466</f>
        <v>5.3475935828877015</v>
      </c>
      <c r="I21" s="2">
        <f>G20*Parameters!F1133+H20*Parameters!F1521+I20*Parameters!F1551+J20*Parameters!F1581+L20*Parameters!F1611</f>
        <v>1.0695187165775404</v>
      </c>
      <c r="J21" s="2">
        <f>G20*Parameters!F1134+H20*Parameters!F1662+I20*Parameters!F1692+J20*Parameters!F1722+L20*Parameters!F1752</f>
        <v>1.0695187165775404</v>
      </c>
      <c r="K21" s="2">
        <f>G20*Parameters!F1780+H20*Parameters!F1802+I20*Parameters!F1832+J20*Parameters!F1862+L20*Parameters!F1892</f>
        <v>0</v>
      </c>
      <c r="L21" s="2">
        <f>K20*Parameters!F1920</f>
        <v>1.0695187165775404</v>
      </c>
      <c r="M21" s="2">
        <f>G20*Parameters!F1135+H20*Parameters!F1950+I20*Parameters!F1978+J20*Parameters!F2008+L20*Parameters!F2037+M20</f>
        <v>380.74866310160439</v>
      </c>
      <c r="N21" s="2">
        <f>G20*Parameters!F1136+H20*Parameters!F2063+I20*Parameters!F2090+J20*Parameters!F2120+L20*Parameters!F2148+N20</f>
        <v>161.49732620320856</v>
      </c>
      <c r="O21" s="2" t="str">
        <f t="shared" si="9"/>
        <v>OK</v>
      </c>
      <c r="P21" s="2">
        <f t="shared" si="10"/>
        <v>1.0695187165775404</v>
      </c>
      <c r="Q21" s="2">
        <f t="shared" si="11"/>
        <v>1.0695187165775404</v>
      </c>
      <c r="R21" s="2">
        <f t="shared" si="1"/>
        <v>2.1390374331550808</v>
      </c>
      <c r="S21" s="52">
        <f t="shared" si="2"/>
        <v>0.1093475935828877</v>
      </c>
      <c r="T21" s="52">
        <f t="shared" si="3"/>
        <v>1.2411978609625671</v>
      </c>
      <c r="U21" s="52">
        <f t="shared" si="4"/>
        <v>572.25451743315512</v>
      </c>
      <c r="V21" s="52">
        <f t="shared" si="5"/>
        <v>0.60943315508021401</v>
      </c>
      <c r="W21" s="52">
        <f t="shared" si="6"/>
        <v>0.12698395721925135</v>
      </c>
      <c r="X21" s="52">
        <f t="shared" si="7"/>
        <v>574.34148000000005</v>
      </c>
      <c r="Z21" s="103"/>
    </row>
    <row r="22" spans="2:26" x14ac:dyDescent="0.2">
      <c r="B22" s="103"/>
      <c r="C22" s="2">
        <f t="shared" si="12"/>
        <v>11</v>
      </c>
      <c r="D22" s="2">
        <f t="shared" si="12"/>
        <v>11</v>
      </c>
      <c r="E22" s="2">
        <f t="shared" si="8"/>
        <v>3.0116358658453114E-2</v>
      </c>
      <c r="F22" s="2">
        <f t="shared" si="13"/>
        <v>62.060116358658483</v>
      </c>
      <c r="G22" s="2">
        <f>G21*Parameters!F1137+H21*Parameters!F1248+I21*Parameters!F1285+J21*Parameters!F1315+L21*Parameters!F1349</f>
        <v>421.39037433155084</v>
      </c>
      <c r="H22" s="2">
        <f>G21*Parameters!F1138+H21*Parameters!F1380+I21*Parameters!F1408+J21*Parameters!F1438+L21*Parameters!F1467</f>
        <v>10.695187165775399</v>
      </c>
      <c r="I22" s="2">
        <f>G21*Parameters!F1495+H21*Parameters!F1522+I21*Parameters!F1552+J21*Parameters!F1582+L21*Parameters!F1612</f>
        <v>0</v>
      </c>
      <c r="J22" s="2">
        <f>G21*Parameters!F1139+H21*Parameters!F1663+I21*Parameters!F1693+J21*Parameters!F1723+L21*Parameters!F1753</f>
        <v>1.0695187165775402</v>
      </c>
      <c r="K22" s="2">
        <f>G21*Parameters!F1781+H21*Parameters!F1803+I21*Parameters!F1833+J21*Parameters!F1863+L21*Parameters!F1893</f>
        <v>0</v>
      </c>
      <c r="L22" s="2">
        <f>K21*Parameters!F1921</f>
        <v>0</v>
      </c>
      <c r="M22" s="2">
        <f>G21*Parameters!F1140+H21*Parameters!F1951+I21*Parameters!F1979+J21*Parameters!F1316+L21*Parameters!F1350+M21</f>
        <v>397.86096256684505</v>
      </c>
      <c r="N22" s="2">
        <f>G21*Parameters!F1141+H21*Parameters!F2064+I21*Parameters!F2091+J21*Parameters!F2121+L21*Parameters!F2149+N21</f>
        <v>168.98395721925135</v>
      </c>
      <c r="O22" s="2" t="str">
        <f t="shared" si="9"/>
        <v>OK</v>
      </c>
      <c r="P22" s="2">
        <f t="shared" si="10"/>
        <v>0</v>
      </c>
      <c r="Q22" s="2">
        <f t="shared" si="11"/>
        <v>1.0695187165775402</v>
      </c>
      <c r="R22" s="2">
        <f t="shared" si="1"/>
        <v>1.0695187165775402</v>
      </c>
      <c r="S22" s="52">
        <f t="shared" si="2"/>
        <v>0.1039572192513369</v>
      </c>
      <c r="T22" s="52">
        <f t="shared" si="3"/>
        <v>0.62059893048128345</v>
      </c>
      <c r="U22" s="52">
        <f t="shared" si="4"/>
        <v>519.00422128342257</v>
      </c>
      <c r="V22" s="52">
        <f t="shared" si="5"/>
        <v>1.1172941176470588</v>
      </c>
      <c r="W22" s="52">
        <f t="shared" si="6"/>
        <v>0</v>
      </c>
      <c r="X22" s="52">
        <f t="shared" si="7"/>
        <v>520.84607155080221</v>
      </c>
      <c r="Z22" s="103"/>
    </row>
    <row r="23" spans="2:26" x14ac:dyDescent="0.2">
      <c r="B23" s="103"/>
      <c r="C23" s="2">
        <f t="shared" si="12"/>
        <v>12</v>
      </c>
      <c r="D23" s="2">
        <f t="shared" si="12"/>
        <v>12</v>
      </c>
      <c r="E23" s="2">
        <f t="shared" si="8"/>
        <v>3.2854209445585217E-2</v>
      </c>
      <c r="F23" s="2">
        <f t="shared" si="13"/>
        <v>62.062854209445618</v>
      </c>
      <c r="G23" s="2">
        <f>G22*Parameters!F1142+H22*Parameters!F1249+I22*Parameters!F1286+J22*Parameters!F1317+L22*Parameters!F1351</f>
        <v>390.37433155080214</v>
      </c>
      <c r="H23" s="2">
        <f>G22*Parameters!F1143+H22*Parameters!F1250+I22*Parameters!F1409+J22*Parameters!F1439+L22*Parameters!F1468</f>
        <v>8.5561497326203231</v>
      </c>
      <c r="I23" s="2">
        <f>G22*Parameters!F1144+H22*Parameters!F1523+I22*Parameters!F1553+J22*Parameters!F1583+L22*Parameters!F1613</f>
        <v>1.0695187165775402</v>
      </c>
      <c r="J23" s="2">
        <f>G22*Parameters!F1145+H22*Parameters!F1664+I22*Parameters!F1694+J22*Parameters!F1724+L22*Parameters!F1754</f>
        <v>1.0695187165775402</v>
      </c>
      <c r="K23" s="2">
        <f>G22*Parameters!F1146+H22*Parameters!F1804+I22*Parameters!F1834+J22*Parameters!F1864+L22*Parameters!F1894</f>
        <v>1.0695187165775402</v>
      </c>
      <c r="L23" s="2">
        <f>K22*Parameters!F1922</f>
        <v>0</v>
      </c>
      <c r="M23" s="2">
        <f>G22*Parameters!F1147+H22*Parameters!F1952+I22*Parameters!F1980+J22*Parameters!F2009+L22*Parameters!F2038+M22</f>
        <v>418.1818181818183</v>
      </c>
      <c r="N23" s="2">
        <f>G22*Parameters!F1148+H22*Parameters!F2065+I22*Parameters!F2092+J22*Parameters!F2122+L22*Parameters!F2150+N22</f>
        <v>179.67914438502675</v>
      </c>
      <c r="O23" s="2" t="str">
        <f t="shared" si="9"/>
        <v>OK</v>
      </c>
      <c r="P23" s="2">
        <f t="shared" si="10"/>
        <v>1.0695187165775402</v>
      </c>
      <c r="Q23" s="2">
        <f t="shared" si="11"/>
        <v>1.0695187165775402</v>
      </c>
      <c r="R23" s="2">
        <f t="shared" si="1"/>
        <v>2.1390374331550803</v>
      </c>
      <c r="S23" s="52">
        <f t="shared" si="2"/>
        <v>9.6000000000000002E-2</v>
      </c>
      <c r="T23" s="52">
        <f t="shared" si="3"/>
        <v>1.2411978609625669</v>
      </c>
      <c r="U23" s="52">
        <f t="shared" si="4"/>
        <v>500.49591850267387</v>
      </c>
      <c r="V23" s="52">
        <f t="shared" si="5"/>
        <v>0.91414973262032106</v>
      </c>
      <c r="W23" s="52">
        <f t="shared" si="6"/>
        <v>0</v>
      </c>
      <c r="X23" s="52">
        <f t="shared" si="7"/>
        <v>502.74726609625679</v>
      </c>
      <c r="Z23" s="103"/>
    </row>
    <row r="24" spans="2:26" x14ac:dyDescent="0.2">
      <c r="B24" s="103"/>
      <c r="C24" s="2">
        <f t="shared" si="12"/>
        <v>13</v>
      </c>
      <c r="D24" s="2">
        <f t="shared" si="12"/>
        <v>13</v>
      </c>
      <c r="E24" s="2">
        <f t="shared" si="8"/>
        <v>3.5592060232717319E-2</v>
      </c>
      <c r="F24" s="2">
        <f t="shared" si="13"/>
        <v>62.065592060232753</v>
      </c>
      <c r="G24" s="2">
        <f>G23*Parameters!F1149+H23*Parameters!F1251+I23*Parameters!F1287+J23*Parameters!F1318+L23*Parameters!F1352</f>
        <v>359.35828877005349</v>
      </c>
      <c r="H24" s="2">
        <f>G23*Parameters!F1150+H23*Parameters!F1381+I23*Parameters!F1410+J23*Parameters!F1319+L23*Parameters!F1469</f>
        <v>14.973262032085563</v>
      </c>
      <c r="I24" s="2">
        <f>G23*Parameters!F1151+H23*Parameters!F1524+I23*Parameters!F1554+J23*Parameters!F1584+L23*Parameters!F1614</f>
        <v>1.0695187165775402</v>
      </c>
      <c r="J24" s="2">
        <f>G23*Parameters!F1638+H23*Parameters!F1665+I23*Parameters!F1695+J23*Parameters!F1725+L23*Parameters!F1755</f>
        <v>0</v>
      </c>
      <c r="K24" s="2">
        <f>G23*Parameters!F1782+H23*Parameters!F1805+I23*Parameters!F1835+J23*Parameters!F1865+L23*Parameters!F1895</f>
        <v>0</v>
      </c>
      <c r="L24" s="2">
        <f>K23*Parameters!F1923</f>
        <v>1.0695187165775402</v>
      </c>
      <c r="M24" s="2">
        <f>G23*Parameters!F1152+H23*Parameters!F1953+I23*Parameters!F1981+J23*Parameters!F2010+L23*Parameters!F2039+M23</f>
        <v>436.36363636363649</v>
      </c>
      <c r="N24" s="2">
        <f>G23*Parameters!F1153+H23*Parameters!F2066+I23*Parameters!F2093+J23*Parameters!F2123+L23*Parameters!F2151+N23</f>
        <v>187.16577540106954</v>
      </c>
      <c r="O24" s="2" t="str">
        <f t="shared" si="9"/>
        <v>OK</v>
      </c>
      <c r="P24" s="2">
        <f t="shared" si="10"/>
        <v>1.0695187165775402</v>
      </c>
      <c r="Q24" s="2">
        <f t="shared" si="11"/>
        <v>0</v>
      </c>
      <c r="R24" s="2">
        <f t="shared" si="1"/>
        <v>1.0695187165775402</v>
      </c>
      <c r="S24" s="52">
        <f t="shared" si="2"/>
        <v>8.9839572192513373E-2</v>
      </c>
      <c r="T24" s="52">
        <f t="shared" si="3"/>
        <v>0.62059893048128345</v>
      </c>
      <c r="U24" s="52">
        <f t="shared" si="4"/>
        <v>455.36923732620323</v>
      </c>
      <c r="V24" s="52">
        <f t="shared" si="5"/>
        <v>1.4220106951871658</v>
      </c>
      <c r="W24" s="52">
        <f t="shared" si="6"/>
        <v>0</v>
      </c>
      <c r="X24" s="52">
        <f t="shared" si="7"/>
        <v>457.50168652406421</v>
      </c>
      <c r="Z24" s="103"/>
    </row>
    <row r="25" spans="2:26" x14ac:dyDescent="0.2">
      <c r="B25" s="103"/>
      <c r="C25" s="2">
        <f t="shared" si="12"/>
        <v>14</v>
      </c>
      <c r="D25" s="2">
        <f t="shared" si="12"/>
        <v>14</v>
      </c>
      <c r="E25" s="2">
        <f t="shared" si="8"/>
        <v>3.8329911019849415E-2</v>
      </c>
      <c r="F25" s="2">
        <f t="shared" si="13"/>
        <v>62.068329911019887</v>
      </c>
      <c r="G25" s="2">
        <f>G24*Parameters!F1154+H24*Parameters!F1252+I24*Parameters!F1288+J24*Parameters!F1320+L24*Parameters!F1353</f>
        <v>344.38502673796791</v>
      </c>
      <c r="H25" s="2">
        <f>G24*Parameters!F1155+H24*Parameters!F1382+I24*Parameters!F1411+J24*Parameters!F1440+L24*Parameters!F1470</f>
        <v>5.3475935828877006</v>
      </c>
      <c r="I25" s="2">
        <f>G24*Parameters!F1496+H24*Parameters!F1525+I24*Parameters!F1555+J24*Parameters!F1585+L24*Parameters!F1615</f>
        <v>0</v>
      </c>
      <c r="J25" s="2">
        <f>G24*Parameters!F1639+H24*Parameters!F1666+I24*Parameters!F1696+J24*Parameters!F1726+L24*Parameters!F1756</f>
        <v>0</v>
      </c>
      <c r="K25" s="2">
        <f>G24*Parameters!F1783+H24*Parameters!F1806+I24*Parameters!F1836+J24*Parameters!F1866+L24*Parameters!F1896</f>
        <v>0</v>
      </c>
      <c r="L25" s="2">
        <f>K24*Parameters!F1924</f>
        <v>0</v>
      </c>
      <c r="M25" s="2">
        <f>G24*Parameters!F1156+H24*Parameters!F1253+I24*Parameters!F1982+J24*Parameters!F2011+L24*Parameters!F2040+M24</f>
        <v>454.54545454545467</v>
      </c>
      <c r="N25" s="2">
        <f>G24*Parameters!F1157+H24*Parameters!F1254+I24*Parameters!F2094+J24*Parameters!F2124+L24*Parameters!F2152+N24</f>
        <v>195.72192513368987</v>
      </c>
      <c r="O25" s="2" t="str">
        <f t="shared" si="9"/>
        <v>OK</v>
      </c>
      <c r="P25" s="2">
        <f t="shared" si="10"/>
        <v>0</v>
      </c>
      <c r="Q25" s="2">
        <f t="shared" si="11"/>
        <v>0</v>
      </c>
      <c r="R25" s="2">
        <f t="shared" si="1"/>
        <v>0</v>
      </c>
      <c r="S25" s="52">
        <f t="shared" si="2"/>
        <v>8.3935828877005347E-2</v>
      </c>
      <c r="T25" s="52">
        <f t="shared" si="3"/>
        <v>0</v>
      </c>
      <c r="U25" s="52">
        <f t="shared" si="4"/>
        <v>411.59649197860955</v>
      </c>
      <c r="V25" s="52">
        <f t="shared" si="5"/>
        <v>0.50786096256684488</v>
      </c>
      <c r="W25" s="52">
        <f t="shared" si="6"/>
        <v>0</v>
      </c>
      <c r="X25" s="52">
        <f t="shared" si="7"/>
        <v>412.18828877005342</v>
      </c>
      <c r="Z25" s="103"/>
    </row>
    <row r="26" spans="2:26" x14ac:dyDescent="0.2">
      <c r="B26" s="103"/>
      <c r="C26" s="2">
        <f t="shared" si="12"/>
        <v>15</v>
      </c>
      <c r="D26" s="2">
        <f t="shared" si="12"/>
        <v>15</v>
      </c>
      <c r="E26" s="2">
        <f t="shared" si="8"/>
        <v>4.1067761806981518E-2</v>
      </c>
      <c r="F26" s="2">
        <f t="shared" si="13"/>
        <v>62.071067761807022</v>
      </c>
      <c r="G26" s="2">
        <f>G25*Parameters!F1158+H25*Parameters!F1255+I25*Parameters!F1289+J25*Parameters!F1321+L25*Parameters!F1354</f>
        <v>315.50802139037427</v>
      </c>
      <c r="H26" s="2">
        <f>G25*Parameters!F1159+H25*Parameters!F1383+I25*Parameters!F1412+J25*Parameters!F1441+L25*Parameters!F1471</f>
        <v>9.6256684491978604</v>
      </c>
      <c r="I26" s="2">
        <f>G25*Parameters!F1497+H25*Parameters!F1526+I25*Parameters!F1556+J25*Parameters!F1586+L25*Parameters!F1616</f>
        <v>0</v>
      </c>
      <c r="J26" s="2">
        <f>G25*Parameters!F1640+H25*Parameters!F1667+I25*Parameters!F1697+J25*Parameters!F1727+L25*Parameters!F1757</f>
        <v>0</v>
      </c>
      <c r="K26" s="2">
        <f>G25*Parameters!F1784+H25*Parameters!F1807+I25*Parameters!F1837+J25*Parameters!F1867+L25*Parameters!F1897</f>
        <v>0</v>
      </c>
      <c r="L26" s="2">
        <f>K25*Parameters!F1925</f>
        <v>0</v>
      </c>
      <c r="M26" s="2">
        <f>G25*Parameters!F1160+H25*Parameters!F1256+I25*Parameters!F1983+J25*Parameters!F2012+L25*Parameters!F2041+M25</f>
        <v>471.65775401069533</v>
      </c>
      <c r="N26" s="2">
        <f>G25*Parameters!F1161+H25*Parameters!F2067+I25*Parameters!F2095+J25*Parameters!F2125+L25*Parameters!F2153+N25</f>
        <v>203.20855614973266</v>
      </c>
      <c r="O26" s="2" t="str">
        <f t="shared" si="9"/>
        <v>OK</v>
      </c>
      <c r="P26" s="2">
        <f t="shared" si="10"/>
        <v>0</v>
      </c>
      <c r="Q26" s="2">
        <f t="shared" si="11"/>
        <v>0</v>
      </c>
      <c r="R26" s="2">
        <f t="shared" si="1"/>
        <v>0</v>
      </c>
      <c r="S26" s="52">
        <f t="shared" si="2"/>
        <v>7.8032085561497308E-2</v>
      </c>
      <c r="T26" s="52">
        <f t="shared" si="3"/>
        <v>0</v>
      </c>
      <c r="U26" s="52">
        <f t="shared" si="4"/>
        <v>384.51777540106951</v>
      </c>
      <c r="V26" s="52">
        <f t="shared" si="5"/>
        <v>0.91414973262032073</v>
      </c>
      <c r="W26" s="52">
        <f t="shared" si="6"/>
        <v>0.12698395721925132</v>
      </c>
      <c r="X26" s="52">
        <f t="shared" si="7"/>
        <v>385.6369411764706</v>
      </c>
      <c r="Z26" s="103"/>
    </row>
    <row r="27" spans="2:26" x14ac:dyDescent="0.2">
      <c r="B27" s="103"/>
      <c r="C27" s="2">
        <f t="shared" si="12"/>
        <v>16</v>
      </c>
      <c r="D27" s="2">
        <f t="shared" si="12"/>
        <v>16</v>
      </c>
      <c r="E27" s="2">
        <f t="shared" si="8"/>
        <v>4.380561259411362E-2</v>
      </c>
      <c r="F27" s="2">
        <f t="shared" si="13"/>
        <v>62.073805612594157</v>
      </c>
      <c r="G27" s="2">
        <f>G26*Parameters!F1162+H26*Parameters!F1257+I26*Parameters!F1290+J26*Parameters!F1322+L26*Parameters!F1355</f>
        <v>296.25668449197855</v>
      </c>
      <c r="H27" s="2">
        <f>G26*Parameters!F1163+H26*Parameters!F1384+I26*Parameters!F1413+J26*Parameters!F1442+L26*Parameters!F1472</f>
        <v>7.4866310160427796</v>
      </c>
      <c r="I27" s="2">
        <f>G26*Parameters!F1498+H26*Parameters!F1527+I26*Parameters!F1557+J26*Parameters!F1587+L26*Parameters!F1617</f>
        <v>0</v>
      </c>
      <c r="J27" s="2">
        <f>G26*Parameters!F1641+H26*Parameters!F1668+I26*Parameters!F1698+J26*Parameters!F1728+L26*Parameters!F1758</f>
        <v>0</v>
      </c>
      <c r="K27" s="2">
        <f>G26*Parameters!F1785+H26*Parameters!F1808+I26*Parameters!F1838+J26*Parameters!F1868+L26*Parameters!F1898</f>
        <v>0</v>
      </c>
      <c r="L27" s="2">
        <f>K26*Parameters!F1926</f>
        <v>0</v>
      </c>
      <c r="M27" s="2">
        <f>G26*Parameters!F1164+H26*Parameters!F1954+I26*Parameters!F1984+J26*Parameters!F2013+L26*Parameters!F2042+M26</f>
        <v>488.77005347593598</v>
      </c>
      <c r="N27" s="2">
        <f>G26*Parameters!F1165+H26*Parameters!F2068+I26*Parameters!F2096+J26*Parameters!F2126+L26*Parameters!F2154+N26</f>
        <v>207.48663101604282</v>
      </c>
      <c r="O27" s="2" t="str">
        <f t="shared" si="9"/>
        <v>OK</v>
      </c>
      <c r="P27" s="2">
        <f t="shared" si="10"/>
        <v>0</v>
      </c>
      <c r="Q27" s="2">
        <f t="shared" si="11"/>
        <v>0</v>
      </c>
      <c r="R27" s="2">
        <f t="shared" si="1"/>
        <v>0</v>
      </c>
      <c r="S27" s="52">
        <f t="shared" si="2"/>
        <v>7.2898395721925122E-2</v>
      </c>
      <c r="T27" s="52">
        <f t="shared" si="3"/>
        <v>0</v>
      </c>
      <c r="U27" s="52">
        <f t="shared" si="4"/>
        <v>361.5008663101604</v>
      </c>
      <c r="V27" s="52">
        <f t="shared" si="5"/>
        <v>0.7110053475935828</v>
      </c>
      <c r="W27" s="52">
        <f t="shared" si="6"/>
        <v>0</v>
      </c>
      <c r="X27" s="52">
        <f t="shared" si="7"/>
        <v>362.28477005347594</v>
      </c>
      <c r="Z27" s="103"/>
    </row>
    <row r="28" spans="2:26" x14ac:dyDescent="0.2">
      <c r="B28" s="103"/>
      <c r="C28" s="2">
        <f t="shared" si="12"/>
        <v>17</v>
      </c>
      <c r="D28" s="2">
        <f t="shared" si="12"/>
        <v>17</v>
      </c>
      <c r="E28" s="2">
        <f t="shared" si="8"/>
        <v>4.6543463381245723E-2</v>
      </c>
      <c r="F28" s="2">
        <f t="shared" si="13"/>
        <v>62.076543463381292</v>
      </c>
      <c r="G28" s="2">
        <f>G27*Parameters!F1166+H27*Parameters!F1258+I27*Parameters!F1291+J27*Parameters!F1323+L27*Parameters!F1356</f>
        <v>278.07486631016036</v>
      </c>
      <c r="H28" s="2">
        <f>G27*Parameters!F1167+H27*Parameters!F1385+I27*Parameters!F1414+J27*Parameters!F1443+L27*Parameters!F1473</f>
        <v>6.4171122994652388</v>
      </c>
      <c r="I28" s="2">
        <f>G27*Parameters!F1499+H27*Parameters!F1528+I27*Parameters!F1558+J27*Parameters!F1588+L27*Parameters!F1618</f>
        <v>0</v>
      </c>
      <c r="J28" s="2">
        <f>G27*Parameters!F1168+H27*Parameters!F1669+I27*Parameters!F1699+J27*Parameters!F1729+L27*Parameters!F1759</f>
        <v>1.0695187165775399</v>
      </c>
      <c r="K28" s="2">
        <f>G27*Parameters!F1169+H27*Parameters!F1809+I27*Parameters!F1839+J27*Parameters!F1869+L27*Parameters!F1899</f>
        <v>1.0695187165775399</v>
      </c>
      <c r="L28" s="2">
        <f>K27*Parameters!F1927</f>
        <v>0</v>
      </c>
      <c r="M28" s="2">
        <f>G27*Parameters!F1170+H27*Parameters!F1955+I27*Parameters!F1985+J27*Parameters!F2014+L27*Parameters!F2043+M27</f>
        <v>501.60427807486644</v>
      </c>
      <c r="N28" s="2">
        <f>G27*Parameters!F1171+H27*Parameters!F2069+I27*Parameters!F2097+J27*Parameters!F2127+L27*Parameters!F2155+N27</f>
        <v>211.76470588235298</v>
      </c>
      <c r="O28" s="2" t="str">
        <f t="shared" si="9"/>
        <v>OK</v>
      </c>
      <c r="P28" s="2">
        <f t="shared" si="10"/>
        <v>0</v>
      </c>
      <c r="Q28" s="2">
        <f t="shared" si="11"/>
        <v>1.0695187165775399</v>
      </c>
      <c r="R28" s="2">
        <f t="shared" si="1"/>
        <v>1.0695187165775399</v>
      </c>
      <c r="S28" s="52">
        <f t="shared" si="2"/>
        <v>6.853475935828876E-2</v>
      </c>
      <c r="T28" s="52">
        <f t="shared" si="3"/>
        <v>0.62059893048128334</v>
      </c>
      <c r="U28" s="52">
        <f t="shared" si="4"/>
        <v>356.53192181818167</v>
      </c>
      <c r="V28" s="52">
        <f t="shared" si="5"/>
        <v>0.71100534759358269</v>
      </c>
      <c r="W28" s="52">
        <f t="shared" si="6"/>
        <v>0</v>
      </c>
      <c r="X28" s="52">
        <f t="shared" si="7"/>
        <v>357.93206085561485</v>
      </c>
      <c r="Z28" s="103"/>
    </row>
    <row r="29" spans="2:26" x14ac:dyDescent="0.2">
      <c r="B29" s="103"/>
      <c r="C29" s="2">
        <f t="shared" ref="C29:D41" si="14">C28+1</f>
        <v>18</v>
      </c>
      <c r="D29" s="2">
        <f t="shared" si="14"/>
        <v>18</v>
      </c>
      <c r="E29" s="2">
        <f t="shared" si="8"/>
        <v>4.9281314168377825E-2</v>
      </c>
      <c r="F29" s="2">
        <f t="shared" si="13"/>
        <v>62.079281314168426</v>
      </c>
      <c r="G29" s="2">
        <f>G28*Parameters!F1172+H28*Parameters!F1259+I28*Parameters!F1292+J28*Parameters!F1324+L28*Parameters!F1357</f>
        <v>258.82352941176464</v>
      </c>
      <c r="H29" s="2">
        <f>G28*Parameters!F1173+H28*Parameters!F1386+I28*Parameters!F1415+J28*Parameters!F1444+L28*Parameters!F1474</f>
        <v>11.764705882352938</v>
      </c>
      <c r="I29" s="2">
        <f>G28*Parameters!F1500+H28*Parameters!F1529+I28*Parameters!F1559+J28*Parameters!F1589+L28*Parameters!F1619</f>
        <v>0</v>
      </c>
      <c r="J29" s="2">
        <f>G28*Parameters!F1174+H28*Parameters!F1670+I28*Parameters!F1700+J28*Parameters!F1730+L28*Parameters!F1760</f>
        <v>1.0695187165775399</v>
      </c>
      <c r="K29" s="2">
        <f>G28*Parameters!F1786+H28*Parameters!F1810+I28*Parameters!F1840+J28*Parameters!F1870+L28*Parameters!F1900</f>
        <v>0</v>
      </c>
      <c r="L29" s="2">
        <f>K28*Parameters!F1928</f>
        <v>1.0695187165775399</v>
      </c>
      <c r="M29" s="2">
        <f>G28*Parameters!F1175+H28*Parameters!F1956+I28*Parameters!F1986+J28*Parameters!F2015+L28*Parameters!F2044+M28</f>
        <v>509.09090909090924</v>
      </c>
      <c r="N29" s="2">
        <f>G28*Parameters!F1176+H28*Parameters!F1260+I28*Parameters!F2098+J28*Parameters!F2128+L28*Parameters!F2156+N28</f>
        <v>218.18181818181822</v>
      </c>
      <c r="O29" s="2" t="str">
        <f t="shared" si="9"/>
        <v>OK</v>
      </c>
      <c r="P29" s="2">
        <f t="shared" si="10"/>
        <v>0</v>
      </c>
      <c r="Q29" s="2">
        <f t="shared" si="11"/>
        <v>1.0695187165775399</v>
      </c>
      <c r="R29" s="2">
        <f t="shared" si="1"/>
        <v>1.0695187165775399</v>
      </c>
      <c r="S29" s="52">
        <f t="shared" si="2"/>
        <v>6.5197860962566814E-2</v>
      </c>
      <c r="T29" s="52">
        <f t="shared" si="3"/>
        <v>0.62059893048128334</v>
      </c>
      <c r="U29" s="52">
        <f t="shared" si="4"/>
        <v>325.3913977540106</v>
      </c>
      <c r="V29" s="52">
        <f t="shared" si="5"/>
        <v>1.2188663101604276</v>
      </c>
      <c r="W29" s="52">
        <f t="shared" si="6"/>
        <v>0.12698395721925129</v>
      </c>
      <c r="X29" s="52">
        <f t="shared" si="7"/>
        <v>327.42304481283412</v>
      </c>
      <c r="Z29" s="103"/>
    </row>
    <row r="30" spans="2:26" x14ac:dyDescent="0.2">
      <c r="B30" s="103"/>
      <c r="C30" s="2">
        <f t="shared" si="14"/>
        <v>19</v>
      </c>
      <c r="D30" s="2">
        <f t="shared" si="14"/>
        <v>19</v>
      </c>
      <c r="E30" s="2">
        <f t="shared" si="8"/>
        <v>5.2019164955509921E-2</v>
      </c>
      <c r="F30" s="2">
        <f t="shared" si="13"/>
        <v>62.082019164955561</v>
      </c>
      <c r="G30" s="2">
        <f>G29*Parameters!F1177+H29*Parameters!F1261+I29*Parameters!F1293+J29*Parameters!F1325+L29*Parameters!F1358</f>
        <v>238.50267379679136</v>
      </c>
      <c r="H30" s="2">
        <f>G29*Parameters!F1178+H29*Parameters!F1262+I29*Parameters!F1416+J29*Parameters!F1445+L29*Parameters!F1475</f>
        <v>8.5561497326203195</v>
      </c>
      <c r="I30" s="2">
        <f>G29*Parameters!F1501+H29*Parameters!F1530+I29*Parameters!F1560+J29*Parameters!F1590+L29*Parameters!F1620</f>
        <v>0</v>
      </c>
      <c r="J30" s="2">
        <f>G29*Parameters!F1179+H29*Parameters!F1671+I29*Parameters!F1701+J29*Parameters!F1731+L29*Parameters!F1761</f>
        <v>1.0695187165775399</v>
      </c>
      <c r="K30" s="2">
        <f>G29*Parameters!F1787+H29*Parameters!F1811+I29*Parameters!F1841+J29*Parameters!F1871+L29*Parameters!F1901</f>
        <v>0</v>
      </c>
      <c r="L30" s="2">
        <f>K29*Parameters!F1929</f>
        <v>0</v>
      </c>
      <c r="M30" s="2">
        <f>G29*Parameters!F1180+H29*Parameters!F1957+I29*Parameters!F1987+J29*Parameters!F2016+L29*Parameters!F2045+M29</f>
        <v>521.92513368983975</v>
      </c>
      <c r="N30" s="2">
        <f>G29*Parameters!F1181+H29*Parameters!F2070+I29*Parameters!F2099+J29*Parameters!F2129+L29*Parameters!F2157+N29</f>
        <v>229.94652406417114</v>
      </c>
      <c r="O30" s="2" t="str">
        <f t="shared" si="9"/>
        <v>OK</v>
      </c>
      <c r="P30" s="2">
        <f t="shared" si="10"/>
        <v>0</v>
      </c>
      <c r="Q30" s="2">
        <f t="shared" si="11"/>
        <v>1.0695187165775399</v>
      </c>
      <c r="R30" s="2">
        <f t="shared" si="1"/>
        <v>1.0695187165775399</v>
      </c>
      <c r="S30" s="52">
        <f t="shared" si="2"/>
        <v>5.9550802139037406E-2</v>
      </c>
      <c r="T30" s="52">
        <f t="shared" si="3"/>
        <v>0.62059893048128334</v>
      </c>
      <c r="U30" s="52">
        <f t="shared" si="4"/>
        <v>307.79023197860954</v>
      </c>
      <c r="V30" s="52">
        <f t="shared" si="5"/>
        <v>0.91414973262032073</v>
      </c>
      <c r="W30" s="52">
        <f t="shared" si="6"/>
        <v>0</v>
      </c>
      <c r="X30" s="52">
        <f t="shared" si="7"/>
        <v>309.38453144385016</v>
      </c>
      <c r="Z30" s="103"/>
    </row>
    <row r="31" spans="2:26" x14ac:dyDescent="0.2">
      <c r="B31" s="103"/>
      <c r="C31" s="2">
        <f t="shared" si="14"/>
        <v>20</v>
      </c>
      <c r="D31" s="2">
        <f t="shared" si="14"/>
        <v>20</v>
      </c>
      <c r="E31" s="2">
        <f t="shared" si="8"/>
        <v>5.4757015742642023E-2</v>
      </c>
      <c r="F31" s="2">
        <f t="shared" si="13"/>
        <v>62.084757015742696</v>
      </c>
      <c r="G31" s="2">
        <f>G30*Parameters!F1182+H30*Parameters!F1263+I30*Parameters!F1294+J30*Parameters!F1326+L30*Parameters!F1359</f>
        <v>228.8770053475935</v>
      </c>
      <c r="H31" s="2">
        <f>G30*Parameters!F1183+H30*Parameters!F1387+I30*Parameters!F1417+J30*Parameters!F1446+L30*Parameters!F1476</f>
        <v>3.2085561497326194</v>
      </c>
      <c r="I31" s="2">
        <f>G30*Parameters!F1502+H30*Parameters!F1531+I30*Parameters!F1561+J30*Parameters!F1591+L30*Parameters!F1621</f>
        <v>0</v>
      </c>
      <c r="J31" s="2">
        <f>G30*Parameters!F1642+H30*Parameters!F1672+I30*Parameters!F1702+J30*Parameters!F1732+L30*Parameters!F1762</f>
        <v>0</v>
      </c>
      <c r="K31" s="2">
        <f>G30*Parameters!F1184+H30*Parameters!F1812+I30*Parameters!F1842+J30*Parameters!F1872+L30*Parameters!F1902</f>
        <v>1.0695187165775397</v>
      </c>
      <c r="L31" s="2">
        <f>K30*Parameters!F1930</f>
        <v>0</v>
      </c>
      <c r="M31" s="2">
        <f>G30*Parameters!F1185+H30*Parameters!F1958+I30*Parameters!F1988+J30*Parameters!F2017+L30*Parameters!F2046+M30</f>
        <v>533.68983957219268</v>
      </c>
      <c r="N31" s="2">
        <f>G30*Parameters!F1186+H30*Parameters!F2071+I30*Parameters!F2100+J30*Parameters!F2130+L30*Parameters!F2158+N30</f>
        <v>233.15508021390377</v>
      </c>
      <c r="O31" s="2" t="str">
        <f t="shared" si="9"/>
        <v>OK</v>
      </c>
      <c r="P31" s="2">
        <f t="shared" si="10"/>
        <v>0</v>
      </c>
      <c r="Q31" s="2">
        <f t="shared" si="11"/>
        <v>0</v>
      </c>
      <c r="R31" s="2">
        <f t="shared" si="1"/>
        <v>0</v>
      </c>
      <c r="S31" s="52">
        <f t="shared" si="2"/>
        <v>5.5700534759358267E-2</v>
      </c>
      <c r="T31" s="52">
        <f t="shared" si="3"/>
        <v>0</v>
      </c>
      <c r="U31" s="52">
        <f t="shared" si="4"/>
        <v>269.43322994652397</v>
      </c>
      <c r="V31" s="52">
        <f t="shared" si="5"/>
        <v>0.30471657754010689</v>
      </c>
      <c r="W31" s="52">
        <f t="shared" si="6"/>
        <v>0</v>
      </c>
      <c r="X31" s="52">
        <f t="shared" si="7"/>
        <v>269.79364705882341</v>
      </c>
      <c r="Z31" s="103"/>
    </row>
    <row r="32" spans="2:26" x14ac:dyDescent="0.2">
      <c r="B32" s="103"/>
      <c r="C32" s="2">
        <f t="shared" si="14"/>
        <v>21</v>
      </c>
      <c r="D32" s="2">
        <f t="shared" si="14"/>
        <v>21</v>
      </c>
      <c r="E32" s="2">
        <f t="shared" si="8"/>
        <v>5.7494866529774126E-2</v>
      </c>
      <c r="F32" s="2">
        <f t="shared" si="13"/>
        <v>62.087494866529831</v>
      </c>
      <c r="G32" s="2">
        <f>G31*Parameters!F1187+H31*Parameters!F1264+I31*Parameters!F1295+J31*Parameters!F1327+L31*Parameters!F1360</f>
        <v>206.41711229946517</v>
      </c>
      <c r="H32" s="2">
        <f>G31*Parameters!F1188+H31*Parameters!F1388+I31*Parameters!F1418+J31*Parameters!F1447+L31*Parameters!F1477</f>
        <v>5.3475935828876979</v>
      </c>
      <c r="I32" s="2">
        <f>G31*Parameters!F1503+H31*Parameters!F1532+I31*Parameters!F1562+J31*Parameters!F1592+L31*Parameters!F1622</f>
        <v>0</v>
      </c>
      <c r="J32" s="2">
        <f>G31*Parameters!F1643+H31*Parameters!F1673+I31*Parameters!F1703+J31*Parameters!F1733+L31*Parameters!F1763</f>
        <v>0</v>
      </c>
      <c r="K32" s="2">
        <f>G31*Parameters!F1788+H31*Parameters!F1813+I31*Parameters!F1843+J31*Parameters!F1873+L31*Parameters!F1903</f>
        <v>0</v>
      </c>
      <c r="L32" s="2">
        <f>K31*Parameters!F1931</f>
        <v>1.0695187165775397</v>
      </c>
      <c r="M32" s="2">
        <f>G31*Parameters!F1189+H31*Parameters!F1959+I31*Parameters!F1989+J31*Parameters!F2018+L31*Parameters!F2047+M31</f>
        <v>548.66310160427827</v>
      </c>
      <c r="N32" s="2">
        <f>G31*Parameters!F1190+H31*Parameters!F2072+I31*Parameters!F2101+J31*Parameters!F2131+L31*Parameters!F2159+N31</f>
        <v>238.50267379679147</v>
      </c>
      <c r="O32" s="2" t="str">
        <f t="shared" si="9"/>
        <v>OK</v>
      </c>
      <c r="P32" s="2">
        <f t="shared" si="10"/>
        <v>0</v>
      </c>
      <c r="Q32" s="2">
        <f t="shared" si="11"/>
        <v>0</v>
      </c>
      <c r="R32" s="2">
        <f t="shared" si="1"/>
        <v>0</v>
      </c>
      <c r="S32" s="52">
        <f t="shared" si="2"/>
        <v>5.0823529411764691E-2</v>
      </c>
      <c r="T32" s="52">
        <f t="shared" si="3"/>
        <v>0</v>
      </c>
      <c r="U32" s="52">
        <f t="shared" si="4"/>
        <v>243.70844919786089</v>
      </c>
      <c r="V32" s="52">
        <f t="shared" si="5"/>
        <v>0.50786096256684465</v>
      </c>
      <c r="W32" s="52">
        <f t="shared" si="6"/>
        <v>0.12698395721925129</v>
      </c>
      <c r="X32" s="52">
        <f t="shared" si="7"/>
        <v>244.39411764705872</v>
      </c>
      <c r="Z32" s="103"/>
    </row>
    <row r="33" spans="1:26" x14ac:dyDescent="0.2">
      <c r="B33" s="103"/>
      <c r="C33" s="2">
        <f t="shared" si="14"/>
        <v>22</v>
      </c>
      <c r="D33" s="2">
        <f t="shared" si="14"/>
        <v>22</v>
      </c>
      <c r="E33" s="2">
        <f t="shared" si="8"/>
        <v>6.0232717316906229E-2</v>
      </c>
      <c r="F33" s="2">
        <f t="shared" si="13"/>
        <v>62.090232717316965</v>
      </c>
      <c r="G33" s="2">
        <f>G32*Parameters!F1191+H32*Parameters!F1265+I32*Parameters!F1296+J32*Parameters!F1328+L32*Parameters!F1361</f>
        <v>188.23529411764699</v>
      </c>
      <c r="H33" s="2">
        <f>G32*Parameters!F1192+H32*Parameters!F1389+I32*Parameters!F1419+J32*Parameters!F1448+L32*Parameters!F1478</f>
        <v>4.2780748663101589</v>
      </c>
      <c r="I33" s="2">
        <f>G32*Parameters!F1193+H32*Parameters!F1533+I32*Parameters!F1563+J32*Parameters!F1593+L32*Parameters!F1623</f>
        <v>1.0695187165775397</v>
      </c>
      <c r="J33" s="2">
        <f>G32*Parameters!F1644+H32*Parameters!F1674+I32*Parameters!F1704+J32*Parameters!F1734+L32*Parameters!F1764</f>
        <v>0</v>
      </c>
      <c r="K33" s="2">
        <f>G32*Parameters!F1789+H32*Parameters!F1814+I32*Parameters!F1844+J32*Parameters!F1874+L32*Parameters!F1904</f>
        <v>0</v>
      </c>
      <c r="L33" s="2">
        <f>K32*Parameters!F1932</f>
        <v>0</v>
      </c>
      <c r="M33" s="2">
        <f>G32*Parameters!F1194+H32*Parameters!F1960+I32*Parameters!F1990+J32*Parameters!F2019+L32*Parameters!F2048+M32</f>
        <v>562.56684491978626</v>
      </c>
      <c r="N33" s="2">
        <f>G32*Parameters!F1195+H32*Parameters!F2073+I32*Parameters!F2102+J32*Parameters!F2132+L32*Parameters!F2160+N32</f>
        <v>243.85026737967917</v>
      </c>
      <c r="O33" s="2" t="str">
        <f t="shared" si="9"/>
        <v>OK</v>
      </c>
      <c r="P33" s="2">
        <f t="shared" si="10"/>
        <v>1.0695187165775397</v>
      </c>
      <c r="Q33" s="2">
        <f t="shared" si="11"/>
        <v>0</v>
      </c>
      <c r="R33" s="2">
        <f t="shared" si="1"/>
        <v>1.0695187165775397</v>
      </c>
      <c r="S33" s="52">
        <f t="shared" si="2"/>
        <v>4.6203208556149719E-2</v>
      </c>
      <c r="T33" s="52">
        <f t="shared" si="3"/>
        <v>0.62059893048128323</v>
      </c>
      <c r="U33" s="52">
        <f t="shared" si="4"/>
        <v>245.50918385026731</v>
      </c>
      <c r="V33" s="52">
        <f t="shared" si="5"/>
        <v>0.4062887700534758</v>
      </c>
      <c r="W33" s="52">
        <f t="shared" si="6"/>
        <v>0</v>
      </c>
      <c r="X33" s="52">
        <f t="shared" si="7"/>
        <v>246.5822747593582</v>
      </c>
      <c r="Z33" s="103"/>
    </row>
    <row r="34" spans="1:26" x14ac:dyDescent="0.2">
      <c r="B34" s="103"/>
      <c r="C34" s="2">
        <f t="shared" si="14"/>
        <v>23</v>
      </c>
      <c r="D34" s="2">
        <f t="shared" si="14"/>
        <v>23</v>
      </c>
      <c r="E34" s="2">
        <f t="shared" si="8"/>
        <v>6.2970568104038324E-2</v>
      </c>
      <c r="F34" s="2">
        <f t="shared" si="13"/>
        <v>62.0929705681041</v>
      </c>
      <c r="G34" s="2">
        <f>G33*Parameters!F1196+H33*Parameters!F1266+I33*Parameters!F1297+J33*Parameters!F1329+L33*Parameters!F1362</f>
        <v>179.67914438502666</v>
      </c>
      <c r="H34" s="2">
        <f>G33*Parameters!F1197+H33*Parameters!F1390+I33*Parameters!F1420+J33*Parameters!F1449+L33*Parameters!F1479</f>
        <v>3.2085561497326189</v>
      </c>
      <c r="I34" s="2">
        <f>G33*Parameters!F1504+H33*Parameters!F1534+I33*Parameters!F1564+J33*Parameters!F1594+L33*Parameters!F1624</f>
        <v>0</v>
      </c>
      <c r="J34" s="2">
        <f>G33*Parameters!F1645+H33*Parameters!F1675+I33*Parameters!F1705+J33*Parameters!F1735+L33*Parameters!F1765</f>
        <v>0</v>
      </c>
      <c r="K34" s="2">
        <f>G33*Parameters!F1198+H33*Parameters!F1815+I33*Parameters!F1845+J33*Parameters!F1875+L33*Parameters!F1905</f>
        <v>1.0695187165775397</v>
      </c>
      <c r="L34" s="2">
        <f>K33*Parameters!F1933</f>
        <v>0</v>
      </c>
      <c r="M34" s="2">
        <f>G33*Parameters!F1199+H33*Parameters!F1961+I33*Parameters!F1991+J33*Parameters!F2020+L33*Parameters!F2049+M33</f>
        <v>567.91443850267399</v>
      </c>
      <c r="N34" s="2">
        <f>G33*Parameters!F1200+H33*Parameters!F2074+I33*Parameters!F2103+J33*Parameters!F2133+L33*Parameters!F2161+N33</f>
        <v>248.12834224598933</v>
      </c>
      <c r="O34" s="2" t="str">
        <f t="shared" si="9"/>
        <v>OK</v>
      </c>
      <c r="P34" s="2">
        <f t="shared" si="10"/>
        <v>0</v>
      </c>
      <c r="Q34" s="2">
        <f t="shared" si="11"/>
        <v>0</v>
      </c>
      <c r="R34" s="2">
        <f t="shared" si="1"/>
        <v>0</v>
      </c>
      <c r="S34" s="52">
        <f t="shared" si="2"/>
        <v>4.3893048128342223E-2</v>
      </c>
      <c r="T34" s="52">
        <f t="shared" si="3"/>
        <v>0</v>
      </c>
      <c r="U34" s="52">
        <f t="shared" si="4"/>
        <v>219.33760427807482</v>
      </c>
      <c r="V34" s="52">
        <f t="shared" si="5"/>
        <v>0.30471657754010684</v>
      </c>
      <c r="W34" s="52">
        <f t="shared" si="6"/>
        <v>0.25396791443850258</v>
      </c>
      <c r="X34" s="52">
        <f t="shared" si="7"/>
        <v>219.9401818181818</v>
      </c>
      <c r="Z34" s="103"/>
    </row>
    <row r="35" spans="1:26" x14ac:dyDescent="0.2">
      <c r="B35" s="103"/>
      <c r="C35" s="2">
        <f t="shared" si="14"/>
        <v>24</v>
      </c>
      <c r="D35" s="2">
        <f t="shared" si="14"/>
        <v>24</v>
      </c>
      <c r="E35" s="2">
        <f t="shared" si="8"/>
        <v>6.5708418891170434E-2</v>
      </c>
      <c r="F35" s="2">
        <f t="shared" si="13"/>
        <v>62.095708418891235</v>
      </c>
      <c r="G35" s="2">
        <f>G34*Parameters!F1201+H34*Parameters!F1267+I34*Parameters!F1298+J34*Parameters!F1330+L34*Parameters!F1363</f>
        <v>168.98395721925129</v>
      </c>
      <c r="H35" s="2">
        <f>G34*Parameters!F1202+H34*Parameters!F1391+I34*Parameters!F1421+J34*Parameters!F1450+L34*Parameters!F1480</f>
        <v>3.2085561497326189</v>
      </c>
      <c r="I35" s="2">
        <f>G34*Parameters!F1505+H34*Parameters!F1535+I34*Parameters!F1565+J34*Parameters!F1595+L34*Parameters!F1625</f>
        <v>0</v>
      </c>
      <c r="J35" s="2">
        <f>G34*Parameters!F1646+H34*Parameters!F1676+I34*Parameters!F1706+J34*Parameters!F1736+L34*Parameters!F1766</f>
        <v>0</v>
      </c>
      <c r="K35" s="2">
        <f>G34*Parameters!F1790+H34*Parameters!F1816+I34*Parameters!F1846+J34*Parameters!F1876+L34*Parameters!F1906</f>
        <v>0</v>
      </c>
      <c r="L35" s="2">
        <f>K34*Parameters!F1934</f>
        <v>1.0695187165775397</v>
      </c>
      <c r="M35" s="2">
        <f>G34*Parameters!F1203+H34*Parameters!F1962+I34*Parameters!F1992+J34*Parameters!F2021+L34*Parameters!F2050+M34</f>
        <v>574.33155080213919</v>
      </c>
      <c r="N35" s="2">
        <f>G34*Parameters!F1204+H34*Parameters!F2075+I34*Parameters!F2104+J34*Parameters!F2134+L34*Parameters!F2162+N34</f>
        <v>252.40641711229949</v>
      </c>
      <c r="O35" s="2" t="str">
        <f t="shared" si="9"/>
        <v>OK</v>
      </c>
      <c r="P35" s="2">
        <f t="shared" si="10"/>
        <v>0</v>
      </c>
      <c r="Q35" s="2">
        <f t="shared" si="11"/>
        <v>0</v>
      </c>
      <c r="R35" s="2">
        <f t="shared" si="1"/>
        <v>0</v>
      </c>
      <c r="S35" s="52">
        <f t="shared" si="2"/>
        <v>4.1326203208556136E-2</v>
      </c>
      <c r="T35" s="52">
        <f t="shared" si="3"/>
        <v>0</v>
      </c>
      <c r="U35" s="52">
        <f t="shared" si="4"/>
        <v>204.44431016042779</v>
      </c>
      <c r="V35" s="52">
        <f t="shared" si="5"/>
        <v>0.30471657754010684</v>
      </c>
      <c r="W35" s="52">
        <f t="shared" si="6"/>
        <v>0</v>
      </c>
      <c r="X35" s="52">
        <f t="shared" si="7"/>
        <v>204.79035294117648</v>
      </c>
      <c r="Z35" s="103"/>
    </row>
    <row r="36" spans="1:26" x14ac:dyDescent="0.2">
      <c r="B36" s="103"/>
      <c r="C36" s="2">
        <f t="shared" si="14"/>
        <v>25</v>
      </c>
      <c r="D36" s="2">
        <f t="shared" si="14"/>
        <v>25</v>
      </c>
      <c r="E36" s="2">
        <f t="shared" si="8"/>
        <v>6.8446269678302529E-2</v>
      </c>
      <c r="F36" s="2">
        <f t="shared" si="13"/>
        <v>62.098446269678369</v>
      </c>
      <c r="G36" s="2">
        <f>G35*Parameters!F1205+H35*Parameters!F1268+I35*Parameters!F1299+J35*Parameters!F1331+L35*Parameters!F1364</f>
        <v>156.14973262032083</v>
      </c>
      <c r="H36" s="2">
        <f>G35*Parameters!F1206+H35*Parameters!F1392+I35*Parameters!F1422+J35*Parameters!F1451+L35*Parameters!F1481</f>
        <v>3.2085561497326198</v>
      </c>
      <c r="I36" s="2">
        <f>G35*Parameters!F1506+H35*Parameters!F1536+I35*Parameters!F1566+J35*Parameters!F1596+L35*Parameters!F1626</f>
        <v>0</v>
      </c>
      <c r="J36" s="2">
        <f>G35*Parameters!F1647+H35*Parameters!F1677+I35*Parameters!F1707+J35*Parameters!F1737+L35*Parameters!F1767</f>
        <v>0</v>
      </c>
      <c r="K36" s="2">
        <f>G35*Parameters!F1207+H35*Parameters!F1817+I35*Parameters!F1847+J35*Parameters!F1877+L35*Parameters!F1365</f>
        <v>2.1390374331550794</v>
      </c>
      <c r="L36" s="2">
        <f>K35*Parameters!F1935</f>
        <v>0</v>
      </c>
      <c r="M36" s="2">
        <f>G35*Parameters!F1208+H35*Parameters!F1963+I35*Parameters!F1993+J35*Parameters!F2022+L35*Parameters!F2051+M35</f>
        <v>582.88770053475946</v>
      </c>
      <c r="N36" s="2">
        <f>G35*Parameters!F1209+H35*Parameters!F2076+I35*Parameters!F2105+J35*Parameters!F2135+L35*Parameters!F2163+N35</f>
        <v>255.61497326203212</v>
      </c>
      <c r="O36" s="2" t="str">
        <f t="shared" si="9"/>
        <v>OK</v>
      </c>
      <c r="P36" s="2">
        <f t="shared" si="10"/>
        <v>0</v>
      </c>
      <c r="Q36" s="2">
        <f t="shared" si="11"/>
        <v>0</v>
      </c>
      <c r="R36" s="2">
        <f t="shared" si="1"/>
        <v>0</v>
      </c>
      <c r="S36" s="52">
        <f t="shared" si="2"/>
        <v>3.8245989304812829E-2</v>
      </c>
      <c r="T36" s="52">
        <f t="shared" si="3"/>
        <v>0</v>
      </c>
      <c r="U36" s="52">
        <f t="shared" si="4"/>
        <v>184.13527272727273</v>
      </c>
      <c r="V36" s="52">
        <f t="shared" si="5"/>
        <v>0.30471657754010689</v>
      </c>
      <c r="W36" s="52">
        <f t="shared" si="6"/>
        <v>0</v>
      </c>
      <c r="X36" s="52">
        <f t="shared" si="7"/>
        <v>184.47823529411767</v>
      </c>
      <c r="Z36" s="103"/>
    </row>
    <row r="37" spans="1:26" x14ac:dyDescent="0.2">
      <c r="B37" s="103"/>
      <c r="C37" s="2">
        <f t="shared" si="14"/>
        <v>26</v>
      </c>
      <c r="D37" s="2">
        <f t="shared" si="14"/>
        <v>26</v>
      </c>
      <c r="E37" s="2">
        <f t="shared" si="8"/>
        <v>7.1184120465434639E-2</v>
      </c>
      <c r="F37" s="2">
        <f t="shared" si="13"/>
        <v>62.101184120465504</v>
      </c>
      <c r="G37" s="2">
        <f>G36*Parameters!F1210+H36*Parameters!F1269+I36*Parameters!F1300+J36*Parameters!F1332+L36*Parameters!F1366</f>
        <v>142.24598930481284</v>
      </c>
      <c r="H37" s="2">
        <f>G36*Parameters!F1211+H36*Parameters!F1393+I36*Parameters!F1423+J36*Parameters!F1452+L36*Parameters!F1482</f>
        <v>1.0695187165775399</v>
      </c>
      <c r="I37" s="2">
        <f>G36*Parameters!F1507+H36*Parameters!F1537+I36*Parameters!F1567+J36*Parameters!F1597+L36*Parameters!F1627</f>
        <v>0</v>
      </c>
      <c r="J37" s="2">
        <f>G36*Parameters!F1648+H36*Parameters!F1678+I36*Parameters!F1708+J36*Parameters!F1738+L36*Parameters!F1768</f>
        <v>0</v>
      </c>
      <c r="K37" s="2">
        <f>G36*Parameters!F1791+H36*Parameters!F1818+I36*Parameters!F1848+J36*Parameters!F1878+L36*Parameters!F1907</f>
        <v>0</v>
      </c>
      <c r="L37" s="2">
        <f>K36*Parameters!F1936</f>
        <v>2.1390374331550794</v>
      </c>
      <c r="M37" s="2">
        <f>G36*Parameters!F1212+H36*Parameters!F1964+I36*Parameters!F1994+J36*Parameters!F2023+L36*Parameters!F2052+M36</f>
        <v>592.51336898395732</v>
      </c>
      <c r="N37" s="2">
        <f>G36*Parameters!F1213+H36*Parameters!F2077+I36*Parameters!F2106+J36*Parameters!F2136+L36*Parameters!F2164+N36</f>
        <v>262.03208556149735</v>
      </c>
      <c r="O37" s="2" t="str">
        <f t="shared" si="9"/>
        <v>OK</v>
      </c>
      <c r="P37" s="2">
        <f t="shared" si="10"/>
        <v>0</v>
      </c>
      <c r="Q37" s="2">
        <f t="shared" si="11"/>
        <v>0</v>
      </c>
      <c r="R37" s="2">
        <f t="shared" si="1"/>
        <v>0</v>
      </c>
      <c r="S37" s="52">
        <f t="shared" si="2"/>
        <v>3.4395721925133689E-2</v>
      </c>
      <c r="T37" s="52">
        <f t="shared" si="3"/>
        <v>0</v>
      </c>
      <c r="U37" s="52">
        <f t="shared" si="4"/>
        <v>176.01165775401071</v>
      </c>
      <c r="V37" s="52">
        <f t="shared" si="5"/>
        <v>0.10157219251336896</v>
      </c>
      <c r="W37" s="52">
        <f t="shared" si="6"/>
        <v>0.12698395721925135</v>
      </c>
      <c r="X37" s="52">
        <f t="shared" si="7"/>
        <v>176.27460962566846</v>
      </c>
      <c r="Z37" s="103"/>
    </row>
    <row r="38" spans="1:26" x14ac:dyDescent="0.2">
      <c r="B38" s="103"/>
      <c r="C38" s="2">
        <f t="shared" si="14"/>
        <v>27</v>
      </c>
      <c r="D38" s="2">
        <f t="shared" si="14"/>
        <v>27</v>
      </c>
      <c r="E38" s="2">
        <f t="shared" si="8"/>
        <v>7.3921971252566734E-2</v>
      </c>
      <c r="F38" s="2">
        <f t="shared" si="13"/>
        <v>62.103921971252639</v>
      </c>
      <c r="G38" s="2">
        <f>G37*Parameters!F1214+H37*Parameters!F1270+I37*Parameters!F1301+J37*Parameters!F1333+L37*Parameters!F1367</f>
        <v>139.03743315508021</v>
      </c>
      <c r="H38" s="2">
        <f>G37*Parameters!F1372+H37*Parameters!F1394+I37*Parameters!F1424+J37*Parameters!F1453+L37*Parameters!F1483</f>
        <v>0</v>
      </c>
      <c r="I38" s="2">
        <f>G37*Parameters!F1508+H37*Parameters!F1538+I37*Parameters!F1568+J37*Parameters!F1598+L37*Parameters!F1628</f>
        <v>0</v>
      </c>
      <c r="J38" s="2">
        <f>G37*Parameters!F1649+H37*Parameters!F1679+I37*Parameters!F1709+J37*Parameters!F1739+L37*Parameters!F1769</f>
        <v>0</v>
      </c>
      <c r="K38" s="2">
        <f>G37*Parameters!F1792+H37*Parameters!F1819+I37*Parameters!F1849+J37*Parameters!F1879+L37*Parameters!F1908</f>
        <v>0</v>
      </c>
      <c r="L38" s="2">
        <f>K37*Parameters!F1937</f>
        <v>0</v>
      </c>
      <c r="M38" s="2">
        <f>G37*Parameters!F1215+H37*Parameters!F1965+I37*Parameters!F1995+J37*Parameters!F2024+L37*Parameters!F2053+M37</f>
        <v>595.72192513368998</v>
      </c>
      <c r="N38" s="2">
        <f>G37*Parameters!F1216+H37*Parameters!F1271+I37*Parameters!F2107+J37*Parameters!F2137+L37*Parameters!F2165+N37</f>
        <v>265.24064171122996</v>
      </c>
      <c r="O38" s="2" t="str">
        <f t="shared" si="9"/>
        <v>OK</v>
      </c>
      <c r="P38" s="2">
        <f t="shared" si="10"/>
        <v>0</v>
      </c>
      <c r="Q38" s="2">
        <f t="shared" si="11"/>
        <v>0</v>
      </c>
      <c r="R38" s="2">
        <f t="shared" si="1"/>
        <v>0</v>
      </c>
      <c r="S38" s="52">
        <f t="shared" si="2"/>
        <v>3.3368983957219253E-2</v>
      </c>
      <c r="T38" s="52">
        <f t="shared" si="3"/>
        <v>0</v>
      </c>
      <c r="U38" s="52">
        <f t="shared" si="4"/>
        <v>167.88804278074863</v>
      </c>
      <c r="V38" s="52">
        <f t="shared" si="5"/>
        <v>0</v>
      </c>
      <c r="W38" s="52">
        <f t="shared" si="6"/>
        <v>0.12698395721925135</v>
      </c>
      <c r="X38" s="52">
        <f t="shared" si="7"/>
        <v>168.04839572192509</v>
      </c>
      <c r="Z38" s="103"/>
    </row>
    <row r="39" spans="1:26" x14ac:dyDescent="0.2">
      <c r="B39" s="103"/>
      <c r="C39" s="2">
        <f t="shared" si="14"/>
        <v>28</v>
      </c>
      <c r="D39" s="2">
        <f t="shared" si="14"/>
        <v>28</v>
      </c>
      <c r="E39" s="2">
        <f t="shared" si="8"/>
        <v>7.665982203969883E-2</v>
      </c>
      <c r="F39" s="2">
        <f t="shared" si="13"/>
        <v>62.106659822039774</v>
      </c>
      <c r="G39" s="2">
        <f>G38*Parameters!F1217+H38*Parameters!F1272+I38*Parameters!F1302+J38*Parameters!F1334+L38*Parameters!F1368</f>
        <v>129.41176470588235</v>
      </c>
      <c r="H39" s="2">
        <f>G38*Parameters!F1218+H38*Parameters!F1395+I38*Parameters!F1425+J38*Parameters!F1454+L38*Parameters!F1484</f>
        <v>2.1390374331550803</v>
      </c>
      <c r="I39" s="2">
        <f>G38*Parameters!F1509+H38*Parameters!F1539+I38*Parameters!F1569+J38*Parameters!F1599+L38*Parameters!F1629</f>
        <v>0</v>
      </c>
      <c r="J39" s="2">
        <f>G38*Parameters!F1650+H38*Parameters!F1680+I38*Parameters!F1710+J38*Parameters!F1740+L38*Parameters!F1770</f>
        <v>0</v>
      </c>
      <c r="K39" s="2">
        <f>G38*Parameters!F1219+H38*Parameters!F1820+I38*Parameters!F1850+J38*Parameters!F1880+L38*Parameters!F1909</f>
        <v>1.0695187165775402</v>
      </c>
      <c r="L39" s="2">
        <f>K38*Parameters!F1938</f>
        <v>0</v>
      </c>
      <c r="M39" s="2">
        <f>G38*Parameters!F1220+H38*Parameters!F1966+I38*Parameters!F1996+J38*Parameters!F2025+L38*Parameters!F2054+M38</f>
        <v>601.0695187165777</v>
      </c>
      <c r="N39" s="2">
        <f>G38*Parameters!F1221+H38*Parameters!F2078+I38*Parameters!F2108+J38*Parameters!F2138+L38*Parameters!F2166+N38</f>
        <v>266.31016042780749</v>
      </c>
      <c r="O39" s="2" t="str">
        <f t="shared" si="9"/>
        <v>OK</v>
      </c>
      <c r="P39" s="2">
        <f t="shared" si="10"/>
        <v>0</v>
      </c>
      <c r="Q39" s="2">
        <f t="shared" si="11"/>
        <v>0</v>
      </c>
      <c r="R39" s="2">
        <f t="shared" si="1"/>
        <v>0</v>
      </c>
      <c r="S39" s="52">
        <f t="shared" si="2"/>
        <v>3.1572192513368978E-2</v>
      </c>
      <c r="T39" s="52">
        <f t="shared" si="3"/>
        <v>0</v>
      </c>
      <c r="U39" s="52">
        <f t="shared" si="4"/>
        <v>162.47229946524067</v>
      </c>
      <c r="V39" s="52">
        <f t="shared" si="5"/>
        <v>0.20314438502673798</v>
      </c>
      <c r="W39" s="52">
        <f t="shared" si="6"/>
        <v>0.12698395721925135</v>
      </c>
      <c r="X39" s="52">
        <f t="shared" si="7"/>
        <v>162.83400000000003</v>
      </c>
      <c r="Z39" s="103"/>
    </row>
    <row r="40" spans="1:26" x14ac:dyDescent="0.2">
      <c r="B40" s="103"/>
      <c r="C40" s="2">
        <f t="shared" si="14"/>
        <v>29</v>
      </c>
      <c r="D40" s="2">
        <f t="shared" si="14"/>
        <v>29</v>
      </c>
      <c r="E40" s="2">
        <f t="shared" si="8"/>
        <v>7.939767282683094E-2</v>
      </c>
      <c r="F40" s="2">
        <f t="shared" si="13"/>
        <v>62.109397672826908</v>
      </c>
      <c r="G40" s="2">
        <f>G39*Parameters!F1222+H39*Parameters!F1273+I39*Parameters!F1303+J39*Parameters!F1335+L39*Parameters!F1369</f>
        <v>125.1336898395722</v>
      </c>
      <c r="H40" s="2">
        <f>G39*Parameters!F1223+H39*Parameters!F1396+I39*Parameters!F1426+J39*Parameters!F1455+L39*Parameters!F1485</f>
        <v>1.0695187165775402</v>
      </c>
      <c r="I40" s="2">
        <f>G39*Parameters!F1510+H39*Parameters!F1540+I39*Parameters!F1570+J39*Parameters!F1600+L39*Parameters!F1630</f>
        <v>0</v>
      </c>
      <c r="J40" s="2">
        <f>G39*Parameters!F1651+H39*Parameters!F1681+I39*Parameters!F1711+J39*Parameters!F1741+L39*Parameters!F1771</f>
        <v>0</v>
      </c>
      <c r="K40" s="2">
        <f>G39*Parameters!F1224+H39*Parameters!F1821+I39*Parameters!F1851+J39*Parameters!F1881+L39*Parameters!F1910</f>
        <v>1.0695187165775402</v>
      </c>
      <c r="L40" s="2">
        <f>K39*Parameters!F1939</f>
        <v>1.0695187165775402</v>
      </c>
      <c r="M40" s="2">
        <f>G39*Parameters!F1225+H39*Parameters!F1967+I39*Parameters!F1997+J39*Parameters!F2026+L39*Parameters!F2055+M39</f>
        <v>604.27807486631036</v>
      </c>
      <c r="N40" s="2">
        <f>G39*Parameters!F1226+H39*Parameters!F2079+I39*Parameters!F2109+J39*Parameters!F2139+L39*Parameters!F2167+N39</f>
        <v>267.37967914438502</v>
      </c>
      <c r="O40" s="2" t="str">
        <f t="shared" si="9"/>
        <v>OK</v>
      </c>
      <c r="P40" s="2">
        <f t="shared" si="10"/>
        <v>0</v>
      </c>
      <c r="Q40" s="2">
        <f t="shared" si="11"/>
        <v>0</v>
      </c>
      <c r="R40" s="2">
        <f t="shared" si="1"/>
        <v>0</v>
      </c>
      <c r="S40" s="52">
        <f t="shared" si="2"/>
        <v>3.0288770053475932E-2</v>
      </c>
      <c r="T40" s="52">
        <f t="shared" si="3"/>
        <v>0</v>
      </c>
      <c r="U40" s="52">
        <f t="shared" si="4"/>
        <v>147.57900534759358</v>
      </c>
      <c r="V40" s="52">
        <f t="shared" si="5"/>
        <v>0.10157219251336899</v>
      </c>
      <c r="W40" s="52">
        <f t="shared" si="6"/>
        <v>0</v>
      </c>
      <c r="X40" s="52">
        <f t="shared" si="7"/>
        <v>147.71086631016044</v>
      </c>
      <c r="Z40" s="103"/>
    </row>
    <row r="41" spans="1:26" x14ac:dyDescent="0.2">
      <c r="B41" s="103"/>
      <c r="C41" s="2">
        <f t="shared" si="14"/>
        <v>30</v>
      </c>
      <c r="D41" s="2">
        <f t="shared" si="14"/>
        <v>30</v>
      </c>
      <c r="E41" s="2">
        <f t="shared" si="8"/>
        <v>8.2135523613963035E-2</v>
      </c>
      <c r="F41" s="2">
        <f t="shared" si="13"/>
        <v>62.112135523614043</v>
      </c>
      <c r="G41" s="2">
        <f>G40*Parameters!F1227+H40*Parameters!F1274+I40*Parameters!F1304+J40*Parameters!F1336+L40*Parameters!F1370</f>
        <v>110.16042780748663</v>
      </c>
      <c r="H41" s="2">
        <f>G40*Parameters!F1228+H40*Parameters!F1397+I40*Parameters!F1427+J40*Parameters!F1456+L40*Parameters!F1486</f>
        <v>4.2780748663101607</v>
      </c>
      <c r="I41" s="2">
        <f>G40*Parameters!F1511+H40*Parameters!F1541+I40*Parameters!F1571+J40*Parameters!F1601+L40*Parameters!F1631</f>
        <v>0</v>
      </c>
      <c r="J41" s="2">
        <f>G40*Parameters!F1652+H40*Parameters!F1682+I40*Parameters!F1712+J40*Parameters!F1742+L40*Parameters!F1772</f>
        <v>0</v>
      </c>
      <c r="K41" s="2">
        <f>G40*Parameters!F1793+H40*Parameters!F1822+I40*Parameters!F1852+J40*Parameters!F1882+L40*Parameters!F1371</f>
        <v>1.0695187165775402</v>
      </c>
      <c r="L41" s="2">
        <f>K40*Parameters!F1940</f>
        <v>1.0695187165775402</v>
      </c>
      <c r="M41" s="2">
        <f>G40*Parameters!F1229+H40*Parameters!F1968+I40*Parameters!F1998+J40*Parameters!F2027+L40*Parameters!F2056+M40</f>
        <v>613.90374331550822</v>
      </c>
      <c r="N41" s="2">
        <f>G40*Parameters!F1230+H40*Parameters!F2080+I40*Parameters!F2110+J40*Parameters!F2140+L40*Parameters!F2168+N40</f>
        <v>269.51871657754009</v>
      </c>
      <c r="O41" s="2" t="str">
        <f t="shared" si="9"/>
        <v>OK</v>
      </c>
      <c r="P41" s="2">
        <f t="shared" si="10"/>
        <v>0</v>
      </c>
      <c r="Q41" s="2">
        <f t="shared" si="11"/>
        <v>0</v>
      </c>
      <c r="R41" s="2">
        <f t="shared" si="1"/>
        <v>0</v>
      </c>
      <c r="S41" s="52">
        <f t="shared" si="2"/>
        <v>2.7465240641711231E-2</v>
      </c>
      <c r="T41" s="52">
        <f t="shared" si="3"/>
        <v>0</v>
      </c>
      <c r="U41" s="52">
        <f t="shared" si="4"/>
        <v>0</v>
      </c>
      <c r="V41" s="52">
        <f t="shared" si="5"/>
        <v>0.40628877005347597</v>
      </c>
      <c r="W41" s="52">
        <f t="shared" si="6"/>
        <v>0</v>
      </c>
      <c r="X41" s="52">
        <f t="shared" si="7"/>
        <v>0.43375401069518721</v>
      </c>
      <c r="Z41" s="103"/>
    </row>
    <row r="42" spans="1:26" x14ac:dyDescent="0.2">
      <c r="B42" s="103"/>
      <c r="C42" s="1"/>
      <c r="D42" s="1"/>
      <c r="E42" s="1"/>
      <c r="F42" s="1"/>
      <c r="G42" s="1"/>
      <c r="H42" s="1"/>
      <c r="I42" s="1"/>
      <c r="J42" s="1"/>
      <c r="K42" s="1"/>
      <c r="L42" s="1"/>
      <c r="M42" s="1"/>
      <c r="N42" s="1"/>
      <c r="O42" s="1"/>
      <c r="P42" s="1"/>
      <c r="Q42" s="1"/>
      <c r="R42" s="1"/>
      <c r="S42" s="1"/>
      <c r="T42" s="1"/>
      <c r="U42" s="1"/>
      <c r="V42" s="1"/>
      <c r="W42" s="1"/>
      <c r="X42" s="1"/>
      <c r="Z42" s="103"/>
    </row>
    <row r="43" spans="1:26" ht="16" thickBot="1" x14ac:dyDescent="0.25">
      <c r="A43" s="82"/>
      <c r="B43" s="87"/>
      <c r="C43" s="84"/>
      <c r="D43" s="84"/>
      <c r="E43" s="84"/>
      <c r="F43" s="84"/>
      <c r="G43" s="84"/>
      <c r="H43" s="84"/>
      <c r="I43" s="84"/>
      <c r="J43" s="84"/>
      <c r="K43" s="84"/>
      <c r="L43" s="84"/>
      <c r="M43" s="84"/>
      <c r="N43" s="84"/>
      <c r="O43" s="84"/>
      <c r="P43" s="84"/>
      <c r="Q43" s="84"/>
      <c r="R43" s="84"/>
      <c r="S43" s="84"/>
      <c r="T43" s="84"/>
      <c r="U43" s="84"/>
      <c r="V43" s="84"/>
      <c r="W43" s="84"/>
      <c r="X43" s="84"/>
      <c r="Y43" s="84"/>
      <c r="Z43" s="83"/>
    </row>
  </sheetData>
  <mergeCells count="3">
    <mergeCell ref="P8:Q8"/>
    <mergeCell ref="G8:N8"/>
    <mergeCell ref="S8:V8"/>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3745D-0A47-427F-A8A5-4AA6D8C0E2EB}">
  <sheetPr codeName="Sheet17">
    <tabColor theme="2" tint="-0.499984740745262"/>
  </sheetPr>
  <dimension ref="A3:AF471"/>
  <sheetViews>
    <sheetView showGridLines="0" workbookViewId="0">
      <selection activeCell="F11" sqref="F11"/>
    </sheetView>
  </sheetViews>
  <sheetFormatPr baseColWidth="10" defaultColWidth="8.83203125" defaultRowHeight="15" x14ac:dyDescent="0.2"/>
  <cols>
    <col min="1" max="2" width="14.6640625" customWidth="1"/>
    <col min="3" max="3" width="16.33203125" customWidth="1"/>
    <col min="4" max="4" width="16.5" customWidth="1"/>
    <col min="5" max="5" width="11.6640625" customWidth="1"/>
    <col min="6" max="6" width="13.33203125" customWidth="1"/>
    <col min="7" max="7" width="14.33203125" customWidth="1"/>
    <col min="8" max="8" width="13.6640625" customWidth="1"/>
    <col min="10" max="10" width="29.33203125" customWidth="1"/>
    <col min="11" max="11" width="10.5" customWidth="1"/>
    <col min="12" max="12" width="11" customWidth="1"/>
    <col min="13" max="13" width="11.1640625" customWidth="1"/>
    <col min="14" max="14" width="25.6640625" customWidth="1"/>
    <col min="17" max="17" width="40.5" customWidth="1"/>
    <col min="18" max="18" width="117.6640625" bestFit="1" customWidth="1"/>
  </cols>
  <sheetData>
    <row r="3" spans="2:32" ht="26" x14ac:dyDescent="0.3">
      <c r="J3" s="85" t="s">
        <v>175</v>
      </c>
    </row>
    <row r="4" spans="2:32" ht="16" thickBot="1" x14ac:dyDescent="0.25"/>
    <row r="5" spans="2:32" ht="16" thickBot="1" x14ac:dyDescent="0.25">
      <c r="B5" s="79"/>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1"/>
    </row>
    <row r="6" spans="2:32" x14ac:dyDescent="0.2">
      <c r="B6" s="103"/>
      <c r="AF6" s="103"/>
    </row>
    <row r="7" spans="2:32" ht="16" thickBot="1" x14ac:dyDescent="0.25">
      <c r="B7" s="103"/>
      <c r="AF7" s="103"/>
    </row>
    <row r="8" spans="2:32" ht="31" x14ac:dyDescent="0.35">
      <c r="B8" s="103"/>
      <c r="C8" s="56" t="s">
        <v>107</v>
      </c>
      <c r="D8" s="218" t="str">
        <f>Model_Settings!E15</f>
        <v>France</v>
      </c>
      <c r="J8" s="257" t="s">
        <v>57</v>
      </c>
      <c r="K8" s="258"/>
      <c r="L8" s="258"/>
      <c r="M8" s="258"/>
      <c r="N8" s="259"/>
      <c r="Q8" t="s">
        <v>114</v>
      </c>
      <c r="AF8" s="103"/>
    </row>
    <row r="9" spans="2:32" ht="16" x14ac:dyDescent="0.2">
      <c r="B9" s="103"/>
      <c r="C9" s="56" t="s">
        <v>108</v>
      </c>
      <c r="D9" s="56" t="str">
        <f ca="1">TEXT(TODAY(),"[$-en-IN,1]dd mmmm yyyy;@")</f>
        <v>07 February 2025</v>
      </c>
      <c r="J9" s="141" t="s">
        <v>109</v>
      </c>
      <c r="K9" s="139" t="s">
        <v>110</v>
      </c>
      <c r="L9" s="139" t="s">
        <v>111</v>
      </c>
      <c r="M9" s="139" t="s">
        <v>112</v>
      </c>
      <c r="N9" s="142" t="s">
        <v>94</v>
      </c>
      <c r="Q9" t="s">
        <v>68</v>
      </c>
      <c r="AF9" s="103"/>
    </row>
    <row r="10" spans="2:32" ht="16" x14ac:dyDescent="0.2">
      <c r="B10" s="103"/>
      <c r="J10" s="136" t="s">
        <v>25</v>
      </c>
      <c r="K10" s="137">
        <f>con_age</f>
        <v>62.03</v>
      </c>
      <c r="L10" s="137">
        <v>18</v>
      </c>
      <c r="M10" s="137">
        <v>93</v>
      </c>
      <c r="N10" s="138" t="str">
        <f>Model_Settings!H17</f>
        <v>[Franck Maunoury et al.2015]</v>
      </c>
      <c r="Q10" s="2" t="s">
        <v>49</v>
      </c>
      <c r="R10" t="str">
        <f>Q11&amp;", "&amp;Q12&amp;", "&amp;Q13&amp;", "&amp;Q14&amp;"and "&amp;Q15&amp;"."</f>
        <v>Additional ICU Length of stay (LOS) due to CRBSI, ICU Cost without CRBSI, CHG Dressing, Direct cost of treating CRBSI and Non CHG Dressing.</v>
      </c>
      <c r="AF10" s="103"/>
    </row>
    <row r="11" spans="2:32" x14ac:dyDescent="0.2">
      <c r="B11" s="103"/>
      <c r="J11" s="260" t="s">
        <v>113</v>
      </c>
      <c r="K11" s="261"/>
      <c r="L11" s="261"/>
      <c r="M11" s="261"/>
      <c r="N11" s="262"/>
      <c r="Q11" s="56" t="str">
        <f>DSA_Results!D19</f>
        <v>Additional ICU Length of stay (LOS) due to CRBSI</v>
      </c>
      <c r="AF11" s="103"/>
    </row>
    <row r="12" spans="2:32" ht="16" x14ac:dyDescent="0.2">
      <c r="B12" s="103"/>
      <c r="J12" s="141" t="s">
        <v>109</v>
      </c>
      <c r="K12" s="139" t="s">
        <v>110</v>
      </c>
      <c r="L12" s="139" t="s">
        <v>111</v>
      </c>
      <c r="M12" s="139" t="s">
        <v>112</v>
      </c>
      <c r="N12" s="142" t="s">
        <v>94</v>
      </c>
      <c r="Q12" s="56" t="str">
        <f>DSA_Results!D20</f>
        <v>ICU Cost without CRBSI</v>
      </c>
      <c r="AF12" s="103"/>
    </row>
    <row r="13" spans="2:32" s="206" customFormat="1" ht="26" customHeight="1" x14ac:dyDescent="0.2">
      <c r="B13" s="205"/>
      <c r="C13" s="65" t="s">
        <v>64</v>
      </c>
      <c r="D13" s="65" t="str">
        <f>"Costs" &amp; "("&amp;c_currency&amp;")"</f>
        <v>Costs(€)</v>
      </c>
      <c r="E13" s="211" t="s">
        <v>65</v>
      </c>
      <c r="F13" s="65" t="str">
        <f>"Incremental Costs" &amp; "(" &amp;c_currency&amp; ")"</f>
        <v>Incremental Costs(€)</v>
      </c>
      <c r="G13" s="65" t="s">
        <v>66</v>
      </c>
      <c r="H13" s="65" t="str">
        <f>"ICER" &amp; "("&amp;c_currency&amp;"/CRBSI Avoided)"</f>
        <v>ICER(€/CRBSI Avoided)</v>
      </c>
      <c r="J13" s="207" t="str">
        <f>Parameters!E15</f>
        <v>Transition Probability from state 1 to state 1 on day 1 (CHG)</v>
      </c>
      <c r="K13" s="208">
        <f>Parameters!H15</f>
        <v>0.97858672376873657</v>
      </c>
      <c r="L13" s="208">
        <f>Parameters!J15</f>
        <v>0.78678725033515962</v>
      </c>
      <c r="M13" s="208">
        <f>Parameters!K15</f>
        <v>1.1703861972023135</v>
      </c>
      <c r="N13" s="138" t="str">
        <f>Tp_CHG!$H$11</f>
        <v>[Franck Maunoury et al.2015]</v>
      </c>
      <c r="Q13" s="209" t="str">
        <f>DSA_Results!D21</f>
        <v>CHG Dressing</v>
      </c>
      <c r="AF13" s="205"/>
    </row>
    <row r="14" spans="2:32" s="206" customFormat="1" ht="26" customHeight="1" x14ac:dyDescent="0.2">
      <c r="B14" s="205"/>
      <c r="C14" s="66" t="s">
        <v>221</v>
      </c>
      <c r="D14" s="217">
        <f>Results_1!D12</f>
        <v>15182.996242719481</v>
      </c>
      <c r="E14" s="217">
        <f>Results_1!E12</f>
        <v>3.2119914346895064</v>
      </c>
      <c r="F14" s="217"/>
      <c r="G14" s="217"/>
      <c r="H14" s="217"/>
      <c r="J14" s="207" t="str">
        <f>Parameters!E16</f>
        <v>Transition Probability from state 1 to state 2 on day 1 (CHG)</v>
      </c>
      <c r="K14" s="208">
        <f>Parameters!H16</f>
        <v>3.2119914346895075E-3</v>
      </c>
      <c r="L14" s="208">
        <f>Parameters!J16</f>
        <v>2.58245268162525E-3</v>
      </c>
      <c r="M14" s="208">
        <f>Parameters!K16</f>
        <v>3.8415301877537645E-3</v>
      </c>
      <c r="N14" s="138" t="str">
        <f>Tp_CHG!$H$11</f>
        <v>[Franck Maunoury et al.2015]</v>
      </c>
      <c r="Q14" s="209" t="str">
        <f>DSA_Results!D22</f>
        <v xml:space="preserve">Direct cost of treating CRBSI </v>
      </c>
      <c r="AF14" s="205"/>
    </row>
    <row r="15" spans="2:32" s="206" customFormat="1" ht="26" customHeight="1" x14ac:dyDescent="0.2">
      <c r="B15" s="205"/>
      <c r="C15" s="66" t="s">
        <v>220</v>
      </c>
      <c r="D15" s="217">
        <f>Results_1!D13</f>
        <v>15053.49164342246</v>
      </c>
      <c r="E15" s="217">
        <f>Results_1!E13</f>
        <v>14.973262032085563</v>
      </c>
      <c r="F15" s="217">
        <f>Results_1!F13</f>
        <v>129.50459929702083</v>
      </c>
      <c r="G15" s="217">
        <f>Results_1!G13</f>
        <v>11.761270597396056</v>
      </c>
      <c r="H15" s="217">
        <f>Results_1!H13</f>
        <v>11011.106174675817</v>
      </c>
      <c r="J15" s="207" t="str">
        <f>Parameters!E17</f>
        <v>Transition Probability from state 1 to state 7 on day 1 (CHG)</v>
      </c>
      <c r="K15" s="208">
        <f>Parameters!H17</f>
        <v>3.2119914346895075E-3</v>
      </c>
      <c r="L15" s="208">
        <f>Parameters!J17</f>
        <v>2.58245268162525E-3</v>
      </c>
      <c r="M15" s="208">
        <f>Parameters!K17</f>
        <v>3.8415301877537645E-3</v>
      </c>
      <c r="N15" s="138" t="str">
        <f>Tp_CHG!$H$11</f>
        <v>[Franck Maunoury et al.2015]</v>
      </c>
      <c r="Q15" s="209" t="str">
        <f>DSA_Results!D23</f>
        <v>Non CHG Dressing</v>
      </c>
      <c r="AF15" s="205"/>
    </row>
    <row r="16" spans="2:32" s="206" customFormat="1" ht="26" customHeight="1" x14ac:dyDescent="0.2">
      <c r="B16" s="205"/>
      <c r="J16" s="207" t="str">
        <f>Parameters!E18</f>
        <v>Transition Probability from state 1 to state 8 on day 1 (CHG)</v>
      </c>
      <c r="K16" s="208">
        <f>Parameters!H18</f>
        <v>1.4989293361884369E-2</v>
      </c>
      <c r="L16" s="208">
        <f>Parameters!J18</f>
        <v>1.2051445847584502E-2</v>
      </c>
      <c r="M16" s="208">
        <f>Parameters!K18</f>
        <v>1.7927140876184234E-2</v>
      </c>
      <c r="N16" s="138" t="str">
        <f>Tp_CHG!$H$11</f>
        <v>[Franck Maunoury et al.2015]</v>
      </c>
      <c r="AF16" s="205"/>
    </row>
    <row r="17" spans="2:32" s="206" customFormat="1" ht="26" customHeight="1" x14ac:dyDescent="0.2">
      <c r="B17" s="205"/>
      <c r="J17" s="207" t="str">
        <f>Parameters!E19</f>
        <v>Transition Probability from state 1 to state 1 on day 2 (CHG)</v>
      </c>
      <c r="K17" s="208">
        <f>Parameters!H19</f>
        <v>0.92997811816192555</v>
      </c>
      <c r="L17" s="208">
        <f>Parameters!J19</f>
        <v>0.74770575636115466</v>
      </c>
      <c r="M17" s="208">
        <f>Parameters!K19</f>
        <v>1.1122504799626964</v>
      </c>
      <c r="N17" s="138" t="str">
        <f>Tp_CHG!$H$11</f>
        <v>[Franck Maunoury et al.2015]</v>
      </c>
      <c r="AF17" s="205"/>
    </row>
    <row r="18" spans="2:32" s="206" customFormat="1" ht="26" customHeight="1" x14ac:dyDescent="0.2">
      <c r="B18" s="205"/>
      <c r="J18" s="207" t="str">
        <f>Parameters!E20</f>
        <v>Transition Probability from state 1 to state 2 on day 2 (CHG)</v>
      </c>
      <c r="K18" s="208">
        <f>Parameters!H20</f>
        <v>2.6258205689277898E-2</v>
      </c>
      <c r="L18" s="208">
        <f>Parameters!J20</f>
        <v>2.1111691944314954E-2</v>
      </c>
      <c r="M18" s="208">
        <f>Parameters!K20</f>
        <v>3.1404719434240842E-2</v>
      </c>
      <c r="N18" s="138" t="str">
        <f>Tp_CHG!$H$11</f>
        <v>[Franck Maunoury et al.2015]</v>
      </c>
      <c r="AF18" s="205"/>
    </row>
    <row r="19" spans="2:32" s="206" customFormat="1" ht="26" customHeight="1" x14ac:dyDescent="0.2">
      <c r="B19" s="205"/>
      <c r="J19" s="207" t="str">
        <f>Parameters!E21</f>
        <v>Transition Probability from state 1 to state 7 on day 2 (CHG)</v>
      </c>
      <c r="K19" s="208">
        <f>Parameters!H21</f>
        <v>1.3129102844638949E-2</v>
      </c>
      <c r="L19" s="208">
        <f>Parameters!J21</f>
        <v>1.0555845972157477E-2</v>
      </c>
      <c r="M19" s="208">
        <f>Parameters!K21</f>
        <v>1.5702359717120421E-2</v>
      </c>
      <c r="N19" s="138" t="str">
        <f>Tp_CHG!$H$11</f>
        <v>[Franck Maunoury et al.2015]</v>
      </c>
      <c r="Q19" s="65" t="s">
        <v>64</v>
      </c>
      <c r="R19" s="65" t="s">
        <v>115</v>
      </c>
      <c r="AF19" s="205"/>
    </row>
    <row r="20" spans="2:32" s="206" customFormat="1" ht="26" customHeight="1" x14ac:dyDescent="0.2">
      <c r="B20" s="205"/>
      <c r="J20" s="207" t="str">
        <f>Parameters!E22</f>
        <v>Transition Probability from state 1 to state 8 on day 2 (CHG)</v>
      </c>
      <c r="K20" s="208">
        <f>Parameters!H22</f>
        <v>3.0634573304157548E-2</v>
      </c>
      <c r="L20" s="208">
        <f>Parameters!J22</f>
        <v>2.463030726836745E-2</v>
      </c>
      <c r="M20" s="208">
        <f>Parameters!K22</f>
        <v>3.6638839339947646E-2</v>
      </c>
      <c r="N20" s="138" t="str">
        <f>Tp_CHG!$H$11</f>
        <v>[Franck Maunoury et al.2015]</v>
      </c>
      <c r="Q20" s="66" t="s">
        <v>220</v>
      </c>
      <c r="R20" s="210" t="str">
        <f>IF(Results!I13="Intervention dominant","strictly dominated",IF(Results!I11="Intervention being dominated","is strictly dominated by","has an ICER value of "&amp;c_currency&amp;Results_1!H13&amp;IF(AND(Results!I11&lt;=999999,Results!I11&gt;999),TEXT(Results!I11,"0,000"),IF(Results!I11&gt;999999,TEXT(Results!I11,"0,000,000"),TEXT(Results!I11,"0")))&amp; " with respect to"))</f>
        <v>has an ICER value of €11011.10617467580 with respect to</v>
      </c>
      <c r="AF20" s="205"/>
    </row>
    <row r="21" spans="2:32" s="206" customFormat="1" ht="26" customHeight="1" x14ac:dyDescent="0.2">
      <c r="B21" s="205"/>
      <c r="J21" s="207" t="str">
        <f>Parameters!E23</f>
        <v>Transition Probability from state 1 to state 1 on day 3 (CHG)</v>
      </c>
      <c r="K21" s="208">
        <f>Parameters!H23</f>
        <v>0.89214536928487687</v>
      </c>
      <c r="L21" s="208">
        <f>Parameters!J23</f>
        <v>0.71728809000762239</v>
      </c>
      <c r="M21" s="208">
        <f>Parameters!K23</f>
        <v>1.0670026485621313</v>
      </c>
      <c r="N21" s="138" t="str">
        <f>Tp_CHG!$H$11</f>
        <v>[Franck Maunoury et al.2015]</v>
      </c>
      <c r="AF21" s="205"/>
    </row>
    <row r="22" spans="2:32" s="206" customFormat="1" ht="26" customHeight="1" x14ac:dyDescent="0.2">
      <c r="B22" s="205"/>
      <c r="J22" s="207" t="str">
        <f>Parameters!E24</f>
        <v>Transition Probability from state 1 to state 2 on day 3 (CHG)</v>
      </c>
      <c r="K22" s="208">
        <f>Parameters!H24</f>
        <v>1.992966002344666E-2</v>
      </c>
      <c r="L22" s="208">
        <f>Parameters!J24</f>
        <v>1.6023518436438344E-2</v>
      </c>
      <c r="M22" s="208">
        <f>Parameters!K24</f>
        <v>2.3835801610454975E-2</v>
      </c>
      <c r="N22" s="138" t="str">
        <f>Tp_CHG!$H$11</f>
        <v>[Franck Maunoury et al.2015]</v>
      </c>
      <c r="AF22" s="205"/>
    </row>
    <row r="23" spans="2:32" s="206" customFormat="1" ht="26" customHeight="1" x14ac:dyDescent="0.2">
      <c r="B23" s="205"/>
      <c r="J23" s="207" t="str">
        <f>Parameters!E25</f>
        <v>Transition Probability from state 1 to state 7 on day 3 (CHG)</v>
      </c>
      <c r="K23" s="208">
        <f>Parameters!H25</f>
        <v>6.2133645955451351E-2</v>
      </c>
      <c r="L23" s="208">
        <f>Parameters!J25</f>
        <v>4.9955675125366611E-2</v>
      </c>
      <c r="M23" s="208">
        <f>Parameters!K25</f>
        <v>7.4311616785536092E-2</v>
      </c>
      <c r="N23" s="138" t="str">
        <f>Tp_CHG!$H$11</f>
        <v>[Franck Maunoury et al.2015]</v>
      </c>
      <c r="AF23" s="205"/>
    </row>
    <row r="24" spans="2:32" s="206" customFormat="1" ht="26" customHeight="1" x14ac:dyDescent="0.2">
      <c r="B24" s="205"/>
      <c r="J24" s="207" t="str">
        <f>Parameters!E26</f>
        <v>Transition Probability from state 1 to state 8 on day 3 (CHG)</v>
      </c>
      <c r="K24" s="208">
        <f>Parameters!H26</f>
        <v>2.5791324736225089E-2</v>
      </c>
      <c r="L24" s="208">
        <f>Parameters!J26</f>
        <v>2.0736317976567272E-2</v>
      </c>
      <c r="M24" s="208">
        <f>Parameters!K26</f>
        <v>3.0846331495882905E-2</v>
      </c>
      <c r="N24" s="138" t="str">
        <f>Tp_CHG!$H$11</f>
        <v>[Franck Maunoury et al.2015]</v>
      </c>
      <c r="AF24" s="205"/>
    </row>
    <row r="25" spans="2:32" s="206" customFormat="1" ht="26" customHeight="1" x14ac:dyDescent="0.2">
      <c r="B25" s="205"/>
      <c r="J25" s="207" t="str">
        <f>Parameters!E27</f>
        <v>Transition Probability from state 1 to state 1 on day 4 (CHG)</v>
      </c>
      <c r="K25" s="208">
        <f>Parameters!H27</f>
        <v>0.90792838874680304</v>
      </c>
      <c r="L25" s="208">
        <f>Parameters!J27</f>
        <v>0.72997769449828154</v>
      </c>
      <c r="M25" s="208">
        <f>Parameters!K27</f>
        <v>1.0858790829953247</v>
      </c>
      <c r="N25" s="138" t="str">
        <f>Tp_CHG!$H$11</f>
        <v>[Franck Maunoury et al.2015]</v>
      </c>
      <c r="AF25" s="205"/>
    </row>
    <row r="26" spans="2:32" s="206" customFormat="1" ht="26" customHeight="1" x14ac:dyDescent="0.2">
      <c r="B26" s="205"/>
      <c r="J26" s="207" t="str">
        <f>Parameters!E28</f>
        <v>Transition Probability from state 1 to state 2 on day 4 (CHG)</v>
      </c>
      <c r="K26" s="208">
        <f>Parameters!H28</f>
        <v>2.4296675191815855E-2</v>
      </c>
      <c r="L26" s="208">
        <f>Parameters!J28</f>
        <v>1.9534614359813168E-2</v>
      </c>
      <c r="M26" s="208">
        <f>Parameters!K28</f>
        <v>2.9058736023818543E-2</v>
      </c>
      <c r="N26" s="138" t="str">
        <f>Tp_CHG!$H$11</f>
        <v>[Franck Maunoury et al.2015]</v>
      </c>
      <c r="AF26" s="205"/>
    </row>
    <row r="27" spans="2:32" s="206" customFormat="1" ht="26" customHeight="1" x14ac:dyDescent="0.2">
      <c r="B27" s="205"/>
      <c r="J27" s="207" t="str">
        <f>Parameters!E29</f>
        <v>Transition Probability from state 1 to state 7 on day 4 (CHG)</v>
      </c>
      <c r="K27" s="208">
        <f>Parameters!H29</f>
        <v>3.7084398976982097E-2</v>
      </c>
      <c r="L27" s="208">
        <f>Parameters!J29</f>
        <v>2.9815990338662203E-2</v>
      </c>
      <c r="M27" s="208">
        <f>Parameters!K29</f>
        <v>4.4352807615301991E-2</v>
      </c>
      <c r="N27" s="138" t="str">
        <f>Tp_CHG!$H$11</f>
        <v>[Franck Maunoury et al.2015]</v>
      </c>
      <c r="AF27" s="205"/>
    </row>
    <row r="28" spans="2:32" s="206" customFormat="1" ht="26" customHeight="1" x14ac:dyDescent="0.2">
      <c r="B28" s="205"/>
      <c r="J28" s="207" t="str">
        <f>Parameters!E30</f>
        <v>Transition Probability from state 1 to state 8 on day 4 (CHG)</v>
      </c>
      <c r="K28" s="208">
        <f>Parameters!H30</f>
        <v>3.0690537084398978E-2</v>
      </c>
      <c r="L28" s="208">
        <f>Parameters!J30</f>
        <v>2.4675302349237687E-2</v>
      </c>
      <c r="M28" s="208">
        <f>Parameters!K30</f>
        <v>3.6705771819560265E-2</v>
      </c>
      <c r="N28" s="138" t="str">
        <f>Tp_CHG!$H$11</f>
        <v>[Franck Maunoury et al.2015]</v>
      </c>
      <c r="AF28" s="205"/>
    </row>
    <row r="29" spans="2:32" s="206" customFormat="1" ht="26" customHeight="1" x14ac:dyDescent="0.2">
      <c r="B29" s="205"/>
      <c r="J29" s="207" t="str">
        <f>Parameters!E31</f>
        <v>Transition Probability from state 1 to state 1 on day 5 (CHG)</v>
      </c>
      <c r="K29" s="208">
        <f>Parameters!H31</f>
        <v>0.87362637362637363</v>
      </c>
      <c r="L29" s="208">
        <f>Parameters!J31</f>
        <v>0.70239875080117109</v>
      </c>
      <c r="M29" s="208">
        <f>Parameters!K31</f>
        <v>1.0448539964515762</v>
      </c>
      <c r="N29" s="138" t="str">
        <f>Tp_CHG!$H$11</f>
        <v>[Franck Maunoury et al.2015]</v>
      </c>
      <c r="AF29" s="205"/>
    </row>
    <row r="30" spans="2:32" s="206" customFormat="1" ht="26" customHeight="1" x14ac:dyDescent="0.2">
      <c r="B30" s="205"/>
      <c r="J30" s="207" t="str">
        <f>Parameters!E32</f>
        <v>Transition Probability from state 1 to state 2 on day 5 (CHG)</v>
      </c>
      <c r="K30" s="208">
        <f>Parameters!H32</f>
        <v>1.510989010989011E-2</v>
      </c>
      <c r="L30" s="208">
        <f>Parameters!J32</f>
        <v>1.2148406067315853E-2</v>
      </c>
      <c r="M30" s="208">
        <f>Parameters!K32</f>
        <v>1.8071374152464369E-2</v>
      </c>
      <c r="N30" s="138" t="str">
        <f>Tp_CHG!$H$11</f>
        <v>[Franck Maunoury et al.2015]</v>
      </c>
      <c r="AF30" s="205"/>
    </row>
    <row r="31" spans="2:32" s="206" customFormat="1" ht="26" customHeight="1" x14ac:dyDescent="0.2">
      <c r="B31" s="205"/>
      <c r="J31" s="207" t="str">
        <f>Parameters!E33</f>
        <v>Transition Probability from state 1 to state 5 on day 5 (CHG)</v>
      </c>
      <c r="K31" s="208">
        <f>Parameters!H33</f>
        <v>1.3736263736263737E-3</v>
      </c>
      <c r="L31" s="208">
        <f>Parameters!J33</f>
        <v>1.1044005515741685E-3</v>
      </c>
      <c r="M31" s="208">
        <f>Parameters!K33</f>
        <v>1.642852195678579E-3</v>
      </c>
      <c r="N31" s="138" t="str">
        <f>Tp_CHG!$H$11</f>
        <v>[Franck Maunoury et al.2015]</v>
      </c>
      <c r="AF31" s="205"/>
    </row>
    <row r="32" spans="2:32" s="206" customFormat="1" ht="26" customHeight="1" x14ac:dyDescent="0.2">
      <c r="B32" s="205"/>
      <c r="J32" s="207" t="str">
        <f>Parameters!E34</f>
        <v>Transition Probability from state 1 to state 7 on day 5 (CHG)</v>
      </c>
      <c r="K32" s="208">
        <f>Parameters!H34</f>
        <v>8.2417582417582416E-2</v>
      </c>
      <c r="L32" s="208">
        <f>Parameters!J34</f>
        <v>6.62640330944501E-2</v>
      </c>
      <c r="M32" s="208">
        <f>Parameters!K34</f>
        <v>9.8571131740714718E-2</v>
      </c>
      <c r="N32" s="138" t="str">
        <f>Tp_CHG!$H$11</f>
        <v>[Franck Maunoury et al.2015]</v>
      </c>
      <c r="AF32" s="205"/>
    </row>
    <row r="33" spans="2:32" s="206" customFormat="1" ht="26" customHeight="1" x14ac:dyDescent="0.2">
      <c r="B33" s="205"/>
      <c r="J33" s="207" t="str">
        <f>Parameters!E35</f>
        <v>Transition Probability from state 1 to state 8 on day 5 (CHG)</v>
      </c>
      <c r="K33" s="208">
        <f>Parameters!H35</f>
        <v>2.7472527472527472E-2</v>
      </c>
      <c r="L33" s="208">
        <f>Parameters!J35</f>
        <v>2.2088011031483369E-2</v>
      </c>
      <c r="M33" s="208">
        <f>Parameters!K35</f>
        <v>3.2857043913571575E-2</v>
      </c>
      <c r="N33" s="138" t="str">
        <f>Tp_CHG!$H$11</f>
        <v>[Franck Maunoury et al.2015]</v>
      </c>
      <c r="AF33" s="205"/>
    </row>
    <row r="34" spans="2:32" s="206" customFormat="1" ht="26" customHeight="1" x14ac:dyDescent="0.2">
      <c r="B34" s="205"/>
      <c r="J34" s="207" t="str">
        <f>Parameters!E36</f>
        <v>Transition Probability from state 1 to state 1 on day 6 (CHG)</v>
      </c>
      <c r="K34" s="208">
        <f>Parameters!H36</f>
        <v>0.87308868501529047</v>
      </c>
      <c r="L34" s="208">
        <f>Parameters!J36</f>
        <v>0.70196644722135004</v>
      </c>
      <c r="M34" s="208">
        <f>Parameters!K36</f>
        <v>1.0442109228092309</v>
      </c>
      <c r="N34" s="138" t="str">
        <f>Tp_CHG!$H$11</f>
        <v>[Franck Maunoury et al.2015]</v>
      </c>
      <c r="AF34" s="205"/>
    </row>
    <row r="35" spans="2:32" s="206" customFormat="1" ht="26" customHeight="1" x14ac:dyDescent="0.2">
      <c r="B35" s="205"/>
      <c r="J35" s="207" t="str">
        <f>Parameters!E37</f>
        <v>Transition Probability from state 1 to state 2 on day 6 (CHG)</v>
      </c>
      <c r="K35" s="208">
        <f>Parameters!H37</f>
        <v>2.1406727828746176E-2</v>
      </c>
      <c r="L35" s="208">
        <f>Parameters!J37</f>
        <v>1.7211086271626794E-2</v>
      </c>
      <c r="M35" s="208">
        <f>Parameters!K37</f>
        <v>2.5602369385865558E-2</v>
      </c>
      <c r="N35" s="138" t="str">
        <f>Tp_CHG!$H$11</f>
        <v>[Franck Maunoury et al.2015]</v>
      </c>
      <c r="AF35" s="205"/>
    </row>
    <row r="36" spans="2:32" s="206" customFormat="1" ht="26" customHeight="1" x14ac:dyDescent="0.2">
      <c r="B36" s="205"/>
      <c r="J36" s="207" t="str">
        <f>Parameters!E38</f>
        <v>Transition Probability from state 1 to state 5 on day 6 (CHG)</v>
      </c>
      <c r="K36" s="208">
        <f>Parameters!H38</f>
        <v>3.0581039755351682E-3</v>
      </c>
      <c r="L36" s="208">
        <f>Parameters!J38</f>
        <v>2.4587266102323994E-3</v>
      </c>
      <c r="M36" s="208">
        <f>Parameters!K38</f>
        <v>3.6574813408379371E-3</v>
      </c>
      <c r="N36" s="138" t="str">
        <f>Tp_CHG!$H$11</f>
        <v>[Franck Maunoury et al.2015]</v>
      </c>
      <c r="AF36" s="205"/>
    </row>
    <row r="37" spans="2:32" s="206" customFormat="1" ht="26" customHeight="1" x14ac:dyDescent="0.2">
      <c r="B37" s="205"/>
      <c r="J37" s="207" t="str">
        <f>Parameters!E39</f>
        <v>Transition Probability from state 1 to state 7 on day 6 (CHG)</v>
      </c>
      <c r="K37" s="208">
        <f>Parameters!H39</f>
        <v>6.7278287461773695E-2</v>
      </c>
      <c r="L37" s="208">
        <f>Parameters!J39</f>
        <v>5.409198542511278E-2</v>
      </c>
      <c r="M37" s="208">
        <f>Parameters!K39</f>
        <v>8.0464589498434602E-2</v>
      </c>
      <c r="N37" s="138" t="str">
        <f>Tp_CHG!$H$11</f>
        <v>[Franck Maunoury et al.2015]</v>
      </c>
      <c r="AF37" s="205"/>
    </row>
    <row r="38" spans="2:32" s="206" customFormat="1" ht="26" customHeight="1" x14ac:dyDescent="0.2">
      <c r="B38" s="205"/>
      <c r="J38" s="207" t="str">
        <f>Parameters!E40</f>
        <v>Transition Probability from state 1 to state 8 on day 6 (CHG)</v>
      </c>
      <c r="K38" s="208">
        <f>Parameters!H40</f>
        <v>3.5168195718654434E-2</v>
      </c>
      <c r="L38" s="208">
        <f>Parameters!J40</f>
        <v>2.8275356017672594E-2</v>
      </c>
      <c r="M38" s="208">
        <f>Parameters!K40</f>
        <v>4.2061035419636274E-2</v>
      </c>
      <c r="N38" s="138" t="str">
        <f>Tp_CHG!$H$11</f>
        <v>[Franck Maunoury et al.2015]</v>
      </c>
      <c r="AF38" s="205"/>
    </row>
    <row r="39" spans="2:32" s="206" customFormat="1" ht="26" customHeight="1" x14ac:dyDescent="0.2">
      <c r="B39" s="205"/>
      <c r="J39" s="207" t="str">
        <f>Parameters!E41</f>
        <v>Transition Probability from state 1 to state 1 on day 7 (CHG)</v>
      </c>
      <c r="K39" s="208">
        <f>Parameters!H41</f>
        <v>0.88507718696397941</v>
      </c>
      <c r="L39" s="208">
        <f>Parameters!J41</f>
        <v>0.71160524596523711</v>
      </c>
      <c r="M39" s="208">
        <f>Parameters!K41</f>
        <v>1.0585491279627217</v>
      </c>
      <c r="N39" s="138" t="str">
        <f>Tp_CHG!$H$11</f>
        <v>[Franck Maunoury et al.2015]</v>
      </c>
      <c r="AF39" s="205"/>
    </row>
    <row r="40" spans="2:32" s="206" customFormat="1" ht="26" customHeight="1" x14ac:dyDescent="0.2">
      <c r="B40" s="205"/>
      <c r="J40" s="207" t="str">
        <f>Parameters!E42</f>
        <v>Transition Probability from state 1 to state 2 on day 7 (CHG)</v>
      </c>
      <c r="K40" s="208">
        <f>Parameters!H42</f>
        <v>2.4013722126929673E-2</v>
      </c>
      <c r="L40" s="208">
        <f>Parameters!J42</f>
        <v>1.9307119076576198E-2</v>
      </c>
      <c r="M40" s="208">
        <f>Parameters!K42</f>
        <v>2.8720325177283148E-2</v>
      </c>
      <c r="N40" s="138" t="str">
        <f>Tp_CHG!$H$11</f>
        <v>[Franck Maunoury et al.2015]</v>
      </c>
      <c r="AF40" s="205"/>
    </row>
    <row r="41" spans="2:32" s="206" customFormat="1" ht="26" customHeight="1" x14ac:dyDescent="0.2">
      <c r="B41" s="205"/>
      <c r="J41" s="207" t="str">
        <f>Parameters!E43</f>
        <v>Transition Probability from state 1 to state 4 on day 7 (CHG)</v>
      </c>
      <c r="K41" s="208">
        <f>Parameters!H43</f>
        <v>1.7152658662092624E-3</v>
      </c>
      <c r="L41" s="208">
        <f>Parameters!J43</f>
        <v>1.379079934041157E-3</v>
      </c>
      <c r="M41" s="208">
        <f>Parameters!K43</f>
        <v>2.0514517983773678E-3</v>
      </c>
      <c r="N41" s="138" t="str">
        <f>Tp_CHG!$H$11</f>
        <v>[Franck Maunoury et al.2015]</v>
      </c>
      <c r="AF41" s="205"/>
    </row>
    <row r="42" spans="2:32" s="206" customFormat="1" ht="26" customHeight="1" x14ac:dyDescent="0.2">
      <c r="B42" s="205"/>
      <c r="J42" s="207" t="str">
        <f>Parameters!E44</f>
        <v>Transition Probability from state 1 to state 7 on day 7 (CHG)</v>
      </c>
      <c r="K42" s="208">
        <f>Parameters!H44</f>
        <v>7.2041166380789029E-2</v>
      </c>
      <c r="L42" s="208">
        <f>Parameters!J44</f>
        <v>5.7921357229728604E-2</v>
      </c>
      <c r="M42" s="208">
        <f>Parameters!K44</f>
        <v>8.6160975531849454E-2</v>
      </c>
      <c r="N42" s="138" t="str">
        <f>Tp_CHG!$H$11</f>
        <v>[Franck Maunoury et al.2015]</v>
      </c>
      <c r="AF42" s="205"/>
    </row>
    <row r="43" spans="2:32" s="206" customFormat="1" ht="26" customHeight="1" x14ac:dyDescent="0.2">
      <c r="B43" s="205"/>
      <c r="J43" s="207" t="str">
        <f>Parameters!E45</f>
        <v>Transition Probability from state 1 to state 8 on day 7 (CHG)</v>
      </c>
      <c r="K43" s="208">
        <f>Parameters!H45</f>
        <v>1.7152658662092625E-2</v>
      </c>
      <c r="L43" s="208">
        <f>Parameters!J45</f>
        <v>1.3790799340411572E-2</v>
      </c>
      <c r="M43" s="208">
        <f>Parameters!K45</f>
        <v>2.0514517983773677E-2</v>
      </c>
      <c r="N43" s="138" t="str">
        <f>Tp_CHG!$H$11</f>
        <v>[Franck Maunoury et al.2015]</v>
      </c>
      <c r="AF43" s="205"/>
    </row>
    <row r="44" spans="2:32" s="206" customFormat="1" ht="26" customHeight="1" x14ac:dyDescent="0.2">
      <c r="B44" s="205"/>
      <c r="J44" s="207" t="str">
        <f>Parameters!E46</f>
        <v>Transition Probability from state 1 to state 1 on day 8 (CHG)</v>
      </c>
      <c r="K44" s="208">
        <f>Parameters!H46</f>
        <v>0.87547169811320757</v>
      </c>
      <c r="L44" s="208">
        <f>Parameters!J46</f>
        <v>0.70388239833460664</v>
      </c>
      <c r="M44" s="208">
        <f>Parameters!K46</f>
        <v>1.0470609978918084</v>
      </c>
      <c r="N44" s="138" t="str">
        <f>Tp_CHG!$H$11</f>
        <v>[Franck Maunoury et al.2015]</v>
      </c>
      <c r="AF44" s="205"/>
    </row>
    <row r="45" spans="2:32" s="206" customFormat="1" ht="26" customHeight="1" x14ac:dyDescent="0.2">
      <c r="B45" s="205"/>
      <c r="J45" s="207" t="str">
        <f>Parameters!E47</f>
        <v>Transition Probability from state 1 to state 2 on day 8 (CHG)</v>
      </c>
      <c r="K45" s="208">
        <f>Parameters!H47</f>
        <v>3.2075471698113207E-2</v>
      </c>
      <c r="L45" s="208">
        <f>Parameters!J47</f>
        <v>2.5788794766569638E-2</v>
      </c>
      <c r="M45" s="208">
        <f>Parameters!K47</f>
        <v>3.8362148629656777E-2</v>
      </c>
      <c r="N45" s="138" t="str">
        <f>Tp_CHG!$H$11</f>
        <v>[Franck Maunoury et al.2015]</v>
      </c>
      <c r="AF45" s="205"/>
    </row>
    <row r="46" spans="2:32" s="206" customFormat="1" ht="26" customHeight="1" x14ac:dyDescent="0.2">
      <c r="B46" s="205"/>
      <c r="J46" s="207" t="str">
        <f>Parameters!E48</f>
        <v>Transition Probability from state 1 to state 4 on day 8 (CHG)</v>
      </c>
      <c r="K46" s="208">
        <f>Parameters!H48</f>
        <v>1.8867924528301887E-3</v>
      </c>
      <c r="L46" s="208">
        <f>Parameters!J48</f>
        <v>1.5169879274452729E-3</v>
      </c>
      <c r="M46" s="208">
        <f>Parameters!K48</f>
        <v>2.2565969782151044E-3</v>
      </c>
      <c r="N46" s="138" t="str">
        <f>Tp_CHG!$H$11</f>
        <v>[Franck Maunoury et al.2015]</v>
      </c>
      <c r="AF46" s="205"/>
    </row>
    <row r="47" spans="2:32" s="206" customFormat="1" ht="26" customHeight="1" x14ac:dyDescent="0.2">
      <c r="B47" s="205"/>
      <c r="J47" s="207" t="str">
        <f>Parameters!E49</f>
        <v>Transition Probability from state 1 to state 5 on day 8 (CHG)</v>
      </c>
      <c r="K47" s="208">
        <f>Parameters!H49</f>
        <v>3.7735849056603774E-3</v>
      </c>
      <c r="L47" s="208">
        <f>Parameters!J49</f>
        <v>3.0339758548905459E-3</v>
      </c>
      <c r="M47" s="208">
        <f>Parameters!K49</f>
        <v>4.5131939564302089E-3</v>
      </c>
      <c r="N47" s="138" t="str">
        <f>Tp_CHG!$H$11</f>
        <v>[Franck Maunoury et al.2015]</v>
      </c>
      <c r="AF47" s="205"/>
    </row>
    <row r="48" spans="2:32" s="206" customFormat="1" ht="26" customHeight="1" x14ac:dyDescent="0.2">
      <c r="B48" s="205"/>
      <c r="J48" s="207" t="str">
        <f>Parameters!E50</f>
        <v>Transition Probability from state 1 to state 7 on day 8 (CHG)</v>
      </c>
      <c r="K48" s="208">
        <f>Parameters!H50</f>
        <v>7.3584905660377356E-2</v>
      </c>
      <c r="L48" s="208">
        <f>Parameters!J50</f>
        <v>5.9162529170365637E-2</v>
      </c>
      <c r="M48" s="208">
        <f>Parameters!K50</f>
        <v>8.8007282150389068E-2</v>
      </c>
      <c r="N48" s="138" t="str">
        <f>Tp_CHG!$H$11</f>
        <v>[Franck Maunoury et al.2015]</v>
      </c>
      <c r="AF48" s="205"/>
    </row>
    <row r="49" spans="2:32" s="206" customFormat="1" ht="26" customHeight="1" x14ac:dyDescent="0.2">
      <c r="B49" s="205"/>
      <c r="J49" s="207" t="str">
        <f>Parameters!E51</f>
        <v>Transition Probability from state 1 to state 8 on day 8 (CHG)</v>
      </c>
      <c r="K49" s="208">
        <f>Parameters!H51</f>
        <v>1.3207547169811321E-2</v>
      </c>
      <c r="L49" s="208">
        <f>Parameters!J51</f>
        <v>1.0618915492116909E-2</v>
      </c>
      <c r="M49" s="208">
        <f>Parameters!K51</f>
        <v>1.5796178847505733E-2</v>
      </c>
      <c r="N49" s="138" t="str">
        <f>Tp_CHG!$H$11</f>
        <v>[Franck Maunoury et al.2015]</v>
      </c>
      <c r="AF49" s="205"/>
    </row>
    <row r="50" spans="2:32" s="206" customFormat="1" ht="26" customHeight="1" x14ac:dyDescent="0.2">
      <c r="B50" s="205"/>
      <c r="J50" s="207" t="str">
        <f>Parameters!E52</f>
        <v>Transition Probability from state 1 to state 1 on day 9 (CHG)</v>
      </c>
      <c r="K50" s="208">
        <f>Parameters!H52</f>
        <v>0.89812889812889818</v>
      </c>
      <c r="L50" s="208">
        <f>Parameters!J52</f>
        <v>0.72209886874816986</v>
      </c>
      <c r="M50" s="208">
        <f>Parameters!K52</f>
        <v>1.0741589275096266</v>
      </c>
      <c r="N50" s="138" t="str">
        <f>Tp_CHG!$H$11</f>
        <v>[Franck Maunoury et al.2015]</v>
      </c>
      <c r="AF50" s="205"/>
    </row>
    <row r="51" spans="2:32" s="206" customFormat="1" ht="26" customHeight="1" x14ac:dyDescent="0.2">
      <c r="B51" s="205"/>
      <c r="J51" s="207" t="str">
        <f>Parameters!E53</f>
        <v>Transition Probability from state 1 to state 2 on day 9 (CHG)</v>
      </c>
      <c r="K51" s="208">
        <f>Parameters!H53</f>
        <v>1.8711018711018712E-2</v>
      </c>
      <c r="L51" s="208">
        <f>Parameters!J53</f>
        <v>1.5043726432253539E-2</v>
      </c>
      <c r="M51" s="208">
        <f>Parameters!K53</f>
        <v>2.2378310989783885E-2</v>
      </c>
      <c r="N51" s="138" t="str">
        <f>Tp_CHG!$H$11</f>
        <v>[Franck Maunoury et al.2015]</v>
      </c>
      <c r="AF51" s="205"/>
    </row>
    <row r="52" spans="2:32" s="206" customFormat="1" ht="26" customHeight="1" x14ac:dyDescent="0.2">
      <c r="B52" s="205"/>
      <c r="J52" s="207" t="str">
        <f>Parameters!E54</f>
        <v>Transition Probability from state 1 to state 5 on day 9 (CHG)</v>
      </c>
      <c r="K52" s="208">
        <f>Parameters!H54</f>
        <v>2.0790020790020791E-3</v>
      </c>
      <c r="L52" s="208">
        <f>Parameters!J54</f>
        <v>1.6715251591392821E-3</v>
      </c>
      <c r="M52" s="208">
        <f>Parameters!K54</f>
        <v>2.4864789988648761E-3</v>
      </c>
      <c r="N52" s="138" t="str">
        <f>Tp_CHG!$H$11</f>
        <v>[Franck Maunoury et al.2015]</v>
      </c>
      <c r="AF52" s="205"/>
    </row>
    <row r="53" spans="2:32" s="206" customFormat="1" ht="26" customHeight="1" x14ac:dyDescent="0.2">
      <c r="B53" s="205"/>
      <c r="J53" s="207" t="str">
        <f>Parameters!E55</f>
        <v>Transition Probability from state 1 to state 7 on day 9 (CHG)</v>
      </c>
      <c r="K53" s="208">
        <f>Parameters!H55</f>
        <v>6.2370062370062374E-2</v>
      </c>
      <c r="L53" s="208">
        <f>Parameters!J55</f>
        <v>5.0145754774178458E-2</v>
      </c>
      <c r="M53" s="208">
        <f>Parameters!K55</f>
        <v>7.4594369965946289E-2</v>
      </c>
      <c r="N53" s="138" t="str">
        <f>Tp_CHG!$H$11</f>
        <v>[Franck Maunoury et al.2015]</v>
      </c>
      <c r="AF53" s="205"/>
    </row>
    <row r="54" spans="2:32" s="206" customFormat="1" ht="26" customHeight="1" x14ac:dyDescent="0.2">
      <c r="B54" s="205"/>
      <c r="J54" s="207" t="str">
        <f>Parameters!E56</f>
        <v>Transition Probability from state 1 to state 8 on day 9 (CHG)</v>
      </c>
      <c r="K54" s="208">
        <f>Parameters!H56</f>
        <v>1.8711018711018712E-2</v>
      </c>
      <c r="L54" s="208">
        <f>Parameters!J56</f>
        <v>1.5043726432253539E-2</v>
      </c>
      <c r="M54" s="208">
        <f>Parameters!K56</f>
        <v>2.2378310989783885E-2</v>
      </c>
      <c r="N54" s="138" t="str">
        <f>Tp_CHG!$H$11</f>
        <v>[Franck Maunoury et al.2015]</v>
      </c>
      <c r="AF54" s="205"/>
    </row>
    <row r="55" spans="2:32" s="206" customFormat="1" ht="26" customHeight="1" x14ac:dyDescent="0.2">
      <c r="B55" s="205"/>
      <c r="J55" s="207" t="str">
        <f>Parameters!E57</f>
        <v>Transition Probability from state 1 to state 1 on day 10 (CHG)</v>
      </c>
      <c r="K55" s="208">
        <f>Parameters!H57</f>
        <v>0.8683035714285714</v>
      </c>
      <c r="L55" s="208">
        <f>Parameters!J57</f>
        <v>0.69811919866382122</v>
      </c>
      <c r="M55" s="208">
        <f>Parameters!K57</f>
        <v>1.0384879441933217</v>
      </c>
      <c r="N55" s="138" t="str">
        <f>Tp_CHG!$H$11</f>
        <v>[Franck Maunoury et al.2015]</v>
      </c>
      <c r="AF55" s="205"/>
    </row>
    <row r="56" spans="2:32" s="206" customFormat="1" ht="26" customHeight="1" x14ac:dyDescent="0.2">
      <c r="B56" s="205"/>
      <c r="J56" s="207" t="str">
        <f>Parameters!E58</f>
        <v>Transition Probability from state 1 to state 2 on day 10 (CHG)</v>
      </c>
      <c r="K56" s="208">
        <f>Parameters!H58</f>
        <v>3.7946428571428568E-2</v>
      </c>
      <c r="L56" s="208">
        <f>Parameters!J58</f>
        <v>3.0509065237236399E-2</v>
      </c>
      <c r="M56" s="208">
        <f>Parameters!K58</f>
        <v>4.5383791905620738E-2</v>
      </c>
      <c r="N56" s="138" t="str">
        <f>Tp_CHG!$H$11</f>
        <v>[Franck Maunoury et al.2015]</v>
      </c>
      <c r="AF56" s="205"/>
    </row>
    <row r="57" spans="2:32" s="206" customFormat="1" ht="26" customHeight="1" x14ac:dyDescent="0.2">
      <c r="B57" s="205"/>
      <c r="J57" s="207" t="str">
        <f>Parameters!E59</f>
        <v>Transition Probability from state 1 to state 5 on day 10 (CHG)</v>
      </c>
      <c r="K57" s="208">
        <f>Parameters!H59</f>
        <v>4.464285714285714E-3</v>
      </c>
      <c r="L57" s="208">
        <f>Parameters!J59</f>
        <v>3.5893017926160471E-3</v>
      </c>
      <c r="M57" s="208">
        <f>Parameters!K59</f>
        <v>5.339269635955381E-3</v>
      </c>
      <c r="N57" s="138" t="str">
        <f>Tp_CHG!$H$11</f>
        <v>[Franck Maunoury et al.2015]</v>
      </c>
      <c r="AF57" s="205"/>
    </row>
    <row r="58" spans="2:32" s="206" customFormat="1" ht="26" customHeight="1" x14ac:dyDescent="0.2">
      <c r="B58" s="205"/>
      <c r="J58" s="207" t="str">
        <f>Parameters!E60</f>
        <v>Transition Probability from state 1 to state 7 on day 10 (CHG)</v>
      </c>
      <c r="K58" s="208">
        <f>Parameters!H60</f>
        <v>7.1428571428571425E-2</v>
      </c>
      <c r="L58" s="208">
        <f>Parameters!J60</f>
        <v>5.7428828681856753E-2</v>
      </c>
      <c r="M58" s="208">
        <f>Parameters!K60</f>
        <v>8.5428314175286096E-2</v>
      </c>
      <c r="N58" s="138" t="str">
        <f>Tp_CHG!$H$11</f>
        <v>[Franck Maunoury et al.2015]</v>
      </c>
      <c r="AF58" s="205"/>
    </row>
    <row r="59" spans="2:32" s="206" customFormat="1" ht="26" customHeight="1" x14ac:dyDescent="0.2">
      <c r="B59" s="205"/>
      <c r="J59" s="207" t="str">
        <f>Parameters!E61</f>
        <v>Transition Probability from state 1 to state 8 on day 10 (CHG)</v>
      </c>
      <c r="K59" s="208">
        <f>Parameters!H61</f>
        <v>1.7857142857142856E-2</v>
      </c>
      <c r="L59" s="208">
        <f>Parameters!J61</f>
        <v>1.4357207170464188E-2</v>
      </c>
      <c r="M59" s="208">
        <f>Parameters!K61</f>
        <v>2.1357078543821524E-2</v>
      </c>
      <c r="N59" s="138" t="str">
        <f>Tp_CHG!$H$11</f>
        <v>[Franck Maunoury et al.2015]</v>
      </c>
      <c r="AF59" s="205"/>
    </row>
    <row r="60" spans="2:32" s="206" customFormat="1" ht="26" customHeight="1" x14ac:dyDescent="0.2">
      <c r="B60" s="205"/>
      <c r="J60" s="207" t="str">
        <f>Parameters!E62</f>
        <v>Transition Probability from state 1 to state 1 on day 11 (CHG)</v>
      </c>
      <c r="K60" s="208">
        <f>Parameters!H62</f>
        <v>0.89974937343358397</v>
      </c>
      <c r="L60" s="208">
        <f>Parameters!J62</f>
        <v>0.72340173672935348</v>
      </c>
      <c r="M60" s="208">
        <f>Parameters!K62</f>
        <v>1.0760970101378144</v>
      </c>
      <c r="N60" s="138" t="str">
        <f>Tp_CHG!$H$11</f>
        <v>[Franck Maunoury et al.2015]</v>
      </c>
      <c r="AF60" s="205"/>
    </row>
    <row r="61" spans="2:32" s="206" customFormat="1" ht="26" customHeight="1" x14ac:dyDescent="0.2">
      <c r="B61" s="205"/>
      <c r="J61" s="207" t="str">
        <f>Parameters!E63</f>
        <v>Transition Probability from state 1 to state 2 on day 11 (CHG)</v>
      </c>
      <c r="K61" s="208">
        <f>Parameters!H63</f>
        <v>1.7543859649122806E-2</v>
      </c>
      <c r="L61" s="208">
        <f>Parameters!J63</f>
        <v>1.4105326342912186E-2</v>
      </c>
      <c r="M61" s="208">
        <f>Parameters!K63</f>
        <v>2.0982392955333426E-2</v>
      </c>
      <c r="N61" s="138" t="str">
        <f>Tp_CHG!$H$11</f>
        <v>[Franck Maunoury et al.2015]</v>
      </c>
      <c r="AF61" s="205"/>
    </row>
    <row r="62" spans="2:32" s="206" customFormat="1" ht="26" customHeight="1" x14ac:dyDescent="0.2">
      <c r="B62" s="205"/>
      <c r="J62" s="207" t="str">
        <f>Parameters!E64</f>
        <v>Transition Probability from state 1 to state 5 on day 11 (CHG)</v>
      </c>
      <c r="K62" s="208">
        <f>Parameters!H64</f>
        <v>7.5187969924812026E-3</v>
      </c>
      <c r="L62" s="208">
        <f>Parameters!J64</f>
        <v>6.0451398612480795E-3</v>
      </c>
      <c r="M62" s="208">
        <f>Parameters!K64</f>
        <v>8.9924541237143257E-3</v>
      </c>
      <c r="N62" s="138" t="str">
        <f>Tp_CHG!$H$11</f>
        <v>[Franck Maunoury et al.2015]</v>
      </c>
      <c r="AF62" s="205"/>
    </row>
    <row r="63" spans="2:32" s="206" customFormat="1" ht="26" customHeight="1" x14ac:dyDescent="0.2">
      <c r="B63" s="205"/>
      <c r="J63" s="207" t="str">
        <f>Parameters!E65</f>
        <v>Transition Probability from state 1 to state 7 on day 11 (CHG)</v>
      </c>
      <c r="K63" s="208">
        <f>Parameters!H65</f>
        <v>5.764411027568922E-2</v>
      </c>
      <c r="L63" s="208">
        <f>Parameters!J65</f>
        <v>4.6346072269568606E-2</v>
      </c>
      <c r="M63" s="208">
        <f>Parameters!K65</f>
        <v>6.8942148281809834E-2</v>
      </c>
      <c r="N63" s="138" t="str">
        <f>Tp_CHG!$H$11</f>
        <v>[Franck Maunoury et al.2015]</v>
      </c>
      <c r="AF63" s="205"/>
    </row>
    <row r="64" spans="2:32" s="206" customFormat="1" ht="26" customHeight="1" x14ac:dyDescent="0.2">
      <c r="B64" s="205"/>
      <c r="J64" s="207" t="str">
        <f>Parameters!E66</f>
        <v>Transition Probability from state 1 to state 8 on day 11 (CHG)</v>
      </c>
      <c r="K64" s="208">
        <f>Parameters!H66</f>
        <v>1.7543859649122806E-2</v>
      </c>
      <c r="L64" s="208">
        <f>Parameters!J66</f>
        <v>1.4105326342912186E-2</v>
      </c>
      <c r="M64" s="208">
        <f>Parameters!K66</f>
        <v>2.0982392955333426E-2</v>
      </c>
      <c r="N64" s="138" t="str">
        <f>Tp_CHG!$H$11</f>
        <v>[Franck Maunoury et al.2015]</v>
      </c>
      <c r="AF64" s="205"/>
    </row>
    <row r="65" spans="2:32" s="206" customFormat="1" ht="26" customHeight="1" x14ac:dyDescent="0.2">
      <c r="B65" s="205"/>
      <c r="J65" s="207" t="str">
        <f>Parameters!E67</f>
        <v>Transition Probability from state 1 to state 1 on day 12 (CHG)</v>
      </c>
      <c r="K65" s="208">
        <f>Parameters!H67</f>
        <v>0.90981432360742709</v>
      </c>
      <c r="L65" s="208">
        <f>Parameters!J67</f>
        <v>0.73149399291850437</v>
      </c>
      <c r="M65" s="208">
        <f>Parameters!K67</f>
        <v>1.0881346542963497</v>
      </c>
      <c r="N65" s="138" t="str">
        <f>Tp_CHG!$H$11</f>
        <v>[Franck Maunoury et al.2015]</v>
      </c>
      <c r="AF65" s="205"/>
    </row>
    <row r="66" spans="2:32" s="206" customFormat="1" ht="26" customHeight="1" x14ac:dyDescent="0.2">
      <c r="B66" s="205"/>
      <c r="J66" s="207" t="str">
        <f>Parameters!E68</f>
        <v>Transition Probability from state 1 to state 2 on day 12 (CHG)</v>
      </c>
      <c r="K66" s="208">
        <f>Parameters!H68</f>
        <v>1.5915119363395226E-2</v>
      </c>
      <c r="L66" s="208">
        <f>Parameters!J68</f>
        <v>1.2795813287204158E-2</v>
      </c>
      <c r="M66" s="208">
        <f>Parameters!K68</f>
        <v>1.9034425439586292E-2</v>
      </c>
      <c r="N66" s="138" t="str">
        <f>Tp_CHG!$H$11</f>
        <v>[Franck Maunoury et al.2015]</v>
      </c>
      <c r="AF66" s="205"/>
    </row>
    <row r="67" spans="2:32" s="206" customFormat="1" ht="26" customHeight="1" x14ac:dyDescent="0.2">
      <c r="B67" s="205"/>
      <c r="J67" s="207" t="str">
        <f>Parameters!E69</f>
        <v>Transition Probability from state 1 to state 7 on day 12 (CHG)</v>
      </c>
      <c r="K67" s="208">
        <f>Parameters!H69</f>
        <v>6.1007957559681698E-2</v>
      </c>
      <c r="L67" s="208">
        <f>Parameters!J69</f>
        <v>4.9050617600949274E-2</v>
      </c>
      <c r="M67" s="208">
        <f>Parameters!K69</f>
        <v>7.2965297518414116E-2</v>
      </c>
      <c r="N67" s="138" t="str">
        <f>Tp_CHG!$H$11</f>
        <v>[Franck Maunoury et al.2015]</v>
      </c>
      <c r="AF67" s="205"/>
    </row>
    <row r="68" spans="2:32" s="206" customFormat="1" ht="26" customHeight="1" x14ac:dyDescent="0.2">
      <c r="B68" s="205"/>
      <c r="J68" s="207" t="str">
        <f>Parameters!E70</f>
        <v>Transition Probability from state 1 to state 8 on day 12 (CHG)</v>
      </c>
      <c r="K68" s="208">
        <f>Parameters!H70</f>
        <v>1.3262599469496022E-2</v>
      </c>
      <c r="L68" s="208">
        <f>Parameters!J70</f>
        <v>1.0663177739336799E-2</v>
      </c>
      <c r="M68" s="208">
        <f>Parameters!K70</f>
        <v>1.5862021199655244E-2</v>
      </c>
      <c r="N68" s="138" t="str">
        <f>Tp_CHG!$H$11</f>
        <v>[Franck Maunoury et al.2015]</v>
      </c>
      <c r="AF68" s="205"/>
    </row>
    <row r="69" spans="2:32" s="206" customFormat="1" ht="26" customHeight="1" x14ac:dyDescent="0.2">
      <c r="B69" s="205"/>
      <c r="J69" s="207" t="str">
        <f>Parameters!E71</f>
        <v>Transition Probability from state 1 to state 1 on day 13 (CHG)</v>
      </c>
      <c r="K69" s="208">
        <f>Parameters!H71</f>
        <v>0.9116809116809117</v>
      </c>
      <c r="L69" s="208">
        <f>Parameters!J71</f>
        <v>0.73299473645218882</v>
      </c>
      <c r="M69" s="208">
        <f>Parameters!K71</f>
        <v>1.0903670869096345</v>
      </c>
      <c r="N69" s="138" t="str">
        <f>Tp_CHG!$H$11</f>
        <v>[Franck Maunoury et al.2015]</v>
      </c>
      <c r="AF69" s="205"/>
    </row>
    <row r="70" spans="2:32" s="206" customFormat="1" ht="26" customHeight="1" x14ac:dyDescent="0.2">
      <c r="B70" s="205"/>
      <c r="J70" s="207" t="str">
        <f>Parameters!E72</f>
        <v>Transition Probability from state 1 to state 2 on day 13 (CHG)</v>
      </c>
      <c r="K70" s="208">
        <f>Parameters!H72</f>
        <v>2.2792022792022793E-2</v>
      </c>
      <c r="L70" s="208">
        <f>Parameters!J72</f>
        <v>1.8324868411304721E-2</v>
      </c>
      <c r="M70" s="208">
        <f>Parameters!K72</f>
        <v>2.7259177172740866E-2</v>
      </c>
      <c r="N70" s="138" t="str">
        <f>Tp_CHG!$H$11</f>
        <v>[Franck Maunoury et al.2015]</v>
      </c>
      <c r="AF70" s="205"/>
    </row>
    <row r="71" spans="2:32" s="206" customFormat="1" ht="26" customHeight="1" x14ac:dyDescent="0.2">
      <c r="B71" s="205"/>
      <c r="J71" s="207" t="str">
        <f>Parameters!E73</f>
        <v>Transition Probability from state 1 to state 7 on day 13 (CHG)</v>
      </c>
      <c r="K71" s="208">
        <f>Parameters!H73</f>
        <v>4.2735042735042736E-2</v>
      </c>
      <c r="L71" s="208">
        <f>Parameters!J73</f>
        <v>3.4359128271196353E-2</v>
      </c>
      <c r="M71" s="208">
        <f>Parameters!K73</f>
        <v>5.1110957198889119E-2</v>
      </c>
      <c r="N71" s="138" t="str">
        <f>Tp_CHG!$H$11</f>
        <v>[Franck Maunoury et al.2015]</v>
      </c>
      <c r="AF71" s="205"/>
    </row>
    <row r="72" spans="2:32" s="206" customFormat="1" ht="26" customHeight="1" x14ac:dyDescent="0.2">
      <c r="B72" s="205"/>
      <c r="J72" s="207" t="str">
        <f>Parameters!E74</f>
        <v>Transition Probability from state 1 to state 8 on day 13 (CHG)</v>
      </c>
      <c r="K72" s="208">
        <f>Parameters!H74</f>
        <v>2.2792022792022793E-2</v>
      </c>
      <c r="L72" s="208">
        <f>Parameters!J74</f>
        <v>1.8324868411304721E-2</v>
      </c>
      <c r="M72" s="208">
        <f>Parameters!K74</f>
        <v>2.7259177172740866E-2</v>
      </c>
      <c r="N72" s="138" t="str">
        <f>Tp_CHG!$H$11</f>
        <v>[Franck Maunoury et al.2015]</v>
      </c>
      <c r="AF72" s="205"/>
    </row>
    <row r="73" spans="2:32" s="206" customFormat="1" ht="26" customHeight="1" x14ac:dyDescent="0.2">
      <c r="B73" s="205"/>
      <c r="J73" s="207" t="str">
        <f>Parameters!E75</f>
        <v>Transition Probability from state 1 to state 1 on day 14 (CHG)</v>
      </c>
      <c r="K73" s="208">
        <f>Parameters!H75</f>
        <v>0.87423312883435578</v>
      </c>
      <c r="L73" s="208">
        <f>Parameters!J75</f>
        <v>0.70288658417364558</v>
      </c>
      <c r="M73" s="208">
        <f>Parameters!K75</f>
        <v>1.045579673495066</v>
      </c>
      <c r="N73" s="138" t="str">
        <f>Tp_CHG!$H$11</f>
        <v>[Franck Maunoury et al.2015]</v>
      </c>
      <c r="AF73" s="205"/>
    </row>
    <row r="74" spans="2:32" s="206" customFormat="1" ht="26" customHeight="1" x14ac:dyDescent="0.2">
      <c r="B74" s="205"/>
      <c r="J74" s="207" t="str">
        <f>Parameters!E76</f>
        <v>Transition Probability from state 1 to state 2 on day 14 (CHG)</v>
      </c>
      <c r="K74" s="208">
        <f>Parameters!H76</f>
        <v>3.0674846625766871E-2</v>
      </c>
      <c r="L74" s="208">
        <f>Parameters!J76</f>
        <v>2.4662687163987566E-2</v>
      </c>
      <c r="M74" s="208">
        <f>Parameters!K76</f>
        <v>3.6687006087546173E-2</v>
      </c>
      <c r="N74" s="138" t="str">
        <f>Tp_CHG!$H$11</f>
        <v>[Franck Maunoury et al.2015]</v>
      </c>
      <c r="AF74" s="205"/>
    </row>
    <row r="75" spans="2:32" s="206" customFormat="1" ht="26" customHeight="1" x14ac:dyDescent="0.2">
      <c r="B75" s="205"/>
      <c r="J75" s="207" t="str">
        <f>Parameters!E77</f>
        <v>Transition Probability from state 1 to state 5 on day 14 (CHG)</v>
      </c>
      <c r="K75" s="208">
        <f>Parameters!H77</f>
        <v>6.1349693251533744E-3</v>
      </c>
      <c r="L75" s="208">
        <f>Parameters!J77</f>
        <v>4.932537432797513E-3</v>
      </c>
      <c r="M75" s="208">
        <f>Parameters!K77</f>
        <v>7.3374012175092358E-3</v>
      </c>
      <c r="N75" s="138" t="str">
        <f>Tp_CHG!$H$11</f>
        <v>[Franck Maunoury et al.2015]</v>
      </c>
      <c r="AF75" s="205"/>
    </row>
    <row r="76" spans="2:32" s="206" customFormat="1" ht="26" customHeight="1" x14ac:dyDescent="0.2">
      <c r="B76" s="205"/>
      <c r="J76" s="207" t="str">
        <f>Parameters!E78</f>
        <v>Transition Probability from state 1 to state 7 on day 14 (CHG)</v>
      </c>
      <c r="K76" s="208">
        <f>Parameters!H78</f>
        <v>6.1349693251533742E-2</v>
      </c>
      <c r="L76" s="208">
        <f>Parameters!J78</f>
        <v>4.9325374327975131E-2</v>
      </c>
      <c r="M76" s="208">
        <f>Parameters!K78</f>
        <v>7.3374012175092346E-2</v>
      </c>
      <c r="N76" s="138" t="str">
        <f>Tp_CHG!$H$11</f>
        <v>[Franck Maunoury et al.2015]</v>
      </c>
      <c r="AF76" s="205"/>
    </row>
    <row r="77" spans="2:32" s="206" customFormat="1" ht="26" customHeight="1" x14ac:dyDescent="0.2">
      <c r="B77" s="205"/>
      <c r="J77" s="207" t="str">
        <f>Parameters!E79</f>
        <v>Transition Probability from state 1 to state 8 on day 14 (CHG)</v>
      </c>
      <c r="K77" s="208">
        <f>Parameters!H79</f>
        <v>2.7607361963190184E-2</v>
      </c>
      <c r="L77" s="208">
        <f>Parameters!J79</f>
        <v>2.2196418447588809E-2</v>
      </c>
      <c r="M77" s="208">
        <f>Parameters!K79</f>
        <v>3.301830547879156E-2</v>
      </c>
      <c r="N77" s="138" t="str">
        <f>Tp_CHG!$H$11</f>
        <v>[Franck Maunoury et al.2015]</v>
      </c>
      <c r="AF77" s="205"/>
    </row>
    <row r="78" spans="2:32" s="206" customFormat="1" ht="26" customHeight="1" x14ac:dyDescent="0.2">
      <c r="B78" s="205"/>
      <c r="J78" s="207" t="str">
        <f>Parameters!E80</f>
        <v>Transition Probability from state 1 to state 1 on day 15 (CHG)</v>
      </c>
      <c r="K78" s="208">
        <f>Parameters!H80</f>
        <v>0.91554054054054057</v>
      </c>
      <c r="L78" s="208">
        <f>Parameters!J80</f>
        <v>0.73609789195596131</v>
      </c>
      <c r="M78" s="208">
        <f>Parameters!K80</f>
        <v>1.0949831891251198</v>
      </c>
      <c r="N78" s="138" t="str">
        <f>Tp_CHG!$H$11</f>
        <v>[Franck Maunoury et al.2015]</v>
      </c>
      <c r="AF78" s="205"/>
    </row>
    <row r="79" spans="2:32" s="206" customFormat="1" ht="26" customHeight="1" x14ac:dyDescent="0.2">
      <c r="B79" s="205"/>
      <c r="J79" s="207" t="str">
        <f>Parameters!E81</f>
        <v>Transition Probability from state 1 to state 2 on day 15 (CHG)</v>
      </c>
      <c r="K79" s="208">
        <f>Parameters!H81</f>
        <v>1.6891891891891893E-2</v>
      </c>
      <c r="L79" s="208">
        <f>Parameters!J81</f>
        <v>1.3581141918006667E-2</v>
      </c>
      <c r="M79" s="208">
        <f>Parameters!K81</f>
        <v>2.0202641865777117E-2</v>
      </c>
      <c r="N79" s="138" t="str">
        <f>Tp_CHG!$H$11</f>
        <v>[Franck Maunoury et al.2015]</v>
      </c>
      <c r="AF79" s="205"/>
    </row>
    <row r="80" spans="2:32" s="206" customFormat="1" ht="26" customHeight="1" x14ac:dyDescent="0.2">
      <c r="B80" s="205"/>
      <c r="J80" s="207" t="str">
        <f>Parameters!E82</f>
        <v>Transition Probability from state 1 to state 4 on day 15 (CHG)</v>
      </c>
      <c r="K80" s="208">
        <f>Parameters!H82</f>
        <v>3.3783783783783786E-3</v>
      </c>
      <c r="L80" s="208">
        <f>Parameters!J82</f>
        <v>2.7162283836013332E-3</v>
      </c>
      <c r="M80" s="208">
        <f>Parameters!K82</f>
        <v>4.0405283731554239E-3</v>
      </c>
      <c r="N80" s="138" t="str">
        <f>Tp_CHG!$H$11</f>
        <v>[Franck Maunoury et al.2015]</v>
      </c>
      <c r="AF80" s="205"/>
    </row>
    <row r="81" spans="2:32" s="206" customFormat="1" ht="26" customHeight="1" x14ac:dyDescent="0.2">
      <c r="B81" s="205"/>
      <c r="J81" s="207" t="str">
        <f>Parameters!E83</f>
        <v>Transition Probability from state 1 to state 7 on day 15 (CHG)</v>
      </c>
      <c r="K81" s="208">
        <f>Parameters!H83</f>
        <v>4.0540540540540543E-2</v>
      </c>
      <c r="L81" s="208">
        <f>Parameters!J83</f>
        <v>3.2594740603216002E-2</v>
      </c>
      <c r="M81" s="208">
        <f>Parameters!K83</f>
        <v>4.8486340477865084E-2</v>
      </c>
      <c r="N81" s="138" t="str">
        <f>Tp_CHG!$H$11</f>
        <v>[Franck Maunoury et al.2015]</v>
      </c>
      <c r="AF81" s="205"/>
    </row>
    <row r="82" spans="2:32" s="206" customFormat="1" ht="26" customHeight="1" x14ac:dyDescent="0.2">
      <c r="B82" s="205"/>
      <c r="J82" s="207" t="str">
        <f>Parameters!E84</f>
        <v>Transition Probability from state 1 to state 8 on day 15 (CHG)</v>
      </c>
      <c r="K82" s="208">
        <f>Parameters!H84</f>
        <v>2.364864864864865E-2</v>
      </c>
      <c r="L82" s="208">
        <f>Parameters!J84</f>
        <v>1.9013598685209333E-2</v>
      </c>
      <c r="M82" s="208">
        <f>Parameters!K84</f>
        <v>2.8283698612087967E-2</v>
      </c>
      <c r="N82" s="138" t="str">
        <f>Tp_CHG!$H$11</f>
        <v>[Franck Maunoury et al.2015]</v>
      </c>
      <c r="AF82" s="205"/>
    </row>
    <row r="83" spans="2:32" s="206" customFormat="1" ht="26" customHeight="1" x14ac:dyDescent="0.2">
      <c r="B83" s="205"/>
      <c r="J83" s="207" t="str">
        <f>Parameters!E85</f>
        <v>Transition Probability from state 1 to state 1 on day 16 (CHG)</v>
      </c>
      <c r="K83" s="208">
        <f>Parameters!H85</f>
        <v>0.90812720848056538</v>
      </c>
      <c r="L83" s="208">
        <f>Parameters!J85</f>
        <v>0.73013754628028482</v>
      </c>
      <c r="M83" s="208">
        <f>Parameters!K85</f>
        <v>1.0861168706808459</v>
      </c>
      <c r="N83" s="138" t="str">
        <f>Tp_CHG!$H$11</f>
        <v>[Franck Maunoury et al.2015]</v>
      </c>
      <c r="AF83" s="205"/>
    </row>
    <row r="84" spans="2:32" s="206" customFormat="1" ht="26" customHeight="1" x14ac:dyDescent="0.2">
      <c r="B84" s="205"/>
      <c r="J84" s="207" t="str">
        <f>Parameters!E86</f>
        <v>Transition Probability from state 1 to state 2 on day 16 (CHG)</v>
      </c>
      <c r="K84" s="208">
        <f>Parameters!H86</f>
        <v>3.8869257950530034E-2</v>
      </c>
      <c r="L84" s="208">
        <f>Parameters!J86</f>
        <v>3.1251023381646433E-2</v>
      </c>
      <c r="M84" s="208">
        <f>Parameters!K86</f>
        <v>4.6487492519413635E-2</v>
      </c>
      <c r="N84" s="138" t="str">
        <f>Tp_CHG!$H$11</f>
        <v>[Franck Maunoury et al.2015]</v>
      </c>
      <c r="AF84" s="205"/>
    </row>
    <row r="85" spans="2:32" s="206" customFormat="1" ht="26" customHeight="1" x14ac:dyDescent="0.2">
      <c r="B85" s="205"/>
      <c r="J85" s="207" t="str">
        <f>Parameters!E87</f>
        <v>Transition Probability from state 1 to state 7 on day 16 (CHG)</v>
      </c>
      <c r="K85" s="208">
        <f>Parameters!H87</f>
        <v>4.2402826855123678E-2</v>
      </c>
      <c r="L85" s="208">
        <f>Parameters!J87</f>
        <v>3.4092025507250656E-2</v>
      </c>
      <c r="M85" s="208">
        <f>Parameters!K87</f>
        <v>5.0713628202996699E-2</v>
      </c>
      <c r="N85" s="138" t="str">
        <f>Tp_CHG!$H$11</f>
        <v>[Franck Maunoury et al.2015]</v>
      </c>
      <c r="AF85" s="205"/>
    </row>
    <row r="86" spans="2:32" s="206" customFormat="1" ht="26" customHeight="1" x14ac:dyDescent="0.2">
      <c r="B86" s="205"/>
      <c r="J86" s="207" t="str">
        <f>Parameters!E88</f>
        <v>Transition Probability from state 1 to state 8 on day 16 (CHG)</v>
      </c>
      <c r="K86" s="208">
        <f>Parameters!H88</f>
        <v>1.0600706713780919E-2</v>
      </c>
      <c r="L86" s="208">
        <f>Parameters!J88</f>
        <v>8.523006376812664E-3</v>
      </c>
      <c r="M86" s="208">
        <f>Parameters!K88</f>
        <v>1.2678407050749175E-2</v>
      </c>
      <c r="N86" s="138" t="str">
        <f>Tp_CHG!$H$11</f>
        <v>[Franck Maunoury et al.2015]</v>
      </c>
      <c r="AF86" s="205"/>
    </row>
    <row r="87" spans="2:32" s="206" customFormat="1" ht="26" customHeight="1" x14ac:dyDescent="0.2">
      <c r="B87" s="205"/>
      <c r="J87" s="207" t="str">
        <f>Parameters!E89</f>
        <v>Transition Probability from state 1 to state 1 on day 17 (CHG)</v>
      </c>
      <c r="K87" s="208">
        <f>Parameters!H89</f>
        <v>0.89056603773584908</v>
      </c>
      <c r="L87" s="208">
        <f>Parameters!J89</f>
        <v>0.71601830175416881</v>
      </c>
      <c r="M87" s="208">
        <f>Parameters!K89</f>
        <v>1.0651137737175294</v>
      </c>
      <c r="N87" s="138" t="str">
        <f>Tp_CHG!$H$11</f>
        <v>[Franck Maunoury et al.2015]</v>
      </c>
      <c r="AF87" s="205"/>
    </row>
    <row r="88" spans="2:32" s="206" customFormat="1" ht="26" customHeight="1" x14ac:dyDescent="0.2">
      <c r="B88" s="205"/>
      <c r="J88" s="207" t="str">
        <f>Parameters!E90</f>
        <v>Transition Probability from state 1 to state 2 on day 17 (CHG)</v>
      </c>
      <c r="K88" s="208">
        <f>Parameters!H90</f>
        <v>3.3962264150943396E-2</v>
      </c>
      <c r="L88" s="208">
        <f>Parameters!J90</f>
        <v>2.7305782694014912E-2</v>
      </c>
      <c r="M88" s="208">
        <f>Parameters!K90</f>
        <v>4.0618745607871876E-2</v>
      </c>
      <c r="N88" s="138" t="str">
        <f>Tp_CHG!$H$11</f>
        <v>[Franck Maunoury et al.2015]</v>
      </c>
      <c r="AF88" s="205"/>
    </row>
    <row r="89" spans="2:32" s="206" customFormat="1" ht="26" customHeight="1" x14ac:dyDescent="0.2">
      <c r="B89" s="205"/>
      <c r="J89" s="207" t="str">
        <f>Parameters!E91</f>
        <v>Transition Probability from state 1 to state 7 on day 17 (CHG)</v>
      </c>
      <c r="K89" s="208">
        <f>Parameters!H91</f>
        <v>5.2830188679245285E-2</v>
      </c>
      <c r="L89" s="208">
        <f>Parameters!J91</f>
        <v>4.2475661968467637E-2</v>
      </c>
      <c r="M89" s="208">
        <f>Parameters!K91</f>
        <v>6.3184715390022933E-2</v>
      </c>
      <c r="N89" s="138" t="str">
        <f>Tp_CHG!$H$11</f>
        <v>[Franck Maunoury et al.2015]</v>
      </c>
      <c r="AF89" s="205"/>
    </row>
    <row r="90" spans="2:32" s="206" customFormat="1" ht="26" customHeight="1" x14ac:dyDescent="0.2">
      <c r="B90" s="205"/>
      <c r="J90" s="207" t="str">
        <f>Parameters!E92</f>
        <v>Transition Probability from state 1 to state 8 on day 17 (CHG)</v>
      </c>
      <c r="K90" s="208">
        <f>Parameters!H92</f>
        <v>2.2641509433962263E-2</v>
      </c>
      <c r="L90" s="208">
        <f>Parameters!J92</f>
        <v>1.8203855129343274E-2</v>
      </c>
      <c r="M90" s="208">
        <f>Parameters!K92</f>
        <v>2.7079163738581252E-2</v>
      </c>
      <c r="N90" s="138" t="str">
        <f>Tp_CHG!$H$11</f>
        <v>[Franck Maunoury et al.2015]</v>
      </c>
      <c r="AF90" s="205"/>
    </row>
    <row r="91" spans="2:32" s="206" customFormat="1" ht="26" customHeight="1" x14ac:dyDescent="0.2">
      <c r="B91" s="205"/>
      <c r="J91" s="207" t="str">
        <f>Parameters!E93</f>
        <v>Transition Probability from state 1 to state 1 on day 18 (CHG)</v>
      </c>
      <c r="K91" s="208">
        <f>Parameters!H93</f>
        <v>0.92276422764227639</v>
      </c>
      <c r="L91" s="208">
        <f>Parameters!J93</f>
        <v>0.7419057624021983</v>
      </c>
      <c r="M91" s="208">
        <f>Parameters!K93</f>
        <v>1.1036226928823545</v>
      </c>
      <c r="N91" s="138" t="str">
        <f>Tp_CHG!$H$11</f>
        <v>[Franck Maunoury et al.2015]</v>
      </c>
      <c r="AF91" s="205"/>
    </row>
    <row r="92" spans="2:32" s="206" customFormat="1" ht="26" customHeight="1" x14ac:dyDescent="0.2">
      <c r="B92" s="205"/>
      <c r="J92" s="207" t="str">
        <f>Parameters!E94</f>
        <v>Transition Probability from state 1 to state 2 on day 18 (CHG)</v>
      </c>
      <c r="K92" s="208">
        <f>Parameters!H94</f>
        <v>2.8455284552845527E-2</v>
      </c>
      <c r="L92" s="208">
        <f>Parameters!J94</f>
        <v>2.2878151263503909E-2</v>
      </c>
      <c r="M92" s="208">
        <f>Parameters!K94</f>
        <v>3.4032417842187142E-2</v>
      </c>
      <c r="N92" s="138" t="str">
        <f>Tp_CHG!$H$11</f>
        <v>[Franck Maunoury et al.2015]</v>
      </c>
      <c r="AF92" s="205"/>
    </row>
    <row r="93" spans="2:32" s="206" customFormat="1" ht="26" customHeight="1" x14ac:dyDescent="0.2">
      <c r="B93" s="205"/>
      <c r="J93" s="207" t="str">
        <f>Parameters!E95</f>
        <v>Transition Probability from state 1 to state 7 on day 18 (CHG)</v>
      </c>
      <c r="K93" s="208">
        <f>Parameters!H95</f>
        <v>3.6585365853658534E-2</v>
      </c>
      <c r="L93" s="208">
        <f>Parameters!J95</f>
        <v>2.9414765910219312E-2</v>
      </c>
      <c r="M93" s="208">
        <f>Parameters!K95</f>
        <v>4.3755965797097757E-2</v>
      </c>
      <c r="N93" s="138" t="str">
        <f>Tp_CHG!$H$11</f>
        <v>[Franck Maunoury et al.2015]</v>
      </c>
      <c r="AF93" s="205"/>
    </row>
    <row r="94" spans="2:32" s="206" customFormat="1" ht="26" customHeight="1" x14ac:dyDescent="0.2">
      <c r="B94" s="205"/>
      <c r="J94" s="207" t="str">
        <f>Parameters!E96</f>
        <v>Transition Probability from state 1 to state 8 on day 18 (CHG)</v>
      </c>
      <c r="K94" s="208">
        <f>Parameters!H96</f>
        <v>1.2195121951219513E-2</v>
      </c>
      <c r="L94" s="208">
        <f>Parameters!J96</f>
        <v>9.8049219700731046E-3</v>
      </c>
      <c r="M94" s="208">
        <f>Parameters!K96</f>
        <v>1.4585321932365919E-2</v>
      </c>
      <c r="N94" s="138" t="str">
        <f>Tp_CHG!$H$11</f>
        <v>[Franck Maunoury et al.2015]</v>
      </c>
      <c r="AF94" s="205"/>
    </row>
    <row r="95" spans="2:32" s="206" customFormat="1" ht="26" customHeight="1" x14ac:dyDescent="0.2">
      <c r="B95" s="205"/>
      <c r="J95" s="207" t="str">
        <f>Parameters!E97</f>
        <v>Transition Probability from state 1 to state 1 on day 19 (CHG)</v>
      </c>
      <c r="K95" s="208">
        <f>Parameters!H97</f>
        <v>0.94537815126050417</v>
      </c>
      <c r="L95" s="208">
        <f>Parameters!J97</f>
        <v>0.76008743843633941</v>
      </c>
      <c r="M95" s="208">
        <f>Parameters!K97</f>
        <v>1.1306688640846689</v>
      </c>
      <c r="N95" s="138" t="str">
        <f>Tp_CHG!$H$11</f>
        <v>[Franck Maunoury et al.2015]</v>
      </c>
      <c r="AF95" s="205"/>
    </row>
    <row r="96" spans="2:32" s="206" customFormat="1" ht="26" customHeight="1" x14ac:dyDescent="0.2">
      <c r="B96" s="205"/>
      <c r="J96" s="207" t="str">
        <f>Parameters!E98</f>
        <v>Transition Probability from state 1 to state 2 on day 19 (CHG)</v>
      </c>
      <c r="K96" s="208">
        <f>Parameters!H98</f>
        <v>2.100840336134454E-2</v>
      </c>
      <c r="L96" s="208">
        <f>Parameters!J98</f>
        <v>1.6890831965251988E-2</v>
      </c>
      <c r="M96" s="208">
        <f>Parameters!K98</f>
        <v>2.5125974757437091E-2</v>
      </c>
      <c r="N96" s="138" t="str">
        <f>Tp_CHG!$H$11</f>
        <v>[Franck Maunoury et al.2015]</v>
      </c>
      <c r="AF96" s="205"/>
    </row>
    <row r="97" spans="2:32" s="206" customFormat="1" ht="26" customHeight="1" x14ac:dyDescent="0.2">
      <c r="B97" s="205"/>
      <c r="J97" s="207" t="str">
        <f>Parameters!E99</f>
        <v>Transition Probability from state 1 to state 5 on day 19 (CHG)</v>
      </c>
      <c r="K97" s="208">
        <f>Parameters!H99</f>
        <v>4.2016806722689074E-3</v>
      </c>
      <c r="L97" s="208">
        <f>Parameters!J99</f>
        <v>3.3781663930503971E-3</v>
      </c>
      <c r="M97" s="208">
        <f>Parameters!K99</f>
        <v>5.0251949514874177E-3</v>
      </c>
      <c r="N97" s="138" t="str">
        <f>Tp_CHG!$H$11</f>
        <v>[Franck Maunoury et al.2015]</v>
      </c>
      <c r="AF97" s="205"/>
    </row>
    <row r="98" spans="2:32" s="206" customFormat="1" ht="26" customHeight="1" x14ac:dyDescent="0.2">
      <c r="B98" s="205"/>
      <c r="J98" s="207" t="str">
        <f>Parameters!E100</f>
        <v>Transition Probability from state 1 to state 7 on day 19 (CHG)</v>
      </c>
      <c r="K98" s="208">
        <f>Parameters!H100</f>
        <v>1.680672268907563E-2</v>
      </c>
      <c r="L98" s="208">
        <f>Parameters!J100</f>
        <v>1.3512665572201588E-2</v>
      </c>
      <c r="M98" s="208">
        <f>Parameters!K100</f>
        <v>2.0100779805949671E-2</v>
      </c>
      <c r="N98" s="138" t="str">
        <f>Tp_CHG!$H$11</f>
        <v>[Franck Maunoury et al.2015]</v>
      </c>
      <c r="AF98" s="205"/>
    </row>
    <row r="99" spans="2:32" s="206" customFormat="1" ht="26" customHeight="1" x14ac:dyDescent="0.2">
      <c r="B99" s="205"/>
      <c r="J99" s="207" t="str">
        <f>Parameters!E101</f>
        <v>Transition Probability from state 1 to state 8 on day 19 (CHG)</v>
      </c>
      <c r="K99" s="208">
        <f>Parameters!H101</f>
        <v>1.2605042016806723E-2</v>
      </c>
      <c r="L99" s="208">
        <f>Parameters!J101</f>
        <v>1.0134499179151192E-2</v>
      </c>
      <c r="M99" s="208">
        <f>Parameters!K101</f>
        <v>1.5075584854462254E-2</v>
      </c>
      <c r="N99" s="138" t="str">
        <f>Tp_CHG!$H$11</f>
        <v>[Franck Maunoury et al.2015]</v>
      </c>
      <c r="AF99" s="205"/>
    </row>
    <row r="100" spans="2:32" s="206" customFormat="1" ht="26" customHeight="1" x14ac:dyDescent="0.2">
      <c r="B100" s="205"/>
      <c r="J100" s="207" t="str">
        <f>Parameters!E102</f>
        <v>Transition Probability from state 1 to state 1 on day 20 (CHG)</v>
      </c>
      <c r="K100" s="208">
        <f>Parameters!H102</f>
        <v>0.93103448275862066</v>
      </c>
      <c r="L100" s="208">
        <f>Parameters!J102</f>
        <v>0.74855507730144322</v>
      </c>
      <c r="M100" s="208">
        <f>Parameters!K102</f>
        <v>1.113513888215798</v>
      </c>
      <c r="N100" s="138" t="str">
        <f>Tp_CHG!$H$11</f>
        <v>[Franck Maunoury et al.2015]</v>
      </c>
      <c r="AF100" s="205"/>
    </row>
    <row r="101" spans="2:32" s="206" customFormat="1" ht="26" customHeight="1" x14ac:dyDescent="0.2">
      <c r="B101" s="205"/>
      <c r="J101" s="207" t="str">
        <f>Parameters!E103</f>
        <v>Transition Probability from state 1 to state 2 on day 20 (CHG)</v>
      </c>
      <c r="K101" s="208">
        <f>Parameters!H103</f>
        <v>8.6206896551724137E-3</v>
      </c>
      <c r="L101" s="208">
        <f>Parameters!J103</f>
        <v>6.9310655305689188E-3</v>
      </c>
      <c r="M101" s="208">
        <f>Parameters!K103</f>
        <v>1.0310313779775909E-2</v>
      </c>
      <c r="N101" s="138" t="str">
        <f>Tp_CHG!$H$11</f>
        <v>[Franck Maunoury et al.2015]</v>
      </c>
      <c r="AF101" s="205"/>
    </row>
    <row r="102" spans="2:32" s="206" customFormat="1" ht="26" customHeight="1" x14ac:dyDescent="0.2">
      <c r="B102" s="205"/>
      <c r="J102" s="207" t="str">
        <f>Parameters!E104</f>
        <v>Transition Probability from state 1 to state 7 on day 20 (CHG)</v>
      </c>
      <c r="K102" s="208">
        <f>Parameters!H104</f>
        <v>4.7413793103448273E-2</v>
      </c>
      <c r="L102" s="208">
        <f>Parameters!J104</f>
        <v>3.8120860418129052E-2</v>
      </c>
      <c r="M102" s="208">
        <f>Parameters!K104</f>
        <v>5.6706725788767495E-2</v>
      </c>
      <c r="N102" s="138" t="str">
        <f>Tp_CHG!$H$11</f>
        <v>[Franck Maunoury et al.2015]</v>
      </c>
      <c r="AF102" s="205"/>
    </row>
    <row r="103" spans="2:32" s="206" customFormat="1" ht="26" customHeight="1" x14ac:dyDescent="0.2">
      <c r="B103" s="205"/>
      <c r="J103" s="207" t="str">
        <f>Parameters!E105</f>
        <v>Transition Probability from state 1 to state 8 on day 20 (CHG)</v>
      </c>
      <c r="K103" s="208">
        <f>Parameters!H105</f>
        <v>1.2931034482758621E-2</v>
      </c>
      <c r="L103" s="208">
        <f>Parameters!J105</f>
        <v>1.0396598295853378E-2</v>
      </c>
      <c r="M103" s="208">
        <f>Parameters!K105</f>
        <v>1.5465470669663863E-2</v>
      </c>
      <c r="N103" s="138" t="str">
        <f>Tp_CHG!$H$11</f>
        <v>[Franck Maunoury et al.2015]</v>
      </c>
      <c r="AF103" s="205"/>
    </row>
    <row r="104" spans="2:32" s="206" customFormat="1" ht="26" customHeight="1" x14ac:dyDescent="0.2">
      <c r="B104" s="205"/>
      <c r="J104" s="207" t="str">
        <f>Parameters!E106</f>
        <v>Transition Probability from state 1 to state 1 on day 21 (CHG)</v>
      </c>
      <c r="K104" s="208">
        <f>Parameters!H106</f>
        <v>0.90497737556561086</v>
      </c>
      <c r="L104" s="208">
        <f>Parameters!J106</f>
        <v>0.72760506927239332</v>
      </c>
      <c r="M104" s="208">
        <f>Parameters!K106</f>
        <v>1.0823496818588283</v>
      </c>
      <c r="N104" s="138" t="str">
        <f>Tp_CHG!$H$11</f>
        <v>[Franck Maunoury et al.2015]</v>
      </c>
      <c r="AF104" s="205"/>
    </row>
    <row r="105" spans="2:32" s="206" customFormat="1" ht="26" customHeight="1" x14ac:dyDescent="0.2">
      <c r="B105" s="205"/>
      <c r="J105" s="207" t="str">
        <f>Parameters!E107</f>
        <v>Transition Probability from state 1 to state 2 on day 21 (CHG)</v>
      </c>
      <c r="K105" s="208">
        <f>Parameters!H107</f>
        <v>3.1674208144796379E-2</v>
      </c>
      <c r="L105" s="208">
        <f>Parameters!J107</f>
        <v>2.5466177424533765E-2</v>
      </c>
      <c r="M105" s="208">
        <f>Parameters!K107</f>
        <v>3.7882238865058995E-2</v>
      </c>
      <c r="N105" s="138" t="str">
        <f>Tp_CHG!$H$11</f>
        <v>[Franck Maunoury et al.2015]</v>
      </c>
      <c r="AF105" s="205"/>
    </row>
    <row r="106" spans="2:32" s="206" customFormat="1" ht="26" customHeight="1" x14ac:dyDescent="0.2">
      <c r="B106" s="205"/>
      <c r="J106" s="207" t="str">
        <f>Parameters!E108</f>
        <v>Transition Probability from state 1 to state 5 on day 21 (CHG)</v>
      </c>
      <c r="K106" s="208">
        <f>Parameters!H108</f>
        <v>4.5248868778280547E-3</v>
      </c>
      <c r="L106" s="208">
        <f>Parameters!J108</f>
        <v>3.6380253463619669E-3</v>
      </c>
      <c r="M106" s="208">
        <f>Parameters!K108</f>
        <v>5.4117484092941429E-3</v>
      </c>
      <c r="N106" s="138" t="str">
        <f>Tp_CHG!$H$11</f>
        <v>[Franck Maunoury et al.2015]</v>
      </c>
      <c r="AF106" s="205"/>
    </row>
    <row r="107" spans="2:32" s="206" customFormat="1" ht="26" customHeight="1" x14ac:dyDescent="0.2">
      <c r="B107" s="205"/>
      <c r="J107" s="207" t="str">
        <f>Parameters!E109</f>
        <v>Transition Probability from state 1 to state 7 on day 21 (CHG)</v>
      </c>
      <c r="K107" s="208">
        <f>Parameters!H109</f>
        <v>4.5248868778280542E-2</v>
      </c>
      <c r="L107" s="208">
        <f>Parameters!J109</f>
        <v>3.6380253463619665E-2</v>
      </c>
      <c r="M107" s="208">
        <f>Parameters!K109</f>
        <v>5.4117484092941419E-2</v>
      </c>
      <c r="N107" s="138" t="str">
        <f>Tp_CHG!$H$11</f>
        <v>[Franck Maunoury et al.2015]</v>
      </c>
      <c r="AF107" s="205"/>
    </row>
    <row r="108" spans="2:32" s="206" customFormat="1" ht="26" customHeight="1" x14ac:dyDescent="0.2">
      <c r="B108" s="205"/>
      <c r="J108" s="207" t="str">
        <f>Parameters!E110</f>
        <v>Transition Probability from state 1 to state 8 on day 21 (CHG)</v>
      </c>
      <c r="K108" s="208">
        <f>Parameters!H110</f>
        <v>1.3574660633484163E-2</v>
      </c>
      <c r="L108" s="208">
        <f>Parameters!J110</f>
        <v>1.0914076039085899E-2</v>
      </c>
      <c r="M108" s="208">
        <f>Parameters!K110</f>
        <v>1.6235245227882427E-2</v>
      </c>
      <c r="N108" s="138" t="str">
        <f>Tp_CHG!$H$11</f>
        <v>[Franck Maunoury et al.2015]</v>
      </c>
      <c r="AF108" s="205"/>
    </row>
    <row r="109" spans="2:32" s="206" customFormat="1" ht="26" customHeight="1" x14ac:dyDescent="0.2">
      <c r="B109" s="205"/>
      <c r="J109" s="207" t="str">
        <f>Parameters!E111</f>
        <v>Transition Probability from state 1 to state 1 on day 22 (CHG)</v>
      </c>
      <c r="K109" s="208">
        <f>Parameters!H111</f>
        <v>0.92610837438423643</v>
      </c>
      <c r="L109" s="208">
        <f>Parameters!J111</f>
        <v>0.74459446842683241</v>
      </c>
      <c r="M109" s="208">
        <f>Parameters!K111</f>
        <v>1.1076222803416405</v>
      </c>
      <c r="N109" s="138" t="str">
        <f>Tp_CHG!$H$11</f>
        <v>[Franck Maunoury et al.2015]</v>
      </c>
      <c r="AF109" s="205"/>
    </row>
    <row r="110" spans="2:32" s="206" customFormat="1" ht="26" customHeight="1" x14ac:dyDescent="0.2">
      <c r="B110" s="205"/>
      <c r="J110" s="207" t="str">
        <f>Parameters!E112</f>
        <v>Transition Probability from state 1 to state 2 on day 22 (CHG)</v>
      </c>
      <c r="K110" s="208">
        <f>Parameters!H112</f>
        <v>2.4630541871921183E-2</v>
      </c>
      <c r="L110" s="208">
        <f>Parameters!J112</f>
        <v>1.9803044373054055E-2</v>
      </c>
      <c r="M110" s="208">
        <f>Parameters!K112</f>
        <v>2.9458039370788312E-2</v>
      </c>
      <c r="N110" s="138" t="str">
        <f>Tp_CHG!$H$11</f>
        <v>[Franck Maunoury et al.2015]</v>
      </c>
      <c r="AF110" s="205"/>
    </row>
    <row r="111" spans="2:32" s="206" customFormat="1" ht="26" customHeight="1" x14ac:dyDescent="0.2">
      <c r="B111" s="205"/>
      <c r="J111" s="207" t="str">
        <f>Parameters!E113</f>
        <v>Transition Probability from state 1 to state 7 on day 22 (CHG)</v>
      </c>
      <c r="K111" s="208">
        <f>Parameters!H113</f>
        <v>4.4334975369458129E-2</v>
      </c>
      <c r="L111" s="208">
        <f>Parameters!J113</f>
        <v>3.5645479871497299E-2</v>
      </c>
      <c r="M111" s="208">
        <f>Parameters!K113</f>
        <v>5.302447086741896E-2</v>
      </c>
      <c r="N111" s="138" t="str">
        <f>Tp_CHG!$H$11</f>
        <v>[Franck Maunoury et al.2015]</v>
      </c>
      <c r="AF111" s="205"/>
    </row>
    <row r="112" spans="2:32" s="206" customFormat="1" ht="26" customHeight="1" x14ac:dyDescent="0.2">
      <c r="B112" s="205"/>
      <c r="J112" s="207" t="str">
        <f>Parameters!E114</f>
        <v>Transition Probability from state 1 to state 8 on day 22 (CHG)</v>
      </c>
      <c r="K112" s="208">
        <f>Parameters!H114</f>
        <v>4.9261083743842365E-3</v>
      </c>
      <c r="L112" s="208">
        <f>Parameters!J114</f>
        <v>3.9606088746108109E-3</v>
      </c>
      <c r="M112" s="208">
        <f>Parameters!K114</f>
        <v>5.8916078741576621E-3</v>
      </c>
      <c r="N112" s="138" t="str">
        <f>Tp_CHG!$H$11</f>
        <v>[Franck Maunoury et al.2015]</v>
      </c>
      <c r="AF112" s="205"/>
    </row>
    <row r="113" spans="2:32" s="206" customFormat="1" ht="26" customHeight="1" x14ac:dyDescent="0.2">
      <c r="B113" s="205"/>
      <c r="J113" s="207" t="str">
        <f>Parameters!E115</f>
        <v>Transition Probability from state 1 to state 1 on day 23 (CHG)</v>
      </c>
      <c r="K113" s="208">
        <f>Parameters!H115</f>
        <v>0.88205128205128203</v>
      </c>
      <c r="L113" s="208">
        <f>Parameters!J115</f>
        <v>0.70917240751749266</v>
      </c>
      <c r="M113" s="208">
        <f>Parameters!K115</f>
        <v>1.0549301565850713</v>
      </c>
      <c r="N113" s="138" t="str">
        <f>Tp_CHG!$H$11</f>
        <v>[Franck Maunoury et al.2015]</v>
      </c>
      <c r="AF113" s="205"/>
    </row>
    <row r="114" spans="2:32" s="206" customFormat="1" ht="26" customHeight="1" x14ac:dyDescent="0.2">
      <c r="B114" s="205"/>
      <c r="J114" s="207" t="str">
        <f>Parameters!E116</f>
        <v>Transition Probability from state 1 to state 2 on day 23 (CHG)</v>
      </c>
      <c r="K114" s="208">
        <f>Parameters!H116</f>
        <v>3.0769230769230771E-2</v>
      </c>
      <c r="L114" s="208">
        <f>Parameters!J116</f>
        <v>2.4738572355261373E-2</v>
      </c>
      <c r="M114" s="208">
        <f>Parameters!K116</f>
        <v>3.6799889183200166E-2</v>
      </c>
      <c r="N114" s="138" t="str">
        <f>Tp_CHG!$H$11</f>
        <v>[Franck Maunoury et al.2015]</v>
      </c>
      <c r="AF114" s="205"/>
    </row>
    <row r="115" spans="2:32" s="206" customFormat="1" ht="26" customHeight="1" x14ac:dyDescent="0.2">
      <c r="B115" s="205"/>
      <c r="J115" s="207" t="str">
        <f>Parameters!E117</f>
        <v>Transition Probability from state 1 to state 5 on day 23 (CHG)</v>
      </c>
      <c r="K115" s="208">
        <f>Parameters!H117</f>
        <v>5.1282051282051282E-3</v>
      </c>
      <c r="L115" s="208">
        <f>Parameters!J117</f>
        <v>4.1230953925435621E-3</v>
      </c>
      <c r="M115" s="208">
        <f>Parameters!K117</f>
        <v>6.1333148638666943E-3</v>
      </c>
      <c r="N115" s="138" t="str">
        <f>Tp_CHG!$H$11</f>
        <v>[Franck Maunoury et al.2015]</v>
      </c>
      <c r="AF115" s="205"/>
    </row>
    <row r="116" spans="2:32" s="206" customFormat="1" ht="26" customHeight="1" x14ac:dyDescent="0.2">
      <c r="B116" s="205"/>
      <c r="J116" s="207" t="str">
        <f>Parameters!E118</f>
        <v>Transition Probability from state 1 to state 7 on day 23 (CHG)</v>
      </c>
      <c r="K116" s="208">
        <f>Parameters!H118</f>
        <v>6.6666666666666666E-2</v>
      </c>
      <c r="L116" s="208">
        <f>Parameters!J118</f>
        <v>5.3600240103066306E-2</v>
      </c>
      <c r="M116" s="208">
        <f>Parameters!K118</f>
        <v>7.9733093230267019E-2</v>
      </c>
      <c r="N116" s="138" t="str">
        <f>Tp_CHG!$H$11</f>
        <v>[Franck Maunoury et al.2015]</v>
      </c>
      <c r="AF116" s="205"/>
    </row>
    <row r="117" spans="2:32" s="206" customFormat="1" ht="26" customHeight="1" x14ac:dyDescent="0.2">
      <c r="B117" s="205"/>
      <c r="J117" s="207" t="str">
        <f>Parameters!E119</f>
        <v>Transition Probability from state 1 to state 8 on day 23 (CHG)</v>
      </c>
      <c r="K117" s="208">
        <f>Parameters!H119</f>
        <v>1.5384615384615385E-2</v>
      </c>
      <c r="L117" s="208">
        <f>Parameters!J119</f>
        <v>1.2369286177630686E-2</v>
      </c>
      <c r="M117" s="208">
        <f>Parameters!K119</f>
        <v>1.8399944591600083E-2</v>
      </c>
      <c r="N117" s="138" t="str">
        <f>Tp_CHG!$H$11</f>
        <v>[Franck Maunoury et al.2015]</v>
      </c>
      <c r="AF117" s="205"/>
    </row>
    <row r="118" spans="2:32" s="206" customFormat="1" ht="26" customHeight="1" x14ac:dyDescent="0.2">
      <c r="B118" s="205"/>
      <c r="J118" s="207" t="str">
        <f>Parameters!E120</f>
        <v>Transition Probability from state 1 to state 1 on day 24 (CHG)</v>
      </c>
      <c r="K118" s="208">
        <f>Parameters!H120</f>
        <v>0.94915254237288138</v>
      </c>
      <c r="L118" s="208">
        <f>Parameters!J120</f>
        <v>0.7631220624843339</v>
      </c>
      <c r="M118" s="208">
        <f>Parameters!K120</f>
        <v>1.1351830222614288</v>
      </c>
      <c r="N118" s="138" t="str">
        <f>Tp_CHG!$H$11</f>
        <v>[Franck Maunoury et al.2015]</v>
      </c>
      <c r="AF118" s="205"/>
    </row>
    <row r="119" spans="2:32" s="206" customFormat="1" ht="26" customHeight="1" x14ac:dyDescent="0.2">
      <c r="B119" s="205"/>
      <c r="J119" s="207" t="str">
        <f>Parameters!E121</f>
        <v>Transition Probability from state 1 to state 2 on day 24 (CHG)</v>
      </c>
      <c r="K119" s="208">
        <f>Parameters!H121</f>
        <v>1.1299435028248588E-2</v>
      </c>
      <c r="L119" s="208">
        <f>Parameters!J121</f>
        <v>9.0847864581468322E-3</v>
      </c>
      <c r="M119" s="208">
        <f>Parameters!K121</f>
        <v>1.3514083598350343E-2</v>
      </c>
      <c r="N119" s="138" t="str">
        <f>Tp_CHG!$H$11</f>
        <v>[Franck Maunoury et al.2015]</v>
      </c>
      <c r="AF119" s="205"/>
    </row>
    <row r="120" spans="2:32" s="206" customFormat="1" ht="26" customHeight="1" x14ac:dyDescent="0.2">
      <c r="B120" s="205"/>
      <c r="J120" s="207" t="str">
        <f>Parameters!E122</f>
        <v>Transition Probability from state 1 to state 7 on day 24 (CHG)</v>
      </c>
      <c r="K120" s="208">
        <f>Parameters!H122</f>
        <v>3.3898305084745763E-2</v>
      </c>
      <c r="L120" s="208">
        <f>Parameters!J122</f>
        <v>2.7254359374440495E-2</v>
      </c>
      <c r="M120" s="208">
        <f>Parameters!K122</f>
        <v>4.0542250795051027E-2</v>
      </c>
      <c r="N120" s="138" t="str">
        <f>Tp_CHG!$H$11</f>
        <v>[Franck Maunoury et al.2015]</v>
      </c>
      <c r="AF120" s="205"/>
    </row>
    <row r="121" spans="2:32" s="206" customFormat="1" ht="26" customHeight="1" x14ac:dyDescent="0.2">
      <c r="B121" s="205"/>
      <c r="J121" s="207" t="str">
        <f>Parameters!E123</f>
        <v>Transition Probability from state 1 to state 8 on day 24 (CHG)</v>
      </c>
      <c r="K121" s="208">
        <f>Parameters!H123</f>
        <v>5.6497175141242938E-3</v>
      </c>
      <c r="L121" s="208">
        <f>Parameters!J123</f>
        <v>4.5423932290734161E-3</v>
      </c>
      <c r="M121" s="208">
        <f>Parameters!K123</f>
        <v>6.7570417991751714E-3</v>
      </c>
      <c r="N121" s="138" t="str">
        <f>Tp_CHG!$H$11</f>
        <v>[Franck Maunoury et al.2015]</v>
      </c>
      <c r="AF121" s="205"/>
    </row>
    <row r="122" spans="2:32" s="206" customFormat="1" ht="26" customHeight="1" x14ac:dyDescent="0.2">
      <c r="B122" s="205"/>
      <c r="J122" s="207" t="str">
        <f>Parameters!E124</f>
        <v>Transition Probability from state 1 to state 1 on day 25 (CHG)</v>
      </c>
      <c r="K122" s="208">
        <f>Parameters!H124</f>
        <v>0.89714285714285713</v>
      </c>
      <c r="L122" s="208">
        <f>Parameters!J124</f>
        <v>0.7213060882441209</v>
      </c>
      <c r="M122" s="208">
        <f>Parameters!K124</f>
        <v>1.0729796260415934</v>
      </c>
      <c r="N122" s="138" t="str">
        <f>Tp_CHG!$H$11</f>
        <v>[Franck Maunoury et al.2015]</v>
      </c>
      <c r="AF122" s="205"/>
    </row>
    <row r="123" spans="2:32" s="206" customFormat="1" ht="26" customHeight="1" x14ac:dyDescent="0.2">
      <c r="B123" s="205"/>
      <c r="J123" s="207" t="str">
        <f>Parameters!E125</f>
        <v>Transition Probability from state 1 to state 2 on day 25 (CHG)</v>
      </c>
      <c r="K123" s="208">
        <f>Parameters!H125</f>
        <v>2.8571428571428571E-2</v>
      </c>
      <c r="L123" s="208">
        <f>Parameters!J125</f>
        <v>2.2971531472742703E-2</v>
      </c>
      <c r="M123" s="208">
        <f>Parameters!K125</f>
        <v>3.4171325670114439E-2</v>
      </c>
      <c r="N123" s="138" t="str">
        <f>Tp_CHG!$H$11</f>
        <v>[Franck Maunoury et al.2015]</v>
      </c>
      <c r="AF123" s="205"/>
    </row>
    <row r="124" spans="2:32" s="206" customFormat="1" ht="26" customHeight="1" x14ac:dyDescent="0.2">
      <c r="B124" s="205"/>
      <c r="J124" s="207" t="str">
        <f>Parameters!E126</f>
        <v>Transition Probability from state 1 to state 7 on day 25 (CHG)</v>
      </c>
      <c r="K124" s="208">
        <f>Parameters!H126</f>
        <v>6.8571428571428575E-2</v>
      </c>
      <c r="L124" s="208">
        <f>Parameters!J126</f>
        <v>5.5131675534582494E-2</v>
      </c>
      <c r="M124" s="208">
        <f>Parameters!K126</f>
        <v>8.2011181608274655E-2</v>
      </c>
      <c r="N124" s="138" t="str">
        <f>Tp_CHG!$H$11</f>
        <v>[Franck Maunoury et al.2015]</v>
      </c>
      <c r="AF124" s="205"/>
    </row>
    <row r="125" spans="2:32" s="206" customFormat="1" ht="26" customHeight="1" x14ac:dyDescent="0.2">
      <c r="B125" s="205"/>
      <c r="J125" s="207" t="str">
        <f>Parameters!E127</f>
        <v>Transition Probability from state 1 to state 8 on day 25 (CHG)</v>
      </c>
      <c r="K125" s="208">
        <f>Parameters!H127</f>
        <v>5.7142857142857143E-3</v>
      </c>
      <c r="L125" s="208">
        <f>Parameters!J127</f>
        <v>4.5943062945485403E-3</v>
      </c>
      <c r="M125" s="208">
        <f>Parameters!K127</f>
        <v>6.8342651340228874E-3</v>
      </c>
      <c r="N125" s="138" t="str">
        <f>Tp_CHG!$H$11</f>
        <v>[Franck Maunoury et al.2015]</v>
      </c>
      <c r="AF125" s="205"/>
    </row>
    <row r="126" spans="2:32" s="206" customFormat="1" ht="26" customHeight="1" x14ac:dyDescent="0.2">
      <c r="B126" s="205"/>
      <c r="J126" s="207" t="str">
        <f>Parameters!E128</f>
        <v>Transition Probability from state 1 to state 1 on day 26 (CHG)</v>
      </c>
      <c r="K126" s="208">
        <f>Parameters!H128</f>
        <v>0.930379746835443</v>
      </c>
      <c r="L126" s="208">
        <f>Parameters!J128</f>
        <v>0.74802866726114692</v>
      </c>
      <c r="M126" s="208">
        <f>Parameters!K128</f>
        <v>1.1127308264097391</v>
      </c>
      <c r="N126" s="138" t="str">
        <f>Tp_CHG!$H$11</f>
        <v>[Franck Maunoury et al.2015]</v>
      </c>
      <c r="AF126" s="205"/>
    </row>
    <row r="127" spans="2:32" s="206" customFormat="1" ht="26" customHeight="1" x14ac:dyDescent="0.2">
      <c r="B127" s="205"/>
      <c r="J127" s="207" t="str">
        <f>Parameters!E129</f>
        <v>Transition Probability from state 1 to state 2 on day 26 (CHG)</v>
      </c>
      <c r="K127" s="208">
        <f>Parameters!H129</f>
        <v>1.2658227848101266E-2</v>
      </c>
      <c r="L127" s="208">
        <f>Parameters!J129</f>
        <v>1.0177260779063222E-2</v>
      </c>
      <c r="M127" s="208">
        <f>Parameters!K129</f>
        <v>1.5139194917139309E-2</v>
      </c>
      <c r="N127" s="138" t="str">
        <f>Tp_CHG!$H$11</f>
        <v>[Franck Maunoury et al.2015]</v>
      </c>
      <c r="AF127" s="205"/>
    </row>
    <row r="128" spans="2:32" s="206" customFormat="1" ht="26" customHeight="1" x14ac:dyDescent="0.2">
      <c r="B128" s="205"/>
      <c r="J128" s="207" t="str">
        <f>Parameters!E130</f>
        <v>Transition Probability from state 1 to state 5 on day 26 (CHG)</v>
      </c>
      <c r="K128" s="208">
        <f>Parameters!H130</f>
        <v>6.3291139240506328E-3</v>
      </c>
      <c r="L128" s="208">
        <f>Parameters!J130</f>
        <v>5.0886303895316112E-3</v>
      </c>
      <c r="M128" s="208">
        <f>Parameters!K130</f>
        <v>7.5695974585696544E-3</v>
      </c>
      <c r="N128" s="138" t="str">
        <f>Tp_CHG!$H$11</f>
        <v>[Franck Maunoury et al.2015]</v>
      </c>
      <c r="AF128" s="205"/>
    </row>
    <row r="129" spans="2:32" s="206" customFormat="1" ht="26" customHeight="1" x14ac:dyDescent="0.2">
      <c r="B129" s="205"/>
      <c r="J129" s="207" t="str">
        <f>Parameters!E131</f>
        <v>Transition Probability from state 1 to state 7 on day 26 (CHG)</v>
      </c>
      <c r="K129" s="208">
        <f>Parameters!H131</f>
        <v>2.5316455696202531E-2</v>
      </c>
      <c r="L129" s="208">
        <f>Parameters!J131</f>
        <v>2.0354521558126445E-2</v>
      </c>
      <c r="M129" s="208">
        <f>Parameters!K131</f>
        <v>3.0278389834278618E-2</v>
      </c>
      <c r="N129" s="138" t="str">
        <f>Tp_CHG!$H$11</f>
        <v>[Franck Maunoury et al.2015]</v>
      </c>
      <c r="AF129" s="205"/>
    </row>
    <row r="130" spans="2:32" s="206" customFormat="1" ht="26" customHeight="1" x14ac:dyDescent="0.2">
      <c r="B130" s="205"/>
      <c r="J130" s="207" t="str">
        <f>Parameters!E132</f>
        <v>Transition Probability from state 1 to state 8 on day 26 (CHG)</v>
      </c>
      <c r="K130" s="208">
        <f>Parameters!H132</f>
        <v>2.5316455696202531E-2</v>
      </c>
      <c r="L130" s="208">
        <f>Parameters!J132</f>
        <v>2.0354521558126445E-2</v>
      </c>
      <c r="M130" s="208">
        <f>Parameters!K132</f>
        <v>3.0278389834278618E-2</v>
      </c>
      <c r="N130" s="138" t="str">
        <f>Tp_CHG!$H$11</f>
        <v>[Franck Maunoury et al.2015]</v>
      </c>
      <c r="AF130" s="205"/>
    </row>
    <row r="131" spans="2:32" s="206" customFormat="1" ht="26" customHeight="1" x14ac:dyDescent="0.2">
      <c r="B131" s="205"/>
      <c r="J131" s="207" t="str">
        <f>Parameters!E133</f>
        <v>Transition Probability from state 1 to state 1 on day 27 (CHG)</v>
      </c>
      <c r="K131" s="208">
        <f>Parameters!H133</f>
        <v>0.91503267973856206</v>
      </c>
      <c r="L131" s="208">
        <f>Parameters!J133</f>
        <v>0.73568957004208657</v>
      </c>
      <c r="M131" s="208">
        <f>Parameters!K133</f>
        <v>1.0943757894350377</v>
      </c>
      <c r="N131" s="138" t="str">
        <f>Tp_CHG!$H$11</f>
        <v>[Franck Maunoury et al.2015]</v>
      </c>
      <c r="AF131" s="205"/>
    </row>
    <row r="132" spans="2:32" s="206" customFormat="1" ht="26" customHeight="1" x14ac:dyDescent="0.2">
      <c r="B132" s="205"/>
      <c r="J132" s="207" t="str">
        <f>Parameters!E134</f>
        <v>Transition Probability from state 1 to state 2 on day 27 (CHG)</v>
      </c>
      <c r="K132" s="208">
        <f>Parameters!H134</f>
        <v>3.2679738562091505E-2</v>
      </c>
      <c r="L132" s="208">
        <f>Parameters!J134</f>
        <v>2.6274627501503091E-2</v>
      </c>
      <c r="M132" s="208">
        <f>Parameters!K134</f>
        <v>3.9084849622679919E-2</v>
      </c>
      <c r="N132" s="138" t="str">
        <f>Tp_CHG!$H$11</f>
        <v>[Franck Maunoury et al.2015]</v>
      </c>
      <c r="AF132" s="205"/>
    </row>
    <row r="133" spans="2:32" s="206" customFormat="1" ht="26" customHeight="1" x14ac:dyDescent="0.2">
      <c r="B133" s="205"/>
      <c r="J133" s="207" t="str">
        <f>Parameters!E135</f>
        <v>Transition Probability from state 1 to state 7 on day 27 (CHG)</v>
      </c>
      <c r="K133" s="208">
        <f>Parameters!H135</f>
        <v>3.2679738562091505E-2</v>
      </c>
      <c r="L133" s="208">
        <f>Parameters!J135</f>
        <v>2.6274627501503091E-2</v>
      </c>
      <c r="M133" s="208">
        <f>Parameters!K135</f>
        <v>3.9084849622679919E-2</v>
      </c>
      <c r="N133" s="138" t="str">
        <f>Tp_CHG!$H$11</f>
        <v>[Franck Maunoury et al.2015]</v>
      </c>
      <c r="AF133" s="205"/>
    </row>
    <row r="134" spans="2:32" s="206" customFormat="1" ht="26" customHeight="1" x14ac:dyDescent="0.2">
      <c r="B134" s="205"/>
      <c r="J134" s="207" t="str">
        <f>Parameters!E136</f>
        <v>Transition Probability from state 1 to state 8 on day 27 (CHG)</v>
      </c>
      <c r="K134" s="208">
        <f>Parameters!H136</f>
        <v>1.9607843137254902E-2</v>
      </c>
      <c r="L134" s="208">
        <f>Parameters!J136</f>
        <v>1.5764776500901856E-2</v>
      </c>
      <c r="M134" s="208">
        <f>Parameters!K136</f>
        <v>2.3450909773607947E-2</v>
      </c>
      <c r="N134" s="138" t="str">
        <f>Tp_CHG!$H$11</f>
        <v>[Franck Maunoury et al.2015]</v>
      </c>
      <c r="AF134" s="205"/>
    </row>
    <row r="135" spans="2:32" s="206" customFormat="1" ht="26" customHeight="1" x14ac:dyDescent="0.2">
      <c r="B135" s="205"/>
      <c r="J135" s="207" t="str">
        <f>Parameters!E137</f>
        <v>Transition Probability from state 1 to state 1 on day 28 (CHG)</v>
      </c>
      <c r="K135" s="208">
        <f>Parameters!H137</f>
        <v>0.92198581560283688</v>
      </c>
      <c r="L135" s="208">
        <f>Parameters!J137</f>
        <v>0.74127991631900214</v>
      </c>
      <c r="M135" s="208">
        <f>Parameters!K137</f>
        <v>1.1026917148866717</v>
      </c>
      <c r="N135" s="138" t="str">
        <f>Tp_CHG!$H$11</f>
        <v>[Franck Maunoury et al.2015]</v>
      </c>
      <c r="AF135" s="205"/>
    </row>
    <row r="136" spans="2:32" s="206" customFormat="1" ht="26" customHeight="1" x14ac:dyDescent="0.2">
      <c r="B136" s="205"/>
      <c r="J136" s="207" t="str">
        <f>Parameters!E138</f>
        <v>Transition Probability from state 1 to state 2 on day 28 (CHG)</v>
      </c>
      <c r="K136" s="208">
        <f>Parameters!H138</f>
        <v>2.1276595744680851E-2</v>
      </c>
      <c r="L136" s="208">
        <f>Parameters!J138</f>
        <v>1.7106459607361589E-2</v>
      </c>
      <c r="M136" s="208">
        <f>Parameters!K138</f>
        <v>2.5446731882000112E-2</v>
      </c>
      <c r="N136" s="138" t="str">
        <f>Tp_CHG!$H$11</f>
        <v>[Franck Maunoury et al.2015]</v>
      </c>
      <c r="AF136" s="205"/>
    </row>
    <row r="137" spans="2:32" s="206" customFormat="1" ht="26" customHeight="1" x14ac:dyDescent="0.2">
      <c r="B137" s="205"/>
      <c r="J137" s="207" t="str">
        <f>Parameters!E139</f>
        <v>Transition Probability from state 1 to state 7 on day 28 (CHG)</v>
      </c>
      <c r="K137" s="208">
        <f>Parameters!H139</f>
        <v>3.5460992907801421E-2</v>
      </c>
      <c r="L137" s="208">
        <f>Parameters!J139</f>
        <v>2.8510766012269314E-2</v>
      </c>
      <c r="M137" s="208">
        <f>Parameters!K139</f>
        <v>4.2411219803333525E-2</v>
      </c>
      <c r="N137" s="138" t="str">
        <f>Tp_CHG!$H$11</f>
        <v>[Franck Maunoury et al.2015]</v>
      </c>
      <c r="AF137" s="205"/>
    </row>
    <row r="138" spans="2:32" s="206" customFormat="1" ht="26" customHeight="1" x14ac:dyDescent="0.2">
      <c r="B138" s="205"/>
      <c r="J138" s="207" t="str">
        <f>Parameters!E140</f>
        <v>Transition Probability from state 1 to state 8 on day 28 (CHG)</v>
      </c>
      <c r="K138" s="208">
        <f>Parameters!H140</f>
        <v>2.1276595744680851E-2</v>
      </c>
      <c r="L138" s="208">
        <f>Parameters!J140</f>
        <v>1.7106459607361589E-2</v>
      </c>
      <c r="M138" s="208">
        <f>Parameters!K140</f>
        <v>2.5446731882000112E-2</v>
      </c>
      <c r="N138" s="138" t="str">
        <f>Tp_CHG!$H$11</f>
        <v>[Franck Maunoury et al.2015]</v>
      </c>
      <c r="AF138" s="205"/>
    </row>
    <row r="139" spans="2:32" s="206" customFormat="1" ht="26" customHeight="1" x14ac:dyDescent="0.2">
      <c r="B139" s="205"/>
      <c r="J139" s="207" t="str">
        <f>Parameters!E141</f>
        <v>Transition Probability from state 1 to state 1 on day 29 (CHG)</v>
      </c>
      <c r="K139" s="208">
        <f>Parameters!H141</f>
        <v>0.91911764705882348</v>
      </c>
      <c r="L139" s="208">
        <f>Parameters!J141</f>
        <v>0.73897389847977446</v>
      </c>
      <c r="M139" s="208">
        <f>Parameters!K141</f>
        <v>1.0992613956378725</v>
      </c>
      <c r="N139" s="138" t="str">
        <f>Tp_CHG!$H$11</f>
        <v>[Franck Maunoury et al.2015]</v>
      </c>
      <c r="AF139" s="205"/>
    </row>
    <row r="140" spans="2:32" s="206" customFormat="1" ht="26" customHeight="1" x14ac:dyDescent="0.2">
      <c r="B140" s="205"/>
      <c r="J140" s="207" t="str">
        <f>Parameters!E142</f>
        <v>Transition Probability from state 1 to state 2 on day 29 (CHG)</v>
      </c>
      <c r="K140" s="208">
        <f>Parameters!H142</f>
        <v>1.4705882352941176E-2</v>
      </c>
      <c r="L140" s="208">
        <f>Parameters!J142</f>
        <v>1.1823582375676392E-2</v>
      </c>
      <c r="M140" s="208">
        <f>Parameters!K142</f>
        <v>1.7588182330205961E-2</v>
      </c>
      <c r="N140" s="138" t="str">
        <f>Tp_CHG!$H$11</f>
        <v>[Franck Maunoury et al.2015]</v>
      </c>
      <c r="AF140" s="205"/>
    </row>
    <row r="141" spans="2:32" s="206" customFormat="1" ht="26" customHeight="1" x14ac:dyDescent="0.2">
      <c r="B141" s="205"/>
      <c r="J141" s="207" t="str">
        <f>Parameters!E143</f>
        <v>Transition Probability from state 1 to state 7 on day 29 (CHG)</v>
      </c>
      <c r="K141" s="208">
        <f>Parameters!H143</f>
        <v>5.1470588235294115E-2</v>
      </c>
      <c r="L141" s="208">
        <f>Parameters!J143</f>
        <v>4.1382538314867365E-2</v>
      </c>
      <c r="M141" s="208">
        <f>Parameters!K143</f>
        <v>6.1558638155720866E-2</v>
      </c>
      <c r="N141" s="138" t="str">
        <f>Tp_CHG!$H$11</f>
        <v>[Franck Maunoury et al.2015]</v>
      </c>
      <c r="AF141" s="205"/>
    </row>
    <row r="142" spans="2:32" s="206" customFormat="1" ht="26" customHeight="1" x14ac:dyDescent="0.2">
      <c r="B142" s="205"/>
      <c r="J142" s="207" t="str">
        <f>Parameters!E144</f>
        <v>Transition Probability from state 1 to state 8 on day 29 (CHG)</v>
      </c>
      <c r="K142" s="208">
        <f>Parameters!H144</f>
        <v>1.4705882352941176E-2</v>
      </c>
      <c r="L142" s="208">
        <f>Parameters!J144</f>
        <v>1.1823582375676392E-2</v>
      </c>
      <c r="M142" s="208">
        <f>Parameters!K144</f>
        <v>1.7588182330205961E-2</v>
      </c>
      <c r="N142" s="138" t="str">
        <f>Tp_CHG!$H$11</f>
        <v>[Franck Maunoury et al.2015]</v>
      </c>
      <c r="AF142" s="205"/>
    </row>
    <row r="143" spans="2:32" s="206" customFormat="1" ht="26" customHeight="1" x14ac:dyDescent="0.2">
      <c r="B143" s="205"/>
      <c r="J143" s="207" t="str">
        <f>Parameters!E145</f>
        <v>Transition Probability from state 1 to state 1 on day 30 (CHG)</v>
      </c>
      <c r="K143" s="208">
        <f>Parameters!H145</f>
        <v>0.9140625</v>
      </c>
      <c r="L143" s="208">
        <f>Parameters!J145</f>
        <v>0.73490954203813574</v>
      </c>
      <c r="M143" s="208">
        <f>Parameters!K145</f>
        <v>1.0932154579618643</v>
      </c>
      <c r="N143" s="138" t="str">
        <f>Tp_CHG!$H$11</f>
        <v>[Franck Maunoury et al.2015]</v>
      </c>
      <c r="AF143" s="205"/>
    </row>
    <row r="144" spans="2:32" s="206" customFormat="1" ht="26" customHeight="1" x14ac:dyDescent="0.2">
      <c r="B144" s="205"/>
      <c r="J144" s="207" t="str">
        <f>Parameters!E146</f>
        <v>Transition Probability from state 1 to state 2 on day 30 (CHG)</v>
      </c>
      <c r="K144" s="208">
        <f>Parameters!H146</f>
        <v>2.34375E-2</v>
      </c>
      <c r="L144" s="208">
        <f>Parameters!J146</f>
        <v>1.8843834411234248E-2</v>
      </c>
      <c r="M144" s="208">
        <f>Parameters!K146</f>
        <v>2.8031165588765752E-2</v>
      </c>
      <c r="N144" s="138" t="str">
        <f>Tp_CHG!$H$11</f>
        <v>[Franck Maunoury et al.2015]</v>
      </c>
      <c r="AF144" s="205"/>
    </row>
    <row r="145" spans="2:32" s="206" customFormat="1" ht="26" customHeight="1" x14ac:dyDescent="0.2">
      <c r="B145" s="205"/>
      <c r="J145" s="207" t="str">
        <f>Parameters!E147</f>
        <v>Transition Probability from state 1 to state 7 on day 30 (CHG)</v>
      </c>
      <c r="K145" s="208">
        <f>Parameters!H147</f>
        <v>3.90625E-2</v>
      </c>
      <c r="L145" s="208">
        <f>Parameters!J147</f>
        <v>3.1406390685390417E-2</v>
      </c>
      <c r="M145" s="208">
        <f>Parameters!K147</f>
        <v>4.6718609314609583E-2</v>
      </c>
      <c r="N145" s="138" t="str">
        <f>Tp_CHG!$H$11</f>
        <v>[Franck Maunoury et al.2015]</v>
      </c>
      <c r="AF145" s="205"/>
    </row>
    <row r="146" spans="2:32" s="206" customFormat="1" ht="26" customHeight="1" x14ac:dyDescent="0.2">
      <c r="B146" s="205"/>
      <c r="J146" s="207" t="str">
        <f>Parameters!E148</f>
        <v>Transition Probability from state 1 to state 8 on day 30 (CHG)</v>
      </c>
      <c r="K146" s="208">
        <f>Parameters!H148</f>
        <v>2.34375E-2</v>
      </c>
      <c r="L146" s="208">
        <f>Parameters!J148</f>
        <v>1.8843834411234248E-2</v>
      </c>
      <c r="M146" s="208">
        <f>Parameters!K148</f>
        <v>2.8031165588765752E-2</v>
      </c>
      <c r="N146" s="138" t="str">
        <f>Tp_CHG!$H$11</f>
        <v>[Franck Maunoury et al.2015]</v>
      </c>
      <c r="AF146" s="205"/>
    </row>
    <row r="147" spans="2:32" s="206" customFormat="1" ht="26" customHeight="1" x14ac:dyDescent="0.2">
      <c r="B147" s="205"/>
      <c r="J147" s="207" t="str">
        <f>Parameters!E149</f>
        <v>Transition Probability from state 2 to state 1 on day 1 (CHG)</v>
      </c>
      <c r="K147" s="208">
        <f>Parameters!H149</f>
        <v>0</v>
      </c>
      <c r="L147" s="208">
        <f>Parameters!J149</f>
        <v>0</v>
      </c>
      <c r="M147" s="208">
        <f>Parameters!K149</f>
        <v>0</v>
      </c>
      <c r="N147" s="138" t="str">
        <f>Tp_CHG!$H$11</f>
        <v>[Franck Maunoury et al.2015]</v>
      </c>
      <c r="AF147" s="205"/>
    </row>
    <row r="148" spans="2:32" s="206" customFormat="1" ht="26" customHeight="1" x14ac:dyDescent="0.2">
      <c r="B148" s="205"/>
      <c r="J148" s="207" t="str">
        <f>Parameters!E150</f>
        <v>Transition Probability from state 2 to state 1 on day 2 (CHG)</v>
      </c>
      <c r="K148" s="208">
        <f>Parameters!H150</f>
        <v>1</v>
      </c>
      <c r="L148" s="208">
        <f>Parameters!J150</f>
        <v>0.8040036015459946</v>
      </c>
      <c r="M148" s="208">
        <f>Parameters!K150</f>
        <v>1.1959963984540054</v>
      </c>
      <c r="N148" s="138" t="str">
        <f>Tp_CHG!$H$11</f>
        <v>[Franck Maunoury et al.2015]</v>
      </c>
      <c r="AF148" s="205"/>
    </row>
    <row r="149" spans="2:32" s="206" customFormat="1" ht="26" customHeight="1" x14ac:dyDescent="0.2">
      <c r="B149" s="205"/>
      <c r="J149" s="207" t="str">
        <f>Parameters!E151</f>
        <v>Transition Probability from state 2 to state 1 on day 3 (CHG)</v>
      </c>
      <c r="K149" s="208">
        <f>Parameters!H151</f>
        <v>0.875</v>
      </c>
      <c r="L149" s="208">
        <f>Parameters!J151</f>
        <v>0.70350315135274522</v>
      </c>
      <c r="M149" s="208">
        <f>Parameters!K151</f>
        <v>1.0464968486472548</v>
      </c>
      <c r="N149" s="138" t="str">
        <f>Tp_CHG!$H$11</f>
        <v>[Franck Maunoury et al.2015]</v>
      </c>
      <c r="AF149" s="205"/>
    </row>
    <row r="150" spans="2:32" s="206" customFormat="1" ht="26" customHeight="1" x14ac:dyDescent="0.2">
      <c r="B150" s="205"/>
      <c r="J150" s="207" t="str">
        <f>Parameters!E152</f>
        <v>Transition Probability from state 2 to state 2 on day 3 (CHG)</v>
      </c>
      <c r="K150" s="208">
        <f>Parameters!H152</f>
        <v>4.1666666666666664E-2</v>
      </c>
      <c r="L150" s="208">
        <f>Parameters!J152</f>
        <v>3.3500150064416437E-2</v>
      </c>
      <c r="M150" s="208">
        <f>Parameters!K152</f>
        <v>4.9833183268916892E-2</v>
      </c>
      <c r="N150" s="138" t="str">
        <f>Tp_CHG!$H$11</f>
        <v>[Franck Maunoury et al.2015]</v>
      </c>
      <c r="AF150" s="205"/>
    </row>
    <row r="151" spans="2:32" s="206" customFormat="1" ht="26" customHeight="1" x14ac:dyDescent="0.2">
      <c r="B151" s="205"/>
      <c r="J151" s="207" t="str">
        <f>Parameters!E153</f>
        <v>Transition Probability from state 2 to state 8 on day 3 (CHG)</v>
      </c>
      <c r="K151" s="208">
        <f>Parameters!H153</f>
        <v>8.3333333333333329E-2</v>
      </c>
      <c r="L151" s="208">
        <f>Parameters!J153</f>
        <v>6.7000300128832874E-2</v>
      </c>
      <c r="M151" s="208">
        <f>Parameters!K153</f>
        <v>9.9666366537833784E-2</v>
      </c>
      <c r="N151" s="138" t="str">
        <f>Tp_CHG!$H$11</f>
        <v>[Franck Maunoury et al.2015]</v>
      </c>
      <c r="AF151" s="205"/>
    </row>
    <row r="152" spans="2:32" s="206" customFormat="1" ht="26" customHeight="1" x14ac:dyDescent="0.2">
      <c r="B152" s="205"/>
      <c r="J152" s="207" t="str">
        <f>Parameters!E154</f>
        <v>Transition Probability from state 2 to state 1 on day 4 (CHG)</v>
      </c>
      <c r="K152" s="208">
        <f>Parameters!H154</f>
        <v>1</v>
      </c>
      <c r="L152" s="208">
        <f>Parameters!J154</f>
        <v>0.8040036015459946</v>
      </c>
      <c r="M152" s="208">
        <f>Parameters!K154</f>
        <v>1.1959963984540054</v>
      </c>
      <c r="N152" s="138" t="str">
        <f>Tp_CHG!$H$11</f>
        <v>[Franck Maunoury et al.2015]</v>
      </c>
      <c r="AF152" s="205"/>
    </row>
    <row r="153" spans="2:32" s="206" customFormat="1" ht="26" customHeight="1" x14ac:dyDescent="0.2">
      <c r="B153" s="205"/>
      <c r="J153" s="207" t="str">
        <f>Parameters!E155</f>
        <v>Transition Probability from state 2 to state 8 on day 4 (CHG)</v>
      </c>
      <c r="K153" s="208">
        <f>Parameters!H155</f>
        <v>0</v>
      </c>
      <c r="L153" s="208">
        <f>Parameters!J155</f>
        <v>0</v>
      </c>
      <c r="M153" s="208">
        <f>Parameters!K155</f>
        <v>0</v>
      </c>
      <c r="N153" s="138" t="str">
        <f>Tp_CHG!$H$11</f>
        <v>[Franck Maunoury et al.2015]</v>
      </c>
      <c r="AF153" s="205"/>
    </row>
    <row r="154" spans="2:32" s="206" customFormat="1" ht="26" customHeight="1" x14ac:dyDescent="0.2">
      <c r="B154" s="205"/>
      <c r="J154" s="207" t="str">
        <f>Parameters!E156</f>
        <v>Transition Probability from state 2 to state 1 on day 5 (CHG)</v>
      </c>
      <c r="K154" s="208">
        <f>Parameters!H156</f>
        <v>0.94736842105263153</v>
      </c>
      <c r="L154" s="208">
        <f>Parameters!J156</f>
        <v>0.76168762251725797</v>
      </c>
      <c r="M154" s="208">
        <f>Parameters!K156</f>
        <v>1.1330492195880051</v>
      </c>
      <c r="N154" s="138" t="str">
        <f>Tp_CHG!$H$11</f>
        <v>[Franck Maunoury et al.2015]</v>
      </c>
      <c r="AF154" s="205"/>
    </row>
    <row r="155" spans="2:32" s="206" customFormat="1" ht="26" customHeight="1" x14ac:dyDescent="0.2">
      <c r="B155" s="205"/>
      <c r="J155" s="207" t="str">
        <f>Parameters!E157</f>
        <v>Transition Probability from state 2 to state 2 on day 5 (CHG)</v>
      </c>
      <c r="K155" s="208">
        <f>Parameters!H157</f>
        <v>5.2631578947368418E-2</v>
      </c>
      <c r="L155" s="208">
        <f>Parameters!J157</f>
        <v>4.2315979028736558E-2</v>
      </c>
      <c r="M155" s="208">
        <f>Parameters!K157</f>
        <v>6.2947178866000278E-2</v>
      </c>
      <c r="N155" s="138" t="str">
        <f>Tp_CHG!$H$11</f>
        <v>[Franck Maunoury et al.2015]</v>
      </c>
      <c r="AF155" s="205"/>
    </row>
    <row r="156" spans="2:32" s="206" customFormat="1" ht="26" customHeight="1" x14ac:dyDescent="0.2">
      <c r="B156" s="205"/>
      <c r="J156" s="207" t="str">
        <f>Parameters!E158</f>
        <v>Transition Probability from state 2 to state 1 on day 6 (CHG)</v>
      </c>
      <c r="K156" s="208">
        <f>Parameters!H158</f>
        <v>1</v>
      </c>
      <c r="L156" s="208">
        <f>Parameters!J158</f>
        <v>0.8040036015459946</v>
      </c>
      <c r="M156" s="208">
        <f>Parameters!K158</f>
        <v>1.1959963984540054</v>
      </c>
      <c r="N156" s="138" t="str">
        <f>Tp_CHG!$H$11</f>
        <v>[Franck Maunoury et al.2015]</v>
      </c>
      <c r="AF156" s="205"/>
    </row>
    <row r="157" spans="2:32" s="206" customFormat="1" ht="26" customHeight="1" x14ac:dyDescent="0.2">
      <c r="B157" s="205"/>
      <c r="J157" s="207" t="str">
        <f>Parameters!E159</f>
        <v>Transition Probability from state 2 to state 2 on day 7 (CHG)</v>
      </c>
      <c r="K157" s="208">
        <f>Parameters!H159</f>
        <v>7.1428571428571425E-2</v>
      </c>
      <c r="L157" s="208">
        <f>Parameters!J159</f>
        <v>5.7428828681856753E-2</v>
      </c>
      <c r="M157" s="208">
        <f>Parameters!K159</f>
        <v>8.5428314175286096E-2</v>
      </c>
      <c r="N157" s="138" t="str">
        <f>Tp_CHG!$H$11</f>
        <v>[Franck Maunoury et al.2015]</v>
      </c>
      <c r="AF157" s="205"/>
    </row>
    <row r="158" spans="2:32" s="206" customFormat="1" ht="26" customHeight="1" x14ac:dyDescent="0.2">
      <c r="B158" s="205"/>
      <c r="J158" s="207" t="str">
        <f>Parameters!E160</f>
        <v>Transition Probability from state 2 to state 1 on day 7 (CHG)</v>
      </c>
      <c r="K158" s="208">
        <f>Parameters!H160</f>
        <v>0.9285714285714286</v>
      </c>
      <c r="L158" s="208">
        <f>Parameters!J160</f>
        <v>0.74657477286413787</v>
      </c>
      <c r="M158" s="208">
        <f>Parameters!K160</f>
        <v>1.1105680842787193</v>
      </c>
      <c r="N158" s="138" t="str">
        <f>Tp_CHG!$H$11</f>
        <v>[Franck Maunoury et al.2015]</v>
      </c>
      <c r="AF158" s="205"/>
    </row>
    <row r="159" spans="2:32" s="206" customFormat="1" ht="26" customHeight="1" x14ac:dyDescent="0.2">
      <c r="B159" s="205"/>
      <c r="J159" s="207" t="str">
        <f>Parameters!E161</f>
        <v>Transition Probability from state 2 to state 1 on day 8 (CHG)</v>
      </c>
      <c r="K159" s="208">
        <f>Parameters!H161</f>
        <v>1</v>
      </c>
      <c r="L159" s="208">
        <f>Parameters!J161</f>
        <v>0.8040036015459946</v>
      </c>
      <c r="M159" s="208">
        <f>Parameters!K161</f>
        <v>1.1959963984540054</v>
      </c>
      <c r="N159" s="138" t="str">
        <f>Tp_CHG!$H$11</f>
        <v>[Franck Maunoury et al.2015]</v>
      </c>
      <c r="AF159" s="205"/>
    </row>
    <row r="160" spans="2:32" s="206" customFormat="1" ht="26" customHeight="1" x14ac:dyDescent="0.2">
      <c r="B160" s="205"/>
      <c r="J160" s="207" t="str">
        <f>Parameters!E162</f>
        <v>Transition Probability from state 2 to state 1 on day 9 (CHG)</v>
      </c>
      <c r="K160" s="208">
        <f>Parameters!H162</f>
        <v>0.83333333333333337</v>
      </c>
      <c r="L160" s="208">
        <f>Parameters!J162</f>
        <v>0.6700030012883289</v>
      </c>
      <c r="M160" s="208">
        <f>Parameters!K162</f>
        <v>0.99666366537833784</v>
      </c>
      <c r="N160" s="138" t="str">
        <f>Tp_CHG!$H$11</f>
        <v>[Franck Maunoury et al.2015]</v>
      </c>
      <c r="AF160" s="205"/>
    </row>
    <row r="161" spans="2:32" s="206" customFormat="1" ht="26" customHeight="1" x14ac:dyDescent="0.2">
      <c r="B161" s="205"/>
      <c r="J161" s="207" t="str">
        <f>Parameters!E163</f>
        <v>Transition Probability from state 2 to state 5 on day 9 (CHG)</v>
      </c>
      <c r="K161" s="208">
        <f>Parameters!H163</f>
        <v>5.5555555555555552E-2</v>
      </c>
      <c r="L161" s="208">
        <f>Parameters!J163</f>
        <v>4.4666866752555254E-2</v>
      </c>
      <c r="M161" s="208">
        <f>Parameters!K163</f>
        <v>6.6444244358555851E-2</v>
      </c>
      <c r="N161" s="138" t="str">
        <f>Tp_CHG!$H$11</f>
        <v>[Franck Maunoury et al.2015]</v>
      </c>
      <c r="AF161" s="205"/>
    </row>
    <row r="162" spans="2:32" s="206" customFormat="1" ht="26" customHeight="1" x14ac:dyDescent="0.2">
      <c r="B162" s="205"/>
      <c r="J162" s="207" t="str">
        <f>Parameters!E164</f>
        <v>Transition Probability from state 2 to state 8 on day 9 (CHG)</v>
      </c>
      <c r="K162" s="208">
        <f>Parameters!H164</f>
        <v>0.1111111111111111</v>
      </c>
      <c r="L162" s="208">
        <f>Parameters!J164</f>
        <v>8.9333733505110507E-2</v>
      </c>
      <c r="M162" s="208">
        <f>Parameters!K164</f>
        <v>0.1328884887171117</v>
      </c>
      <c r="N162" s="138" t="str">
        <f>Tp_CHG!$H$11</f>
        <v>[Franck Maunoury et al.2015]</v>
      </c>
      <c r="AF162" s="205"/>
    </row>
    <row r="163" spans="2:32" s="206" customFormat="1" ht="26" customHeight="1" x14ac:dyDescent="0.2">
      <c r="B163" s="205"/>
      <c r="J163" s="207" t="str">
        <f>Parameters!E165</f>
        <v>Transition Probability from state 2 to state 1 on day 10 (CHG)</v>
      </c>
      <c r="K163" s="208">
        <f>Parameters!H165</f>
        <v>1</v>
      </c>
      <c r="L163" s="208">
        <f>Parameters!J165</f>
        <v>0.8040036015459946</v>
      </c>
      <c r="M163" s="208">
        <f>Parameters!K165</f>
        <v>1.1959963984540054</v>
      </c>
      <c r="N163" s="138" t="str">
        <f>Tp_CHG!$H$11</f>
        <v>[Franck Maunoury et al.2015]</v>
      </c>
      <c r="AF163" s="205"/>
    </row>
    <row r="164" spans="2:32" s="206" customFormat="1" ht="26" customHeight="1" x14ac:dyDescent="0.2">
      <c r="B164" s="205"/>
      <c r="J164" s="207" t="str">
        <f>Parameters!E166</f>
        <v>Transition Probability from state 2 to state 1 on day 11 (CHG)</v>
      </c>
      <c r="K164" s="208">
        <f>Parameters!H166</f>
        <v>1</v>
      </c>
      <c r="L164" s="208">
        <f>Parameters!J166</f>
        <v>0.8040036015459946</v>
      </c>
      <c r="M164" s="208">
        <f>Parameters!K166</f>
        <v>1.1959963984540054</v>
      </c>
      <c r="N164" s="138" t="str">
        <f>Tp_CHG!$H$11</f>
        <v>[Franck Maunoury et al.2015]</v>
      </c>
      <c r="AF164" s="205"/>
    </row>
    <row r="165" spans="2:32" s="206" customFormat="1" ht="26" customHeight="1" x14ac:dyDescent="0.2">
      <c r="B165" s="205"/>
      <c r="J165" s="207" t="str">
        <f>Parameters!E167</f>
        <v>Transition Probability from state 2 to state 1 on day 12 (CHG)</v>
      </c>
      <c r="K165" s="208">
        <f>Parameters!H167</f>
        <v>1</v>
      </c>
      <c r="L165" s="208">
        <f>Parameters!J167</f>
        <v>0.8040036015459946</v>
      </c>
      <c r="M165" s="208">
        <f>Parameters!K167</f>
        <v>1.1959963984540054</v>
      </c>
      <c r="N165" s="138" t="str">
        <f>Tp_CHG!$H$11</f>
        <v>[Franck Maunoury et al.2015]</v>
      </c>
      <c r="AF165" s="205"/>
    </row>
    <row r="166" spans="2:32" s="206" customFormat="1" ht="26" customHeight="1" x14ac:dyDescent="0.2">
      <c r="B166" s="205"/>
      <c r="J166" s="207" t="str">
        <f>Parameters!E168</f>
        <v>Transition Probability from state 2 to state 1 on day 13 (CHG)</v>
      </c>
      <c r="K166" s="208">
        <f>Parameters!H168</f>
        <v>0.7142857142857143</v>
      </c>
      <c r="L166" s="208">
        <f>Parameters!J168</f>
        <v>0.57428828681856758</v>
      </c>
      <c r="M166" s="208">
        <f>Parameters!K168</f>
        <v>0.85428314175286102</v>
      </c>
      <c r="N166" s="138" t="str">
        <f>Tp_CHG!$H$11</f>
        <v>[Franck Maunoury et al.2015]</v>
      </c>
      <c r="AF166" s="205"/>
    </row>
    <row r="167" spans="2:32" s="206" customFormat="1" ht="26" customHeight="1" x14ac:dyDescent="0.2">
      <c r="B167" s="205"/>
      <c r="J167" s="207" t="str">
        <f>Parameters!E169</f>
        <v>Transition Probability from state 2 to state 2 on day 13 (CHG)</v>
      </c>
      <c r="K167" s="208">
        <f>Parameters!H169</f>
        <v>0.2857142857142857</v>
      </c>
      <c r="L167" s="208">
        <f>Parameters!J169</f>
        <v>0.22971531472742701</v>
      </c>
      <c r="M167" s="208">
        <f>Parameters!K169</f>
        <v>0.34171325670114439</v>
      </c>
      <c r="N167" s="138" t="str">
        <f>Tp_CHG!$H$11</f>
        <v>[Franck Maunoury et al.2015]</v>
      </c>
      <c r="AF167" s="205"/>
    </row>
    <row r="168" spans="2:32" s="206" customFormat="1" ht="26" customHeight="1" x14ac:dyDescent="0.2">
      <c r="B168" s="205"/>
      <c r="J168" s="207" t="str">
        <f>Parameters!E170</f>
        <v>Transition Probability from state 2 to state 1 on day 14 (CHG)</v>
      </c>
      <c r="K168" s="208">
        <f>Parameters!H170</f>
        <v>1</v>
      </c>
      <c r="L168" s="208">
        <f>Parameters!J170</f>
        <v>0.8040036015459946</v>
      </c>
      <c r="M168" s="208">
        <f>Parameters!K170</f>
        <v>1.1959963984540054</v>
      </c>
      <c r="N168" s="138" t="str">
        <f>Tp_CHG!$H$11</f>
        <v>[Franck Maunoury et al.2015]</v>
      </c>
      <c r="AF168" s="205"/>
    </row>
    <row r="169" spans="2:32" s="206" customFormat="1" ht="26" customHeight="1" x14ac:dyDescent="0.2">
      <c r="B169" s="205"/>
      <c r="J169" s="207" t="str">
        <f>Parameters!E171</f>
        <v>Transition Probability from state 2 to state 1 on day 15 (CHG)</v>
      </c>
      <c r="K169" s="208">
        <f>Parameters!H171</f>
        <v>1</v>
      </c>
      <c r="L169" s="208">
        <f>Parameters!J171</f>
        <v>0.8040036015459946</v>
      </c>
      <c r="M169" s="208">
        <f>Parameters!K171</f>
        <v>1.1959963984540054</v>
      </c>
      <c r="N169" s="138" t="str">
        <f>Tp_CHG!$H$11</f>
        <v>[Franck Maunoury et al.2015]</v>
      </c>
      <c r="AF169" s="205"/>
    </row>
    <row r="170" spans="2:32" s="206" customFormat="1" ht="26" customHeight="1" x14ac:dyDescent="0.2">
      <c r="B170" s="205"/>
      <c r="J170" s="207" t="str">
        <f>Parameters!E172</f>
        <v>Transition Probability from state 2 to state 1 on day 16 (CHG)</v>
      </c>
      <c r="K170" s="208">
        <f>Parameters!H172</f>
        <v>1</v>
      </c>
      <c r="L170" s="208">
        <f>Parameters!J172</f>
        <v>0.8040036015459946</v>
      </c>
      <c r="M170" s="208">
        <f>Parameters!K172</f>
        <v>1.1959963984540054</v>
      </c>
      <c r="N170" s="138" t="str">
        <f>Tp_CHG!$H$11</f>
        <v>[Franck Maunoury et al.2015]</v>
      </c>
      <c r="AF170" s="205"/>
    </row>
    <row r="171" spans="2:32" s="206" customFormat="1" ht="26" customHeight="1" x14ac:dyDescent="0.2">
      <c r="B171" s="205"/>
      <c r="J171" s="207" t="str">
        <f>Parameters!E173</f>
        <v>Transition Probability from state 2 to state 1 on day 17 (CHG)</v>
      </c>
      <c r="K171" s="208">
        <f>Parameters!H173</f>
        <v>0.90909090909090906</v>
      </c>
      <c r="L171" s="208">
        <f>Parameters!J173</f>
        <v>0.73091236504181323</v>
      </c>
      <c r="M171" s="208">
        <f>Parameters!K173</f>
        <v>1.0872694531400049</v>
      </c>
      <c r="N171" s="138" t="str">
        <f>Tp_CHG!$H$11</f>
        <v>[Franck Maunoury et al.2015]</v>
      </c>
      <c r="AF171" s="205"/>
    </row>
    <row r="172" spans="2:32" s="206" customFormat="1" ht="26" customHeight="1" x14ac:dyDescent="0.2">
      <c r="B172" s="205"/>
      <c r="J172" s="207" t="str">
        <f>Parameters!E174</f>
        <v>Transition Probability from state 2 to state 2 on day 17 (CHG)</v>
      </c>
      <c r="K172" s="208">
        <f>Parameters!H174</f>
        <v>9.0909090909090912E-2</v>
      </c>
      <c r="L172" s="208">
        <f>Parameters!J174</f>
        <v>7.3091236504181326E-2</v>
      </c>
      <c r="M172" s="208">
        <f>Parameters!K174</f>
        <v>0.10872694531400048</v>
      </c>
      <c r="N172" s="138" t="str">
        <f>Tp_CHG!$H$11</f>
        <v>[Franck Maunoury et al.2015]</v>
      </c>
      <c r="AF172" s="205"/>
    </row>
    <row r="173" spans="2:32" s="206" customFormat="1" ht="26" customHeight="1" x14ac:dyDescent="0.2">
      <c r="B173" s="205"/>
      <c r="J173" s="207" t="str">
        <f>Parameters!E175</f>
        <v>Transition Probability from state 2 to state 1 on day 18 (CHG)</v>
      </c>
      <c r="K173" s="208">
        <f>Parameters!H175</f>
        <v>1</v>
      </c>
      <c r="L173" s="208">
        <f>Parameters!J175</f>
        <v>0.8040036015459946</v>
      </c>
      <c r="M173" s="208">
        <f>Parameters!K175</f>
        <v>1.1959963984540054</v>
      </c>
      <c r="N173" s="138" t="str">
        <f>Tp_CHG!$H$11</f>
        <v>[Franck Maunoury et al.2015]</v>
      </c>
      <c r="AF173" s="205"/>
    </row>
    <row r="174" spans="2:32" s="206" customFormat="1" ht="26" customHeight="1" x14ac:dyDescent="0.2">
      <c r="B174" s="205"/>
      <c r="J174" s="207" t="str">
        <f>Parameters!E176</f>
        <v>Transition Probability from state 2 to state 1 on day 19 (CHG)</v>
      </c>
      <c r="K174" s="208">
        <f>Parameters!H176</f>
        <v>1</v>
      </c>
      <c r="L174" s="208">
        <f>Parameters!J176</f>
        <v>0.8040036015459946</v>
      </c>
      <c r="M174" s="208">
        <f>Parameters!K176</f>
        <v>1.1959963984540054</v>
      </c>
      <c r="N174" s="138" t="str">
        <f>Tp_CHG!$H$11</f>
        <v>[Franck Maunoury et al.2015]</v>
      </c>
      <c r="AF174" s="205"/>
    </row>
    <row r="175" spans="2:32" s="206" customFormat="1" ht="26" customHeight="1" x14ac:dyDescent="0.2">
      <c r="B175" s="205"/>
      <c r="J175" s="207" t="str">
        <f>Parameters!E177</f>
        <v>Transition Probability from state 2 to state 1 on day 20 (CHG)</v>
      </c>
      <c r="K175" s="208">
        <f>Parameters!H177</f>
        <v>1</v>
      </c>
      <c r="L175" s="208">
        <f>Parameters!J177</f>
        <v>0.8040036015459946</v>
      </c>
      <c r="M175" s="208">
        <f>Parameters!K177</f>
        <v>1.1959963984540054</v>
      </c>
      <c r="N175" s="138" t="str">
        <f>Tp_CHG!$H$11</f>
        <v>[Franck Maunoury et al.2015]</v>
      </c>
      <c r="AF175" s="205"/>
    </row>
    <row r="176" spans="2:32" s="206" customFormat="1" ht="26" customHeight="1" x14ac:dyDescent="0.2">
      <c r="B176" s="205"/>
      <c r="J176" s="207" t="str">
        <f>Parameters!E178</f>
        <v>Transition Probability from state 2 to state 1 on day 21 (CHG)</v>
      </c>
      <c r="K176" s="208">
        <f>Parameters!H178</f>
        <v>1</v>
      </c>
      <c r="L176" s="208">
        <f>Parameters!J178</f>
        <v>0.8040036015459946</v>
      </c>
      <c r="M176" s="208">
        <f>Parameters!K178</f>
        <v>1.1959963984540054</v>
      </c>
      <c r="N176" s="138" t="str">
        <f>Tp_CHG!$H$11</f>
        <v>[Franck Maunoury et al.2015]</v>
      </c>
      <c r="AF176" s="205"/>
    </row>
    <row r="177" spans="2:32" s="206" customFormat="1" ht="26" customHeight="1" x14ac:dyDescent="0.2">
      <c r="B177" s="205"/>
      <c r="J177" s="207" t="str">
        <f>Parameters!E179</f>
        <v>Transition Probability from state 2 to state 1 on day 22 (CHG)</v>
      </c>
      <c r="K177" s="208">
        <f>Parameters!H179</f>
        <v>1</v>
      </c>
      <c r="L177" s="208">
        <f>Parameters!J179</f>
        <v>0.8040036015459946</v>
      </c>
      <c r="M177" s="208">
        <f>Parameters!K179</f>
        <v>1.1959963984540054</v>
      </c>
      <c r="N177" s="138" t="str">
        <f>Tp_CHG!$H$11</f>
        <v>[Franck Maunoury et al.2015]</v>
      </c>
      <c r="AF177" s="205"/>
    </row>
    <row r="178" spans="2:32" s="206" customFormat="1" ht="26" customHeight="1" x14ac:dyDescent="0.2">
      <c r="B178" s="205"/>
      <c r="J178" s="207" t="str">
        <f>Parameters!E180</f>
        <v>Transition Probability from state 2 to state 1 on day 23 (CHG)</v>
      </c>
      <c r="K178" s="208">
        <f>Parameters!H180</f>
        <v>1</v>
      </c>
      <c r="L178" s="208">
        <f>Parameters!J180</f>
        <v>0.8040036015459946</v>
      </c>
      <c r="M178" s="208">
        <f>Parameters!K180</f>
        <v>1.1959963984540054</v>
      </c>
      <c r="N178" s="138" t="str">
        <f>Tp_CHG!$H$11</f>
        <v>[Franck Maunoury et al.2015]</v>
      </c>
      <c r="AF178" s="205"/>
    </row>
    <row r="179" spans="2:32" s="206" customFormat="1" ht="26" customHeight="1" x14ac:dyDescent="0.2">
      <c r="B179" s="205"/>
      <c r="J179" s="207" t="str">
        <f>Parameters!E181</f>
        <v>Transition Probability from state 2 to state 1 on day 24 (CHG)</v>
      </c>
      <c r="K179" s="208">
        <f>Parameters!H181</f>
        <v>1</v>
      </c>
      <c r="L179" s="208">
        <f>Parameters!J181</f>
        <v>0.8040036015459946</v>
      </c>
      <c r="M179" s="208">
        <f>Parameters!K181</f>
        <v>1.1959963984540054</v>
      </c>
      <c r="N179" s="138" t="str">
        <f>Tp_CHG!$H$11</f>
        <v>[Franck Maunoury et al.2015]</v>
      </c>
      <c r="AF179" s="205"/>
    </row>
    <row r="180" spans="2:32" s="206" customFormat="1" ht="26" customHeight="1" x14ac:dyDescent="0.2">
      <c r="B180" s="205"/>
      <c r="J180" s="207" t="str">
        <f>Parameters!E182</f>
        <v>Transition Probability from state 2 to state 1 on day 25 (CHG)</v>
      </c>
      <c r="K180" s="208">
        <f>Parameters!H182</f>
        <v>0.5</v>
      </c>
      <c r="L180" s="208">
        <f>Parameters!J182</f>
        <v>0.4020018007729973</v>
      </c>
      <c r="M180" s="208">
        <f>Parameters!K182</f>
        <v>0.5979981992270027</v>
      </c>
      <c r="N180" s="138" t="str">
        <f>Tp_CHG!$H$11</f>
        <v>[Franck Maunoury et al.2015]</v>
      </c>
      <c r="AF180" s="205"/>
    </row>
    <row r="181" spans="2:32" s="206" customFormat="1" ht="26" customHeight="1" x14ac:dyDescent="0.2">
      <c r="B181" s="205"/>
      <c r="J181" s="207" t="str">
        <f>Parameters!E183</f>
        <v>Transition Probability from state 2 to state 2 on day 25 (CHG)</v>
      </c>
      <c r="K181" s="208">
        <f>Parameters!H183</f>
        <v>0.5</v>
      </c>
      <c r="L181" s="208">
        <f>Parameters!J183</f>
        <v>0.4020018007729973</v>
      </c>
      <c r="M181" s="208">
        <f>Parameters!K183</f>
        <v>0.5979981992270027</v>
      </c>
      <c r="N181" s="138" t="str">
        <f>Tp_CHG!$H$11</f>
        <v>[Franck Maunoury et al.2015]</v>
      </c>
      <c r="AF181" s="205"/>
    </row>
    <row r="182" spans="2:32" s="206" customFormat="1" ht="26" customHeight="1" x14ac:dyDescent="0.2">
      <c r="B182" s="205"/>
      <c r="J182" s="207" t="str">
        <f>Parameters!E184</f>
        <v>Transition Probability from state 2 to state 1 on day 26 (CHG)</v>
      </c>
      <c r="K182" s="208">
        <f>Parameters!H184</f>
        <v>1</v>
      </c>
      <c r="L182" s="208">
        <f>Parameters!J184</f>
        <v>0.8040036015459946</v>
      </c>
      <c r="M182" s="208">
        <f>Parameters!K184</f>
        <v>1.1959963984540054</v>
      </c>
      <c r="N182" s="138" t="str">
        <f>Tp_CHG!$H$11</f>
        <v>[Franck Maunoury et al.2015]</v>
      </c>
      <c r="AF182" s="205"/>
    </row>
    <row r="183" spans="2:32" s="206" customFormat="1" ht="26" customHeight="1" x14ac:dyDescent="0.2">
      <c r="B183" s="205"/>
      <c r="J183" s="207" t="str">
        <f>Parameters!E185</f>
        <v>Transition Probability from state 2 to state 1 on day 27 (CHG)</v>
      </c>
      <c r="K183" s="208">
        <f>Parameters!H185</f>
        <v>0.5</v>
      </c>
      <c r="L183" s="208">
        <f>Parameters!J185</f>
        <v>0.4020018007729973</v>
      </c>
      <c r="M183" s="208">
        <f>Parameters!K185</f>
        <v>0.5979981992270027</v>
      </c>
      <c r="N183" s="138" t="str">
        <f>Tp_CHG!$H$11</f>
        <v>[Franck Maunoury et al.2015]</v>
      </c>
      <c r="AF183" s="205"/>
    </row>
    <row r="184" spans="2:32" s="206" customFormat="1" ht="26" customHeight="1" x14ac:dyDescent="0.2">
      <c r="B184" s="205"/>
      <c r="J184" s="207" t="str">
        <f>Parameters!E186</f>
        <v>Transition Probability from state 2 to state 2 on day 27 (CHG)</v>
      </c>
      <c r="K184" s="208">
        <f>Parameters!H186</f>
        <v>0.5</v>
      </c>
      <c r="L184" s="208">
        <f>Parameters!J186</f>
        <v>0.4020018007729973</v>
      </c>
      <c r="M184" s="208">
        <f>Parameters!K186</f>
        <v>0.5979981992270027</v>
      </c>
      <c r="N184" s="138" t="str">
        <f>Tp_CHG!$H$11</f>
        <v>[Franck Maunoury et al.2015]</v>
      </c>
      <c r="AF184" s="205"/>
    </row>
    <row r="185" spans="2:32" s="206" customFormat="1" ht="26" customHeight="1" x14ac:dyDescent="0.2">
      <c r="B185" s="205"/>
      <c r="J185" s="207" t="str">
        <f>Parameters!E187</f>
        <v>Transition Probability from state 2 to state 1 on day 28 (CHG)</v>
      </c>
      <c r="K185" s="208">
        <f>Parameters!H187</f>
        <v>0.7142857142857143</v>
      </c>
      <c r="L185" s="208">
        <f>Parameters!J187</f>
        <v>0.57428828681856758</v>
      </c>
      <c r="M185" s="208">
        <f>Parameters!K187</f>
        <v>0.85428314175286102</v>
      </c>
      <c r="N185" s="138" t="str">
        <f>Tp_CHG!$H$11</f>
        <v>[Franck Maunoury et al.2015]</v>
      </c>
      <c r="AF185" s="205"/>
    </row>
    <row r="186" spans="2:32" s="206" customFormat="1" ht="26" customHeight="1" x14ac:dyDescent="0.2">
      <c r="B186" s="205"/>
      <c r="J186" s="207" t="str">
        <f>Parameters!E188</f>
        <v>Transition Probability from state 2 to state 5 on day 28 (CHG)</v>
      </c>
      <c r="K186" s="208">
        <f>Parameters!H188</f>
        <v>0.14285714285714285</v>
      </c>
      <c r="L186" s="208">
        <f>Parameters!J188</f>
        <v>0.11485765736371351</v>
      </c>
      <c r="M186" s="208">
        <f>Parameters!K188</f>
        <v>0.17085662835057219</v>
      </c>
      <c r="N186" s="138" t="str">
        <f>Tp_CHG!$H$11</f>
        <v>[Franck Maunoury et al.2015]</v>
      </c>
      <c r="AF186" s="205"/>
    </row>
    <row r="187" spans="2:32" s="206" customFormat="1" ht="26" customHeight="1" x14ac:dyDescent="0.2">
      <c r="B187" s="205"/>
      <c r="J187" s="207" t="str">
        <f>Parameters!E189</f>
        <v>Transition Probability from state 2 to state 7 on day 28 (CHG)</v>
      </c>
      <c r="K187" s="208">
        <f>Parameters!H189</f>
        <v>0.14285714285714285</v>
      </c>
      <c r="L187" s="208">
        <f>Parameters!J189</f>
        <v>0.11485765736371351</v>
      </c>
      <c r="M187" s="208">
        <f>Parameters!K189</f>
        <v>0.17085662835057219</v>
      </c>
      <c r="N187" s="138" t="str">
        <f>Tp_CHG!$H$11</f>
        <v>[Franck Maunoury et al.2015]</v>
      </c>
      <c r="AF187" s="205"/>
    </row>
    <row r="188" spans="2:32" s="206" customFormat="1" ht="26" customHeight="1" x14ac:dyDescent="0.2">
      <c r="B188" s="205"/>
      <c r="J188" s="207" t="str">
        <f>Parameters!E190</f>
        <v>Transition Probability from state 2 to state 1 on day 29 (CHG)</v>
      </c>
      <c r="K188" s="208">
        <f>Parameters!H190</f>
        <v>1</v>
      </c>
      <c r="L188" s="208">
        <f>Parameters!J190</f>
        <v>0.8040036015459946</v>
      </c>
      <c r="M188" s="208">
        <f>Parameters!K190</f>
        <v>1.1959963984540054</v>
      </c>
      <c r="N188" s="138" t="str">
        <f>Tp_CHG!$H$11</f>
        <v>[Franck Maunoury et al.2015]</v>
      </c>
      <c r="AF188" s="205"/>
    </row>
    <row r="189" spans="2:32" s="206" customFormat="1" ht="26" customHeight="1" x14ac:dyDescent="0.2">
      <c r="B189" s="205"/>
      <c r="J189" s="207" t="str">
        <f>Parameters!E191</f>
        <v>Transition Probability from state 2 to state 1 on day 30 (CHG)</v>
      </c>
      <c r="K189" s="208">
        <f>Parameters!H191</f>
        <v>1</v>
      </c>
      <c r="L189" s="208">
        <f>Parameters!J191</f>
        <v>0.8040036015459946</v>
      </c>
      <c r="M189" s="208">
        <f>Parameters!K191</f>
        <v>1.1959963984540054</v>
      </c>
      <c r="N189" s="138" t="str">
        <f>Tp_CHG!$H$11</f>
        <v>[Franck Maunoury et al.2015]</v>
      </c>
      <c r="AF189" s="205"/>
    </row>
    <row r="190" spans="2:32" s="206" customFormat="1" ht="26" customHeight="1" x14ac:dyDescent="0.2">
      <c r="B190" s="205"/>
      <c r="J190" s="207" t="str">
        <f>Parameters!E230</f>
        <v>Transition Probability from state 4 to state 2 on day 8 (CHG)</v>
      </c>
      <c r="K190" s="208">
        <f>Parameters!H230</f>
        <v>1</v>
      </c>
      <c r="L190" s="208">
        <f>Parameters!J230</f>
        <v>0.8040036015459946</v>
      </c>
      <c r="M190" s="208">
        <f>Parameters!K230</f>
        <v>1.1959963984540054</v>
      </c>
      <c r="N190" s="138" t="str">
        <f>Tp_CHG!$H$11</f>
        <v>[Franck Maunoury et al.2015]</v>
      </c>
      <c r="AF190" s="205"/>
    </row>
    <row r="191" spans="2:32" s="206" customFormat="1" ht="26" customHeight="1" x14ac:dyDescent="0.2">
      <c r="B191" s="205"/>
      <c r="J191" s="207" t="str">
        <f>Parameters!E231</f>
        <v>Transition Probability from state 4 to state 1 on day 9 (CHG)</v>
      </c>
      <c r="K191" s="208">
        <f>Parameters!H231</f>
        <v>1</v>
      </c>
      <c r="L191" s="208">
        <f>Parameters!J231</f>
        <v>0.8040036015459946</v>
      </c>
      <c r="M191" s="208">
        <f>Parameters!K231</f>
        <v>1.1959963984540054</v>
      </c>
      <c r="N191" s="138" t="str">
        <f>Tp_CHG!$H$11</f>
        <v>[Franck Maunoury et al.2015]</v>
      </c>
      <c r="AF191" s="205"/>
    </row>
    <row r="192" spans="2:32" s="206" customFormat="1" ht="26" customHeight="1" x14ac:dyDescent="0.2">
      <c r="B192" s="205"/>
      <c r="J192" s="207" t="str">
        <f>Parameters!E238</f>
        <v>Transition Probability from state 4 to state 1 on day 16 (CHG)</v>
      </c>
      <c r="K192" s="208">
        <f>Parameters!H238</f>
        <v>1</v>
      </c>
      <c r="L192" s="208">
        <f>Parameters!J238</f>
        <v>0.8040036015459946</v>
      </c>
      <c r="M192" s="208">
        <f>Parameters!K238</f>
        <v>1.1959963984540054</v>
      </c>
      <c r="N192" s="138" t="str">
        <f>Tp_CHG!$H$11</f>
        <v>[Franck Maunoury et al.2015]</v>
      </c>
      <c r="AF192" s="205"/>
    </row>
    <row r="193" spans="2:32" s="206" customFormat="1" ht="26" customHeight="1" x14ac:dyDescent="0.2">
      <c r="B193" s="205"/>
      <c r="J193" s="207" t="str">
        <f>Parameters!E259</f>
        <v>Transition Probability from state 6 to state 1 on day 7 (CHG)</v>
      </c>
      <c r="K193" s="208">
        <f>Parameters!H259</f>
        <v>1</v>
      </c>
      <c r="L193" s="208">
        <f>Parameters!J259</f>
        <v>0.8040036015459946</v>
      </c>
      <c r="M193" s="208">
        <f>Parameters!K259</f>
        <v>1.1959963984540054</v>
      </c>
      <c r="N193" s="138" t="str">
        <f>Tp_CHG!$H$11</f>
        <v>[Franck Maunoury et al.2015]</v>
      </c>
      <c r="AF193" s="205"/>
    </row>
    <row r="194" spans="2:32" s="206" customFormat="1" ht="26" customHeight="1" x14ac:dyDescent="0.2">
      <c r="B194" s="205"/>
      <c r="J194" s="207" t="str">
        <f>Parameters!E260</f>
        <v>Transition Probability from state 6 to state 1 on day 8 (CHG)</v>
      </c>
      <c r="K194" s="208">
        <f>Parameters!H260</f>
        <v>1</v>
      </c>
      <c r="L194" s="208">
        <f>Parameters!J260</f>
        <v>0.8040036015459946</v>
      </c>
      <c r="M194" s="208">
        <f>Parameters!K260</f>
        <v>1.1959963984540054</v>
      </c>
      <c r="N194" s="138" t="str">
        <f>Tp_CHG!$H$11</f>
        <v>[Franck Maunoury et al.2015]</v>
      </c>
      <c r="AF194" s="205"/>
    </row>
    <row r="195" spans="2:32" s="206" customFormat="1" ht="26" customHeight="1" x14ac:dyDescent="0.2">
      <c r="B195" s="205"/>
      <c r="J195" s="207" t="str">
        <f>Parameters!E262</f>
        <v>Transition Probability from state 6 to state 1 on day 10 (CHG)</v>
      </c>
      <c r="K195" s="208">
        <f>Parameters!H262</f>
        <v>0.5</v>
      </c>
      <c r="L195" s="208">
        <f>Parameters!J262</f>
        <v>0.4020018007729973</v>
      </c>
      <c r="M195" s="208">
        <f>Parameters!K262</f>
        <v>0.5979981992270027</v>
      </c>
      <c r="N195" s="138" t="str">
        <f>Tp_CHG!$H$11</f>
        <v>[Franck Maunoury et al.2015]</v>
      </c>
      <c r="AF195" s="205"/>
    </row>
    <row r="196" spans="2:32" s="206" customFormat="1" ht="26" customHeight="1" x14ac:dyDescent="0.2">
      <c r="B196" s="205"/>
      <c r="J196" s="207" t="str">
        <f>Parameters!E263</f>
        <v>Transition Probability from state 6 to state 5 on day 10 (CHG)</v>
      </c>
      <c r="K196" s="208">
        <f>Parameters!H263</f>
        <v>0.5</v>
      </c>
      <c r="L196" s="208">
        <f>Parameters!J263</f>
        <v>0.4020018007729973</v>
      </c>
      <c r="M196" s="208">
        <f>Parameters!K263</f>
        <v>0.5979981992270027</v>
      </c>
      <c r="N196" s="138" t="str">
        <f>Tp_CHG!$H$11</f>
        <v>[Franck Maunoury et al.2015]</v>
      </c>
      <c r="AF196" s="205"/>
    </row>
    <row r="197" spans="2:32" s="206" customFormat="1" ht="26" customHeight="1" x14ac:dyDescent="0.2">
      <c r="B197" s="205"/>
      <c r="J197" s="207" t="str">
        <f>Parameters!E264</f>
        <v>Transition Probability from state 6 to state 1 on day 11 (CHG)</v>
      </c>
      <c r="K197" s="208">
        <f>Parameters!H264</f>
        <v>0.5</v>
      </c>
      <c r="L197" s="208">
        <f>Parameters!J264</f>
        <v>0.4020018007729973</v>
      </c>
      <c r="M197" s="208">
        <f>Parameters!K264</f>
        <v>0.5979981992270027</v>
      </c>
      <c r="N197" s="138" t="str">
        <f>Tp_CHG!$H$11</f>
        <v>[Franck Maunoury et al.2015]</v>
      </c>
      <c r="AF197" s="205"/>
    </row>
    <row r="198" spans="2:32" s="206" customFormat="1" ht="26" customHeight="1" x14ac:dyDescent="0.2">
      <c r="B198" s="205"/>
      <c r="J198" s="207" t="str">
        <f>Parameters!E265</f>
        <v>Transition Probability from state 6 to state 5 on day 11 (CHG)</v>
      </c>
      <c r="K198" s="208">
        <f>Parameters!H265</f>
        <v>0.5</v>
      </c>
      <c r="L198" s="208">
        <f>Parameters!J265</f>
        <v>0.4020018007729973</v>
      </c>
      <c r="M198" s="208">
        <f>Parameters!K265</f>
        <v>0.5979981992270027</v>
      </c>
      <c r="N198" s="138" t="str">
        <f>Tp_CHG!$H$11</f>
        <v>[Franck Maunoury et al.2015]</v>
      </c>
      <c r="AF198" s="205"/>
    </row>
    <row r="199" spans="2:32" s="206" customFormat="1" ht="26" customHeight="1" x14ac:dyDescent="0.2">
      <c r="B199" s="205"/>
      <c r="J199" s="207" t="str">
        <f>Parameters!E266</f>
        <v>Transition Probability from state 6 to state 1 on day 12 (CHG)</v>
      </c>
      <c r="K199" s="208">
        <f>Parameters!H266</f>
        <v>0.33333333333333331</v>
      </c>
      <c r="L199" s="208">
        <f>Parameters!J266</f>
        <v>0.26800120051533149</v>
      </c>
      <c r="M199" s="208">
        <f>Parameters!K266</f>
        <v>0.39866546615133513</v>
      </c>
      <c r="N199" s="138" t="str">
        <f>Tp_CHG!$H$11</f>
        <v>[Franck Maunoury et al.2015]</v>
      </c>
      <c r="AF199" s="205"/>
    </row>
    <row r="200" spans="2:32" s="206" customFormat="1" ht="26" customHeight="1" x14ac:dyDescent="0.2">
      <c r="B200" s="205"/>
      <c r="J200" s="207" t="str">
        <f>Parameters!E267</f>
        <v>Transition Probability from state 6 to state 2 on day 12 (CHG)</v>
      </c>
      <c r="K200" s="208">
        <f>Parameters!H267</f>
        <v>0.33333333333333331</v>
      </c>
      <c r="L200" s="208">
        <f>Parameters!J267</f>
        <v>0.26800120051533149</v>
      </c>
      <c r="M200" s="208">
        <f>Parameters!K267</f>
        <v>0.39866546615133513</v>
      </c>
      <c r="N200" s="138" t="str">
        <f>Tp_CHG!$H$11</f>
        <v>[Franck Maunoury et al.2015]</v>
      </c>
      <c r="AF200" s="205"/>
    </row>
    <row r="201" spans="2:32" s="206" customFormat="1" ht="26" customHeight="1" x14ac:dyDescent="0.2">
      <c r="B201" s="205"/>
      <c r="J201" s="207" t="str">
        <f>Parameters!E268</f>
        <v>Transition Probability from state 6 to state 5 on day 12 (CHG)</v>
      </c>
      <c r="K201" s="208">
        <f>Parameters!H268</f>
        <v>0.33333333333333331</v>
      </c>
      <c r="L201" s="208">
        <f>Parameters!J268</f>
        <v>0.26800120051533149</v>
      </c>
      <c r="M201" s="208">
        <f>Parameters!K268</f>
        <v>0.39866546615133513</v>
      </c>
      <c r="N201" s="138" t="str">
        <f>Tp_CHG!$H$11</f>
        <v>[Franck Maunoury et al.2015]</v>
      </c>
      <c r="AF201" s="205"/>
    </row>
    <row r="202" spans="2:32" s="206" customFormat="1" ht="26" customHeight="1" x14ac:dyDescent="0.2">
      <c r="B202" s="205"/>
      <c r="J202" s="207" t="str">
        <f>Parameters!E269</f>
        <v>Transition Probability from state 6 to state 1 on day 13 (CHG)</v>
      </c>
      <c r="K202" s="208">
        <f>Parameters!H269</f>
        <v>0.25</v>
      </c>
      <c r="L202" s="208">
        <f>Parameters!J269</f>
        <v>0.20100090038649865</v>
      </c>
      <c r="M202" s="208">
        <f>Parameters!K269</f>
        <v>0.29899909961350135</v>
      </c>
      <c r="N202" s="138" t="str">
        <f>Tp_CHG!$H$11</f>
        <v>[Franck Maunoury et al.2015]</v>
      </c>
      <c r="AF202" s="205"/>
    </row>
    <row r="203" spans="2:32" s="206" customFormat="1" ht="26" customHeight="1" x14ac:dyDescent="0.2">
      <c r="B203" s="205"/>
      <c r="J203" s="207" t="str">
        <f>Parameters!E270</f>
        <v>Transition Probability from state 6 to state 5 on day 13 (CHG)</v>
      </c>
      <c r="K203" s="208">
        <f>Parameters!H270</f>
        <v>0.75</v>
      </c>
      <c r="L203" s="208">
        <f>Parameters!J270</f>
        <v>0.60300270115949595</v>
      </c>
      <c r="M203" s="208">
        <f>Parameters!K270</f>
        <v>0.89699729884050405</v>
      </c>
      <c r="N203" s="138" t="str">
        <f>Tp_CHG!$H$11</f>
        <v>[Franck Maunoury et al.2015]</v>
      </c>
      <c r="AF203" s="205"/>
    </row>
    <row r="204" spans="2:32" s="206" customFormat="1" ht="26" customHeight="1" x14ac:dyDescent="0.2">
      <c r="B204" s="205"/>
      <c r="J204" s="207" t="str">
        <f>Parameters!E271</f>
        <v>Transition Probability from state 6 to state 1 on day 14 (CHG)</v>
      </c>
      <c r="K204" s="208">
        <f>Parameters!H271</f>
        <v>1</v>
      </c>
      <c r="L204" s="208">
        <f>Parameters!J271</f>
        <v>0.8040036015459946</v>
      </c>
      <c r="M204" s="208">
        <f>Parameters!K271</f>
        <v>1.1959963984540054</v>
      </c>
      <c r="N204" s="138" t="str">
        <f>Tp_CHG!$H$11</f>
        <v>[Franck Maunoury et al.2015]</v>
      </c>
      <c r="AF204" s="205"/>
    </row>
    <row r="205" spans="2:32" s="206" customFormat="1" ht="26" customHeight="1" x14ac:dyDescent="0.2">
      <c r="B205" s="205"/>
      <c r="J205" s="207" t="str">
        <f>Parameters!E272</f>
        <v>Transition Probability from state 6 to state 1 on day 15 (CHG)</v>
      </c>
      <c r="K205" s="208">
        <f>Parameters!H272</f>
        <v>0.66666666666666663</v>
      </c>
      <c r="L205" s="208">
        <f>Parameters!J272</f>
        <v>0.53600240103066299</v>
      </c>
      <c r="M205" s="208">
        <f>Parameters!K272</f>
        <v>0.79733093230267027</v>
      </c>
      <c r="N205" s="138" t="str">
        <f>Tp_CHG!$H$11</f>
        <v>[Franck Maunoury et al.2015]</v>
      </c>
      <c r="AF205" s="205"/>
    </row>
    <row r="206" spans="2:32" s="206" customFormat="1" ht="26" customHeight="1" x14ac:dyDescent="0.2">
      <c r="B206" s="205"/>
      <c r="J206" s="207" t="str">
        <f>Parameters!E273</f>
        <v>Transition Probability from state 6 to state 5 on day 15 (CHG)</v>
      </c>
      <c r="K206" s="208">
        <f>Parameters!H273</f>
        <v>0.33333333333333331</v>
      </c>
      <c r="L206" s="208">
        <f>Parameters!J273</f>
        <v>0.26800120051533149</v>
      </c>
      <c r="M206" s="208">
        <f>Parameters!K273</f>
        <v>0.39866546615133513</v>
      </c>
      <c r="N206" s="138" t="str">
        <f>Tp_CHG!$H$11</f>
        <v>[Franck Maunoury et al.2015]</v>
      </c>
      <c r="AF206" s="205"/>
    </row>
    <row r="207" spans="2:32" s="206" customFormat="1" ht="26" customHeight="1" x14ac:dyDescent="0.2">
      <c r="B207" s="205"/>
      <c r="J207" s="207" t="str">
        <f>Parameters!E274</f>
        <v>Transition Probability from state 6 to state 1 on day 16 (CHG)</v>
      </c>
      <c r="K207" s="208">
        <f>Parameters!H274</f>
        <v>1</v>
      </c>
      <c r="L207" s="208">
        <f>Parameters!J274</f>
        <v>0.8040036015459946</v>
      </c>
      <c r="M207" s="208">
        <f>Parameters!K274</f>
        <v>1.1959963984540054</v>
      </c>
      <c r="N207" s="138" t="str">
        <f>Tp_CHG!$H$11</f>
        <v>[Franck Maunoury et al.2015]</v>
      </c>
      <c r="AF207" s="205"/>
    </row>
    <row r="208" spans="2:32" s="206" customFormat="1" ht="26" customHeight="1" x14ac:dyDescent="0.2">
      <c r="B208" s="205"/>
      <c r="J208" s="207" t="str">
        <f>Parameters!E276</f>
        <v>Transition Probability from state 6 to state 2 on day 17 (CHG)</v>
      </c>
      <c r="K208" s="208">
        <f>Parameters!H276</f>
        <v>1</v>
      </c>
      <c r="L208" s="208">
        <f>Parameters!J276</f>
        <v>0.8040036015459946</v>
      </c>
      <c r="M208" s="208">
        <f>Parameters!K276</f>
        <v>1.1959963984540054</v>
      </c>
      <c r="N208" s="138" t="str">
        <f>Tp_CHG!$H$11</f>
        <v>[Franck Maunoury et al.2015]</v>
      </c>
      <c r="AF208" s="205"/>
    </row>
    <row r="209" spans="2:32" s="206" customFormat="1" ht="26" customHeight="1" x14ac:dyDescent="0.2">
      <c r="B209" s="205"/>
      <c r="J209" s="207" t="str">
        <f>Parameters!E280</f>
        <v>Transition Probability from state 6 to state 1 on day 21 (CHG)</v>
      </c>
      <c r="K209" s="208">
        <f>Parameters!H280</f>
        <v>1</v>
      </c>
      <c r="L209" s="208">
        <f>Parameters!J280</f>
        <v>0.8040036015459946</v>
      </c>
      <c r="M209" s="208">
        <f>Parameters!K280</f>
        <v>1.1959963984540054</v>
      </c>
      <c r="N209" s="138" t="str">
        <f>Tp_CHG!$H$11</f>
        <v>[Franck Maunoury et al.2015]</v>
      </c>
      <c r="AF209" s="205"/>
    </row>
    <row r="210" spans="2:32" s="206" customFormat="1" ht="26" customHeight="1" x14ac:dyDescent="0.2">
      <c r="B210" s="205"/>
      <c r="J210" s="207" t="str">
        <f>Parameters!E283</f>
        <v>Transition Probability from state 6 to state 2 on day 23 (CHG)</v>
      </c>
      <c r="K210" s="208">
        <f>Parameters!H283</f>
        <v>1</v>
      </c>
      <c r="L210" s="208">
        <f>Parameters!J283</f>
        <v>0.8040036015459946</v>
      </c>
      <c r="M210" s="208">
        <f>Parameters!K283</f>
        <v>1.1959963984540054</v>
      </c>
      <c r="N210" s="138" t="str">
        <f>Tp_CHG!$H$11</f>
        <v>[Franck Maunoury et al.2015]</v>
      </c>
      <c r="AF210" s="205"/>
    </row>
    <row r="211" spans="2:32" s="206" customFormat="1" ht="26" customHeight="1" x14ac:dyDescent="0.2">
      <c r="B211" s="205"/>
      <c r="J211" s="207" t="str">
        <f>Parameters!E286</f>
        <v>Transition Probability from state 6 to state 5 on day 25 (CHG)</v>
      </c>
      <c r="K211" s="208">
        <f>Parameters!H286</f>
        <v>1</v>
      </c>
      <c r="L211" s="208">
        <f>Parameters!J286</f>
        <v>0.8040036015459946</v>
      </c>
      <c r="M211" s="208">
        <f>Parameters!K286</f>
        <v>1.1959963984540054</v>
      </c>
      <c r="N211" s="138" t="str">
        <f>Tp_CHG!$H$11</f>
        <v>[Franck Maunoury et al.2015]</v>
      </c>
      <c r="AF211" s="205"/>
    </row>
    <row r="212" spans="2:32" s="206" customFormat="1" ht="26" customHeight="1" x14ac:dyDescent="0.2">
      <c r="B212" s="205"/>
      <c r="J212" s="207" t="str">
        <f>Parameters!E289</f>
        <v>Transition Probability from state 6 to state 2 on day 27 (CHG)</v>
      </c>
      <c r="K212" s="208">
        <f>Parameters!H289</f>
        <v>1</v>
      </c>
      <c r="L212" s="208">
        <f>Parameters!J289</f>
        <v>0.8040036015459946</v>
      </c>
      <c r="M212" s="208">
        <f>Parameters!K289</f>
        <v>1.1959963984540054</v>
      </c>
      <c r="N212" s="138" t="str">
        <f>Tp_CHG!$H$11</f>
        <v>[Franck Maunoury et al.2015]</v>
      </c>
      <c r="AF212" s="205"/>
    </row>
    <row r="213" spans="2:32" s="206" customFormat="1" ht="26" customHeight="1" x14ac:dyDescent="0.2">
      <c r="B213" s="205"/>
      <c r="J213" s="207" t="str">
        <f>Parameters!E290</f>
        <v>Transition Probability from state 6 to state 1 on day 28 (CHG)</v>
      </c>
      <c r="K213" s="208">
        <f>Parameters!H290</f>
        <v>1</v>
      </c>
      <c r="L213" s="208">
        <f>Parameters!J290</f>
        <v>0.8040036015459946</v>
      </c>
      <c r="M213" s="208">
        <f>Parameters!K290</f>
        <v>1.1959963984540054</v>
      </c>
      <c r="N213" s="138" t="str">
        <f>Tp_CHG!$H$11</f>
        <v>[Franck Maunoury et al.2015]</v>
      </c>
      <c r="AF213" s="205"/>
    </row>
    <row r="214" spans="2:32" s="206" customFormat="1" ht="26" customHeight="1" x14ac:dyDescent="0.2">
      <c r="B214" s="205"/>
      <c r="J214" s="207" t="str">
        <f>Parameters!E292</f>
        <v>Transition Probability from state 6 to state 1 on day 30 (CHG)</v>
      </c>
      <c r="K214" s="208">
        <f>Parameters!H292</f>
        <v>1</v>
      </c>
      <c r="L214" s="208">
        <f>Parameters!J292</f>
        <v>0.8040036015459946</v>
      </c>
      <c r="M214" s="208">
        <f>Parameters!K292</f>
        <v>1.1959963984540054</v>
      </c>
      <c r="N214" s="138" t="str">
        <f>Tp_CHG!$H$11</f>
        <v>[Franck Maunoury et al.2015]</v>
      </c>
      <c r="AF214" s="205"/>
    </row>
    <row r="215" spans="2:32" s="206" customFormat="1" ht="26" customHeight="1" x14ac:dyDescent="0.2">
      <c r="B215" s="205"/>
      <c r="J215" s="209" t="str">
        <f>Parameters!E828</f>
        <v>Transition Probability from state 5 to state 6 on day 6 (CHG)</v>
      </c>
      <c r="K215" s="208">
        <f>Parameters!H828</f>
        <v>1</v>
      </c>
      <c r="L215" s="208">
        <f>Parameters!J828</f>
        <v>0.8040036015459946</v>
      </c>
      <c r="M215" s="208">
        <f>Parameters!K828</f>
        <v>1.1959963984540054</v>
      </c>
      <c r="N215" s="138" t="str">
        <f>Tp_CHG!$H$11</f>
        <v>[Franck Maunoury et al.2015]</v>
      </c>
      <c r="AF215" s="205"/>
    </row>
    <row r="216" spans="2:32" s="206" customFormat="1" ht="26" customHeight="1" x14ac:dyDescent="0.2">
      <c r="B216" s="205"/>
      <c r="J216" s="209" t="str">
        <f>Parameters!E829</f>
        <v>Transition Probability from state 5 to state 6 on day 7 (CHG)</v>
      </c>
      <c r="K216" s="208">
        <f>Parameters!H829</f>
        <v>1</v>
      </c>
      <c r="L216" s="208">
        <f>Parameters!J829</f>
        <v>0.8040036015459946</v>
      </c>
      <c r="M216" s="208">
        <f>Parameters!K829</f>
        <v>1.1959963984540054</v>
      </c>
      <c r="N216" s="138" t="str">
        <f>Tp_CHG!$H$11</f>
        <v>[Franck Maunoury et al.2015]</v>
      </c>
      <c r="AF216" s="205"/>
    </row>
    <row r="217" spans="2:32" s="206" customFormat="1" ht="26" customHeight="1" x14ac:dyDescent="0.2">
      <c r="B217" s="205"/>
      <c r="J217" s="207" t="str">
        <f>Parameters!E831</f>
        <v>Transition Probability from state 5 to state 6 on day 9 (CHG)</v>
      </c>
      <c r="K217" s="208">
        <f>Parameters!H831</f>
        <v>1</v>
      </c>
      <c r="L217" s="208">
        <f>Parameters!J831</f>
        <v>0.8040036015459946</v>
      </c>
      <c r="M217" s="208">
        <f>Parameters!K831</f>
        <v>1.1959963984540054</v>
      </c>
      <c r="N217" s="138" t="str">
        <f>Tp_CHG!$H$11</f>
        <v>[Franck Maunoury et al.2015]</v>
      </c>
      <c r="AF217" s="205"/>
    </row>
    <row r="218" spans="2:32" s="206" customFormat="1" ht="26" customHeight="1" x14ac:dyDescent="0.2">
      <c r="B218" s="205"/>
      <c r="J218" s="207" t="str">
        <f>Parameters!E832</f>
        <v>Transition Probability from state 5 to state 6 on day 10 (CHG)</v>
      </c>
      <c r="K218" s="208">
        <f>Parameters!H832</f>
        <v>1</v>
      </c>
      <c r="L218" s="208">
        <f>Parameters!J832</f>
        <v>0.8040036015459946</v>
      </c>
      <c r="M218" s="208">
        <f>Parameters!K832</f>
        <v>1.1959963984540054</v>
      </c>
      <c r="N218" s="138" t="str">
        <f>Tp_CHG!$H$11</f>
        <v>[Franck Maunoury et al.2015]</v>
      </c>
      <c r="AF218" s="205"/>
    </row>
    <row r="219" spans="2:32" s="206" customFormat="1" ht="26" customHeight="1" x14ac:dyDescent="0.2">
      <c r="B219" s="205"/>
      <c r="J219" s="207" t="str">
        <f>Parameters!E833</f>
        <v>Transition Probability from state 5 to state 6 on day 11 (CHG)</v>
      </c>
      <c r="K219" s="208">
        <f>Parameters!H833</f>
        <v>1</v>
      </c>
      <c r="L219" s="208">
        <f>Parameters!J833</f>
        <v>0.8040036015459946</v>
      </c>
      <c r="M219" s="208">
        <f>Parameters!K833</f>
        <v>1.1959963984540054</v>
      </c>
      <c r="N219" s="138" t="str">
        <f>Tp_CHG!$H$11</f>
        <v>[Franck Maunoury et al.2015]</v>
      </c>
      <c r="AF219" s="205"/>
    </row>
    <row r="220" spans="2:32" s="206" customFormat="1" ht="26" customHeight="1" x14ac:dyDescent="0.2">
      <c r="B220" s="205"/>
      <c r="J220" s="207" t="str">
        <f>Parameters!E834</f>
        <v>Transition Probability from state 5 to state 6 on day 12 (CHG)</v>
      </c>
      <c r="K220" s="208">
        <f>Parameters!H834</f>
        <v>1</v>
      </c>
      <c r="L220" s="208">
        <f>Parameters!J834</f>
        <v>0.8040036015459946</v>
      </c>
      <c r="M220" s="208">
        <f>Parameters!K834</f>
        <v>1.1959963984540054</v>
      </c>
      <c r="N220" s="138" t="str">
        <f>Tp_CHG!$H$11</f>
        <v>[Franck Maunoury et al.2015]</v>
      </c>
      <c r="AF220" s="205"/>
    </row>
    <row r="221" spans="2:32" s="206" customFormat="1" ht="26" customHeight="1" x14ac:dyDescent="0.2">
      <c r="B221" s="205"/>
      <c r="J221" s="207" t="str">
        <f>Parameters!E835</f>
        <v>Transition Probability from state 5 to state 6 on day 13 (CHG)</v>
      </c>
      <c r="K221" s="208">
        <f>Parameters!H835</f>
        <v>1</v>
      </c>
      <c r="L221" s="208">
        <f>Parameters!J835</f>
        <v>0.8040036015459946</v>
      </c>
      <c r="M221" s="208">
        <f>Parameters!K835</f>
        <v>1.1959963984540054</v>
      </c>
      <c r="N221" s="138" t="str">
        <f>Tp_CHG!$H$11</f>
        <v>[Franck Maunoury et al.2015]</v>
      </c>
      <c r="AF221" s="205"/>
    </row>
    <row r="222" spans="2:32" s="206" customFormat="1" ht="26" customHeight="1" x14ac:dyDescent="0.2">
      <c r="B222" s="205"/>
      <c r="J222" s="207" t="str">
        <f>Parameters!E836</f>
        <v>Transition Probability from state 5 to state 6 on day 14 (CHG)</v>
      </c>
      <c r="K222" s="208">
        <f>Parameters!H836</f>
        <v>1</v>
      </c>
      <c r="L222" s="208">
        <f>Parameters!J836</f>
        <v>0.8040036015459946</v>
      </c>
      <c r="M222" s="208">
        <f>Parameters!K836</f>
        <v>1.1959963984540054</v>
      </c>
      <c r="N222" s="138" t="str">
        <f>Tp_CHG!$H$11</f>
        <v>[Franck Maunoury et al.2015]</v>
      </c>
      <c r="AF222" s="205"/>
    </row>
    <row r="223" spans="2:32" s="206" customFormat="1" ht="26" customHeight="1" x14ac:dyDescent="0.2">
      <c r="B223" s="205"/>
      <c r="J223" s="207" t="str">
        <f>Parameters!E837</f>
        <v>Transition Probability from state 5 to state 6 on day 15 (CHG)</v>
      </c>
      <c r="K223" s="208">
        <f>Parameters!H837</f>
        <v>1</v>
      </c>
      <c r="L223" s="208">
        <f>Parameters!J837</f>
        <v>0.8040036015459946</v>
      </c>
      <c r="M223" s="208">
        <f>Parameters!K837</f>
        <v>1.1959963984540054</v>
      </c>
      <c r="N223" s="138" t="str">
        <f>Tp_CHG!$H$11</f>
        <v>[Franck Maunoury et al.2015]</v>
      </c>
      <c r="AF223" s="205"/>
    </row>
    <row r="224" spans="2:32" s="206" customFormat="1" ht="26" customHeight="1" x14ac:dyDescent="0.2">
      <c r="B224" s="205"/>
      <c r="J224" s="207" t="str">
        <f>Parameters!E838</f>
        <v>Transition Probability from state 5 to state 6 on day 16 (CHG)</v>
      </c>
      <c r="K224" s="208">
        <f>Parameters!H838</f>
        <v>1</v>
      </c>
      <c r="L224" s="208">
        <f>Parameters!J838</f>
        <v>0.8040036015459946</v>
      </c>
      <c r="M224" s="208">
        <f>Parameters!K838</f>
        <v>1.1959963984540054</v>
      </c>
      <c r="N224" s="138" t="str">
        <f>Tp_CHG!$H$11</f>
        <v>[Franck Maunoury et al.2015]</v>
      </c>
      <c r="AF224" s="205"/>
    </row>
    <row r="225" spans="2:32" s="206" customFormat="1" ht="26" customHeight="1" x14ac:dyDescent="0.2">
      <c r="B225" s="205"/>
      <c r="J225" s="207" t="str">
        <f>Parameters!E842</f>
        <v>Transition Probability from state 5 to state 6 on day 20 (CHG)</v>
      </c>
      <c r="K225" s="208">
        <f>Parameters!H842</f>
        <v>1</v>
      </c>
      <c r="L225" s="208">
        <f>Parameters!J842</f>
        <v>0.8040036015459946</v>
      </c>
      <c r="M225" s="208">
        <f>Parameters!K842</f>
        <v>1.1959963984540054</v>
      </c>
      <c r="N225" s="138" t="str">
        <f>Tp_CHG!$H$11</f>
        <v>[Franck Maunoury et al.2015]</v>
      </c>
      <c r="AF225" s="205"/>
    </row>
    <row r="226" spans="2:32" s="206" customFormat="1" ht="26" customHeight="1" x14ac:dyDescent="0.2">
      <c r="B226" s="205"/>
      <c r="J226" s="207" t="str">
        <f>Parameters!E844</f>
        <v>Transition Probability from state 5 to state 6 on day 22 (CHG)</v>
      </c>
      <c r="K226" s="208">
        <f>Parameters!H844</f>
        <v>1</v>
      </c>
      <c r="L226" s="208">
        <f>Parameters!J844</f>
        <v>0.8040036015459946</v>
      </c>
      <c r="M226" s="208">
        <f>Parameters!K844</f>
        <v>1.1959963984540054</v>
      </c>
      <c r="N226" s="138" t="str">
        <f>Tp_CHG!$H$11</f>
        <v>[Franck Maunoury et al.2015]</v>
      </c>
      <c r="AF226" s="205"/>
    </row>
    <row r="227" spans="2:32" s="206" customFormat="1" ht="26" customHeight="1" x14ac:dyDescent="0.2">
      <c r="B227" s="205"/>
      <c r="J227" s="207" t="str">
        <f>Parameters!E846</f>
        <v>Transition Probability from state 5 to state 6 on day 24 (CHG)</v>
      </c>
      <c r="K227" s="208">
        <f>Parameters!H846</f>
        <v>1</v>
      </c>
      <c r="L227" s="208">
        <f>Parameters!J846</f>
        <v>0.8040036015459946</v>
      </c>
      <c r="M227" s="208">
        <f>Parameters!K846</f>
        <v>1.1959963984540054</v>
      </c>
      <c r="N227" s="138" t="str">
        <f>Tp_CHG!$H$11</f>
        <v>[Franck Maunoury et al.2015]</v>
      </c>
      <c r="AF227" s="205"/>
    </row>
    <row r="228" spans="2:32" s="206" customFormat="1" ht="26" customHeight="1" x14ac:dyDescent="0.2">
      <c r="B228" s="205"/>
      <c r="J228" s="207" t="str">
        <f>Parameters!E848</f>
        <v>Transition Probability from state 5 to state 6 on day 26 (CHG)</v>
      </c>
      <c r="K228" s="208">
        <f>Parameters!H848</f>
        <v>1</v>
      </c>
      <c r="L228" s="208">
        <f>Parameters!J848</f>
        <v>0.8040036015459946</v>
      </c>
      <c r="M228" s="208">
        <f>Parameters!K848</f>
        <v>1.1959963984540054</v>
      </c>
      <c r="N228" s="138" t="str">
        <f>Tp_CHG!$H$11</f>
        <v>[Franck Maunoury et al.2015]</v>
      </c>
      <c r="AF228" s="205"/>
    </row>
    <row r="229" spans="2:32" s="206" customFormat="1" ht="26" customHeight="1" x14ac:dyDescent="0.2">
      <c r="B229" s="205"/>
      <c r="J229" s="207" t="str">
        <f>Parameters!E849</f>
        <v>Transition Probability from state 5 to state 6 on day 27 (CHG)</v>
      </c>
      <c r="K229" s="208">
        <f>Parameters!H231</f>
        <v>1</v>
      </c>
      <c r="L229" s="208">
        <f>Parameters!J231</f>
        <v>0.8040036015459946</v>
      </c>
      <c r="M229" s="208">
        <f>Parameters!K231</f>
        <v>1.1959963984540054</v>
      </c>
      <c r="N229" s="138" t="str">
        <f>Tp_CHG!$H$11</f>
        <v>[Franck Maunoury et al.2015]</v>
      </c>
      <c r="AF229" s="205"/>
    </row>
    <row r="230" spans="2:32" s="206" customFormat="1" ht="26" customHeight="1" x14ac:dyDescent="0.2">
      <c r="B230" s="205"/>
      <c r="J230" s="207" t="str">
        <f>Parameters!E851</f>
        <v>Transition Probability from state 5 to state 6 on day 29 (CHG)</v>
      </c>
      <c r="K230" s="208">
        <f>Parameters!H851</f>
        <v>1</v>
      </c>
      <c r="L230" s="208">
        <f>Parameters!J851</f>
        <v>0.8040036015459946</v>
      </c>
      <c r="M230" s="208">
        <f>Parameters!K851</f>
        <v>1.1959963984540054</v>
      </c>
      <c r="N230" s="138" t="str">
        <f>Tp_CHG!$H$11</f>
        <v>[Franck Maunoury et al.2015]</v>
      </c>
      <c r="AF230" s="205"/>
    </row>
    <row r="231" spans="2:32" s="206" customFormat="1" ht="26" customHeight="1" x14ac:dyDescent="0.2">
      <c r="B231" s="205"/>
      <c r="J231" s="207" t="str">
        <f>Parameters!E1089</f>
        <v>Transition Probability from state 1 to state 1 on day 1 (Non-CHG)</v>
      </c>
      <c r="K231" s="208">
        <f>Parameters!H1089</f>
        <v>0.97967914438502679</v>
      </c>
      <c r="L231" s="208">
        <f>Parameters!J1089</f>
        <v>0.78766556044505998</v>
      </c>
      <c r="M231" s="208">
        <f>Parameters!K1089</f>
        <v>1.1716927283249936</v>
      </c>
      <c r="N231" s="138" t="str">
        <f>Tp_Non_CHG!$H$11</f>
        <v>[Franck Maunoury et al.2015]</v>
      </c>
      <c r="AF231" s="205"/>
    </row>
    <row r="232" spans="2:32" s="206" customFormat="1" ht="26" customHeight="1" x14ac:dyDescent="0.2">
      <c r="B232" s="205"/>
      <c r="J232" s="207" t="str">
        <f>Parameters!E1090</f>
        <v>Transition Probability from state 1 to state 2 on day 1 (Non-CHG)</v>
      </c>
      <c r="K232" s="208">
        <f>Parameters!H1090</f>
        <v>6.4171122994652408E-3</v>
      </c>
      <c r="L232" s="208">
        <f>Parameters!J1090</f>
        <v>5.1593814002951523E-3</v>
      </c>
      <c r="M232" s="208">
        <f>Parameters!K1090</f>
        <v>7.6748431986353293E-3</v>
      </c>
      <c r="N232" s="138" t="str">
        <f>Tp_Non_CHG!$H$11</f>
        <v>[Franck Maunoury et al.2015]</v>
      </c>
      <c r="AF232" s="205"/>
    </row>
    <row r="233" spans="2:32" s="206" customFormat="1" ht="26" customHeight="1" x14ac:dyDescent="0.2">
      <c r="B233" s="205"/>
      <c r="J233" s="207" t="str">
        <f>Parameters!E1091</f>
        <v>Transition Probability from state 1 to state 7 on day 1 (Non-CHG)</v>
      </c>
      <c r="K233" s="208">
        <f>Parameters!H1091</f>
        <v>3.2085561497326204E-3</v>
      </c>
      <c r="L233" s="208">
        <f>Parameters!J1091</f>
        <v>2.5796907001475761E-3</v>
      </c>
      <c r="M233" s="208">
        <f>Parameters!K1091</f>
        <v>3.8374215993176647E-3</v>
      </c>
      <c r="N233" s="138" t="str">
        <f>Tp_Non_CHG!$H$11</f>
        <v>[Franck Maunoury et al.2015]</v>
      </c>
      <c r="AF233" s="205"/>
    </row>
    <row r="234" spans="2:32" s="206" customFormat="1" ht="26" customHeight="1" x14ac:dyDescent="0.2">
      <c r="B234" s="205"/>
      <c r="J234" s="207" t="str">
        <f>Parameters!E1092</f>
        <v>Transition Probability from state 1 to state 8 on day 1 (Non-CHG)</v>
      </c>
      <c r="K234" s="208">
        <f>Parameters!H1092</f>
        <v>1.06951871657754E-2</v>
      </c>
      <c r="L234" s="208">
        <f>Parameters!J1092</f>
        <v>8.5989690004919205E-3</v>
      </c>
      <c r="M234" s="208">
        <f>Parameters!K1092</f>
        <v>1.279140533105888E-2</v>
      </c>
      <c r="N234" s="138" t="str">
        <f>Tp_Non_CHG!$H$11</f>
        <v>[Franck Maunoury et al.2015]</v>
      </c>
      <c r="AF234" s="205"/>
    </row>
    <row r="235" spans="2:32" s="206" customFormat="1" ht="26" customHeight="1" x14ac:dyDescent="0.2">
      <c r="B235" s="205"/>
      <c r="J235" s="207" t="str">
        <f>Parameters!E1093</f>
        <v>Transition Probability from state 1 to state 1 on day 2 (Non-CHG)</v>
      </c>
      <c r="K235" s="208">
        <f>Parameters!H1093</f>
        <v>0.91048034934497812</v>
      </c>
      <c r="L235" s="208">
        <f>Parameters!J1093</f>
        <v>0.73202948001021784</v>
      </c>
      <c r="M235" s="208">
        <f>Parameters!K1093</f>
        <v>1.0889312186797384</v>
      </c>
      <c r="N235" s="138" t="str">
        <f>Tp_Non_CHG!$H$11</f>
        <v>[Franck Maunoury et al.2015]</v>
      </c>
      <c r="AF235" s="205"/>
    </row>
    <row r="236" spans="2:32" s="206" customFormat="1" ht="26" customHeight="1" x14ac:dyDescent="0.2">
      <c r="B236" s="205"/>
      <c r="J236" s="207" t="str">
        <f>Parameters!E1094</f>
        <v>Transition Probability from state 1 to state 2 on day 2 (Non-CHG)</v>
      </c>
      <c r="K236" s="208">
        <f>Parameters!H1094</f>
        <v>2.6200873362445413E-2</v>
      </c>
      <c r="L236" s="208">
        <f>Parameters!J1094</f>
        <v>2.1065596547056628E-2</v>
      </c>
      <c r="M236" s="208">
        <f>Parameters!K1094</f>
        <v>3.1336150177834199E-2</v>
      </c>
      <c r="N236" s="138" t="str">
        <f>Tp_Non_CHG!$H$11</f>
        <v>[Franck Maunoury et al.2015]</v>
      </c>
      <c r="AF236" s="205"/>
    </row>
    <row r="237" spans="2:32" s="206" customFormat="1" ht="26" customHeight="1" x14ac:dyDescent="0.2">
      <c r="B237" s="205"/>
      <c r="J237" s="207" t="str">
        <f>Parameters!E1095</f>
        <v>Transition Probability from state 1 to state 7 on day 2 (Non-CHG)</v>
      </c>
      <c r="K237" s="208">
        <f>Parameters!H1095</f>
        <v>2.7292576419213975E-2</v>
      </c>
      <c r="L237" s="208">
        <f>Parameters!J1095</f>
        <v>2.194332973651732E-2</v>
      </c>
      <c r="M237" s="208">
        <f>Parameters!K1095</f>
        <v>3.2641823101910626E-2</v>
      </c>
      <c r="N237" s="138" t="str">
        <f>Tp_Non_CHG!$H$11</f>
        <v>[Franck Maunoury et al.2015]</v>
      </c>
      <c r="AF237" s="205"/>
    </row>
    <row r="238" spans="2:32" s="206" customFormat="1" ht="26" customHeight="1" x14ac:dyDescent="0.2">
      <c r="B238" s="205"/>
      <c r="J238" s="207" t="str">
        <f>Parameters!E1096</f>
        <v>Transition Probability from state 1 to state 8 on day 2 (Non-CHG)</v>
      </c>
      <c r="K238" s="208">
        <f>Parameters!H1096</f>
        <v>3.6026200873362446E-2</v>
      </c>
      <c r="L238" s="208">
        <f>Parameters!J1096</f>
        <v>2.8965195252202862E-2</v>
      </c>
      <c r="M238" s="208">
        <f>Parameters!K1096</f>
        <v>4.308720649452203E-2</v>
      </c>
      <c r="N238" s="138" t="str">
        <f>Tp_Non_CHG!$H$11</f>
        <v>[Franck Maunoury et al.2015]</v>
      </c>
      <c r="AF238" s="205"/>
    </row>
    <row r="239" spans="2:32" s="206" customFormat="1" ht="26" customHeight="1" x14ac:dyDescent="0.2">
      <c r="B239" s="205"/>
      <c r="J239" s="207" t="str">
        <f>Parameters!E1097</f>
        <v>Transition Probability from state 1 to state 1 on day 3 (Non-CHG)</v>
      </c>
      <c r="K239" s="208">
        <f>Parameters!H1097</f>
        <v>0.89272943980929675</v>
      </c>
      <c r="L239" s="208">
        <f>Parameters!J1097</f>
        <v>0.71775768481281277</v>
      </c>
      <c r="M239" s="208">
        <f>Parameters!K1097</f>
        <v>1.0677011948057806</v>
      </c>
      <c r="N239" s="138" t="str">
        <f>Tp_Non_CHG!$H$11</f>
        <v>[Franck Maunoury et al.2015]</v>
      </c>
      <c r="AF239" s="205"/>
    </row>
    <row r="240" spans="2:32" s="206" customFormat="1" ht="26" customHeight="1" x14ac:dyDescent="0.2">
      <c r="B240" s="205"/>
      <c r="J240" s="207" t="str">
        <f>Parameters!E1098</f>
        <v>Transition Probability from state 1 to state 2 on day 3 (Non-CHG)</v>
      </c>
      <c r="K240" s="208">
        <f>Parameters!H1098</f>
        <v>1.7878426698450536E-2</v>
      </c>
      <c r="L240" s="208">
        <f>Parameters!J1098</f>
        <v>1.4374319455530297E-2</v>
      </c>
      <c r="M240" s="208">
        <f>Parameters!K1098</f>
        <v>2.1382533941370775E-2</v>
      </c>
      <c r="N240" s="138" t="str">
        <f>Tp_Non_CHG!$H$11</f>
        <v>[Franck Maunoury et al.2015]</v>
      </c>
      <c r="AF240" s="205"/>
    </row>
    <row r="241" spans="2:32" s="206" customFormat="1" ht="26" customHeight="1" x14ac:dyDescent="0.2">
      <c r="B241" s="205"/>
      <c r="J241" s="207" t="str">
        <f>Parameters!E1099</f>
        <v>Transition Probability from state 1 to state 7 on day 3 (Non-CHG)</v>
      </c>
      <c r="K241" s="208">
        <f>Parameters!H1099</f>
        <v>5.3635280095351609E-2</v>
      </c>
      <c r="L241" s="208">
        <f>Parameters!J1099</f>
        <v>4.3122958366590892E-2</v>
      </c>
      <c r="M241" s="208">
        <f>Parameters!K1099</f>
        <v>6.4147601824112332E-2</v>
      </c>
      <c r="N241" s="138" t="str">
        <f>Tp_Non_CHG!$H$11</f>
        <v>[Franck Maunoury et al.2015]</v>
      </c>
      <c r="AF241" s="205"/>
    </row>
    <row r="242" spans="2:32" s="206" customFormat="1" ht="26" customHeight="1" x14ac:dyDescent="0.2">
      <c r="B242" s="205"/>
      <c r="J242" s="207" t="str">
        <f>Parameters!E1100</f>
        <v>Transition Probability from state 1 to state 8 on day 3 (Non-CHG)</v>
      </c>
      <c r="K242" s="208">
        <f>Parameters!H1100</f>
        <v>3.5756853396901073E-2</v>
      </c>
      <c r="L242" s="208">
        <f>Parameters!J1100</f>
        <v>2.8748638911060595E-2</v>
      </c>
      <c r="M242" s="208">
        <f>Parameters!K1100</f>
        <v>4.276506788274155E-2</v>
      </c>
      <c r="N242" s="138" t="str">
        <f>Tp_Non_CHG!$H$11</f>
        <v>[Franck Maunoury et al.2015]</v>
      </c>
      <c r="AF242" s="205"/>
    </row>
    <row r="243" spans="2:32" s="206" customFormat="1" ht="26" customHeight="1" x14ac:dyDescent="0.2">
      <c r="B243" s="205"/>
      <c r="J243" s="207" t="str">
        <f>Parameters!E1101</f>
        <v>Transition Probability from state 1 to state 1 on day 4 (Non-CHG)</v>
      </c>
      <c r="K243" s="208">
        <f>Parameters!H1101</f>
        <v>0.91180285343709466</v>
      </c>
      <c r="L243" s="208">
        <f>Parameters!J1101</f>
        <v>0.73309277806333872</v>
      </c>
      <c r="M243" s="208">
        <f>Parameters!K1101</f>
        <v>1.0905129288108506</v>
      </c>
      <c r="N243" s="138" t="str">
        <f>Tp_Non_CHG!$H$11</f>
        <v>[Franck Maunoury et al.2015]</v>
      </c>
      <c r="AF243" s="205"/>
    </row>
    <row r="244" spans="2:32" s="206" customFormat="1" ht="26" customHeight="1" x14ac:dyDescent="0.2">
      <c r="B244" s="205"/>
      <c r="J244" s="207" t="str">
        <f>Parameters!E1102</f>
        <v>Transition Probability from state 1 to state 2 on day 4 (Non-CHG)</v>
      </c>
      <c r="K244" s="208">
        <f>Parameters!H1102</f>
        <v>1.1673151750972763E-2</v>
      </c>
      <c r="L244" s="208">
        <f>Parameters!J1102</f>
        <v>9.3852560491750336E-3</v>
      </c>
      <c r="M244" s="208">
        <f>Parameters!K1102</f>
        <v>1.396104745277049E-2</v>
      </c>
      <c r="N244" s="138" t="str">
        <f>Tp_Non_CHG!$H$11</f>
        <v>[Franck Maunoury et al.2015]</v>
      </c>
      <c r="AF244" s="205"/>
    </row>
    <row r="245" spans="2:32" s="206" customFormat="1" ht="26" customHeight="1" x14ac:dyDescent="0.2">
      <c r="B245" s="205"/>
      <c r="J245" s="207" t="str">
        <f>Parameters!E1103</f>
        <v>Transition Probability from state 1 to state 7 on day 4 (Non-CHG)</v>
      </c>
      <c r="K245" s="208">
        <f>Parameters!H1103</f>
        <v>5.4474708171206226E-2</v>
      </c>
      <c r="L245" s="208">
        <f>Parameters!J1103</f>
        <v>4.3797861562816828E-2</v>
      </c>
      <c r="M245" s="208">
        <f>Parameters!K1103</f>
        <v>6.5151554779595625E-2</v>
      </c>
      <c r="N245" s="138" t="str">
        <f>Tp_Non_CHG!$H$11</f>
        <v>[Franck Maunoury et al.2015]</v>
      </c>
      <c r="AF245" s="205"/>
    </row>
    <row r="246" spans="2:32" s="206" customFormat="1" ht="26" customHeight="1" x14ac:dyDescent="0.2">
      <c r="B246" s="205"/>
      <c r="J246" s="207" t="str">
        <f>Parameters!E1104</f>
        <v>Transition Probability from state 1 to state 8 on day 4 (Non-CHG)</v>
      </c>
      <c r="K246" s="208">
        <f>Parameters!H1104</f>
        <v>2.2049286640726331E-2</v>
      </c>
      <c r="L246" s="208">
        <f>Parameters!J1104</f>
        <v>1.7727705870663954E-2</v>
      </c>
      <c r="M246" s="208">
        <f>Parameters!K1104</f>
        <v>2.6370867410788708E-2</v>
      </c>
      <c r="N246" s="138" t="str">
        <f>Tp_Non_CHG!$H$11</f>
        <v>[Franck Maunoury et al.2015]</v>
      </c>
      <c r="AF246" s="205"/>
    </row>
    <row r="247" spans="2:32" s="206" customFormat="1" ht="26" customHeight="1" x14ac:dyDescent="0.2">
      <c r="B247" s="205"/>
      <c r="J247" s="207" t="str">
        <f>Parameters!E1105</f>
        <v>Transition Probability from state 1 to state 1 on day 5 (Non-CHG)</v>
      </c>
      <c r="K247" s="208">
        <f>Parameters!H1105</f>
        <v>0.88981868898186889</v>
      </c>
      <c r="L247" s="208">
        <f>Parameters!J1105</f>
        <v>0.71541743066435781</v>
      </c>
      <c r="M247" s="208">
        <f>Parameters!K1105</f>
        <v>1.0642199472993799</v>
      </c>
      <c r="N247" s="138" t="str">
        <f>Tp_Non_CHG!$H$11</f>
        <v>[Franck Maunoury et al.2015]</v>
      </c>
      <c r="AF247" s="205"/>
    </row>
    <row r="248" spans="2:32" s="206" customFormat="1" ht="26" customHeight="1" x14ac:dyDescent="0.2">
      <c r="B248" s="205"/>
      <c r="J248" s="207" t="str">
        <f>Parameters!E1106</f>
        <v>Transition Probability from state 1 to state 2 on day 5 (Non-CHG)</v>
      </c>
      <c r="K248" s="208">
        <f>Parameters!H1106</f>
        <v>1.5341701534170154E-2</v>
      </c>
      <c r="L248" s="208">
        <f>Parameters!J1106</f>
        <v>1.2334783287316515E-2</v>
      </c>
      <c r="M248" s="208">
        <f>Parameters!K1106</f>
        <v>1.8348619781023791E-2</v>
      </c>
      <c r="N248" s="138" t="str">
        <f>Tp_Non_CHG!$H$11</f>
        <v>[Franck Maunoury et al.2015]</v>
      </c>
      <c r="AF248" s="205"/>
    </row>
    <row r="249" spans="2:32" s="206" customFormat="1" ht="26" customHeight="1" x14ac:dyDescent="0.2">
      <c r="B249" s="205"/>
      <c r="J249" s="207" t="str">
        <f>Parameters!E1107</f>
        <v>Transition Probability from state 1 to state 7 on day 5 (Non-CHG)</v>
      </c>
      <c r="K249" s="208">
        <f>Parameters!H1107</f>
        <v>7.1129707112970716E-2</v>
      </c>
      <c r="L249" s="208">
        <f>Parameters!J1107</f>
        <v>5.7188540695740205E-2</v>
      </c>
      <c r="M249" s="208">
        <f>Parameters!K1107</f>
        <v>8.5070873530201221E-2</v>
      </c>
      <c r="N249" s="138" t="str">
        <f>Tp_Non_CHG!$H$11</f>
        <v>[Franck Maunoury et al.2015]</v>
      </c>
      <c r="AF249" s="205"/>
    </row>
    <row r="250" spans="2:32" s="206" customFormat="1" ht="26" customHeight="1" x14ac:dyDescent="0.2">
      <c r="B250" s="205"/>
      <c r="J250" s="207" t="str">
        <f>Parameters!E1108</f>
        <v>Transition Probability from state 1 to state 8 on day 5 (Non-CHG)</v>
      </c>
      <c r="K250" s="208">
        <f>Parameters!H1108</f>
        <v>2.3709902370990237E-2</v>
      </c>
      <c r="L250" s="208">
        <f>Parameters!J1108</f>
        <v>1.9062846898580066E-2</v>
      </c>
      <c r="M250" s="208">
        <f>Parameters!K1108</f>
        <v>2.8356957843400407E-2</v>
      </c>
      <c r="N250" s="138" t="str">
        <f>Tp_Non_CHG!$H$11</f>
        <v>[Franck Maunoury et al.2015]</v>
      </c>
      <c r="AF250" s="205"/>
    </row>
    <row r="251" spans="2:32" s="206" customFormat="1" ht="26" customHeight="1" x14ac:dyDescent="0.2">
      <c r="B251" s="205"/>
      <c r="J251" s="207" t="str">
        <f>Parameters!E1109</f>
        <v>Transition Probability from state 1 to state 1 on day 6 (Non-CHG)</v>
      </c>
      <c r="K251" s="208">
        <f>Parameters!H1109</f>
        <v>0.87037037037037035</v>
      </c>
      <c r="L251" s="208">
        <f>Parameters!J1109</f>
        <v>0.69978091245669893</v>
      </c>
      <c r="M251" s="208">
        <f>Parameters!K1109</f>
        <v>1.0409598282840418</v>
      </c>
      <c r="N251" s="138" t="str">
        <f>Tp_Non_CHG!$H$11</f>
        <v>[Franck Maunoury et al.2015]</v>
      </c>
      <c r="AF251" s="205"/>
    </row>
    <row r="252" spans="2:32" s="206" customFormat="1" ht="26" customHeight="1" x14ac:dyDescent="0.2">
      <c r="B252" s="205"/>
      <c r="J252" s="207" t="str">
        <f>Parameters!E1110</f>
        <v>Transition Probability from state 1 to state 2 on day 6 (Non-CHG)</v>
      </c>
      <c r="K252" s="208">
        <f>Parameters!H1110</f>
        <v>2.9320987654320986E-2</v>
      </c>
      <c r="L252" s="208">
        <f>Parameters!J1110</f>
        <v>2.3574179674959717E-2</v>
      </c>
      <c r="M252" s="208">
        <f>Parameters!K1110</f>
        <v>3.5067795633682258E-2</v>
      </c>
      <c r="N252" s="138" t="str">
        <f>Tp_Non_CHG!$H$11</f>
        <v>[Franck Maunoury et al.2015]</v>
      </c>
      <c r="AF252" s="205"/>
    </row>
    <row r="253" spans="2:32" s="206" customFormat="1" ht="26" customHeight="1" x14ac:dyDescent="0.2">
      <c r="B253" s="205"/>
      <c r="J253" s="207" t="str">
        <f>Parameters!E1111</f>
        <v>Transition Probability from state 1 to state 4 on day 6 (Non-CHG)</v>
      </c>
      <c r="K253" s="208">
        <f>Parameters!H1111</f>
        <v>1.5432098765432098E-3</v>
      </c>
      <c r="L253" s="208">
        <f>Parameters!J1111</f>
        <v>1.2407462986820904E-3</v>
      </c>
      <c r="M253" s="208">
        <f>Parameters!K1111</f>
        <v>1.8456734544043292E-3</v>
      </c>
      <c r="N253" s="138" t="str">
        <f>Tp_Non_CHG!$H$11</f>
        <v>[Franck Maunoury et al.2015]</v>
      </c>
      <c r="AF253" s="205"/>
    </row>
    <row r="254" spans="2:32" s="206" customFormat="1" ht="26" customHeight="1" x14ac:dyDescent="0.2">
      <c r="B254" s="205"/>
      <c r="J254" s="207" t="str">
        <f>Parameters!E1112</f>
        <v>Transition Probability from state 1 to state 5 on day 6 (Non-CHG)</v>
      </c>
      <c r="K254" s="208">
        <f>Parameters!H1112</f>
        <v>1.5432098765432098E-3</v>
      </c>
      <c r="L254" s="208">
        <f>Parameters!J1112</f>
        <v>1.2407462986820904E-3</v>
      </c>
      <c r="M254" s="208">
        <f>Parameters!K1112</f>
        <v>1.8456734544043292E-3</v>
      </c>
      <c r="N254" s="138" t="str">
        <f>Tp_Non_CHG!$H$11</f>
        <v>[Franck Maunoury et al.2015]</v>
      </c>
      <c r="AF254" s="205"/>
    </row>
    <row r="255" spans="2:32" s="206" customFormat="1" ht="26" customHeight="1" x14ac:dyDescent="0.2">
      <c r="B255" s="205"/>
      <c r="J255" s="207" t="str">
        <f>Parameters!E1113</f>
        <v>Transition Probability from state 1 to state 7 on day 6 (Non-CHG)</v>
      </c>
      <c r="K255" s="208">
        <f>Parameters!H1113</f>
        <v>7.8703703703703706E-2</v>
      </c>
      <c r="L255" s="208">
        <f>Parameters!J1113</f>
        <v>6.327806123278662E-2</v>
      </c>
      <c r="M255" s="208">
        <f>Parameters!K1113</f>
        <v>9.4129346174620793E-2</v>
      </c>
      <c r="N255" s="138" t="str">
        <f>Tp_Non_CHG!$H$11</f>
        <v>[Franck Maunoury et al.2015]</v>
      </c>
      <c r="AF255" s="205"/>
    </row>
    <row r="256" spans="2:32" s="206" customFormat="1" ht="26" customHeight="1" x14ac:dyDescent="0.2">
      <c r="B256" s="205"/>
      <c r="J256" s="207" t="str">
        <f>Parameters!E1114</f>
        <v>Transition Probability from state 1 to state 8 on day 6 (Non-CHG)</v>
      </c>
      <c r="K256" s="208">
        <f>Parameters!H1114</f>
        <v>1.8518518518518517E-2</v>
      </c>
      <c r="L256" s="208">
        <f>Parameters!J1114</f>
        <v>1.4888955584185085E-2</v>
      </c>
      <c r="M256" s="208">
        <f>Parameters!K1114</f>
        <v>2.214808145285195E-2</v>
      </c>
      <c r="N256" s="138" t="str">
        <f>Tp_Non_CHG!$H$11</f>
        <v>[Franck Maunoury et al.2015]</v>
      </c>
      <c r="AF256" s="205"/>
    </row>
    <row r="257" spans="2:32" s="206" customFormat="1" ht="26" customHeight="1" x14ac:dyDescent="0.2">
      <c r="B257" s="205"/>
      <c r="J257" s="207" t="str">
        <f>Parameters!E1115</f>
        <v>Transition Probability from state 1 to state 1 on day 7 (Non-CHG)</v>
      </c>
      <c r="K257" s="208">
        <f>Parameters!H1115</f>
        <v>0.85913043478260864</v>
      </c>
      <c r="L257" s="208">
        <f>Parameters!J1115</f>
        <v>0.69074396376299352</v>
      </c>
      <c r="M257" s="208">
        <f>Parameters!K1115</f>
        <v>1.0275169058022238</v>
      </c>
      <c r="N257" s="138" t="str">
        <f>Tp_Non_CHG!$H$11</f>
        <v>[Franck Maunoury et al.2015]</v>
      </c>
      <c r="AF257" s="205"/>
    </row>
    <row r="258" spans="2:32" s="206" customFormat="1" ht="26" customHeight="1" x14ac:dyDescent="0.2">
      <c r="B258" s="205"/>
      <c r="J258" s="207" t="str">
        <f>Parameters!E1116</f>
        <v>Transition Probability from state 1 to state 2 on day 7 (Non-CHG)</v>
      </c>
      <c r="K258" s="208">
        <f>Parameters!H1116</f>
        <v>3.1304347826086959E-2</v>
      </c>
      <c r="L258" s="208">
        <f>Parameters!J1116</f>
        <v>2.5168808396222441E-2</v>
      </c>
      <c r="M258" s="208">
        <f>Parameters!K1116</f>
        <v>3.7439887255951473E-2</v>
      </c>
      <c r="N258" s="138" t="str">
        <f>Tp_Non_CHG!$H$11</f>
        <v>[Franck Maunoury et al.2015]</v>
      </c>
      <c r="AF258" s="205"/>
    </row>
    <row r="259" spans="2:32" s="206" customFormat="1" ht="26" customHeight="1" x14ac:dyDescent="0.2">
      <c r="B259" s="205"/>
      <c r="J259" s="207" t="str">
        <f>Parameters!E1117</f>
        <v>Transition Probability from state 1 to state 4 on day 7 (Non-CHG)</v>
      </c>
      <c r="K259" s="208">
        <f>Parameters!H1117</f>
        <v>1.7391304347826088E-3</v>
      </c>
      <c r="L259" s="208">
        <f>Parameters!J1117</f>
        <v>1.398267133123469E-3</v>
      </c>
      <c r="M259" s="208">
        <f>Parameters!K1117</f>
        <v>2.0799937364417483E-3</v>
      </c>
      <c r="N259" s="138" t="str">
        <f>Tp_Non_CHG!$H$11</f>
        <v>[Franck Maunoury et al.2015]</v>
      </c>
      <c r="AF259" s="205"/>
    </row>
    <row r="260" spans="2:32" s="206" customFormat="1" ht="26" customHeight="1" x14ac:dyDescent="0.2">
      <c r="B260" s="205"/>
      <c r="J260" s="207" t="str">
        <f>Parameters!E1118</f>
        <v>Transition Probability from state 1 to state 5 on day 7 (Non-CHG)</v>
      </c>
      <c r="K260" s="208">
        <f>Parameters!H1118</f>
        <v>1.7391304347826088E-3</v>
      </c>
      <c r="L260" s="208">
        <f>Parameters!J1118</f>
        <v>1.398267133123469E-3</v>
      </c>
      <c r="M260" s="208">
        <f>Parameters!K1118</f>
        <v>2.0799937364417483E-3</v>
      </c>
      <c r="N260" s="138" t="str">
        <f>Tp_Non_CHG!$H$11</f>
        <v>[Franck Maunoury et al.2015]</v>
      </c>
      <c r="AF260" s="205"/>
    </row>
    <row r="261" spans="2:32" s="206" customFormat="1" ht="26" customHeight="1" x14ac:dyDescent="0.2">
      <c r="B261" s="205"/>
      <c r="J261" s="207" t="str">
        <f>Parameters!E1119</f>
        <v>Transition Probability from state 1 to state 7 on day 7 (Non-CHG)</v>
      </c>
      <c r="K261" s="208">
        <f>Parameters!H1119</f>
        <v>8.6956521739130432E-2</v>
      </c>
      <c r="L261" s="208">
        <f>Parameters!J1119</f>
        <v>6.9913356656173445E-2</v>
      </c>
      <c r="M261" s="208">
        <f>Parameters!K1119</f>
        <v>0.10399968682208742</v>
      </c>
      <c r="N261" s="138" t="str">
        <f>Tp_Non_CHG!$H$11</f>
        <v>[Franck Maunoury et al.2015]</v>
      </c>
      <c r="AF261" s="205"/>
    </row>
    <row r="262" spans="2:32" s="206" customFormat="1" ht="26" customHeight="1" x14ac:dyDescent="0.2">
      <c r="B262" s="205"/>
      <c r="J262" s="207" t="str">
        <f>Parameters!E1120</f>
        <v>Transition Probability from state 1 to state 8 on day 7 (Non-CHG)</v>
      </c>
      <c r="K262" s="208">
        <f>Parameters!H1120</f>
        <v>1.9130434782608695E-2</v>
      </c>
      <c r="L262" s="208">
        <f>Parameters!J1120</f>
        <v>1.5380938464358156E-2</v>
      </c>
      <c r="M262" s="208">
        <f>Parameters!K1120</f>
        <v>2.2879931100859233E-2</v>
      </c>
      <c r="N262" s="138" t="str">
        <f>Tp_Non_CHG!$H$11</f>
        <v>[Franck Maunoury et al.2015]</v>
      </c>
      <c r="AF262" s="205"/>
    </row>
    <row r="263" spans="2:32" s="206" customFormat="1" ht="26" customHeight="1" x14ac:dyDescent="0.2">
      <c r="B263" s="205"/>
      <c r="J263" s="207" t="str">
        <f>Parameters!E1121</f>
        <v>Transition Probability from state 1 to state 1 on day 8 (Non-CHG)</v>
      </c>
      <c r="K263" s="208">
        <f>Parameters!H1121</f>
        <v>0.90058479532163738</v>
      </c>
      <c r="L263" s="208">
        <f>Parameters!J1121</f>
        <v>0.72407341893615884</v>
      </c>
      <c r="M263" s="208">
        <f>Parameters!K1121</f>
        <v>1.0770961717071159</v>
      </c>
      <c r="N263" s="138" t="str">
        <f>Tp_Non_CHG!$H$11</f>
        <v>[Franck Maunoury et al.2015]</v>
      </c>
      <c r="AF263" s="205"/>
    </row>
    <row r="264" spans="2:32" s="206" customFormat="1" ht="26" customHeight="1" x14ac:dyDescent="0.2">
      <c r="B264" s="205"/>
      <c r="J264" s="207" t="str">
        <f>Parameters!E1122</f>
        <v>Transition Probability from state 1 to state 2 on day 8 (Non-CHG)</v>
      </c>
      <c r="K264" s="208">
        <f>Parameters!H1122</f>
        <v>2.3391812865497075E-2</v>
      </c>
      <c r="L264" s="208">
        <f>Parameters!J1122</f>
        <v>1.880710179054958E-2</v>
      </c>
      <c r="M264" s="208">
        <f>Parameters!K1122</f>
        <v>2.7976523940444569E-2</v>
      </c>
      <c r="N264" s="138" t="str">
        <f>Tp_Non_CHG!$H$11</f>
        <v>[Franck Maunoury et al.2015]</v>
      </c>
      <c r="AF264" s="205"/>
    </row>
    <row r="265" spans="2:32" s="206" customFormat="1" ht="26" customHeight="1" x14ac:dyDescent="0.2">
      <c r="B265" s="205"/>
      <c r="J265" s="207" t="str">
        <f>Parameters!E1123</f>
        <v>Transition Probability from state 1 to state 7 on day 8 (Non-CHG)</v>
      </c>
      <c r="K265" s="208">
        <f>Parameters!H1123</f>
        <v>6.4327485380116955E-2</v>
      </c>
      <c r="L265" s="208">
        <f>Parameters!J1123</f>
        <v>5.1719529924011347E-2</v>
      </c>
      <c r="M265" s="208">
        <f>Parameters!K1123</f>
        <v>7.6935440836222557E-2</v>
      </c>
      <c r="N265" s="138" t="str">
        <f>Tp_Non_CHG!$H$11</f>
        <v>[Franck Maunoury et al.2015]</v>
      </c>
      <c r="AF265" s="205"/>
    </row>
    <row r="266" spans="2:32" s="206" customFormat="1" ht="26" customHeight="1" x14ac:dyDescent="0.2">
      <c r="B266" s="205"/>
      <c r="J266" s="207" t="str">
        <f>Parameters!E1124</f>
        <v>Transition Probability from state 1 to state 8 on day 8 (Non-CHG)</v>
      </c>
      <c r="K266" s="208">
        <f>Parameters!H1124</f>
        <v>1.1695906432748537E-2</v>
      </c>
      <c r="L266" s="208">
        <f>Parameters!J1124</f>
        <v>9.4035508952747902E-3</v>
      </c>
      <c r="M266" s="208">
        <f>Parameters!K1124</f>
        <v>1.3988261970222285E-2</v>
      </c>
      <c r="N266" s="138" t="str">
        <f>Tp_Non_CHG!$H$11</f>
        <v>[Franck Maunoury et al.2015]</v>
      </c>
      <c r="AF266" s="205"/>
    </row>
    <row r="267" spans="2:32" s="206" customFormat="1" ht="26" customHeight="1" x14ac:dyDescent="0.2">
      <c r="B267" s="205"/>
      <c r="J267" s="207" t="str">
        <f>Parameters!E1125</f>
        <v>Transition Probability from state 1 to state 1 on day 9 (Non-CHG)</v>
      </c>
      <c r="K267" s="208">
        <f>Parameters!H1125</f>
        <v>0.89561586638830892</v>
      </c>
      <c r="L267" s="208">
        <f>Parameters!J1125</f>
        <v>0.72007838217793663</v>
      </c>
      <c r="M267" s="208">
        <f>Parameters!K1125</f>
        <v>1.0711533505986812</v>
      </c>
      <c r="N267" s="138" t="str">
        <f>Tp_Non_CHG!$H$11</f>
        <v>[Franck Maunoury et al.2015]</v>
      </c>
      <c r="AF267" s="205"/>
    </row>
    <row r="268" spans="2:32" s="206" customFormat="1" ht="26" customHeight="1" x14ac:dyDescent="0.2">
      <c r="B268" s="205"/>
      <c r="J268" s="207" t="str">
        <f>Parameters!E1126</f>
        <v>Transition Probability from state 1 to state 2 on day 9 (Non-CHG)</v>
      </c>
      <c r="K268" s="208">
        <f>Parameters!H1126</f>
        <v>2.5052192066805846E-2</v>
      </c>
      <c r="L268" s="208">
        <f>Parameters!J1126</f>
        <v>2.0142052648333894E-2</v>
      </c>
      <c r="M268" s="208">
        <f>Parameters!K1126</f>
        <v>2.9962331485277799E-2</v>
      </c>
      <c r="N268" s="138" t="str">
        <f>Tp_Non_CHG!$H$11</f>
        <v>[Franck Maunoury et al.2015]</v>
      </c>
      <c r="AF268" s="205"/>
    </row>
    <row r="269" spans="2:32" s="206" customFormat="1" ht="26" customHeight="1" x14ac:dyDescent="0.2">
      <c r="B269" s="205"/>
      <c r="J269" s="207" t="str">
        <f>Parameters!E1127</f>
        <v>Transition Probability from state 1 to state 3 on day 9 (Non-CHG)</v>
      </c>
      <c r="K269" s="208">
        <f>Parameters!H1127</f>
        <v>2.0876826722338203E-3</v>
      </c>
      <c r="L269" s="208">
        <f>Parameters!J1127</f>
        <v>1.6785043873611576E-3</v>
      </c>
      <c r="M269" s="208">
        <f>Parameters!K1127</f>
        <v>2.4968609571064827E-3</v>
      </c>
      <c r="N269" s="138" t="str">
        <f>Tp_Non_CHG!$H$11</f>
        <v>[Franck Maunoury et al.2015]</v>
      </c>
      <c r="AF269" s="205"/>
    </row>
    <row r="270" spans="2:32" s="206" customFormat="1" ht="26" customHeight="1" x14ac:dyDescent="0.2">
      <c r="B270" s="205"/>
      <c r="J270" s="207" t="str">
        <f>Parameters!E1128</f>
        <v>Transition Probability from state 1 to state 4 on day 9 (Non-CHG)</v>
      </c>
      <c r="K270" s="208">
        <f>Parameters!H1128</f>
        <v>2.0876826722338203E-3</v>
      </c>
      <c r="L270" s="208">
        <f>Parameters!J1128</f>
        <v>1.6785043873611576E-3</v>
      </c>
      <c r="M270" s="208">
        <f>Parameters!K1128</f>
        <v>2.4968609571064827E-3</v>
      </c>
      <c r="N270" s="138" t="str">
        <f>Tp_Non_CHG!$H$11</f>
        <v>[Franck Maunoury et al.2015]</v>
      </c>
      <c r="AF270" s="205"/>
    </row>
    <row r="271" spans="2:32" s="206" customFormat="1" ht="26" customHeight="1" x14ac:dyDescent="0.2">
      <c r="B271" s="205"/>
      <c r="J271" s="207" t="str">
        <f>Parameters!E1129</f>
        <v>Transition Probability from state 1 to state 7 on day 9 (Non-CHG)</v>
      </c>
      <c r="K271" s="208">
        <f>Parameters!H1129</f>
        <v>6.6805845511482248E-2</v>
      </c>
      <c r="L271" s="208">
        <f>Parameters!J1129</f>
        <v>5.3712140395557044E-2</v>
      </c>
      <c r="M271" s="208">
        <f>Parameters!K1129</f>
        <v>7.9899550627407445E-2</v>
      </c>
      <c r="N271" s="138" t="str">
        <f>Tp_Non_CHG!$H$11</f>
        <v>[Franck Maunoury et al.2015]</v>
      </c>
      <c r="AF271" s="205"/>
    </row>
    <row r="272" spans="2:32" s="206" customFormat="1" ht="26" customHeight="1" x14ac:dyDescent="0.2">
      <c r="B272" s="205"/>
      <c r="J272" s="207" t="str">
        <f>Parameters!E1130</f>
        <v>Transition Probability from state 1 to state 8 on day 9 (Non-CHG)</v>
      </c>
      <c r="K272" s="208">
        <f>Parameters!H1130</f>
        <v>8.350730688935281E-3</v>
      </c>
      <c r="L272" s="208">
        <f>Parameters!J1130</f>
        <v>6.7140175494446305E-3</v>
      </c>
      <c r="M272" s="208">
        <f>Parameters!K1130</f>
        <v>9.9874438284259306E-3</v>
      </c>
      <c r="N272" s="138" t="str">
        <f>Tp_Non_CHG!$H$11</f>
        <v>[Franck Maunoury et al.2015]</v>
      </c>
      <c r="AF272" s="205"/>
    </row>
    <row r="273" spans="2:32" s="206" customFormat="1" ht="26" customHeight="1" x14ac:dyDescent="0.2">
      <c r="B273" s="205"/>
      <c r="J273" s="207" t="str">
        <f>Parameters!E1131</f>
        <v>Transition Probability from state 1 to state 1 on day 10 (Non-CHG)</v>
      </c>
      <c r="K273" s="208">
        <f>Parameters!H1131</f>
        <v>0.91855203619909498</v>
      </c>
      <c r="L273" s="208">
        <f>Parameters!J1131</f>
        <v>0.73851914531147922</v>
      </c>
      <c r="M273" s="208">
        <f>Parameters!K1131</f>
        <v>1.0985849270867107</v>
      </c>
      <c r="N273" s="138" t="str">
        <f>Tp_Non_CHG!$H$11</f>
        <v>[Franck Maunoury et al.2015]</v>
      </c>
      <c r="AF273" s="205"/>
    </row>
    <row r="274" spans="2:32" s="206" customFormat="1" ht="26" customHeight="1" x14ac:dyDescent="0.2">
      <c r="B274" s="205"/>
      <c r="J274" s="207" t="str">
        <f>Parameters!E1132</f>
        <v>Transition Probability from state 1 to state 2 on day 10 (Non-CHG)</v>
      </c>
      <c r="K274" s="208">
        <f>Parameters!H1132</f>
        <v>1.1312217194570135E-2</v>
      </c>
      <c r="L274" s="208">
        <f>Parameters!J1132</f>
        <v>9.0950633659049162E-3</v>
      </c>
      <c r="M274" s="208">
        <f>Parameters!K1132</f>
        <v>1.3529371023235355E-2</v>
      </c>
      <c r="N274" s="138" t="str">
        <f>Tp_Non_CHG!$H$11</f>
        <v>[Franck Maunoury et al.2015]</v>
      </c>
      <c r="AF274" s="205"/>
    </row>
    <row r="275" spans="2:32" s="206" customFormat="1" ht="26" customHeight="1" x14ac:dyDescent="0.2">
      <c r="B275" s="205"/>
      <c r="J275" s="207" t="str">
        <f>Parameters!E1133</f>
        <v>Transition Probability from state 1 to state 3 on day 10 (Non-CHG)</v>
      </c>
      <c r="K275" s="208">
        <f>Parameters!H1133</f>
        <v>2.2624434389140274E-3</v>
      </c>
      <c r="L275" s="208">
        <f>Parameters!J1133</f>
        <v>1.8190126731809835E-3</v>
      </c>
      <c r="M275" s="208">
        <f>Parameters!K1133</f>
        <v>2.7058742046470715E-3</v>
      </c>
      <c r="N275" s="138" t="str">
        <f>Tp_Non_CHG!$H$11</f>
        <v>[Franck Maunoury et al.2015]</v>
      </c>
      <c r="AF275" s="205"/>
    </row>
    <row r="276" spans="2:32" s="206" customFormat="1" ht="26" customHeight="1" x14ac:dyDescent="0.2">
      <c r="B276" s="205"/>
      <c r="J276" s="207" t="str">
        <f>Parameters!E1134</f>
        <v>Transition Probability from state 1 to state 4 on day 10 (Non-CHG)</v>
      </c>
      <c r="K276" s="208">
        <f>Parameters!H1134</f>
        <v>2.2624434389140274E-3</v>
      </c>
      <c r="L276" s="208">
        <f>Parameters!J1134</f>
        <v>1.8190126731809835E-3</v>
      </c>
      <c r="M276" s="208">
        <f>Parameters!K1134</f>
        <v>2.7058742046470715E-3</v>
      </c>
      <c r="N276" s="138" t="str">
        <f>Tp_Non_CHG!$H$11</f>
        <v>[Franck Maunoury et al.2015]</v>
      </c>
      <c r="AF276" s="205"/>
    </row>
    <row r="277" spans="2:32" s="206" customFormat="1" ht="26" customHeight="1" x14ac:dyDescent="0.2">
      <c r="B277" s="205"/>
      <c r="J277" s="207" t="str">
        <f>Parameters!E1135</f>
        <v>Transition Probability from state 1 to state 7 on day 10 (Non-CHG)</v>
      </c>
      <c r="K277" s="208">
        <f>Parameters!H1135</f>
        <v>5.4298642533936653E-2</v>
      </c>
      <c r="L277" s="208">
        <f>Parameters!J1135</f>
        <v>4.3656304156343598E-2</v>
      </c>
      <c r="M277" s="208">
        <f>Parameters!K1135</f>
        <v>6.4940980911529708E-2</v>
      </c>
      <c r="N277" s="138" t="str">
        <f>Tp_Non_CHG!$H$11</f>
        <v>[Franck Maunoury et al.2015]</v>
      </c>
      <c r="AF277" s="205"/>
    </row>
    <row r="278" spans="2:32" s="206" customFormat="1" ht="26" customHeight="1" x14ac:dyDescent="0.2">
      <c r="B278" s="205"/>
      <c r="J278" s="207" t="str">
        <f>Parameters!E1136</f>
        <v>Transition Probability from state 1 to state 8 on day 10 (Non-CHG)</v>
      </c>
      <c r="K278" s="208">
        <f>Parameters!H1136</f>
        <v>1.1312217194570135E-2</v>
      </c>
      <c r="L278" s="208">
        <f>Parameters!J1136</f>
        <v>9.0950633659049162E-3</v>
      </c>
      <c r="M278" s="208">
        <f>Parameters!K1136</f>
        <v>1.3529371023235355E-2</v>
      </c>
      <c r="N278" s="138" t="str">
        <f>Tp_Non_CHG!$H$11</f>
        <v>[Franck Maunoury et al.2015]</v>
      </c>
      <c r="AF278" s="205"/>
    </row>
    <row r="279" spans="2:32" s="206" customFormat="1" ht="26" customHeight="1" x14ac:dyDescent="0.2">
      <c r="B279" s="205"/>
      <c r="J279" s="207" t="str">
        <f>Parameters!E1137</f>
        <v>Transition Probability from state 1 to state 1 on day 11 (Non-CHG)</v>
      </c>
      <c r="K279" s="208">
        <f>Parameters!H1137</f>
        <v>0.92380952380952386</v>
      </c>
      <c r="L279" s="208">
        <f>Parameters!J1137</f>
        <v>0.74274618428534744</v>
      </c>
      <c r="M279" s="208">
        <f>Parameters!K1137</f>
        <v>1.1048728633337004</v>
      </c>
      <c r="N279" s="138" t="str">
        <f>Tp_Non_CHG!$H$11</f>
        <v>[Franck Maunoury et al.2015]</v>
      </c>
      <c r="AF279" s="205"/>
    </row>
    <row r="280" spans="2:32" s="206" customFormat="1" ht="26" customHeight="1" x14ac:dyDescent="0.2">
      <c r="B280" s="205"/>
      <c r="J280" s="207" t="str">
        <f>Parameters!E1138</f>
        <v>Transition Probability from state 1 to state 2 on day 11 (Non-CHG)</v>
      </c>
      <c r="K280" s="208">
        <f>Parameters!H1138</f>
        <v>2.3809523809523808E-2</v>
      </c>
      <c r="L280" s="208">
        <f>Parameters!J1138</f>
        <v>1.9142942893952252E-2</v>
      </c>
      <c r="M280" s="208">
        <f>Parameters!K1138</f>
        <v>2.8476104725095364E-2</v>
      </c>
      <c r="N280" s="138" t="str">
        <f>Tp_Non_CHG!$H$11</f>
        <v>[Franck Maunoury et al.2015]</v>
      </c>
      <c r="AF280" s="205"/>
    </row>
    <row r="281" spans="2:32" s="206" customFormat="1" ht="26" customHeight="1" x14ac:dyDescent="0.2">
      <c r="B281" s="205"/>
      <c r="J281" s="207" t="str">
        <f>Parameters!E1139</f>
        <v>Transition Probability from state 1 to state 4 on day 11 (Non-CHG)</v>
      </c>
      <c r="K281" s="208">
        <f>Parameters!H1139</f>
        <v>2.3809523809523812E-3</v>
      </c>
      <c r="L281" s="208">
        <f>Parameters!J1139</f>
        <v>1.9142942893952254E-3</v>
      </c>
      <c r="M281" s="208">
        <f>Parameters!K1139</f>
        <v>2.8476104725095367E-3</v>
      </c>
      <c r="N281" s="138" t="str">
        <f>Tp_Non_CHG!$H$11</f>
        <v>[Franck Maunoury et al.2015]</v>
      </c>
      <c r="AF281" s="205"/>
    </row>
    <row r="282" spans="2:32" s="206" customFormat="1" ht="26" customHeight="1" x14ac:dyDescent="0.2">
      <c r="B282" s="205"/>
      <c r="J282" s="207" t="str">
        <f>Parameters!E1140</f>
        <v>Transition Probability from state 1 to state 7 on day 11 (Non-CHG)</v>
      </c>
      <c r="K282" s="208">
        <f>Parameters!H1140</f>
        <v>3.3333333333333333E-2</v>
      </c>
      <c r="L282" s="208">
        <f>Parameters!J1140</f>
        <v>2.6800120051533153E-2</v>
      </c>
      <c r="M282" s="208">
        <f>Parameters!K1140</f>
        <v>3.9866546615133509E-2</v>
      </c>
      <c r="N282" s="138" t="str">
        <f>Tp_Non_CHG!$H$11</f>
        <v>[Franck Maunoury et al.2015]</v>
      </c>
      <c r="AF282" s="205"/>
    </row>
    <row r="283" spans="2:32" s="206" customFormat="1" ht="26" customHeight="1" x14ac:dyDescent="0.2">
      <c r="B283" s="205"/>
      <c r="J283" s="207" t="str">
        <f>Parameters!E1141</f>
        <v>Transition Probability from state 1 to state 8 on day 11 (Non-CHG)</v>
      </c>
      <c r="K283" s="208">
        <f>Parameters!H1141</f>
        <v>1.6666666666666666E-2</v>
      </c>
      <c r="L283" s="208">
        <f>Parameters!J1141</f>
        <v>1.3400060025766576E-2</v>
      </c>
      <c r="M283" s="208">
        <f>Parameters!K1141</f>
        <v>1.9933273307566755E-2</v>
      </c>
      <c r="N283" s="138" t="str">
        <f>Tp_Non_CHG!$H$11</f>
        <v>[Franck Maunoury et al.2015]</v>
      </c>
      <c r="AF283" s="205"/>
    </row>
    <row r="284" spans="2:32" s="206" customFormat="1" ht="26" customHeight="1" x14ac:dyDescent="0.2">
      <c r="B284" s="205"/>
      <c r="J284" s="207" t="str">
        <f>Parameters!E1142</f>
        <v>Transition Probability from state 1 to state 1 on day 12 (Non-CHG)</v>
      </c>
      <c r="K284" s="208">
        <f>Parameters!H1142</f>
        <v>0.90101522842639592</v>
      </c>
      <c r="L284" s="208">
        <f>Parameters!J1142</f>
        <v>0.7244194887026093</v>
      </c>
      <c r="M284" s="208">
        <f>Parameters!K1142</f>
        <v>1.0776109681501824</v>
      </c>
      <c r="N284" s="138" t="str">
        <f>Tp_Non_CHG!$H$11</f>
        <v>[Franck Maunoury et al.2015]</v>
      </c>
      <c r="AF284" s="205"/>
    </row>
    <row r="285" spans="2:32" s="206" customFormat="1" ht="26" customHeight="1" x14ac:dyDescent="0.2">
      <c r="B285" s="205"/>
      <c r="J285" s="207" t="str">
        <f>Parameters!E1143</f>
        <v>Transition Probability from state 1 to state 2 on day 12 (Non-CHG)</v>
      </c>
      <c r="K285" s="208">
        <f>Parameters!H1143</f>
        <v>1.7766497461928935E-2</v>
      </c>
      <c r="L285" s="208">
        <f>Parameters!J1143</f>
        <v>1.4284327946248636E-2</v>
      </c>
      <c r="M285" s="208">
        <f>Parameters!K1143</f>
        <v>2.1248666977609233E-2</v>
      </c>
      <c r="N285" s="138" t="str">
        <f>Tp_Non_CHG!$H$11</f>
        <v>[Franck Maunoury et al.2015]</v>
      </c>
      <c r="AF285" s="205"/>
    </row>
    <row r="286" spans="2:32" s="206" customFormat="1" ht="26" customHeight="1" x14ac:dyDescent="0.2">
      <c r="B286" s="205"/>
      <c r="J286" s="207" t="str">
        <f>Parameters!E1144</f>
        <v>Transition Probability from state 1 to state 3 on day 12 (Non-CHG)</v>
      </c>
      <c r="K286" s="208">
        <f>Parameters!H1144</f>
        <v>2.5380710659898475E-3</v>
      </c>
      <c r="L286" s="208">
        <f>Parameters!J1144</f>
        <v>2.0406182780355192E-3</v>
      </c>
      <c r="M286" s="208">
        <f>Parameters!K1144</f>
        <v>3.0355238539441758E-3</v>
      </c>
      <c r="N286" s="138" t="str">
        <f>Tp_Non_CHG!$H$11</f>
        <v>[Franck Maunoury et al.2015]</v>
      </c>
      <c r="AF286" s="205"/>
    </row>
    <row r="287" spans="2:32" s="206" customFormat="1" ht="26" customHeight="1" x14ac:dyDescent="0.2">
      <c r="B287" s="205"/>
      <c r="J287" s="207" t="str">
        <f>Parameters!E1145</f>
        <v>Transition Probability from state 1 to state 4 on day 12 (Non-CHG)</v>
      </c>
      <c r="K287" s="208">
        <f>Parameters!H1145</f>
        <v>2.5380710659898475E-3</v>
      </c>
      <c r="L287" s="208">
        <f>Parameters!J1145</f>
        <v>2.0406182780355192E-3</v>
      </c>
      <c r="M287" s="208">
        <f>Parameters!K1145</f>
        <v>3.0355238539441758E-3</v>
      </c>
      <c r="N287" s="138" t="str">
        <f>Tp_Non_CHG!$H$11</f>
        <v>[Franck Maunoury et al.2015]</v>
      </c>
      <c r="AF287" s="205"/>
    </row>
    <row r="288" spans="2:32" s="206" customFormat="1" ht="26" customHeight="1" x14ac:dyDescent="0.2">
      <c r="B288" s="205"/>
      <c r="J288" s="207" t="str">
        <f>Parameters!E1146</f>
        <v>Transition Probability from state 1 to state 5 on day 12 (Non-CHG)</v>
      </c>
      <c r="K288" s="208">
        <f>Parameters!H1146</f>
        <v>2.5380710659898475E-3</v>
      </c>
      <c r="L288" s="208">
        <f>Parameters!J1146</f>
        <v>2.0406182780355192E-3</v>
      </c>
      <c r="M288" s="208">
        <f>Parameters!K1146</f>
        <v>3.0355238539441758E-3</v>
      </c>
      <c r="N288" s="138" t="str">
        <f>Tp_Non_CHG!$H$11</f>
        <v>[Franck Maunoury et al.2015]</v>
      </c>
      <c r="AF288" s="205"/>
    </row>
    <row r="289" spans="2:32" s="206" customFormat="1" ht="26" customHeight="1" x14ac:dyDescent="0.2">
      <c r="B289" s="205"/>
      <c r="J289" s="207" t="str">
        <f>Parameters!E1147</f>
        <v>Transition Probability from state 1 to state 7 on day 12 (Non-CHG)</v>
      </c>
      <c r="K289" s="208">
        <f>Parameters!H1147</f>
        <v>4.8223350253807105E-2</v>
      </c>
      <c r="L289" s="208">
        <f>Parameters!J1147</f>
        <v>3.8771747282674865E-2</v>
      </c>
      <c r="M289" s="208">
        <f>Parameters!K1147</f>
        <v>5.7674953224939346E-2</v>
      </c>
      <c r="N289" s="138" t="str">
        <f>Tp_Non_CHG!$H$11</f>
        <v>[Franck Maunoury et al.2015]</v>
      </c>
      <c r="AF289" s="205"/>
    </row>
    <row r="290" spans="2:32" s="206" customFormat="1" ht="26" customHeight="1" x14ac:dyDescent="0.2">
      <c r="B290" s="205"/>
      <c r="J290" s="207" t="str">
        <f>Parameters!E1148</f>
        <v>Transition Probability from state 1 to state 8 on day 12 (Non-CHG)</v>
      </c>
      <c r="K290" s="208">
        <f>Parameters!H1148</f>
        <v>2.5380710659898477E-2</v>
      </c>
      <c r="L290" s="208">
        <f>Parameters!J1148</f>
        <v>2.0406182780355192E-2</v>
      </c>
      <c r="M290" s="208">
        <f>Parameters!K1148</f>
        <v>3.0355238539441762E-2</v>
      </c>
      <c r="N290" s="138" t="str">
        <f>Tp_Non_CHG!$H$11</f>
        <v>[Franck Maunoury et al.2015]</v>
      </c>
      <c r="AF290" s="205"/>
    </row>
    <row r="291" spans="2:32" s="206" customFormat="1" ht="26" customHeight="1" x14ac:dyDescent="0.2">
      <c r="B291" s="205"/>
      <c r="J291" s="207" t="str">
        <f>Parameters!E1149</f>
        <v>Transition Probability from state 1 to state 1 on day 13 (Non-CHG)</v>
      </c>
      <c r="K291" s="208">
        <f>Parameters!H1149</f>
        <v>0.89589041095890409</v>
      </c>
      <c r="L291" s="208">
        <f>Parameters!J1149</f>
        <v>0.72029911700148008</v>
      </c>
      <c r="M291" s="208">
        <f>Parameters!K1149</f>
        <v>1.0714817049163281</v>
      </c>
      <c r="N291" s="138" t="str">
        <f>Tp_Non_CHG!$H$11</f>
        <v>[Franck Maunoury et al.2015]</v>
      </c>
      <c r="AF291" s="205"/>
    </row>
    <row r="292" spans="2:32" s="206" customFormat="1" ht="26" customHeight="1" x14ac:dyDescent="0.2">
      <c r="B292" s="205"/>
      <c r="J292" s="207" t="str">
        <f>Parameters!E1150</f>
        <v>Transition Probability from state 1 to state 2 on day 13 (Non-CHG)</v>
      </c>
      <c r="K292" s="208">
        <f>Parameters!H1150</f>
        <v>3.5616438356164383E-2</v>
      </c>
      <c r="L292" s="208">
        <f>Parameters!J1150</f>
        <v>2.8635744712597069E-2</v>
      </c>
      <c r="M292" s="208">
        <f>Parameters!K1150</f>
        <v>4.2597131999731697E-2</v>
      </c>
      <c r="N292" s="138" t="str">
        <f>Tp_Non_CHG!$H$11</f>
        <v>[Franck Maunoury et al.2015]</v>
      </c>
      <c r="AF292" s="205"/>
    </row>
    <row r="293" spans="2:32" s="206" customFormat="1" ht="26" customHeight="1" x14ac:dyDescent="0.2">
      <c r="B293" s="205"/>
      <c r="J293" s="207" t="str">
        <f>Parameters!E1151</f>
        <v>Transition Probability from state 1 to state 3 on day 13 (Non-CHG)</v>
      </c>
      <c r="K293" s="208">
        <f>Parameters!H1151</f>
        <v>2.7397260273972603E-3</v>
      </c>
      <c r="L293" s="208">
        <f>Parameters!J1151</f>
        <v>2.2027495932766977E-3</v>
      </c>
      <c r="M293" s="208">
        <f>Parameters!K1151</f>
        <v>3.2767024615178229E-3</v>
      </c>
      <c r="N293" s="138" t="str">
        <f>Tp_Non_CHG!$H$11</f>
        <v>[Franck Maunoury et al.2015]</v>
      </c>
      <c r="AF293" s="205"/>
    </row>
    <row r="294" spans="2:32" s="206" customFormat="1" ht="26" customHeight="1" x14ac:dyDescent="0.2">
      <c r="B294" s="205"/>
      <c r="J294" s="207" t="str">
        <f>Parameters!E1152</f>
        <v>Transition Probability from state 1 to state 7 on day 13 (Non-CHG)</v>
      </c>
      <c r="K294" s="208">
        <f>Parameters!H1152</f>
        <v>4.6575342465753428E-2</v>
      </c>
      <c r="L294" s="208">
        <f>Parameters!J1152</f>
        <v>3.7446743085703858E-2</v>
      </c>
      <c r="M294" s="208">
        <f>Parameters!K1152</f>
        <v>5.570394184580299E-2</v>
      </c>
      <c r="N294" s="138" t="str">
        <f>Tp_Non_CHG!$H$11</f>
        <v>[Franck Maunoury et al.2015]</v>
      </c>
      <c r="AF294" s="205"/>
    </row>
    <row r="295" spans="2:32" s="206" customFormat="1" ht="26" customHeight="1" x14ac:dyDescent="0.2">
      <c r="B295" s="205"/>
      <c r="J295" s="207" t="str">
        <f>Parameters!E1153</f>
        <v>Transition Probability from state 1 to state 8 on day 13 (Non-CHG)</v>
      </c>
      <c r="K295" s="208">
        <f>Parameters!H1153</f>
        <v>1.9178082191780823E-2</v>
      </c>
      <c r="L295" s="208">
        <f>Parameters!J1153</f>
        <v>1.5419247152936884E-2</v>
      </c>
      <c r="M295" s="208">
        <f>Parameters!K1153</f>
        <v>2.2936917230624763E-2</v>
      </c>
      <c r="N295" s="138" t="str">
        <f>Tp_Non_CHG!$H$11</f>
        <v>[Franck Maunoury et al.2015]</v>
      </c>
      <c r="AF295" s="205"/>
    </row>
    <row r="296" spans="2:32" s="206" customFormat="1" ht="26" customHeight="1" x14ac:dyDescent="0.2">
      <c r="B296" s="205"/>
      <c r="J296" s="207" t="str">
        <f>Parameters!E1154</f>
        <v>Transition Probability from state 1 to state 1 on day 14 (Non-CHG)</v>
      </c>
      <c r="K296" s="208">
        <f>Parameters!H1154</f>
        <v>0.9196428571428571</v>
      </c>
      <c r="L296" s="208">
        <f>Parameters!J1154</f>
        <v>0.73939616927890572</v>
      </c>
      <c r="M296" s="208">
        <f>Parameters!K1154</f>
        <v>1.0998895450068085</v>
      </c>
      <c r="N296" s="138" t="str">
        <f>Tp_Non_CHG!$H$11</f>
        <v>[Franck Maunoury et al.2015]</v>
      </c>
      <c r="AF296" s="205"/>
    </row>
    <row r="297" spans="2:32" s="206" customFormat="1" ht="26" customHeight="1" x14ac:dyDescent="0.2">
      <c r="B297" s="205"/>
      <c r="J297" s="207" t="str">
        <f>Parameters!E1155</f>
        <v>Transition Probability from state 1 to state 2 on day 14 (Non-CHG)</v>
      </c>
      <c r="K297" s="208">
        <f>Parameters!H1155</f>
        <v>1.488095238095238E-2</v>
      </c>
      <c r="L297" s="208">
        <f>Parameters!J1155</f>
        <v>1.1964339308720158E-2</v>
      </c>
      <c r="M297" s="208">
        <f>Parameters!K1155</f>
        <v>1.7797565453184602E-2</v>
      </c>
      <c r="N297" s="138" t="str">
        <f>Tp_Non_CHG!$H$11</f>
        <v>[Franck Maunoury et al.2015]</v>
      </c>
      <c r="AF297" s="205"/>
    </row>
    <row r="298" spans="2:32" s="206" customFormat="1" ht="26" customHeight="1" x14ac:dyDescent="0.2">
      <c r="B298" s="205"/>
      <c r="J298" s="207" t="str">
        <f>Parameters!E1156</f>
        <v>Transition Probability from state 1 to state 7 on day 14 (Non-CHG)</v>
      </c>
      <c r="K298" s="208">
        <f>Parameters!H1156</f>
        <v>4.7619047619047616E-2</v>
      </c>
      <c r="L298" s="208">
        <f>Parameters!J1156</f>
        <v>3.8285885787904504E-2</v>
      </c>
      <c r="M298" s="208">
        <f>Parameters!K1156</f>
        <v>5.6952209450190729E-2</v>
      </c>
      <c r="N298" s="138" t="str">
        <f>Tp_Non_CHG!$H$11</f>
        <v>[Franck Maunoury et al.2015]</v>
      </c>
      <c r="AF298" s="205"/>
    </row>
    <row r="299" spans="2:32" s="206" customFormat="1" ht="26" customHeight="1" x14ac:dyDescent="0.2">
      <c r="B299" s="205"/>
      <c r="J299" s="207" t="str">
        <f>Parameters!E1157</f>
        <v>Transition Probability from state 1 to state 8 on day 14 (Non-CHG)</v>
      </c>
      <c r="K299" s="208">
        <f>Parameters!H1157</f>
        <v>1.7857142857142856E-2</v>
      </c>
      <c r="L299" s="208">
        <f>Parameters!J1157</f>
        <v>1.4357207170464188E-2</v>
      </c>
      <c r="M299" s="208">
        <f>Parameters!K1157</f>
        <v>2.1357078543821524E-2</v>
      </c>
      <c r="N299" s="138" t="str">
        <f>Tp_Non_CHG!$H$11</f>
        <v>[Franck Maunoury et al.2015]</v>
      </c>
      <c r="AF299" s="205"/>
    </row>
    <row r="300" spans="2:32" s="206" customFormat="1" ht="26" customHeight="1" x14ac:dyDescent="0.2">
      <c r="B300" s="205"/>
      <c r="J300" s="207" t="str">
        <f>Parameters!E1158</f>
        <v>Transition Probability from state 1 to state 1 on day 15 (Non-CHG)</v>
      </c>
      <c r="K300" s="208">
        <f>Parameters!H1158</f>
        <v>0.90372670807453415</v>
      </c>
      <c r="L300" s="208">
        <f>Parameters!J1158</f>
        <v>0.7265995281052311</v>
      </c>
      <c r="M300" s="208">
        <f>Parameters!K1158</f>
        <v>1.0808538880438372</v>
      </c>
      <c r="N300" s="138" t="str">
        <f>Tp_Non_CHG!$H$11</f>
        <v>[Franck Maunoury et al.2015]</v>
      </c>
      <c r="AF300" s="205"/>
    </row>
    <row r="301" spans="2:32" s="206" customFormat="1" ht="26" customHeight="1" x14ac:dyDescent="0.2">
      <c r="B301" s="205"/>
      <c r="J301" s="207" t="str">
        <f>Parameters!E1159</f>
        <v>Transition Probability from state 1 to state 2 on day 15 (Non-CHG)</v>
      </c>
      <c r="K301" s="208">
        <f>Parameters!H1159</f>
        <v>2.7950310559006212E-2</v>
      </c>
      <c r="L301" s="208">
        <f>Parameters!J1159</f>
        <v>2.2472150353770037E-2</v>
      </c>
      <c r="M301" s="208">
        <f>Parameters!K1159</f>
        <v>3.3428470764242386E-2</v>
      </c>
      <c r="N301" s="138" t="str">
        <f>Tp_Non_CHG!$H$11</f>
        <v>[Franck Maunoury et al.2015]</v>
      </c>
      <c r="AF301" s="205"/>
    </row>
    <row r="302" spans="2:32" s="206" customFormat="1" ht="26" customHeight="1" x14ac:dyDescent="0.2">
      <c r="B302" s="205"/>
      <c r="J302" s="207" t="str">
        <f>Parameters!E1160</f>
        <v>Transition Probability from state 1 to state 7 on day 15 (Non-CHG)</v>
      </c>
      <c r="K302" s="208">
        <f>Parameters!H1160</f>
        <v>4.6583850931677016E-2</v>
      </c>
      <c r="L302" s="208">
        <f>Parameters!J1160</f>
        <v>3.7453583922950055E-2</v>
      </c>
      <c r="M302" s="208">
        <f>Parameters!K1160</f>
        <v>5.571411794040397E-2</v>
      </c>
      <c r="N302" s="138" t="str">
        <f>Tp_Non_CHG!$H$11</f>
        <v>[Franck Maunoury et al.2015]</v>
      </c>
      <c r="AF302" s="205"/>
    </row>
    <row r="303" spans="2:32" s="206" customFormat="1" ht="26" customHeight="1" x14ac:dyDescent="0.2">
      <c r="B303" s="205"/>
      <c r="J303" s="207" t="str">
        <f>Parameters!E1161</f>
        <v>Transition Probability from state 1 to state 8 on day 15 (Non-CHG)</v>
      </c>
      <c r="K303" s="208">
        <f>Parameters!H1161</f>
        <v>2.1739130434782608E-2</v>
      </c>
      <c r="L303" s="208">
        <f>Parameters!J1161</f>
        <v>1.7478339164043361E-2</v>
      </c>
      <c r="M303" s="208">
        <f>Parameters!K1161</f>
        <v>2.5999921705521855E-2</v>
      </c>
      <c r="N303" s="138" t="str">
        <f>Tp_Non_CHG!$H$11</f>
        <v>[Franck Maunoury et al.2015]</v>
      </c>
      <c r="AF303" s="205"/>
    </row>
    <row r="304" spans="2:32" s="206" customFormat="1" ht="26" customHeight="1" x14ac:dyDescent="0.2">
      <c r="B304" s="205"/>
      <c r="J304" s="207" t="str">
        <f>Parameters!E1162</f>
        <v>Transition Probability from state 1 to state 1 on day 16 (Non-CHG)</v>
      </c>
      <c r="K304" s="208">
        <f>Parameters!H1162</f>
        <v>0.90847457627118644</v>
      </c>
      <c r="L304" s="208">
        <f>Parameters!J1162</f>
        <v>0.73041683123500523</v>
      </c>
      <c r="M304" s="208">
        <f>Parameters!K1162</f>
        <v>1.0865323213073677</v>
      </c>
      <c r="N304" s="138" t="str">
        <f>Tp_Non_CHG!$H$11</f>
        <v>[Franck Maunoury et al.2015]</v>
      </c>
      <c r="AF304" s="205"/>
    </row>
    <row r="305" spans="2:32" s="206" customFormat="1" ht="26" customHeight="1" x14ac:dyDescent="0.2">
      <c r="B305" s="205"/>
      <c r="J305" s="207" t="str">
        <f>Parameters!E1163</f>
        <v>Transition Probability from state 1 to state 2 on day 16 (Non-CHG)</v>
      </c>
      <c r="K305" s="208">
        <f>Parameters!H1163</f>
        <v>2.3728813559322035E-2</v>
      </c>
      <c r="L305" s="208">
        <f>Parameters!J1163</f>
        <v>1.9078051562108348E-2</v>
      </c>
      <c r="M305" s="208">
        <f>Parameters!K1163</f>
        <v>2.8379575556535721E-2</v>
      </c>
      <c r="N305" s="138" t="str">
        <f>Tp_Non_CHG!$H$11</f>
        <v>[Franck Maunoury et al.2015]</v>
      </c>
      <c r="AF305" s="205"/>
    </row>
    <row r="306" spans="2:32" s="206" customFormat="1" ht="26" customHeight="1" x14ac:dyDescent="0.2">
      <c r="B306" s="205"/>
      <c r="J306" s="207" t="str">
        <f>Parameters!E1164</f>
        <v>Transition Probability from state 1 to state 7 on day 16 (Non-CHG)</v>
      </c>
      <c r="K306" s="208">
        <f>Parameters!H1164</f>
        <v>5.4237288135593219E-2</v>
      </c>
      <c r="L306" s="208">
        <f>Parameters!J1164</f>
        <v>4.3606974999104792E-2</v>
      </c>
      <c r="M306" s="208">
        <f>Parameters!K1164</f>
        <v>6.4867601272081646E-2</v>
      </c>
      <c r="N306" s="138" t="str">
        <f>Tp_Non_CHG!$H$11</f>
        <v>[Franck Maunoury et al.2015]</v>
      </c>
      <c r="AF306" s="205"/>
    </row>
    <row r="307" spans="2:32" s="206" customFormat="1" ht="26" customHeight="1" x14ac:dyDescent="0.2">
      <c r="B307" s="205"/>
      <c r="J307" s="207" t="str">
        <f>Parameters!E1165</f>
        <v>Transition Probability from state 1 to state 8 on day 16 (Non-CHG)</v>
      </c>
      <c r="K307" s="208">
        <f>Parameters!H1165</f>
        <v>1.3559322033898305E-2</v>
      </c>
      <c r="L307" s="208">
        <f>Parameters!J1165</f>
        <v>1.0901743749776198E-2</v>
      </c>
      <c r="M307" s="208">
        <f>Parameters!K1165</f>
        <v>1.6216900318020411E-2</v>
      </c>
      <c r="N307" s="138" t="str">
        <f>Tp_Non_CHG!$H$11</f>
        <v>[Franck Maunoury et al.2015]</v>
      </c>
      <c r="AF307" s="205"/>
    </row>
    <row r="308" spans="2:32" s="206" customFormat="1" ht="26" customHeight="1" x14ac:dyDescent="0.2">
      <c r="B308" s="205"/>
      <c r="J308" s="207" t="str">
        <f>Parameters!E1166</f>
        <v>Transition Probability from state 1 to state 1 on day 17 (Non-CHG)</v>
      </c>
      <c r="K308" s="208">
        <f>Parameters!H1166</f>
        <v>0.91335740072202165</v>
      </c>
      <c r="L308" s="208">
        <f>Parameters!J1166</f>
        <v>0.73434263967919367</v>
      </c>
      <c r="M308" s="208">
        <f>Parameters!K1166</f>
        <v>1.0923721617648496</v>
      </c>
      <c r="N308" s="138" t="str">
        <f>Tp_Non_CHG!$H$11</f>
        <v>[Franck Maunoury et al.2015]</v>
      </c>
      <c r="AF308" s="205"/>
    </row>
    <row r="309" spans="2:32" s="206" customFormat="1" ht="26" customHeight="1" x14ac:dyDescent="0.2">
      <c r="B309" s="205"/>
      <c r="J309" s="207" t="str">
        <f>Parameters!E1167</f>
        <v>Transition Probability from state 1 to state 2 on day 17 (Non-CHG)</v>
      </c>
      <c r="K309" s="208">
        <f>Parameters!H1167</f>
        <v>2.1660649819494584E-2</v>
      </c>
      <c r="L309" s="208">
        <f>Parameters!J1167</f>
        <v>1.7415240466700243E-2</v>
      </c>
      <c r="M309" s="208">
        <f>Parameters!K1167</f>
        <v>2.5906059172288925E-2</v>
      </c>
      <c r="N309" s="138" t="str">
        <f>Tp_Non_CHG!$H$11</f>
        <v>[Franck Maunoury et al.2015]</v>
      </c>
      <c r="AF309" s="205"/>
    </row>
    <row r="310" spans="2:32" s="206" customFormat="1" ht="26" customHeight="1" x14ac:dyDescent="0.2">
      <c r="B310" s="205"/>
      <c r="J310" s="207" t="str">
        <f>Parameters!E1168</f>
        <v>Transition Probability from state 1 to state 4 on day 17 (Non-CHG)</v>
      </c>
      <c r="K310" s="208">
        <f>Parameters!H1168</f>
        <v>3.6101083032490976E-3</v>
      </c>
      <c r="L310" s="208">
        <f>Parameters!J1168</f>
        <v>2.9025400777833743E-3</v>
      </c>
      <c r="M310" s="208">
        <f>Parameters!K1168</f>
        <v>4.3176765287148214E-3</v>
      </c>
      <c r="N310" s="138" t="str">
        <f>Tp_Non_CHG!$H$11</f>
        <v>[Franck Maunoury et al.2015]</v>
      </c>
      <c r="AF310" s="205"/>
    </row>
    <row r="311" spans="2:32" s="206" customFormat="1" ht="26" customHeight="1" x14ac:dyDescent="0.2">
      <c r="B311" s="205"/>
      <c r="J311" s="207" t="str">
        <f>Parameters!E1169</f>
        <v>Transition Probability from state 1 to state 5 on day 17 (Non-CHG)</v>
      </c>
      <c r="K311" s="208">
        <f>Parameters!H1169</f>
        <v>3.6101083032490976E-3</v>
      </c>
      <c r="L311" s="208">
        <f>Parameters!J1169</f>
        <v>2.9025400777833743E-3</v>
      </c>
      <c r="M311" s="208">
        <f>Parameters!K1169</f>
        <v>4.3176765287148214E-3</v>
      </c>
      <c r="N311" s="138" t="str">
        <f>Tp_Non_CHG!$H$11</f>
        <v>[Franck Maunoury et al.2015]</v>
      </c>
      <c r="AF311" s="205"/>
    </row>
    <row r="312" spans="2:32" s="206" customFormat="1" ht="26" customHeight="1" x14ac:dyDescent="0.2">
      <c r="B312" s="205"/>
      <c r="J312" s="207" t="str">
        <f>Parameters!E1170</f>
        <v>Transition Probability from state 1 to state 7 on day 17 (Non-CHG)</v>
      </c>
      <c r="K312" s="208">
        <f>Parameters!H1170</f>
        <v>4.3321299638989168E-2</v>
      </c>
      <c r="L312" s="208">
        <f>Parameters!J1170</f>
        <v>3.4830480933400486E-2</v>
      </c>
      <c r="M312" s="208">
        <f>Parameters!K1170</f>
        <v>5.181211834457785E-2</v>
      </c>
      <c r="N312" s="138" t="str">
        <f>Tp_Non_CHG!$H$11</f>
        <v>[Franck Maunoury et al.2015]</v>
      </c>
      <c r="AF312" s="205"/>
    </row>
    <row r="313" spans="2:32" s="206" customFormat="1" ht="26" customHeight="1" x14ac:dyDescent="0.2">
      <c r="B313" s="205"/>
      <c r="J313" s="207" t="str">
        <f>Parameters!E1171</f>
        <v>Transition Probability from state 1 to state 8 on day 17 (Non-CHG)</v>
      </c>
      <c r="K313" s="208">
        <f>Parameters!H1171</f>
        <v>1.444043321299639E-2</v>
      </c>
      <c r="L313" s="208">
        <f>Parameters!J1171</f>
        <v>1.1610160311133497E-2</v>
      </c>
      <c r="M313" s="208">
        <f>Parameters!K1171</f>
        <v>1.7270706114859286E-2</v>
      </c>
      <c r="N313" s="138" t="str">
        <f>Tp_Non_CHG!$H$11</f>
        <v>[Franck Maunoury et al.2015]</v>
      </c>
      <c r="AF313" s="205"/>
    </row>
    <row r="314" spans="2:32" s="206" customFormat="1" ht="26" customHeight="1" x14ac:dyDescent="0.2">
      <c r="B314" s="205"/>
      <c r="J314" s="207" t="str">
        <f>Parameters!E1172</f>
        <v>Transition Probability from state 1 to state 1 on day 18 (Non-CHG)</v>
      </c>
      <c r="K314" s="208">
        <f>Parameters!H1172</f>
        <v>0.90769230769230769</v>
      </c>
      <c r="L314" s="208">
        <f>Parameters!J1172</f>
        <v>0.72978788448021048</v>
      </c>
      <c r="M314" s="208">
        <f>Parameters!K1172</f>
        <v>1.0855967309044048</v>
      </c>
      <c r="N314" s="138" t="str">
        <f>Tp_Non_CHG!$H$11</f>
        <v>[Franck Maunoury et al.2015]</v>
      </c>
      <c r="AF314" s="205"/>
    </row>
    <row r="315" spans="2:32" s="206" customFormat="1" ht="26" customHeight="1" x14ac:dyDescent="0.2">
      <c r="B315" s="205"/>
      <c r="J315" s="207" t="str">
        <f>Parameters!E1173</f>
        <v>Transition Probability from state 1 to state 2 on day 18 (Non-CHG)</v>
      </c>
      <c r="K315" s="208">
        <f>Parameters!H1173</f>
        <v>4.230769230769231E-2</v>
      </c>
      <c r="L315" s="208">
        <f>Parameters!J1173</f>
        <v>3.4015536988484391E-2</v>
      </c>
      <c r="M315" s="208">
        <f>Parameters!K1173</f>
        <v>5.059984762690023E-2</v>
      </c>
      <c r="N315" s="138" t="str">
        <f>Tp_Non_CHG!$H$11</f>
        <v>[Franck Maunoury et al.2015]</v>
      </c>
      <c r="AF315" s="205"/>
    </row>
    <row r="316" spans="2:32" s="206" customFormat="1" ht="26" customHeight="1" x14ac:dyDescent="0.2">
      <c r="B316" s="205"/>
      <c r="J316" s="207" t="str">
        <f>Parameters!E1174</f>
        <v>Transition Probability from state 1 to state 4 on day 18 (Non-CHG)</v>
      </c>
      <c r="K316" s="208">
        <f>Parameters!H1174</f>
        <v>3.8461538461538464E-3</v>
      </c>
      <c r="L316" s="208">
        <f>Parameters!J1174</f>
        <v>3.0923215444076716E-3</v>
      </c>
      <c r="M316" s="208">
        <f>Parameters!K1174</f>
        <v>4.5999861479000207E-3</v>
      </c>
      <c r="N316" s="138" t="str">
        <f>Tp_Non_CHG!$H$11</f>
        <v>[Franck Maunoury et al.2015]</v>
      </c>
      <c r="AF316" s="205"/>
    </row>
    <row r="317" spans="2:32" s="206" customFormat="1" ht="26" customHeight="1" x14ac:dyDescent="0.2">
      <c r="B317" s="205"/>
      <c r="J317" s="207" t="str">
        <f>Parameters!E1175</f>
        <v>Transition Probability from state 1 to state 7 on day 18 (Non-CHG)</v>
      </c>
      <c r="K317" s="208">
        <f>Parameters!H1175</f>
        <v>2.6923076923076925E-2</v>
      </c>
      <c r="L317" s="208">
        <f>Parameters!J1175</f>
        <v>2.1646250810853702E-2</v>
      </c>
      <c r="M317" s="208">
        <f>Parameters!K1175</f>
        <v>3.2199903035300147E-2</v>
      </c>
      <c r="N317" s="138" t="str">
        <f>Tp_Non_CHG!$H$11</f>
        <v>[Franck Maunoury et al.2015]</v>
      </c>
      <c r="AF317" s="205"/>
    </row>
    <row r="318" spans="2:32" s="206" customFormat="1" ht="26" customHeight="1" x14ac:dyDescent="0.2">
      <c r="B318" s="205"/>
      <c r="J318" s="207" t="str">
        <f>Parameters!E1176</f>
        <v>Transition Probability from state 1 to state 8 on day 18 (Non-CHG)</v>
      </c>
      <c r="K318" s="208">
        <f>Parameters!H1176</f>
        <v>1.9230769230769232E-2</v>
      </c>
      <c r="L318" s="208">
        <f>Parameters!J1176</f>
        <v>1.5461607722038358E-2</v>
      </c>
      <c r="M318" s="208">
        <f>Parameters!K1176</f>
        <v>2.2999930739500105E-2</v>
      </c>
      <c r="N318" s="138" t="str">
        <f>Tp_Non_CHG!$H$11</f>
        <v>[Franck Maunoury et al.2015]</v>
      </c>
      <c r="AF318" s="205"/>
    </row>
    <row r="319" spans="2:32" s="206" customFormat="1" ht="26" customHeight="1" x14ac:dyDescent="0.2">
      <c r="B319" s="205"/>
      <c r="J319" s="207" t="str">
        <f>Parameters!E1177</f>
        <v>Transition Probability from state 1 to state 1 on day 19 (Non-CHG)</v>
      </c>
      <c r="K319" s="208">
        <f>Parameters!H1177</f>
        <v>0.87190082644628097</v>
      </c>
      <c r="L319" s="208">
        <f>Parameters!J1177</f>
        <v>0.70101140465373912</v>
      </c>
      <c r="M319" s="208">
        <f>Parameters!K1177</f>
        <v>1.0427902482388229</v>
      </c>
      <c r="N319" s="138" t="str">
        <f>Tp_Non_CHG!$H$11</f>
        <v>[Franck Maunoury et al.2015]</v>
      </c>
      <c r="AF319" s="205"/>
    </row>
    <row r="320" spans="2:32" s="206" customFormat="1" ht="26" customHeight="1" x14ac:dyDescent="0.2">
      <c r="B320" s="205"/>
      <c r="J320" s="207" t="str">
        <f>Parameters!E1178</f>
        <v>Transition Probability from state 1 to state 2 on day 19 (Non-CHG)</v>
      </c>
      <c r="K320" s="208">
        <f>Parameters!H1178</f>
        <v>2.8925619834710745E-2</v>
      </c>
      <c r="L320" s="208">
        <f>Parameters!J1178</f>
        <v>2.3256302524057696E-2</v>
      </c>
      <c r="M320" s="208">
        <f>Parameters!K1178</f>
        <v>3.4594937145363797E-2</v>
      </c>
      <c r="N320" s="138" t="str">
        <f>Tp_Non_CHG!$H$11</f>
        <v>[Franck Maunoury et al.2015]</v>
      </c>
      <c r="AF320" s="205"/>
    </row>
    <row r="321" spans="2:32" s="206" customFormat="1" ht="26" customHeight="1" x14ac:dyDescent="0.2">
      <c r="B321" s="205"/>
      <c r="J321" s="207" t="str">
        <f>Parameters!E1179</f>
        <v>Transition Probability from state 1 to state 4 on day 19 (Non-CHG)</v>
      </c>
      <c r="K321" s="208">
        <f>Parameters!H1179</f>
        <v>4.1322314049586778E-3</v>
      </c>
      <c r="L321" s="208">
        <f>Parameters!J1179</f>
        <v>3.3223289320082421E-3</v>
      </c>
      <c r="M321" s="208">
        <f>Parameters!K1179</f>
        <v>4.9421338779091131E-3</v>
      </c>
      <c r="N321" s="138" t="str">
        <f>Tp_Non_CHG!$H$11</f>
        <v>[Franck Maunoury et al.2015]</v>
      </c>
      <c r="AF321" s="205"/>
    </row>
    <row r="322" spans="2:32" s="206" customFormat="1" ht="26" customHeight="1" x14ac:dyDescent="0.2">
      <c r="B322" s="205"/>
      <c r="J322" s="207" t="str">
        <f>Parameters!E1180</f>
        <v>Transition Probability from state 1 to state 7 on day 19 (Non-CHG)</v>
      </c>
      <c r="K322" s="208">
        <f>Parameters!H1180</f>
        <v>4.9586776859504134E-2</v>
      </c>
      <c r="L322" s="208">
        <f>Parameters!J1180</f>
        <v>3.9867947184098904E-2</v>
      </c>
      <c r="M322" s="208">
        <f>Parameters!K1180</f>
        <v>5.9305606534909357E-2</v>
      </c>
      <c r="N322" s="138" t="str">
        <f>Tp_Non_CHG!$H$11</f>
        <v>[Franck Maunoury et al.2015]</v>
      </c>
      <c r="AF322" s="205"/>
    </row>
    <row r="323" spans="2:32" s="206" customFormat="1" ht="26" customHeight="1" x14ac:dyDescent="0.2">
      <c r="B323" s="205"/>
      <c r="J323" s="207" t="str">
        <f>Parameters!E1181</f>
        <v>Transition Probability from state 1 to state 8 on day 19 (Non-CHG)</v>
      </c>
      <c r="K323" s="208">
        <f>Parameters!H1181</f>
        <v>4.5454545454545456E-2</v>
      </c>
      <c r="L323" s="208">
        <f>Parameters!J1181</f>
        <v>3.6545618252090663E-2</v>
      </c>
      <c r="M323" s="208">
        <f>Parameters!K1181</f>
        <v>5.4363472657000242E-2</v>
      </c>
      <c r="N323" s="138" t="str">
        <f>Tp_Non_CHG!$H$11</f>
        <v>[Franck Maunoury et al.2015]</v>
      </c>
      <c r="AF323" s="205"/>
    </row>
    <row r="324" spans="2:32" s="206" customFormat="1" ht="26" customHeight="1" x14ac:dyDescent="0.2">
      <c r="B324" s="205"/>
      <c r="J324" s="207" t="str">
        <f>Parameters!E1182</f>
        <v>Transition Probability from state 1 to state 1 on day 20 (Non-CHG)</v>
      </c>
      <c r="K324" s="208">
        <f>Parameters!H1182</f>
        <v>0.91928251121076232</v>
      </c>
      <c r="L324" s="208">
        <f>Parameters!J1182</f>
        <v>0.73910644985169904</v>
      </c>
      <c r="M324" s="208">
        <f>Parameters!K1182</f>
        <v>1.0994585725698256</v>
      </c>
      <c r="N324" s="138" t="str">
        <f>Tp_Non_CHG!$H$11</f>
        <v>[Franck Maunoury et al.2015]</v>
      </c>
      <c r="AF324" s="205"/>
    </row>
    <row r="325" spans="2:32" s="206" customFormat="1" ht="26" customHeight="1" x14ac:dyDescent="0.2">
      <c r="B325" s="205"/>
      <c r="J325" s="207" t="str">
        <f>Parameters!E1183</f>
        <v>Transition Probability from state 1 to state 2 on day 20 (Non-CHG)</v>
      </c>
      <c r="K325" s="208">
        <f>Parameters!H1183</f>
        <v>1.3452914798206279E-2</v>
      </c>
      <c r="L325" s="208">
        <f>Parameters!J1183</f>
        <v>1.0816191949049255E-2</v>
      </c>
      <c r="M325" s="208">
        <f>Parameters!K1183</f>
        <v>1.6089637647363302E-2</v>
      </c>
      <c r="N325" s="138" t="str">
        <f>Tp_Non_CHG!$H$11</f>
        <v>[Franck Maunoury et al.2015]</v>
      </c>
      <c r="AF325" s="205"/>
    </row>
    <row r="326" spans="2:32" s="206" customFormat="1" ht="26" customHeight="1" x14ac:dyDescent="0.2">
      <c r="B326" s="205"/>
      <c r="J326" s="207" t="str">
        <f>Parameters!E1184</f>
        <v>Transition Probability from state 1 to state 5 on day 20 (Non-CHG)</v>
      </c>
      <c r="K326" s="208">
        <f>Parameters!H1184</f>
        <v>4.4843049327354259E-3</v>
      </c>
      <c r="L326" s="208">
        <f>Parameters!J1184</f>
        <v>3.6053973163497517E-3</v>
      </c>
      <c r="M326" s="208">
        <f>Parameters!K1184</f>
        <v>5.3632125491211002E-3</v>
      </c>
      <c r="N326" s="138" t="str">
        <f>Tp_Non_CHG!$H$11</f>
        <v>[Franck Maunoury et al.2015]</v>
      </c>
      <c r="AF326" s="205"/>
    </row>
    <row r="327" spans="2:32" s="206" customFormat="1" ht="26" customHeight="1" x14ac:dyDescent="0.2">
      <c r="B327" s="205"/>
      <c r="J327" s="207" t="str">
        <f>Parameters!E1185</f>
        <v>Transition Probability from state 1 to state 7 on day 20 (Non-CHG)</v>
      </c>
      <c r="K327" s="208">
        <f>Parameters!H1185</f>
        <v>4.9327354260089683E-2</v>
      </c>
      <c r="L327" s="208">
        <f>Parameters!J1185</f>
        <v>3.9659370479847265E-2</v>
      </c>
      <c r="M327" s="208">
        <f>Parameters!K1185</f>
        <v>5.89953380403321E-2</v>
      </c>
      <c r="N327" s="138" t="str">
        <f>Tp_Non_CHG!$H$11</f>
        <v>[Franck Maunoury et al.2015]</v>
      </c>
      <c r="AF327" s="205"/>
    </row>
    <row r="328" spans="2:32" s="206" customFormat="1" ht="26" customHeight="1" x14ac:dyDescent="0.2">
      <c r="B328" s="205"/>
      <c r="J328" s="207" t="str">
        <f>Parameters!E1186</f>
        <v>Transition Probability from state 1 to state 8 on day 20 (Non-CHG)</v>
      </c>
      <c r="K328" s="208">
        <f>Parameters!H1186</f>
        <v>1.3452914798206279E-2</v>
      </c>
      <c r="L328" s="208">
        <f>Parameters!J1186</f>
        <v>1.0816191949049255E-2</v>
      </c>
      <c r="M328" s="208">
        <f>Parameters!K1186</f>
        <v>1.6089637647363302E-2</v>
      </c>
      <c r="N328" s="138" t="str">
        <f>Tp_Non_CHG!$H$11</f>
        <v>[Franck Maunoury et al.2015]</v>
      </c>
      <c r="AF328" s="205"/>
    </row>
    <row r="329" spans="2:32" s="206" customFormat="1" ht="26" customHeight="1" x14ac:dyDescent="0.2">
      <c r="B329" s="205"/>
      <c r="J329" s="207" t="str">
        <f>Parameters!E1187</f>
        <v>Transition Probability from state 1 to state 1 on day 21 (Non-CHG)</v>
      </c>
      <c r="K329" s="208">
        <f>Parameters!H1187</f>
        <v>0.88785046728971961</v>
      </c>
      <c r="L329" s="208">
        <f>Parameters!J1187</f>
        <v>0.71383497333522883</v>
      </c>
      <c r="M329" s="208">
        <f>Parameters!K1187</f>
        <v>1.0618659612442103</v>
      </c>
      <c r="N329" s="138" t="str">
        <f>Tp_Non_CHG!$H$11</f>
        <v>[Franck Maunoury et al.2015]</v>
      </c>
      <c r="AF329" s="205"/>
    </row>
    <row r="330" spans="2:32" s="206" customFormat="1" ht="26" customHeight="1" x14ac:dyDescent="0.2">
      <c r="B330" s="205"/>
      <c r="J330" s="207" t="str">
        <f>Parameters!E1188</f>
        <v>Transition Probability from state 1 to state 2 on day 21 (Non-CHG)</v>
      </c>
      <c r="K330" s="208">
        <f>Parameters!H1188</f>
        <v>2.336448598130841E-2</v>
      </c>
      <c r="L330" s="208">
        <f>Parameters!J1188</f>
        <v>1.8785130877242866E-2</v>
      </c>
      <c r="M330" s="208">
        <f>Parameters!K1188</f>
        <v>2.7943841085373955E-2</v>
      </c>
      <c r="N330" s="138" t="str">
        <f>Tp_Non_CHG!$H$11</f>
        <v>[Franck Maunoury et al.2015]</v>
      </c>
      <c r="AF330" s="205"/>
    </row>
    <row r="331" spans="2:32" s="206" customFormat="1" ht="26" customHeight="1" x14ac:dyDescent="0.2">
      <c r="B331" s="205"/>
      <c r="J331" s="207" t="str">
        <f>Parameters!E1189</f>
        <v>Transition Probability from state 1 to state 7 on day 21 (Non-CHG)</v>
      </c>
      <c r="K331" s="208">
        <f>Parameters!H1189</f>
        <v>6.5420560747663545E-2</v>
      </c>
      <c r="L331" s="208">
        <f>Parameters!J1189</f>
        <v>5.2598366456280014E-2</v>
      </c>
      <c r="M331" s="208">
        <f>Parameters!K1189</f>
        <v>7.8242755039047068E-2</v>
      </c>
      <c r="N331" s="138" t="str">
        <f>Tp_Non_CHG!$H$11</f>
        <v>[Franck Maunoury et al.2015]</v>
      </c>
      <c r="AF331" s="205"/>
    </row>
    <row r="332" spans="2:32" s="206" customFormat="1" ht="26" customHeight="1" x14ac:dyDescent="0.2">
      <c r="B332" s="205"/>
      <c r="J332" s="207" t="str">
        <f>Parameters!E1190</f>
        <v>Transition Probability from state 1 to state 8 on day 21 (Non-CHG)</v>
      </c>
      <c r="K332" s="208">
        <f>Parameters!H1190</f>
        <v>2.336448598130841E-2</v>
      </c>
      <c r="L332" s="208">
        <f>Parameters!J1190</f>
        <v>1.8785130877242866E-2</v>
      </c>
      <c r="M332" s="208">
        <f>Parameters!K1190</f>
        <v>2.7943841085373955E-2</v>
      </c>
      <c r="N332" s="138" t="str">
        <f>Tp_Non_CHG!$H$11</f>
        <v>[Franck Maunoury et al.2015]</v>
      </c>
      <c r="AF332" s="205"/>
    </row>
    <row r="333" spans="2:32" s="206" customFormat="1" ht="26" customHeight="1" x14ac:dyDescent="0.2">
      <c r="B333" s="205"/>
      <c r="J333" s="207" t="str">
        <f>Parameters!E1191</f>
        <v>Transition Probability from state 1 to state 1 on day 22 (Non-CHG)</v>
      </c>
      <c r="K333" s="208">
        <f>Parameters!H1191</f>
        <v>0.88082901554404147</v>
      </c>
      <c r="L333" s="208">
        <f>Parameters!J1191</f>
        <v>0.70818970084362221</v>
      </c>
      <c r="M333" s="208">
        <f>Parameters!K1191</f>
        <v>1.0534683302444607</v>
      </c>
      <c r="N333" s="138" t="str">
        <f>Tp_Non_CHG!$H$11</f>
        <v>[Franck Maunoury et al.2015]</v>
      </c>
      <c r="AF333" s="205"/>
    </row>
    <row r="334" spans="2:32" s="206" customFormat="1" ht="26" customHeight="1" x14ac:dyDescent="0.2">
      <c r="B334" s="205"/>
      <c r="J334" s="207" t="str">
        <f>Parameters!E1192</f>
        <v>Transition Probability from state 1 to state 2 on day 22 (Non-CHG)</v>
      </c>
      <c r="K334" s="208">
        <f>Parameters!H1192</f>
        <v>2.072538860103627E-2</v>
      </c>
      <c r="L334" s="208">
        <f>Parameters!J1192</f>
        <v>1.6663287078673462E-2</v>
      </c>
      <c r="M334" s="208">
        <f>Parameters!K1192</f>
        <v>2.4787490123399078E-2</v>
      </c>
      <c r="N334" s="138" t="str">
        <f>Tp_Non_CHG!$H$11</f>
        <v>[Franck Maunoury et al.2015]</v>
      </c>
      <c r="AF334" s="205"/>
    </row>
    <row r="335" spans="2:32" s="206" customFormat="1" ht="26" customHeight="1" x14ac:dyDescent="0.2">
      <c r="B335" s="205"/>
      <c r="J335" s="207" t="str">
        <f>Parameters!E1193</f>
        <v>Transition Probability from state 1 to state 3 on day 22 (Non-CHG)</v>
      </c>
      <c r="K335" s="208">
        <f>Parameters!H1193</f>
        <v>5.1813471502590676E-3</v>
      </c>
      <c r="L335" s="208">
        <f>Parameters!J1193</f>
        <v>4.1658217696683656E-3</v>
      </c>
      <c r="M335" s="208">
        <f>Parameters!K1193</f>
        <v>6.1968725308497695E-3</v>
      </c>
      <c r="N335" s="138" t="str">
        <f>Tp_Non_CHG!$H$11</f>
        <v>[Franck Maunoury et al.2015]</v>
      </c>
      <c r="AF335" s="205"/>
    </row>
    <row r="336" spans="2:32" s="206" customFormat="1" ht="26" customHeight="1" x14ac:dyDescent="0.2">
      <c r="B336" s="205"/>
      <c r="J336" s="207" t="str">
        <f>Parameters!E1194</f>
        <v>Transition Probability from state 1 to state 7 on day 22 (Non-CHG)</v>
      </c>
      <c r="K336" s="208">
        <f>Parameters!H1194</f>
        <v>6.7357512953367879E-2</v>
      </c>
      <c r="L336" s="208">
        <f>Parameters!J1194</f>
        <v>5.4155683005688758E-2</v>
      </c>
      <c r="M336" s="208">
        <f>Parameters!K1194</f>
        <v>8.0559342901046993E-2</v>
      </c>
      <c r="N336" s="138" t="str">
        <f>Tp_Non_CHG!$H$11</f>
        <v>[Franck Maunoury et al.2015]</v>
      </c>
      <c r="AF336" s="205"/>
    </row>
    <row r="337" spans="2:32" s="206" customFormat="1" ht="26" customHeight="1" x14ac:dyDescent="0.2">
      <c r="B337" s="205"/>
      <c r="J337" s="207" t="str">
        <f>Parameters!E1195</f>
        <v>Transition Probability from state 1 to state 8 on day 22 (Non-CHG)</v>
      </c>
      <c r="K337" s="208">
        <f>Parameters!H1195</f>
        <v>2.5906735751295335E-2</v>
      </c>
      <c r="L337" s="208">
        <f>Parameters!J1195</f>
        <v>2.0829108848341826E-2</v>
      </c>
      <c r="M337" s="208">
        <f>Parameters!K1195</f>
        <v>3.0984362654248844E-2</v>
      </c>
      <c r="N337" s="138" t="str">
        <f>Tp_Non_CHG!$H$11</f>
        <v>[Franck Maunoury et al.2015]</v>
      </c>
      <c r="AF337" s="205"/>
    </row>
    <row r="338" spans="2:32" s="206" customFormat="1" ht="26" customHeight="1" x14ac:dyDescent="0.2">
      <c r="B338" s="205"/>
      <c r="J338" s="207" t="str">
        <f>Parameters!E1196</f>
        <v>Transition Probability from state 1 to state 1 on day 23 (Non-CHG)</v>
      </c>
      <c r="K338" s="208">
        <f>Parameters!H1196</f>
        <v>0.92613636363636365</v>
      </c>
      <c r="L338" s="208">
        <f>Parameters!J1196</f>
        <v>0.74461697188634735</v>
      </c>
      <c r="M338" s="208">
        <f>Parameters!K1196</f>
        <v>1.1076557553863799</v>
      </c>
      <c r="N338" s="138" t="str">
        <f>Tp_Non_CHG!$H$11</f>
        <v>[Franck Maunoury et al.2015]</v>
      </c>
      <c r="AF338" s="205"/>
    </row>
    <row r="339" spans="2:32" s="206" customFormat="1" ht="26" customHeight="1" x14ac:dyDescent="0.2">
      <c r="B339" s="205"/>
      <c r="J339" s="207" t="str">
        <f>Parameters!E1197</f>
        <v>Transition Probability from state 1 to state 2 on day 23 (Non-CHG)</v>
      </c>
      <c r="K339" s="208">
        <f>Parameters!H1197</f>
        <v>1.7045454545454544E-2</v>
      </c>
      <c r="L339" s="208">
        <f>Parameters!J1197</f>
        <v>1.3704606844533998E-2</v>
      </c>
      <c r="M339" s="208">
        <f>Parameters!K1197</f>
        <v>2.0386302246375089E-2</v>
      </c>
      <c r="N339" s="138" t="str">
        <f>Tp_Non_CHG!$H$11</f>
        <v>[Franck Maunoury et al.2015]</v>
      </c>
      <c r="AF339" s="205"/>
    </row>
    <row r="340" spans="2:32" s="206" customFormat="1" ht="26" customHeight="1" x14ac:dyDescent="0.2">
      <c r="B340" s="205"/>
      <c r="J340" s="207" t="str">
        <f>Parameters!E1198</f>
        <v>Transition Probability from state 1 to state 5 on day 23 (Non-CHG)</v>
      </c>
      <c r="K340" s="208">
        <f>Parameters!H1198</f>
        <v>5.681818181818182E-3</v>
      </c>
      <c r="L340" s="208">
        <f>Parameters!J1198</f>
        <v>4.5682022815113328E-3</v>
      </c>
      <c r="M340" s="208">
        <f>Parameters!K1198</f>
        <v>6.7954340821250302E-3</v>
      </c>
      <c r="N340" s="138" t="str">
        <f>Tp_Non_CHG!$H$11</f>
        <v>[Franck Maunoury et al.2015]</v>
      </c>
      <c r="AF340" s="205"/>
    </row>
    <row r="341" spans="2:32" s="206" customFormat="1" ht="26" customHeight="1" x14ac:dyDescent="0.2">
      <c r="B341" s="205"/>
      <c r="J341" s="207" t="str">
        <f>Parameters!E1199</f>
        <v>Transition Probability from state 1 to state 7 on day 23 (Non-CHG)</v>
      </c>
      <c r="K341" s="208">
        <f>Parameters!H1199</f>
        <v>2.8409090909090908E-2</v>
      </c>
      <c r="L341" s="208">
        <f>Parameters!J1199</f>
        <v>2.2841011407556663E-2</v>
      </c>
      <c r="M341" s="208">
        <f>Parameters!K1199</f>
        <v>3.3977170410625153E-2</v>
      </c>
      <c r="N341" s="138" t="str">
        <f>Tp_Non_CHG!$H$11</f>
        <v>[Franck Maunoury et al.2015]</v>
      </c>
      <c r="AF341" s="205"/>
    </row>
    <row r="342" spans="2:32" s="206" customFormat="1" ht="26" customHeight="1" x14ac:dyDescent="0.2">
      <c r="B342" s="205"/>
      <c r="J342" s="207" t="str">
        <f>Parameters!E1200</f>
        <v>Transition Probability from state 1 to state 8 on day 23 (Non-CHG)</v>
      </c>
      <c r="K342" s="208">
        <f>Parameters!H1200</f>
        <v>2.2727272727272728E-2</v>
      </c>
      <c r="L342" s="208">
        <f>Parameters!J1200</f>
        <v>1.8272809126045331E-2</v>
      </c>
      <c r="M342" s="208">
        <f>Parameters!K1200</f>
        <v>2.7181736328500121E-2</v>
      </c>
      <c r="N342" s="138" t="str">
        <f>Tp_Non_CHG!$H$11</f>
        <v>[Franck Maunoury et al.2015]</v>
      </c>
      <c r="AF342" s="205"/>
    </row>
    <row r="343" spans="2:32" s="206" customFormat="1" ht="26" customHeight="1" x14ac:dyDescent="0.2">
      <c r="B343" s="205"/>
      <c r="J343" s="207" t="str">
        <f>Parameters!E1201</f>
        <v>Transition Probability from state 1 to state 1 on day 24 (Non-CHG)</v>
      </c>
      <c r="K343" s="208">
        <f>Parameters!H1201</f>
        <v>0.92261904761904767</v>
      </c>
      <c r="L343" s="208">
        <f>Parameters!J1201</f>
        <v>0.74178903714064981</v>
      </c>
      <c r="M343" s="208">
        <f>Parameters!K1201</f>
        <v>1.1034490580974454</v>
      </c>
      <c r="N343" s="138" t="str">
        <f>Tp_Non_CHG!$H$11</f>
        <v>[Franck Maunoury et al.2015]</v>
      </c>
      <c r="AF343" s="205"/>
    </row>
    <row r="344" spans="2:32" s="206" customFormat="1" ht="26" customHeight="1" x14ac:dyDescent="0.2">
      <c r="B344" s="205"/>
      <c r="J344" s="207" t="str">
        <f>Parameters!E1202</f>
        <v>Transition Probability from state 1 to state 2 on day 24 (Non-CHG)</v>
      </c>
      <c r="K344" s="208">
        <f>Parameters!H1202</f>
        <v>1.7857142857142856E-2</v>
      </c>
      <c r="L344" s="208">
        <f>Parameters!J1202</f>
        <v>1.4357207170464188E-2</v>
      </c>
      <c r="M344" s="208">
        <f>Parameters!K1202</f>
        <v>2.1357078543821524E-2</v>
      </c>
      <c r="N344" s="138" t="str">
        <f>Tp_Non_CHG!$H$11</f>
        <v>[Franck Maunoury et al.2015]</v>
      </c>
      <c r="AF344" s="205"/>
    </row>
    <row r="345" spans="2:32" s="206" customFormat="1" ht="26" customHeight="1" x14ac:dyDescent="0.2">
      <c r="B345" s="205"/>
      <c r="J345" s="207" t="str">
        <f>Parameters!E1203</f>
        <v>Transition Probability from state 1 to state 7 on day 24 (Non-CHG)</v>
      </c>
      <c r="K345" s="208">
        <f>Parameters!H1203</f>
        <v>3.5714285714285712E-2</v>
      </c>
      <c r="L345" s="208">
        <f>Parameters!J1203</f>
        <v>2.8714414340928376E-2</v>
      </c>
      <c r="M345" s="208">
        <f>Parameters!K1203</f>
        <v>4.2714157087643048E-2</v>
      </c>
      <c r="N345" s="138" t="str">
        <f>Tp_Non_CHG!$H$11</f>
        <v>[Franck Maunoury et al.2015]</v>
      </c>
      <c r="AF345" s="205"/>
    </row>
    <row r="346" spans="2:32" s="206" customFormat="1" ht="26" customHeight="1" x14ac:dyDescent="0.2">
      <c r="B346" s="205"/>
      <c r="J346" s="207" t="str">
        <f>Parameters!E1204</f>
        <v>Transition Probability from state 1 to state 8 on day 24 (Non-CHG)</v>
      </c>
      <c r="K346" s="208">
        <f>Parameters!H1204</f>
        <v>2.3809523809523808E-2</v>
      </c>
      <c r="L346" s="208">
        <f>Parameters!J1204</f>
        <v>1.9142942893952252E-2</v>
      </c>
      <c r="M346" s="208">
        <f>Parameters!K1204</f>
        <v>2.8476104725095364E-2</v>
      </c>
      <c r="N346" s="138" t="str">
        <f>Tp_Non_CHG!$H$11</f>
        <v>[Franck Maunoury et al.2015]</v>
      </c>
      <c r="AF346" s="205"/>
    </row>
    <row r="347" spans="2:32" s="206" customFormat="1" ht="26" customHeight="1" x14ac:dyDescent="0.2">
      <c r="B347" s="205"/>
      <c r="J347" s="207" t="str">
        <f>Parameters!E1205</f>
        <v>Transition Probability from state 1 to state 1 on day 25 (Non-CHG)</v>
      </c>
      <c r="K347" s="208">
        <f>Parameters!H1205</f>
        <v>0.90506329113924056</v>
      </c>
      <c r="L347" s="208">
        <f>Parameters!J1205</f>
        <v>0.72767414570302047</v>
      </c>
      <c r="M347" s="208">
        <f>Parameters!K1205</f>
        <v>1.0824524365754606</v>
      </c>
      <c r="N347" s="138" t="str">
        <f>Tp_Non_CHG!$H$11</f>
        <v>[Franck Maunoury et al.2015]</v>
      </c>
      <c r="AF347" s="205"/>
    </row>
    <row r="348" spans="2:32" s="206" customFormat="1" ht="26" customHeight="1" x14ac:dyDescent="0.2">
      <c r="B348" s="205"/>
      <c r="J348" s="207" t="str">
        <f>Parameters!E1206</f>
        <v>Transition Probability from state 1 to state 2 on day 25 (Non-CHG)</v>
      </c>
      <c r="K348" s="208">
        <f>Parameters!H1206</f>
        <v>1.8987341772151899E-2</v>
      </c>
      <c r="L348" s="208">
        <f>Parameters!J1206</f>
        <v>1.5265891168594834E-2</v>
      </c>
      <c r="M348" s="208">
        <f>Parameters!K1206</f>
        <v>2.2708792375708962E-2</v>
      </c>
      <c r="N348" s="138" t="str">
        <f>Tp_Non_CHG!$H$11</f>
        <v>[Franck Maunoury et al.2015]</v>
      </c>
      <c r="AF348" s="205"/>
    </row>
    <row r="349" spans="2:32" s="206" customFormat="1" ht="26" customHeight="1" x14ac:dyDescent="0.2">
      <c r="B349" s="205"/>
      <c r="J349" s="207" t="str">
        <f>Parameters!E1207</f>
        <v>Transition Probability from state 1 to state 5 on day 25 (Non-CHG)</v>
      </c>
      <c r="K349" s="208">
        <f>Parameters!H1207</f>
        <v>6.3291139240506328E-3</v>
      </c>
      <c r="L349" s="208">
        <f>Parameters!J1207</f>
        <v>5.0886303895316112E-3</v>
      </c>
      <c r="M349" s="208">
        <f>Parameters!K1207</f>
        <v>7.5695974585696544E-3</v>
      </c>
      <c r="N349" s="138" t="str">
        <f>Tp_Non_CHG!$H$11</f>
        <v>[Franck Maunoury et al.2015]</v>
      </c>
      <c r="AF349" s="205"/>
    </row>
    <row r="350" spans="2:32" s="206" customFormat="1" ht="26" customHeight="1" x14ac:dyDescent="0.2">
      <c r="B350" s="205"/>
      <c r="J350" s="207" t="str">
        <f>Parameters!E1208</f>
        <v>Transition Probability from state 1 to state 7 on day 25 (Non-CHG)</v>
      </c>
      <c r="K350" s="208">
        <f>Parameters!H1208</f>
        <v>5.0632911392405063E-2</v>
      </c>
      <c r="L350" s="208">
        <f>Parameters!J1208</f>
        <v>4.070904311625289E-2</v>
      </c>
      <c r="M350" s="208">
        <f>Parameters!K1208</f>
        <v>6.0556779668557235E-2</v>
      </c>
      <c r="N350" s="138" t="str">
        <f>Tp_Non_CHG!$H$11</f>
        <v>[Franck Maunoury et al.2015]</v>
      </c>
      <c r="AF350" s="205"/>
    </row>
    <row r="351" spans="2:32" s="206" customFormat="1" ht="26" customHeight="1" x14ac:dyDescent="0.2">
      <c r="B351" s="205"/>
      <c r="J351" s="207" t="str">
        <f>Parameters!E1209</f>
        <v>Transition Probability from state 1 to state 8 on day 25 (Non-CHG)</v>
      </c>
      <c r="K351" s="208">
        <f>Parameters!H1209</f>
        <v>1.8987341772151899E-2</v>
      </c>
      <c r="L351" s="208">
        <f>Parameters!J1209</f>
        <v>1.5265891168594834E-2</v>
      </c>
      <c r="M351" s="208">
        <f>Parameters!K1209</f>
        <v>2.2708792375708962E-2</v>
      </c>
      <c r="N351" s="138" t="str">
        <f>Tp_Non_CHG!$H$11</f>
        <v>[Franck Maunoury et al.2015]</v>
      </c>
      <c r="AF351" s="205"/>
    </row>
    <row r="352" spans="2:32" s="206" customFormat="1" ht="26" customHeight="1" x14ac:dyDescent="0.2">
      <c r="B352" s="205"/>
      <c r="J352" s="207" t="str">
        <f>Parameters!E1210</f>
        <v>Transition Probability from state 1 to state 1 on day 26 (Non-CHG)</v>
      </c>
      <c r="K352" s="208">
        <f>Parameters!H1210</f>
        <v>0.8904109589041096</v>
      </c>
      <c r="L352" s="208">
        <f>Parameters!J1210</f>
        <v>0.71589361781492666</v>
      </c>
      <c r="M352" s="208">
        <f>Parameters!K1210</f>
        <v>1.0649282999932925</v>
      </c>
      <c r="N352" s="138" t="str">
        <f>Tp_Non_CHG!$H$11</f>
        <v>[Franck Maunoury et al.2015]</v>
      </c>
      <c r="AF352" s="205"/>
    </row>
    <row r="353" spans="2:32" s="206" customFormat="1" ht="26" customHeight="1" x14ac:dyDescent="0.2">
      <c r="B353" s="205"/>
      <c r="J353" s="207" t="str">
        <f>Parameters!E1211</f>
        <v>Transition Probability from state 1 to state 2 on day 26 (Non-CHG)</v>
      </c>
      <c r="K353" s="208">
        <f>Parameters!H1211</f>
        <v>6.8493150684931503E-3</v>
      </c>
      <c r="L353" s="208">
        <f>Parameters!J1211</f>
        <v>5.506873983191744E-3</v>
      </c>
      <c r="M353" s="208">
        <f>Parameters!K1211</f>
        <v>8.1917561537945566E-3</v>
      </c>
      <c r="N353" s="138" t="str">
        <f>Tp_Non_CHG!$H$11</f>
        <v>[Franck Maunoury et al.2015]</v>
      </c>
      <c r="AF353" s="205"/>
    </row>
    <row r="354" spans="2:32" s="206" customFormat="1" ht="26" customHeight="1" x14ac:dyDescent="0.2">
      <c r="B354" s="205"/>
      <c r="J354" s="207" t="str">
        <f>Parameters!E1212</f>
        <v>Transition Probability from state 1 to state 7 on day 26 (Non-CHG)</v>
      </c>
      <c r="K354" s="208">
        <f>Parameters!H1212</f>
        <v>6.1643835616438353E-2</v>
      </c>
      <c r="L354" s="208">
        <f>Parameters!J1212</f>
        <v>4.9561865848725691E-2</v>
      </c>
      <c r="M354" s="208">
        <f>Parameters!K1212</f>
        <v>7.3725805384151008E-2</v>
      </c>
      <c r="N354" s="138" t="str">
        <f>Tp_Non_CHG!$H$11</f>
        <v>[Franck Maunoury et al.2015]</v>
      </c>
      <c r="AF354" s="205"/>
    </row>
    <row r="355" spans="2:32" s="206" customFormat="1" ht="26" customHeight="1" x14ac:dyDescent="0.2">
      <c r="B355" s="205"/>
      <c r="J355" s="207" t="str">
        <f>Parameters!E1213</f>
        <v>Transition Probability from state 1 to state 8 on day 26 (Non-CHG)</v>
      </c>
      <c r="K355" s="208">
        <f>Parameters!H1213</f>
        <v>4.1095890410958902E-2</v>
      </c>
      <c r="L355" s="208">
        <f>Parameters!J1213</f>
        <v>3.304124389915046E-2</v>
      </c>
      <c r="M355" s="208">
        <f>Parameters!K1213</f>
        <v>4.9150536922767343E-2</v>
      </c>
      <c r="N355" s="138" t="str">
        <f>Tp_Non_CHG!$H$11</f>
        <v>[Franck Maunoury et al.2015]</v>
      </c>
      <c r="AF355" s="205"/>
    </row>
    <row r="356" spans="2:32" s="206" customFormat="1" ht="26" customHeight="1" x14ac:dyDescent="0.2">
      <c r="B356" s="205"/>
      <c r="J356" s="207" t="str">
        <f>Parameters!E1214</f>
        <v>Transition Probability from state 1 to state 1 on day 27 (Non-CHG)</v>
      </c>
      <c r="K356" s="208">
        <f>Parameters!H1214</f>
        <v>0.96240601503759393</v>
      </c>
      <c r="L356" s="208">
        <f>Parameters!J1214</f>
        <v>0.77377790223975418</v>
      </c>
      <c r="M356" s="208">
        <f>Parameters!K1214</f>
        <v>1.1510341278354337</v>
      </c>
      <c r="N356" s="138" t="str">
        <f>Tp_Non_CHG!$H$11</f>
        <v>[Franck Maunoury et al.2015]</v>
      </c>
      <c r="AF356" s="205"/>
    </row>
    <row r="357" spans="2:32" s="206" customFormat="1" ht="26" customHeight="1" x14ac:dyDescent="0.2">
      <c r="B357" s="205"/>
      <c r="J357" s="207" t="str">
        <f>Parameters!E1215</f>
        <v>Transition Probability from state 1 to state 7 on day 27 (Non-CHG)</v>
      </c>
      <c r="K357" s="208">
        <f>Parameters!H1215</f>
        <v>2.2556390977443608E-2</v>
      </c>
      <c r="L357" s="208">
        <f>Parameters!J1215</f>
        <v>1.8135419583744237E-2</v>
      </c>
      <c r="M357" s="208">
        <f>Parameters!K1215</f>
        <v>2.6977362371142975E-2</v>
      </c>
      <c r="N357" s="138" t="str">
        <f>Tp_Non_CHG!$H$11</f>
        <v>[Franck Maunoury et al.2015]</v>
      </c>
      <c r="AF357" s="205"/>
    </row>
    <row r="358" spans="2:32" s="206" customFormat="1" ht="26" customHeight="1" x14ac:dyDescent="0.2">
      <c r="B358" s="205"/>
      <c r="J358" s="207" t="str">
        <f>Parameters!E1216</f>
        <v>Transition Probability from state 1 to state 8 on day 27 (Non-CHG)</v>
      </c>
      <c r="K358" s="208">
        <f>Parameters!H1216</f>
        <v>1.5037593984962405E-2</v>
      </c>
      <c r="L358" s="208">
        <f>Parameters!J1216</f>
        <v>1.2090279722496159E-2</v>
      </c>
      <c r="M358" s="208">
        <f>Parameters!K1216</f>
        <v>1.7984908247428651E-2</v>
      </c>
      <c r="N358" s="138" t="str">
        <f>Tp_Non_CHG!$H$11</f>
        <v>[Franck Maunoury et al.2015]</v>
      </c>
      <c r="AF358" s="205"/>
    </row>
    <row r="359" spans="2:32" s="206" customFormat="1" ht="26" customHeight="1" x14ac:dyDescent="0.2">
      <c r="B359" s="205"/>
      <c r="J359" s="207" t="str">
        <f>Parameters!E1217</f>
        <v>Transition Probability from state 1 to state 1 on day 28 (Non-CHG)</v>
      </c>
      <c r="K359" s="208">
        <f>Parameters!H1217</f>
        <v>0.93076923076923079</v>
      </c>
      <c r="L359" s="208">
        <f>Parameters!J1217</f>
        <v>0.74834181374665654</v>
      </c>
      <c r="M359" s="208">
        <f>Parameters!K1217</f>
        <v>1.1131966477918049</v>
      </c>
      <c r="N359" s="138" t="str">
        <f>Tp_Non_CHG!$H$11</f>
        <v>[Franck Maunoury et al.2015]</v>
      </c>
      <c r="AF359" s="205"/>
    </row>
    <row r="360" spans="2:32" s="206" customFormat="1" ht="26" customHeight="1" x14ac:dyDescent="0.2">
      <c r="B360" s="205"/>
      <c r="J360" s="207" t="str">
        <f>Parameters!E1218</f>
        <v>Transition Probability from state 1 to state 2 on day 28 (Non-CHG)</v>
      </c>
      <c r="K360" s="208">
        <f>Parameters!H1218</f>
        <v>1.5384615384615385E-2</v>
      </c>
      <c r="L360" s="208">
        <f>Parameters!J1218</f>
        <v>1.2369286177630686E-2</v>
      </c>
      <c r="M360" s="208">
        <f>Parameters!K1218</f>
        <v>1.8399944591600083E-2</v>
      </c>
      <c r="N360" s="138" t="str">
        <f>Tp_Non_CHG!$H$11</f>
        <v>[Franck Maunoury et al.2015]</v>
      </c>
      <c r="AF360" s="205"/>
    </row>
    <row r="361" spans="2:32" s="206" customFormat="1" ht="26" customHeight="1" x14ac:dyDescent="0.2">
      <c r="B361" s="205"/>
      <c r="J361" s="207" t="str">
        <f>Parameters!E1219</f>
        <v>Transition Probability from state 1 to state 5 on day 28 (Non-CHG)</v>
      </c>
      <c r="K361" s="208">
        <f>Parameters!H1219</f>
        <v>7.6923076923076927E-3</v>
      </c>
      <c r="L361" s="208">
        <f>Parameters!J1219</f>
        <v>6.1846430888153432E-3</v>
      </c>
      <c r="M361" s="208">
        <f>Parameters!K1219</f>
        <v>9.1999722958000414E-3</v>
      </c>
      <c r="N361" s="138" t="str">
        <f>Tp_Non_CHG!$H$11</f>
        <v>[Franck Maunoury et al.2015]</v>
      </c>
      <c r="AF361" s="205"/>
    </row>
    <row r="362" spans="2:32" s="206" customFormat="1" ht="26" customHeight="1" x14ac:dyDescent="0.2">
      <c r="B362" s="205"/>
      <c r="J362" s="207" t="str">
        <f>Parameters!E1220</f>
        <v>Transition Probability from state 1 to state 7 on day 28 (Non-CHG)</v>
      </c>
      <c r="K362" s="208">
        <f>Parameters!H1220</f>
        <v>3.8461538461538464E-2</v>
      </c>
      <c r="L362" s="208">
        <f>Parameters!J1220</f>
        <v>3.0923215444076717E-2</v>
      </c>
      <c r="M362" s="208">
        <f>Parameters!K1220</f>
        <v>4.5999861479000211E-2</v>
      </c>
      <c r="N362" s="138" t="str">
        <f>Tp_Non_CHG!$H$11</f>
        <v>[Franck Maunoury et al.2015]</v>
      </c>
      <c r="AF362" s="205"/>
    </row>
    <row r="363" spans="2:32" s="206" customFormat="1" ht="26" customHeight="1" x14ac:dyDescent="0.2">
      <c r="B363" s="205"/>
      <c r="J363" s="207" t="str">
        <f>Parameters!E1221</f>
        <v>Transition Probability from state 1 to state 8 on day 28 (Non-CHG)</v>
      </c>
      <c r="K363" s="208">
        <f>Parameters!H1221</f>
        <v>7.6923076923076927E-3</v>
      </c>
      <c r="L363" s="208">
        <f>Parameters!J1221</f>
        <v>6.1846430888153432E-3</v>
      </c>
      <c r="M363" s="208">
        <f>Parameters!K1221</f>
        <v>9.1999722958000414E-3</v>
      </c>
      <c r="N363" s="138" t="str">
        <f>Tp_Non_CHG!$H$11</f>
        <v>[Franck Maunoury et al.2015]</v>
      </c>
      <c r="AF363" s="205"/>
    </row>
    <row r="364" spans="2:32" s="206" customFormat="1" ht="26" customHeight="1" x14ac:dyDescent="0.2">
      <c r="B364" s="205"/>
      <c r="J364" s="207" t="str">
        <f>Parameters!E1222</f>
        <v>Transition Probability from state 1 to state 1 on day 29 (Non-CHG)</v>
      </c>
      <c r="K364" s="208">
        <f>Parameters!H1222</f>
        <v>0.95041322314049592</v>
      </c>
      <c r="L364" s="208">
        <f>Parameters!J1222</f>
        <v>0.76413565436189579</v>
      </c>
      <c r="M364" s="208">
        <f>Parameters!K1222</f>
        <v>1.1366907919190961</v>
      </c>
      <c r="N364" s="138" t="str">
        <f>Tp_Non_CHG!$H$11</f>
        <v>[Franck Maunoury et al.2015]</v>
      </c>
      <c r="AF364" s="205"/>
    </row>
    <row r="365" spans="2:32" s="206" customFormat="1" ht="26" customHeight="1" x14ac:dyDescent="0.2">
      <c r="B365" s="205"/>
      <c r="J365" s="207" t="str">
        <f>Parameters!E1223</f>
        <v>Transition Probability from state 1 to state 2 on day 29 (Non-CHG)</v>
      </c>
      <c r="K365" s="208">
        <f>Parameters!H1223</f>
        <v>8.2644628099173556E-3</v>
      </c>
      <c r="L365" s="208">
        <f>Parameters!J1223</f>
        <v>6.6446578640164842E-3</v>
      </c>
      <c r="M365" s="208">
        <f>Parameters!K1223</f>
        <v>9.8842677558182261E-3</v>
      </c>
      <c r="N365" s="138" t="str">
        <f>Tp_Non_CHG!$H$11</f>
        <v>[Franck Maunoury et al.2015]</v>
      </c>
      <c r="AF365" s="205"/>
    </row>
    <row r="366" spans="2:32" s="206" customFormat="1" ht="26" customHeight="1" x14ac:dyDescent="0.2">
      <c r="B366" s="205"/>
      <c r="J366" s="207" t="str">
        <f>Parameters!E1224</f>
        <v>Transition Probability from state 1 to state 5 on day 29 (Non-CHG)</v>
      </c>
      <c r="K366" s="208">
        <f>Parameters!H1224</f>
        <v>8.2644628099173556E-3</v>
      </c>
      <c r="L366" s="208">
        <f>Parameters!J1224</f>
        <v>6.6446578640164842E-3</v>
      </c>
      <c r="M366" s="208">
        <f>Parameters!K1224</f>
        <v>9.8842677558182261E-3</v>
      </c>
      <c r="N366" s="138" t="str">
        <f>Tp_Non_CHG!$H$11</f>
        <v>[Franck Maunoury et al.2015]</v>
      </c>
      <c r="AF366" s="205"/>
    </row>
    <row r="367" spans="2:32" s="206" customFormat="1" ht="26" customHeight="1" x14ac:dyDescent="0.2">
      <c r="B367" s="205"/>
      <c r="J367" s="207" t="str">
        <f>Parameters!E1225</f>
        <v>Transition Probability from state 1 to state 7 on day 29 (Non-CHG)</v>
      </c>
      <c r="K367" s="208">
        <f>Parameters!H1225</f>
        <v>2.4793388429752067E-2</v>
      </c>
      <c r="L367" s="208">
        <f>Parameters!J1225</f>
        <v>1.9933973592049452E-2</v>
      </c>
      <c r="M367" s="208">
        <f>Parameters!K1225</f>
        <v>2.9652803267454678E-2</v>
      </c>
      <c r="N367" s="138" t="str">
        <f>Tp_Non_CHG!$H$11</f>
        <v>[Franck Maunoury et al.2015]</v>
      </c>
      <c r="AF367" s="205"/>
    </row>
    <row r="368" spans="2:32" s="206" customFormat="1" ht="26" customHeight="1" x14ac:dyDescent="0.2">
      <c r="B368" s="205"/>
      <c r="J368" s="207" t="str">
        <f>Parameters!E1226</f>
        <v>Transition Probability from state 1 to state 8 on day 29 (Non-CHG)</v>
      </c>
      <c r="K368" s="208">
        <f>Parameters!H1226</f>
        <v>8.2644628099173556E-3</v>
      </c>
      <c r="L368" s="208">
        <f>Parameters!J1226</f>
        <v>6.6446578640164842E-3</v>
      </c>
      <c r="M368" s="208">
        <f>Parameters!K1226</f>
        <v>9.8842677558182261E-3</v>
      </c>
      <c r="N368" s="138" t="str">
        <f>Tp_Non_CHG!$H$11</f>
        <v>[Franck Maunoury et al.2015]</v>
      </c>
      <c r="AF368" s="205"/>
    </row>
    <row r="369" spans="2:32" s="206" customFormat="1" ht="26" customHeight="1" x14ac:dyDescent="0.2">
      <c r="B369" s="205"/>
      <c r="J369" s="207" t="str">
        <f>Parameters!E1227</f>
        <v>Transition Probability from state 1 to state 1 on day 30 (Non-CHG)</v>
      </c>
      <c r="K369" s="208">
        <f>Parameters!H1227</f>
        <v>0.87179487179487181</v>
      </c>
      <c r="L369" s="208">
        <f>Parameters!J1227</f>
        <v>0.70092621673240552</v>
      </c>
      <c r="M369" s="208">
        <f>Parameters!K1227</f>
        <v>1.0426635268573381</v>
      </c>
      <c r="N369" s="138" t="str">
        <f>Tp_Non_CHG!$H$11</f>
        <v>[Franck Maunoury et al.2015]</v>
      </c>
      <c r="AF369" s="205"/>
    </row>
    <row r="370" spans="2:32" s="206" customFormat="1" ht="26" customHeight="1" x14ac:dyDescent="0.2">
      <c r="B370" s="205"/>
      <c r="J370" s="207" t="str">
        <f>Parameters!E1228</f>
        <v>Transition Probability from state 1 to state 2 on day 30 (Non-CHG)</v>
      </c>
      <c r="K370" s="208">
        <f>Parameters!H1228</f>
        <v>3.4188034188034191E-2</v>
      </c>
      <c r="L370" s="208">
        <f>Parameters!J1228</f>
        <v>2.7487302616957084E-2</v>
      </c>
      <c r="M370" s="208">
        <f>Parameters!K1228</f>
        <v>4.0888765759111295E-2</v>
      </c>
      <c r="N370" s="138" t="str">
        <f>Tp_Non_CHG!$H$11</f>
        <v>[Franck Maunoury et al.2015]</v>
      </c>
      <c r="AF370" s="205"/>
    </row>
    <row r="371" spans="2:32" s="206" customFormat="1" ht="26" customHeight="1" x14ac:dyDescent="0.2">
      <c r="B371" s="205"/>
      <c r="J371" s="207" t="str">
        <f>Parameters!E1229</f>
        <v>Transition Probability from state 1 to state 7 on day 30 (Non-CHG)</v>
      </c>
      <c r="K371" s="208">
        <f>Parameters!H1229</f>
        <v>7.6923076923076927E-2</v>
      </c>
      <c r="L371" s="208">
        <f>Parameters!J1229</f>
        <v>6.1846430888153434E-2</v>
      </c>
      <c r="M371" s="208">
        <f>Parameters!K1229</f>
        <v>9.1999722958000421E-2</v>
      </c>
      <c r="N371" s="138" t="str">
        <f>Tp_Non_CHG!$H$11</f>
        <v>[Franck Maunoury et al.2015]</v>
      </c>
      <c r="AF371" s="205"/>
    </row>
    <row r="372" spans="2:32" s="206" customFormat="1" ht="26" customHeight="1" x14ac:dyDescent="0.2">
      <c r="B372" s="205"/>
      <c r="J372" s="207" t="str">
        <f>Parameters!E1230</f>
        <v>Transition Probability from state 1 to state 8 on day 30 (Non-CHG)</v>
      </c>
      <c r="K372" s="208">
        <f>Parameters!H1230</f>
        <v>1.7094017094017096E-2</v>
      </c>
      <c r="L372" s="208">
        <f>Parameters!J1230</f>
        <v>1.3743651308478542E-2</v>
      </c>
      <c r="M372" s="208">
        <f>Parameters!K1230</f>
        <v>2.0444382879555648E-2</v>
      </c>
      <c r="N372" s="138" t="str">
        <f>Tp_Non_CHG!$H$11</f>
        <v>[Franck Maunoury et al.2015]</v>
      </c>
      <c r="AF372" s="205"/>
    </row>
    <row r="373" spans="2:32" s="206" customFormat="1" ht="26" customHeight="1" x14ac:dyDescent="0.2">
      <c r="B373" s="205"/>
      <c r="J373" s="207" t="str">
        <f>Parameters!E1231</f>
        <v>Transition Probability from state 2 to state 1 on day 1 (Non-CHG)</v>
      </c>
      <c r="K373" s="208">
        <f>Parameters!H1231</f>
        <v>0</v>
      </c>
      <c r="L373" s="208">
        <f>Parameters!J1231</f>
        <v>0</v>
      </c>
      <c r="M373" s="208">
        <f>Parameters!K1231</f>
        <v>0</v>
      </c>
      <c r="N373" s="138" t="str">
        <f>Tp_Non_CHG!$H$11</f>
        <v>[Franck Maunoury et al.2015]</v>
      </c>
      <c r="AF373" s="205"/>
    </row>
    <row r="374" spans="2:32" s="206" customFormat="1" ht="26" customHeight="1" x14ac:dyDescent="0.2">
      <c r="B374" s="205"/>
      <c r="J374" s="207" t="str">
        <f>Parameters!E1232</f>
        <v>Transition Probability from state 2 to state 1 on day 2 (Non-CHG)</v>
      </c>
      <c r="K374" s="208">
        <f>Parameters!H1232</f>
        <v>0.83333333333333337</v>
      </c>
      <c r="L374" s="208">
        <f>Parameters!J1232</f>
        <v>0.6700030012883289</v>
      </c>
      <c r="M374" s="208">
        <f>Parameters!K1232</f>
        <v>0.99666366537833784</v>
      </c>
      <c r="N374" s="138" t="str">
        <f>Tp_Non_CHG!$H$11</f>
        <v>[Franck Maunoury et al.2015]</v>
      </c>
      <c r="AF374" s="205"/>
    </row>
    <row r="375" spans="2:32" s="206" customFormat="1" ht="26" customHeight="1" x14ac:dyDescent="0.2">
      <c r="B375" s="205"/>
      <c r="J375" s="207" t="str">
        <f>Parameters!E1233</f>
        <v>Transition Probability from state 2 to state 8 on day 2 (Non-CHG)</v>
      </c>
      <c r="K375" s="208">
        <f>Parameters!H1233</f>
        <v>0.16666666666666666</v>
      </c>
      <c r="L375" s="208">
        <f>Parameters!J1233</f>
        <v>0.13400060025766575</v>
      </c>
      <c r="M375" s="208">
        <f>Parameters!K1233</f>
        <v>0.19933273307566757</v>
      </c>
      <c r="N375" s="138" t="str">
        <f>Tp_Non_CHG!$H$11</f>
        <v>[Franck Maunoury et al.2015]</v>
      </c>
      <c r="AF375" s="205"/>
    </row>
    <row r="376" spans="2:32" s="206" customFormat="1" ht="26" customHeight="1" x14ac:dyDescent="0.2">
      <c r="B376" s="205"/>
      <c r="J376" s="207" t="str">
        <f>Parameters!E1234</f>
        <v>Transition Probability from state 2 to state 1 on day 3 (Non-CHG)</v>
      </c>
      <c r="K376" s="208">
        <f>Parameters!H1234</f>
        <v>0.91666666666666663</v>
      </c>
      <c r="L376" s="208">
        <f>Parameters!J1234</f>
        <v>0.73700330141716175</v>
      </c>
      <c r="M376" s="208">
        <f>Parameters!K1234</f>
        <v>1.0963300319161715</v>
      </c>
      <c r="N376" s="138" t="str">
        <f>Tp_Non_CHG!$H$11</f>
        <v>[Franck Maunoury et al.2015]</v>
      </c>
      <c r="AF376" s="205"/>
    </row>
    <row r="377" spans="2:32" s="206" customFormat="1" ht="26" customHeight="1" x14ac:dyDescent="0.2">
      <c r="B377" s="205"/>
      <c r="J377" s="207" t="str">
        <f>Parameters!E1235</f>
        <v>Transition Probability from state 2 to state 8 on day 3 (Non-CHG)</v>
      </c>
      <c r="K377" s="208">
        <f>Parameters!H1235</f>
        <v>8.3333333333333329E-2</v>
      </c>
      <c r="L377" s="208">
        <f>Parameters!J1235</f>
        <v>6.7000300128832874E-2</v>
      </c>
      <c r="M377" s="208">
        <f>Parameters!K1235</f>
        <v>9.9666366537833784E-2</v>
      </c>
      <c r="N377" s="138" t="str">
        <f>Tp_Non_CHG!$H$11</f>
        <v>[Franck Maunoury et al.2015]</v>
      </c>
      <c r="AF377" s="205"/>
    </row>
    <row r="378" spans="2:32" s="206" customFormat="1" ht="26" customHeight="1" x14ac:dyDescent="0.2">
      <c r="B378" s="205"/>
      <c r="J378" s="207" t="str">
        <f>Parameters!E1236</f>
        <v>Transition Probability from state 2 to state 1 on day 4 (Non-CHG)</v>
      </c>
      <c r="K378" s="208">
        <f>Parameters!H1236</f>
        <v>0.93333333333333335</v>
      </c>
      <c r="L378" s="208">
        <f>Parameters!J1236</f>
        <v>0.7504033614429283</v>
      </c>
      <c r="M378" s="208">
        <f>Parameters!K1236</f>
        <v>1.1162633052237383</v>
      </c>
      <c r="N378" s="138" t="str">
        <f>Tp_Non_CHG!$H$11</f>
        <v>[Franck Maunoury et al.2015]</v>
      </c>
      <c r="AF378" s="205"/>
    </row>
    <row r="379" spans="2:32" s="206" customFormat="1" ht="26" customHeight="1" x14ac:dyDescent="0.2">
      <c r="B379" s="205"/>
      <c r="J379" s="207" t="str">
        <f>Parameters!E1237</f>
        <v>Transition Probability from state 2 to state 2 on day 4 (Non-CHG)</v>
      </c>
      <c r="K379" s="208">
        <f>Parameters!H1237</f>
        <v>6.6666666666666666E-2</v>
      </c>
      <c r="L379" s="208">
        <f>Parameters!J1237</f>
        <v>5.3600240103066306E-2</v>
      </c>
      <c r="M379" s="208">
        <f>Parameters!K1237</f>
        <v>7.9733093230267019E-2</v>
      </c>
      <c r="N379" s="138" t="str">
        <f>Tp_Non_CHG!$H$11</f>
        <v>[Franck Maunoury et al.2015]</v>
      </c>
      <c r="AF379" s="205"/>
    </row>
    <row r="380" spans="2:32" s="206" customFormat="1" ht="26" customHeight="1" x14ac:dyDescent="0.2">
      <c r="B380" s="205"/>
      <c r="J380" s="207" t="str">
        <f>Parameters!E1238</f>
        <v>Transition Probability from state 2 to state 1 on day 5 (Non-CHG)</v>
      </c>
      <c r="K380" s="208">
        <f>Parameters!H1238</f>
        <v>1</v>
      </c>
      <c r="L380" s="208">
        <f>Parameters!J1238</f>
        <v>0.8040036015459946</v>
      </c>
      <c r="M380" s="208">
        <f>Parameters!K1238</f>
        <v>1.1959963984540054</v>
      </c>
      <c r="N380" s="138" t="str">
        <f>Tp_Non_CHG!$H$11</f>
        <v>[Franck Maunoury et al.2015]</v>
      </c>
      <c r="AF380" s="205"/>
    </row>
    <row r="381" spans="2:32" s="206" customFormat="1" ht="26" customHeight="1" x14ac:dyDescent="0.2">
      <c r="B381" s="205"/>
      <c r="J381" s="207" t="str">
        <f>Parameters!E1239</f>
        <v>Transition Probability from state 2 to state 1 on day 6 (Non-CHG)</v>
      </c>
      <c r="K381" s="208">
        <f>Parameters!H1239</f>
        <v>1</v>
      </c>
      <c r="L381" s="208">
        <f>Parameters!J1239</f>
        <v>0.8040036015459946</v>
      </c>
      <c r="M381" s="208">
        <f>Parameters!K1239</f>
        <v>1.1959963984540054</v>
      </c>
      <c r="N381" s="138" t="str">
        <f>Tp_Non_CHG!$H$11</f>
        <v>[Franck Maunoury et al.2015]</v>
      </c>
      <c r="AF381" s="205"/>
    </row>
    <row r="382" spans="2:32" s="206" customFormat="1" ht="26" customHeight="1" x14ac:dyDescent="0.2">
      <c r="B382" s="205"/>
      <c r="J382" s="207" t="str">
        <f>Parameters!E1240</f>
        <v>Transition Probability from state 2 to state 1 on day 7 (Non-CHG)</v>
      </c>
      <c r="K382" s="208">
        <f>Parameters!H1240</f>
        <v>0.94736842105263153</v>
      </c>
      <c r="L382" s="208">
        <f>Parameters!J1240</f>
        <v>0.76168762251725797</v>
      </c>
      <c r="M382" s="208">
        <f>Parameters!K1240</f>
        <v>1.1330492195880051</v>
      </c>
      <c r="N382" s="138" t="str">
        <f>Tp_Non_CHG!$H$11</f>
        <v>[Franck Maunoury et al.2015]</v>
      </c>
      <c r="AF382" s="205"/>
    </row>
    <row r="383" spans="2:32" s="206" customFormat="1" ht="26" customHeight="1" x14ac:dyDescent="0.2">
      <c r="B383" s="205"/>
      <c r="J383" s="207" t="str">
        <f>Parameters!E1241</f>
        <v>Transition Probability from state 2 to state 2 on day 7 (Non-CHG)</v>
      </c>
      <c r="K383" s="208">
        <f>Parameters!H1241</f>
        <v>5.2631578947368418E-2</v>
      </c>
      <c r="L383" s="208">
        <f>Parameters!J1241</f>
        <v>4.2315979028736558E-2</v>
      </c>
      <c r="M383" s="208">
        <f>Parameters!K1241</f>
        <v>6.2947178866000278E-2</v>
      </c>
      <c r="N383" s="138" t="str">
        <f>Tp_Non_CHG!$H$11</f>
        <v>[Franck Maunoury et al.2015]</v>
      </c>
      <c r="AF383" s="205"/>
    </row>
    <row r="384" spans="2:32" s="206" customFormat="1" ht="26" customHeight="1" x14ac:dyDescent="0.2">
      <c r="B384" s="205"/>
      <c r="J384" s="207" t="str">
        <f>Parameters!E1242</f>
        <v>Transition Probability from state 2 to state 1 on day 8 (Non-CHG)</v>
      </c>
      <c r="K384" s="208">
        <f>Parameters!H1242</f>
        <v>0.84210526315789469</v>
      </c>
      <c r="L384" s="208">
        <f>Parameters!J1242</f>
        <v>0.67705566445978493</v>
      </c>
      <c r="M384" s="208">
        <f>Parameters!K1242</f>
        <v>1.0071548618560044</v>
      </c>
      <c r="N384" s="138" t="str">
        <f>Tp_Non_CHG!$H$11</f>
        <v>[Franck Maunoury et al.2015]</v>
      </c>
      <c r="AF384" s="205"/>
    </row>
    <row r="385" spans="2:32" s="206" customFormat="1" ht="26" customHeight="1" x14ac:dyDescent="0.2">
      <c r="B385" s="205"/>
      <c r="J385" s="207" t="str">
        <f>Parameters!E1243</f>
        <v>Transition Probability from state 2 to state 2 on day 8 (Non-CHG)</v>
      </c>
      <c r="K385" s="208">
        <f>Parameters!H1243</f>
        <v>0.15789473684210525</v>
      </c>
      <c r="L385" s="208">
        <f>Parameters!J1243</f>
        <v>0.12694793708620966</v>
      </c>
      <c r="M385" s="208">
        <f>Parameters!K1243</f>
        <v>0.18884153659800085</v>
      </c>
      <c r="N385" s="138" t="str">
        <f>Tp_Non_CHG!$H$11</f>
        <v>[Franck Maunoury et al.2015]</v>
      </c>
      <c r="AF385" s="205"/>
    </row>
    <row r="386" spans="2:32" s="206" customFormat="1" ht="26" customHeight="1" x14ac:dyDescent="0.2">
      <c r="B386" s="205"/>
      <c r="J386" s="207" t="str">
        <f>Parameters!E1244</f>
        <v>Transition Probability from state 2 to state 1 on day 9 (Non-CHG)</v>
      </c>
      <c r="K386" s="208">
        <f>Parameters!H1244</f>
        <v>0.8666666666666667</v>
      </c>
      <c r="L386" s="208">
        <f>Parameters!J1244</f>
        <v>0.696803121339862</v>
      </c>
      <c r="M386" s="208">
        <f>Parameters!K1244</f>
        <v>1.0365302119934714</v>
      </c>
      <c r="N386" s="138" t="str">
        <f>Tp_Non_CHG!$H$11</f>
        <v>[Franck Maunoury et al.2015]</v>
      </c>
      <c r="AF386" s="205"/>
    </row>
    <row r="387" spans="2:32" s="206" customFormat="1" ht="26" customHeight="1" x14ac:dyDescent="0.2">
      <c r="B387" s="205"/>
      <c r="J387" s="207" t="str">
        <f>Parameters!E1245</f>
        <v>Transition Probability from state 2 to state 5 on day 9 (Non-CHG)</v>
      </c>
      <c r="K387" s="208">
        <f>Parameters!H1245</f>
        <v>6.6666666666666666E-2</v>
      </c>
      <c r="L387" s="208">
        <f>Parameters!J1245</f>
        <v>5.3600240103066306E-2</v>
      </c>
      <c r="M387" s="208">
        <f>Parameters!K1245</f>
        <v>7.9733093230267019E-2</v>
      </c>
      <c r="N387" s="138" t="str">
        <f>Tp_Non_CHG!$H$11</f>
        <v>[Franck Maunoury et al.2015]</v>
      </c>
      <c r="AF387" s="205"/>
    </row>
    <row r="388" spans="2:32" s="206" customFormat="1" ht="26" customHeight="1" x14ac:dyDescent="0.2">
      <c r="B388" s="205"/>
      <c r="J388" s="207" t="str">
        <f>Parameters!E1246</f>
        <v>Transition Probability from state 2 to state 8 on day 9 (Non-CHG)</v>
      </c>
      <c r="K388" s="208">
        <f>Parameters!H1246</f>
        <v>6.6666666666666666E-2</v>
      </c>
      <c r="L388" s="208">
        <f>Parameters!J1246</f>
        <v>5.3600240103066306E-2</v>
      </c>
      <c r="M388" s="208">
        <f>Parameters!K1246</f>
        <v>7.9733093230267019E-2</v>
      </c>
      <c r="N388" s="138" t="str">
        <f>Tp_Non_CHG!$H$11</f>
        <v>[Franck Maunoury et al.2015]</v>
      </c>
      <c r="AF388" s="205"/>
    </row>
    <row r="389" spans="2:32" s="206" customFormat="1" ht="26" customHeight="1" x14ac:dyDescent="0.2">
      <c r="B389" s="205"/>
      <c r="J389" s="207" t="str">
        <f>Parameters!E1247</f>
        <v>Transition Probability from state 2 to state 1 on day 10 (Non-CHG)</v>
      </c>
      <c r="K389" s="208">
        <f>Parameters!H1247</f>
        <v>1</v>
      </c>
      <c r="L389" s="208">
        <f>Parameters!J1247</f>
        <v>0.8040036015459946</v>
      </c>
      <c r="M389" s="208">
        <f>Parameters!K1247</f>
        <v>1.1959963984540054</v>
      </c>
      <c r="N389" s="138" t="str">
        <f>Tp_Non_CHG!$H$11</f>
        <v>[Franck Maunoury et al.2015]</v>
      </c>
      <c r="AF389" s="205"/>
    </row>
    <row r="390" spans="2:32" s="206" customFormat="1" ht="26" customHeight="1" x14ac:dyDescent="0.2">
      <c r="B390" s="205"/>
      <c r="J390" s="207" t="str">
        <f>Parameters!E1248</f>
        <v>Transition Probability from state 2 to state 1 on day 11 (Non-CHG)</v>
      </c>
      <c r="K390" s="208">
        <f>Parameters!H1248</f>
        <v>1</v>
      </c>
      <c r="L390" s="208">
        <f>Parameters!J1248</f>
        <v>0.8040036015459946</v>
      </c>
      <c r="M390" s="208">
        <f>Parameters!K1248</f>
        <v>1.1959963984540054</v>
      </c>
      <c r="N390" s="138" t="str">
        <f>Tp_Non_CHG!$H$11</f>
        <v>[Franck Maunoury et al.2015]</v>
      </c>
      <c r="AF390" s="205"/>
    </row>
    <row r="391" spans="2:32" s="206" customFormat="1" ht="26" customHeight="1" x14ac:dyDescent="0.2">
      <c r="B391" s="205"/>
      <c r="J391" s="207" t="str">
        <f>Parameters!E1249</f>
        <v>Transition Probability from state 2 to state 1 on day 12 (Non-CHG)</v>
      </c>
      <c r="K391" s="208">
        <f>Parameters!H1249</f>
        <v>0.9</v>
      </c>
      <c r="L391" s="208">
        <f>Parameters!J1249</f>
        <v>0.72360324139139509</v>
      </c>
      <c r="M391" s="208">
        <f>Parameters!K1249</f>
        <v>1.076396758608605</v>
      </c>
      <c r="N391" s="138" t="str">
        <f>Tp_Non_CHG!$H$11</f>
        <v>[Franck Maunoury et al.2015]</v>
      </c>
      <c r="AF391" s="205"/>
    </row>
    <row r="392" spans="2:32" s="206" customFormat="1" ht="26" customHeight="1" x14ac:dyDescent="0.2">
      <c r="B392" s="205"/>
      <c r="J392" s="207" t="str">
        <f>Parameters!E1250</f>
        <v>Transition Probability from state 2 to state 2 on day 12 (Non-CHG)</v>
      </c>
      <c r="K392" s="208">
        <f>Parameters!H1250</f>
        <v>0.1</v>
      </c>
      <c r="L392" s="208">
        <f>Parameters!J1250</f>
        <v>8.0400360154599462E-2</v>
      </c>
      <c r="M392" s="208">
        <f>Parameters!K1250</f>
        <v>0.11959963984540055</v>
      </c>
      <c r="N392" s="138" t="str">
        <f>Tp_Non_CHG!$H$11</f>
        <v>[Franck Maunoury et al.2015]</v>
      </c>
      <c r="AF392" s="205"/>
    </row>
    <row r="393" spans="2:32" s="206" customFormat="1" ht="26" customHeight="1" x14ac:dyDescent="0.2">
      <c r="B393" s="205"/>
      <c r="J393" s="207" t="str">
        <f>Parameters!E1251</f>
        <v>Transition Probability from state 2 to state 1 on day 13 (Non-CHG)</v>
      </c>
      <c r="K393" s="208">
        <f>Parameters!H1251</f>
        <v>1</v>
      </c>
      <c r="L393" s="208">
        <f>Parameters!J1251</f>
        <v>0.8040036015459946</v>
      </c>
      <c r="M393" s="208">
        <f>Parameters!K1251</f>
        <v>1.1959963984540054</v>
      </c>
      <c r="N393" s="138" t="str">
        <f>Tp_Non_CHG!$H$11</f>
        <v>[Franck Maunoury et al.2015]</v>
      </c>
      <c r="AF393" s="205"/>
    </row>
    <row r="394" spans="2:32" s="206" customFormat="1" ht="26" customHeight="1" x14ac:dyDescent="0.2">
      <c r="B394" s="205"/>
      <c r="J394" s="207" t="str">
        <f>Parameters!E1252</f>
        <v>Transition Probability from state 2 to state 1 on day 14 (Non-CHG)</v>
      </c>
      <c r="K394" s="208">
        <f>Parameters!H1252</f>
        <v>0.7857142857142857</v>
      </c>
      <c r="L394" s="208">
        <f>Parameters!J1252</f>
        <v>0.63171711550042431</v>
      </c>
      <c r="M394" s="208">
        <f>Parameters!K1252</f>
        <v>0.93971145592814709</v>
      </c>
      <c r="N394" s="138" t="str">
        <f>Tp_Non_CHG!$H$11</f>
        <v>[Franck Maunoury et al.2015]</v>
      </c>
      <c r="AF394" s="205"/>
    </row>
    <row r="395" spans="2:32" s="206" customFormat="1" ht="26" customHeight="1" x14ac:dyDescent="0.2">
      <c r="B395" s="205"/>
      <c r="J395" s="207" t="str">
        <f>Parameters!E1253</f>
        <v>Transition Probability from state 2 to state 7 on day 14 (Non-CHG)</v>
      </c>
      <c r="K395" s="208">
        <f>Parameters!H1253</f>
        <v>7.1428571428571425E-2</v>
      </c>
      <c r="L395" s="208">
        <f>Parameters!J1253</f>
        <v>5.7428828681856753E-2</v>
      </c>
      <c r="M395" s="208">
        <f>Parameters!K1253</f>
        <v>8.5428314175286096E-2</v>
      </c>
      <c r="N395" s="138" t="str">
        <f>Tp_Non_CHG!$H$11</f>
        <v>[Franck Maunoury et al.2015]</v>
      </c>
      <c r="AF395" s="205"/>
    </row>
    <row r="396" spans="2:32" s="206" customFormat="1" ht="26" customHeight="1" x14ac:dyDescent="0.2">
      <c r="B396" s="205"/>
      <c r="J396" s="207" t="str">
        <f>Parameters!E1254</f>
        <v>Transition Probability from state 2 to state 8 on day 14 (Non-CHG)</v>
      </c>
      <c r="K396" s="208">
        <f>Parameters!H1254</f>
        <v>0.14285714285714285</v>
      </c>
      <c r="L396" s="208">
        <f>Parameters!J1254</f>
        <v>0.11485765736371351</v>
      </c>
      <c r="M396" s="208">
        <f>Parameters!K1254</f>
        <v>0.17085662835057219</v>
      </c>
      <c r="N396" s="138" t="str">
        <f>Tp_Non_CHG!$H$11</f>
        <v>[Franck Maunoury et al.2015]</v>
      </c>
      <c r="AF396" s="205"/>
    </row>
    <row r="397" spans="2:32" s="206" customFormat="1" ht="26" customHeight="1" x14ac:dyDescent="0.2">
      <c r="B397" s="205"/>
      <c r="J397" s="207" t="str">
        <f>Parameters!E1255</f>
        <v>Transition Probability from state 2 to state 1 on day 15 (Non-CHG)</v>
      </c>
      <c r="K397" s="208">
        <f>Parameters!H1255</f>
        <v>0.8</v>
      </c>
      <c r="L397" s="208">
        <f>Parameters!J1255</f>
        <v>0.6432028812367957</v>
      </c>
      <c r="M397" s="208">
        <f>Parameters!K1255</f>
        <v>0.95679711876320439</v>
      </c>
      <c r="N397" s="138" t="str">
        <f>Tp_Non_CHG!$H$11</f>
        <v>[Franck Maunoury et al.2015]</v>
      </c>
      <c r="AF397" s="205"/>
    </row>
    <row r="398" spans="2:32" s="206" customFormat="1" ht="26" customHeight="1" x14ac:dyDescent="0.2">
      <c r="B398" s="205"/>
      <c r="J398" s="207" t="str">
        <f>Parameters!E1256</f>
        <v>Transition Probability from state 2 to state 7 on day 15 (Non-CHG)</v>
      </c>
      <c r="K398" s="208">
        <f>Parameters!H1256</f>
        <v>0.2</v>
      </c>
      <c r="L398" s="208">
        <f>Parameters!J1256</f>
        <v>0.16080072030919892</v>
      </c>
      <c r="M398" s="208">
        <f>Parameters!K1256</f>
        <v>0.2391992796908011</v>
      </c>
      <c r="N398" s="138" t="str">
        <f>Tp_Non_CHG!$H$11</f>
        <v>[Franck Maunoury et al.2015]</v>
      </c>
      <c r="AF398" s="205"/>
    </row>
    <row r="399" spans="2:32" s="206" customFormat="1" ht="26" customHeight="1" x14ac:dyDescent="0.2">
      <c r="B399" s="205"/>
      <c r="J399" s="207" t="str">
        <f>Parameters!E1257</f>
        <v>Transition Probability from state 2 to state 1 on day 16 (Non-CHG)</v>
      </c>
      <c r="K399" s="208">
        <f>Parameters!H1257</f>
        <v>1</v>
      </c>
      <c r="L399" s="208">
        <f>Parameters!J1257</f>
        <v>0.8040036015459946</v>
      </c>
      <c r="M399" s="208">
        <f>Parameters!K1257</f>
        <v>1.1959963984540054</v>
      </c>
      <c r="N399" s="138" t="str">
        <f>Tp_Non_CHG!$H$11</f>
        <v>[Franck Maunoury et al.2015]</v>
      </c>
      <c r="AF399" s="205"/>
    </row>
    <row r="400" spans="2:32" s="206" customFormat="1" ht="26" customHeight="1" x14ac:dyDescent="0.2">
      <c r="B400" s="205"/>
      <c r="J400" s="207" t="str">
        <f>Parameters!E1258</f>
        <v>Transition Probability from state 2 to state 1 on day 17 (Non-CHG)</v>
      </c>
      <c r="K400" s="208">
        <f>Parameters!H1258</f>
        <v>1</v>
      </c>
      <c r="L400" s="208">
        <f>Parameters!J1258</f>
        <v>0.8040036015459946</v>
      </c>
      <c r="M400" s="208">
        <f>Parameters!K1258</f>
        <v>1.1959963984540054</v>
      </c>
      <c r="N400" s="138" t="str">
        <f>Tp_Non_CHG!$H$11</f>
        <v>[Franck Maunoury et al.2015]</v>
      </c>
      <c r="AF400" s="205"/>
    </row>
    <row r="401" spans="2:32" s="206" customFormat="1" ht="26" customHeight="1" x14ac:dyDescent="0.2">
      <c r="B401" s="205"/>
      <c r="J401" s="207" t="str">
        <f>Parameters!E1259</f>
        <v>Transition Probability from state 2 to state 1 on day 18 (Non-CHG)</v>
      </c>
      <c r="K401" s="208">
        <f>Parameters!H1259</f>
        <v>0.83333333333333337</v>
      </c>
      <c r="L401" s="208">
        <f>Parameters!J1259</f>
        <v>0.6700030012883289</v>
      </c>
      <c r="M401" s="208">
        <f>Parameters!K1259</f>
        <v>0.99666366537833784</v>
      </c>
      <c r="N401" s="138" t="str">
        <f>Tp_Non_CHG!$H$11</f>
        <v>[Franck Maunoury et al.2015]</v>
      </c>
      <c r="AF401" s="205"/>
    </row>
    <row r="402" spans="2:32" s="206" customFormat="1" ht="26" customHeight="1" x14ac:dyDescent="0.2">
      <c r="B402" s="205"/>
      <c r="J402" s="207" t="str">
        <f>Parameters!E1260</f>
        <v>Transition Probability from state 2 to state 8 on day 18 (Non-CHG)</v>
      </c>
      <c r="K402" s="208">
        <f>Parameters!H1260</f>
        <v>0.16666666666666666</v>
      </c>
      <c r="L402" s="208">
        <f>Parameters!J1260</f>
        <v>0.13400060025766575</v>
      </c>
      <c r="M402" s="208">
        <f>Parameters!K1260</f>
        <v>0.19933273307566757</v>
      </c>
      <c r="N402" s="138" t="str">
        <f>Tp_Non_CHG!$H$11</f>
        <v>[Franck Maunoury et al.2015]</v>
      </c>
      <c r="AF402" s="205"/>
    </row>
    <row r="403" spans="2:32" s="206" customFormat="1" ht="26" customHeight="1" x14ac:dyDescent="0.2">
      <c r="B403" s="205"/>
      <c r="J403" s="207" t="str">
        <f>Parameters!E1261</f>
        <v>Transition Probability from state 2 to state 1 on day 19 (Non-CHG)</v>
      </c>
      <c r="K403" s="208">
        <f>Parameters!H1261</f>
        <v>0.90909090909090906</v>
      </c>
      <c r="L403" s="208">
        <f>Parameters!J1261</f>
        <v>0.73091236504181323</v>
      </c>
      <c r="M403" s="208">
        <f>Parameters!K1261</f>
        <v>1.0872694531400049</v>
      </c>
      <c r="N403" s="138" t="str">
        <f>Tp_Non_CHG!$H$11</f>
        <v>[Franck Maunoury et al.2015]</v>
      </c>
      <c r="AF403" s="205"/>
    </row>
    <row r="404" spans="2:32" s="206" customFormat="1" ht="26" customHeight="1" x14ac:dyDescent="0.2">
      <c r="B404" s="205"/>
      <c r="J404" s="207" t="str">
        <f>Parameters!E1262</f>
        <v>Transition Probability from state 2 to state 2 on day 19 (Non-CHG)</v>
      </c>
      <c r="K404" s="208">
        <f>Parameters!H1262</f>
        <v>9.0909090909090912E-2</v>
      </c>
      <c r="L404" s="208">
        <f>Parameters!J1262</f>
        <v>7.3091236504181326E-2</v>
      </c>
      <c r="M404" s="208">
        <f>Parameters!K1262</f>
        <v>0.10872694531400048</v>
      </c>
      <c r="N404" s="138" t="str">
        <f>Tp_Non_CHG!$H$11</f>
        <v>[Franck Maunoury et al.2015]</v>
      </c>
      <c r="AF404" s="205"/>
    </row>
    <row r="405" spans="2:32" s="206" customFormat="1" ht="26" customHeight="1" x14ac:dyDescent="0.2">
      <c r="B405" s="205"/>
      <c r="J405" s="207" t="str">
        <f>Parameters!E1263</f>
        <v>Transition Probability from state 2 to state 1 on day 20 (Non-CHG)</v>
      </c>
      <c r="K405" s="208">
        <f>Parameters!H1263</f>
        <v>1</v>
      </c>
      <c r="L405" s="208">
        <f>Parameters!J1263</f>
        <v>0.8040036015459946</v>
      </c>
      <c r="M405" s="208">
        <f>Parameters!K1263</f>
        <v>1.1959963984540054</v>
      </c>
      <c r="N405" s="138" t="str">
        <f>Tp_Non_CHG!$H$11</f>
        <v>[Franck Maunoury et al.2015]</v>
      </c>
      <c r="AF405" s="205"/>
    </row>
    <row r="406" spans="2:32" s="206" customFormat="1" ht="26" customHeight="1" x14ac:dyDescent="0.2">
      <c r="B406" s="205"/>
      <c r="J406" s="207" t="str">
        <f>Parameters!E1264</f>
        <v>Transition Probability from state 2 to state 1 on day 21 (Non-CHG)</v>
      </c>
      <c r="K406" s="208">
        <f>Parameters!H1264</f>
        <v>1</v>
      </c>
      <c r="L406" s="208">
        <f>Parameters!J1264</f>
        <v>0.8040036015459946</v>
      </c>
      <c r="M406" s="208">
        <f>Parameters!K1264</f>
        <v>1.1959963984540054</v>
      </c>
      <c r="N406" s="138" t="str">
        <f>Tp_Non_CHG!$H$11</f>
        <v>[Franck Maunoury et al.2015]</v>
      </c>
      <c r="AF406" s="205"/>
    </row>
    <row r="407" spans="2:32" s="206" customFormat="1" ht="26" customHeight="1" x14ac:dyDescent="0.2">
      <c r="B407" s="205"/>
      <c r="J407" s="207" t="str">
        <f>Parameters!E1265</f>
        <v>Transition Probability from state 2 to state 1 on day 22 (Non-CHG)</v>
      </c>
      <c r="K407" s="208">
        <f>Parameters!H1265</f>
        <v>1</v>
      </c>
      <c r="L407" s="208">
        <f>Parameters!J1265</f>
        <v>0.8040036015459946</v>
      </c>
      <c r="M407" s="208">
        <f>Parameters!K1265</f>
        <v>1.1959963984540054</v>
      </c>
      <c r="N407" s="138" t="str">
        <f>Tp_Non_CHG!$H$11</f>
        <v>[Franck Maunoury et al.2015]</v>
      </c>
      <c r="AF407" s="205"/>
    </row>
    <row r="408" spans="2:32" s="206" customFormat="1" ht="26" customHeight="1" x14ac:dyDescent="0.2">
      <c r="B408" s="205"/>
      <c r="J408" s="207" t="str">
        <f>Parameters!E1266</f>
        <v>Transition Probability from state 2 to state 1 on day 23 (Non-CHG)</v>
      </c>
      <c r="K408" s="208">
        <f>Parameters!H1266</f>
        <v>1</v>
      </c>
      <c r="L408" s="208">
        <f>Parameters!J1266</f>
        <v>0.8040036015459946</v>
      </c>
      <c r="M408" s="208">
        <f>Parameters!K1266</f>
        <v>1.1959963984540054</v>
      </c>
      <c r="N408" s="138" t="str">
        <f>Tp_Non_CHG!$H$11</f>
        <v>[Franck Maunoury et al.2015]</v>
      </c>
      <c r="AF408" s="205"/>
    </row>
    <row r="409" spans="2:32" s="206" customFormat="1" ht="26" customHeight="1" x14ac:dyDescent="0.2">
      <c r="B409" s="205"/>
      <c r="J409" s="207" t="str">
        <f>Parameters!E1267</f>
        <v>Transition Probability from state 2 to state 1 on day 24 (Non-CHG)</v>
      </c>
      <c r="K409" s="208">
        <f>Parameters!H1267</f>
        <v>1</v>
      </c>
      <c r="L409" s="208">
        <f>Parameters!J1267</f>
        <v>0.8040036015459946</v>
      </c>
      <c r="M409" s="208">
        <f>Parameters!K1267</f>
        <v>1.1959963984540054</v>
      </c>
      <c r="N409" s="138" t="str">
        <f>Tp_Non_CHG!$H$11</f>
        <v>[Franck Maunoury et al.2015]</v>
      </c>
      <c r="AF409" s="205"/>
    </row>
    <row r="410" spans="2:32" s="206" customFormat="1" ht="26" customHeight="1" x14ac:dyDescent="0.2">
      <c r="B410" s="205"/>
      <c r="J410" s="207" t="str">
        <f>Parameters!E1268</f>
        <v>Transition Probability from state 2 to state 1 on day 25 (Non-CHG)</v>
      </c>
      <c r="K410" s="208">
        <f>Parameters!H1268</f>
        <v>1</v>
      </c>
      <c r="L410" s="208">
        <f>Parameters!J1268</f>
        <v>0.8040036015459946</v>
      </c>
      <c r="M410" s="208">
        <f>Parameters!K1268</f>
        <v>1.1959963984540054</v>
      </c>
      <c r="N410" s="138" t="str">
        <f>Tp_Non_CHG!$H$11</f>
        <v>[Franck Maunoury et al.2015]</v>
      </c>
      <c r="AF410" s="205"/>
    </row>
    <row r="411" spans="2:32" s="206" customFormat="1" ht="26" customHeight="1" x14ac:dyDescent="0.2">
      <c r="B411" s="205"/>
      <c r="J411" s="207" t="str">
        <f>Parameters!E1269</f>
        <v>Transition Probability from state 2 to state 1 on day 26 (Non-CHG)</v>
      </c>
      <c r="K411" s="208">
        <f>Parameters!H1269</f>
        <v>1</v>
      </c>
      <c r="L411" s="208">
        <f>Parameters!J1269</f>
        <v>0.8040036015459946</v>
      </c>
      <c r="M411" s="208">
        <f>Parameters!K1269</f>
        <v>1.1959963984540054</v>
      </c>
      <c r="N411" s="138" t="str">
        <f>Tp_Non_CHG!$H$11</f>
        <v>[Franck Maunoury et al.2015]</v>
      </c>
      <c r="AF411" s="205"/>
    </row>
    <row r="412" spans="2:32" s="206" customFormat="1" ht="26" customHeight="1" x14ac:dyDescent="0.2">
      <c r="B412" s="205"/>
      <c r="J412" s="207" t="str">
        <f>Parameters!E1271</f>
        <v>Transition Probability from state 2 to state 8 on day 27 (Non-CHG)</v>
      </c>
      <c r="K412" s="208">
        <f>Parameters!H1271</f>
        <v>1</v>
      </c>
      <c r="L412" s="208">
        <f>Parameters!J1271</f>
        <v>0.8040036015459946</v>
      </c>
      <c r="M412" s="208">
        <f>Parameters!K1271</f>
        <v>1.1959963984540054</v>
      </c>
      <c r="N412" s="138" t="str">
        <f>Tp_Non_CHG!$H$11</f>
        <v>[Franck Maunoury et al.2015]</v>
      </c>
      <c r="AF412" s="205"/>
    </row>
    <row r="413" spans="2:32" s="206" customFormat="1" ht="26" customHeight="1" x14ac:dyDescent="0.2">
      <c r="B413" s="205"/>
      <c r="J413" s="207" t="str">
        <f>Parameters!E1273</f>
        <v>Transition Probability from state 2 to state 1 on day 29 (Non-CHG)</v>
      </c>
      <c r="K413" s="208">
        <f>Parameters!H1273</f>
        <v>1</v>
      </c>
      <c r="L413" s="208">
        <f>Parameters!J1273</f>
        <v>0.8040036015459946</v>
      </c>
      <c r="M413" s="208">
        <f>Parameters!K1273</f>
        <v>1.1959963984540054</v>
      </c>
      <c r="N413" s="138" t="str">
        <f>Tp_Non_CHG!$H$11</f>
        <v>[Franck Maunoury et al.2015]</v>
      </c>
      <c r="AF413" s="205"/>
    </row>
    <row r="414" spans="2:32" s="206" customFormat="1" ht="26" customHeight="1" x14ac:dyDescent="0.2">
      <c r="B414" s="205"/>
      <c r="J414" s="207" t="str">
        <f>Parameters!E1274</f>
        <v>Transition Probability from state 2 to state 1 on day 30 (Non-CHG)</v>
      </c>
      <c r="K414" s="208">
        <f>Parameters!H1274</f>
        <v>1</v>
      </c>
      <c r="L414" s="208">
        <f>Parameters!J1274</f>
        <v>0.8040036015459946</v>
      </c>
      <c r="M414" s="208">
        <f>Parameters!K1274</f>
        <v>1.1959963984540054</v>
      </c>
      <c r="N414" s="138" t="str">
        <f>Tp_Non_CHG!$H$11</f>
        <v>[Franck Maunoury et al.2015]</v>
      </c>
      <c r="AF414" s="205"/>
    </row>
    <row r="415" spans="2:32" s="206" customFormat="1" ht="26" customHeight="1" x14ac:dyDescent="0.2">
      <c r="B415" s="205"/>
      <c r="J415" s="207" t="str">
        <f>Parameters!E1284</f>
        <v>Transition Probability from state 3 to state 1 on day 10 (Non-CHG)</v>
      </c>
      <c r="K415" s="208">
        <f>Parameters!H1284</f>
        <v>1</v>
      </c>
      <c r="L415" s="208">
        <f>Parameters!J1284</f>
        <v>0.8040036015459946</v>
      </c>
      <c r="M415" s="208">
        <f>Parameters!K1284</f>
        <v>1.1959963984540054</v>
      </c>
      <c r="N415" s="138" t="str">
        <f>Tp_Non_CHG!$H$11</f>
        <v>[Franck Maunoury et al.2015]</v>
      </c>
      <c r="AF415" s="205"/>
    </row>
    <row r="416" spans="2:32" s="206" customFormat="1" ht="26" customHeight="1" x14ac:dyDescent="0.2">
      <c r="B416" s="205"/>
      <c r="J416" s="207" t="str">
        <f>Parameters!E1285</f>
        <v>Transition Probability from state 3 to state 1 on day 11 (Non-CHG)</v>
      </c>
      <c r="K416" s="208">
        <f>Parameters!H1285</f>
        <v>1</v>
      </c>
      <c r="L416" s="208">
        <f>Parameters!J1285</f>
        <v>0.8040036015459946</v>
      </c>
      <c r="M416" s="208">
        <f>Parameters!K1285</f>
        <v>1.1959963984540054</v>
      </c>
      <c r="N416" s="138" t="str">
        <f>Tp_Non_CHG!$H$11</f>
        <v>[Franck Maunoury et al.2015]</v>
      </c>
      <c r="AF416" s="205"/>
    </row>
    <row r="417" spans="2:32" s="206" customFormat="1" ht="26" customHeight="1" x14ac:dyDescent="0.2">
      <c r="B417" s="205"/>
      <c r="J417" s="207" t="str">
        <f>Parameters!E1287</f>
        <v>Transition Probability from state 3 to state 1 on day 13 (Non-CHG)</v>
      </c>
      <c r="K417" s="208">
        <f>Parameters!H1287</f>
        <v>1</v>
      </c>
      <c r="L417" s="208">
        <f>Parameters!J1287</f>
        <v>0.8040036015459946</v>
      </c>
      <c r="M417" s="208">
        <f>Parameters!K1287</f>
        <v>1.1959963984540054</v>
      </c>
      <c r="N417" s="138" t="str">
        <f>Tp_Non_CHG!$H$11</f>
        <v>[Franck Maunoury et al.2015]</v>
      </c>
      <c r="AF417" s="205"/>
    </row>
    <row r="418" spans="2:32" s="206" customFormat="1" ht="26" customHeight="1" x14ac:dyDescent="0.2">
      <c r="B418" s="205"/>
      <c r="J418" s="207" t="str">
        <f>Parameters!E1288</f>
        <v>Transition Probability from state 3 to state 1 on day 14 (Non-CHG)</v>
      </c>
      <c r="K418" s="208">
        <f>Parameters!H1288</f>
        <v>1</v>
      </c>
      <c r="L418" s="208">
        <f>Parameters!J1288</f>
        <v>0.8040036015459946</v>
      </c>
      <c r="M418" s="208">
        <f>Parameters!K1288</f>
        <v>1.1959963984540054</v>
      </c>
      <c r="N418" s="138" t="str">
        <f>Tp_Non_CHG!$H$11</f>
        <v>[Franck Maunoury et al.2015]</v>
      </c>
      <c r="AF418" s="205"/>
    </row>
    <row r="419" spans="2:32" s="206" customFormat="1" ht="26" customHeight="1" x14ac:dyDescent="0.2">
      <c r="B419" s="205"/>
      <c r="J419" s="207" t="str">
        <f>Parameters!E1297</f>
        <v>Transition Probability from state 3 to state 1 on day 23 (Non-CHG)</v>
      </c>
      <c r="K419" s="208">
        <f>Parameters!H1297</f>
        <v>1</v>
      </c>
      <c r="L419" s="208">
        <f>Parameters!J1297</f>
        <v>0.8040036015459946</v>
      </c>
      <c r="M419" s="208">
        <f>Parameters!K1297</f>
        <v>1.1959963984540054</v>
      </c>
      <c r="N419" s="138" t="str">
        <f>Tp_Non_CHG!$H$11</f>
        <v>[Franck Maunoury et al.2015]</v>
      </c>
      <c r="AF419" s="205"/>
    </row>
    <row r="420" spans="2:32" s="206" customFormat="1" ht="26" customHeight="1" x14ac:dyDescent="0.2">
      <c r="B420" s="205"/>
      <c r="J420" s="207" t="str">
        <f>Parameters!E1311</f>
        <v>Transition Probability from state 4 to state 1 on day 7 (Non-CHG)</v>
      </c>
      <c r="K420" s="208">
        <f>Parameters!H1311</f>
        <v>1</v>
      </c>
      <c r="L420" s="208">
        <f>Parameters!J1311</f>
        <v>0.8040036015459946</v>
      </c>
      <c r="M420" s="208">
        <f>Parameters!K1311</f>
        <v>1.1959963984540054</v>
      </c>
      <c r="N420" s="138" t="str">
        <f>Tp_Non_CHG!$H$11</f>
        <v>[Franck Maunoury et al.2015]</v>
      </c>
      <c r="AF420" s="205"/>
    </row>
    <row r="421" spans="2:32" s="206" customFormat="1" ht="26" customHeight="1" x14ac:dyDescent="0.2">
      <c r="B421" s="205"/>
      <c r="J421" s="207" t="str">
        <f>Parameters!E1312</f>
        <v>Transition Probability from state 4 to state 1 on day 8 (Non-CHG)</v>
      </c>
      <c r="K421" s="208">
        <f>Parameters!H1312</f>
        <v>1</v>
      </c>
      <c r="L421" s="208">
        <f>Parameters!J1312</f>
        <v>0.8040036015459946</v>
      </c>
      <c r="M421" s="208">
        <f>Parameters!K1312</f>
        <v>1.1959963984540054</v>
      </c>
      <c r="N421" s="138" t="str">
        <f>Tp_Non_CHG!$H$11</f>
        <v>[Franck Maunoury et al.2015]</v>
      </c>
      <c r="AF421" s="205"/>
    </row>
    <row r="422" spans="2:32" s="206" customFormat="1" ht="26" customHeight="1" x14ac:dyDescent="0.2">
      <c r="B422" s="205"/>
      <c r="J422" s="207" t="str">
        <f>Parameters!E1314</f>
        <v>Transition Probability from state 4 to state 1 on day 10 (Non-CHG)</v>
      </c>
      <c r="K422" s="208">
        <f>Parameters!H1314</f>
        <v>1</v>
      </c>
      <c r="L422" s="208">
        <f>Parameters!J1314</f>
        <v>0.8040036015459946</v>
      </c>
      <c r="M422" s="208">
        <f>Parameters!K1314</f>
        <v>1.1959963984540054</v>
      </c>
      <c r="N422" s="138" t="str">
        <f>Tp_Non_CHG!$H$11</f>
        <v>[Franck Maunoury et al.2015]</v>
      </c>
      <c r="AF422" s="205"/>
    </row>
    <row r="423" spans="2:32" s="206" customFormat="1" ht="26" customHeight="1" x14ac:dyDescent="0.2">
      <c r="B423" s="205"/>
      <c r="J423" s="207" t="str">
        <f>Parameters!E1316</f>
        <v>Transition Probability from state 4 to state 7 on day 11 (Non-CHG)</v>
      </c>
      <c r="K423" s="208">
        <f>Parameters!H1316</f>
        <v>1</v>
      </c>
      <c r="L423" s="208">
        <f>Parameters!J1316</f>
        <v>0.8040036015459946</v>
      </c>
      <c r="M423" s="208">
        <f>Parameters!K1316</f>
        <v>1.1959963984540054</v>
      </c>
      <c r="N423" s="138" t="str">
        <f>Tp_Non_CHG!$H$11</f>
        <v>[Franck Maunoury et al.2015]</v>
      </c>
      <c r="AF423" s="205"/>
    </row>
    <row r="424" spans="2:32" s="206" customFormat="1" ht="26" customHeight="1" x14ac:dyDescent="0.2">
      <c r="B424" s="205"/>
      <c r="J424" s="207" t="str">
        <f>Parameters!E1317</f>
        <v>Transition Probability from state 4 to state 1 on day 12 (Non-CHG)</v>
      </c>
      <c r="K424" s="208">
        <f>Parameters!H1317</f>
        <v>1</v>
      </c>
      <c r="L424" s="208">
        <f>Parameters!J1317</f>
        <v>0.8040036015459946</v>
      </c>
      <c r="M424" s="208">
        <f>Parameters!K1317</f>
        <v>1.1959963984540054</v>
      </c>
      <c r="N424" s="138" t="str">
        <f>Tp_Non_CHG!$H$11</f>
        <v>[Franck Maunoury et al.2015]</v>
      </c>
      <c r="AF424" s="205"/>
    </row>
    <row r="425" spans="2:32" s="206" customFormat="1" ht="26" customHeight="1" x14ac:dyDescent="0.2">
      <c r="B425" s="205"/>
      <c r="J425" s="207" t="str">
        <f>Parameters!E1319</f>
        <v>Transition Probability from state 4 to state 2 on day 13 (Non-CHG)</v>
      </c>
      <c r="K425" s="208">
        <f>Parameters!H1319</f>
        <v>1</v>
      </c>
      <c r="L425" s="208">
        <f>Parameters!J1319</f>
        <v>0.8040036015459946</v>
      </c>
      <c r="M425" s="208">
        <f>Parameters!K1319</f>
        <v>1.1959963984540054</v>
      </c>
      <c r="N425" s="138" t="str">
        <f>Tp_Non_CHG!$H$11</f>
        <v>[Franck Maunoury et al.2015]</v>
      </c>
      <c r="AF425" s="205"/>
    </row>
    <row r="426" spans="2:32" s="206" customFormat="1" ht="26" customHeight="1" x14ac:dyDescent="0.2">
      <c r="B426" s="205"/>
      <c r="J426" s="207" t="str">
        <f>Parameters!E1324</f>
        <v>Transition Probability from state 4 to state 1 on day 18 (Non-CHG)</v>
      </c>
      <c r="K426" s="208">
        <f>Parameters!H1324</f>
        <v>1</v>
      </c>
      <c r="L426" s="208">
        <f>Parameters!J1324</f>
        <v>0.8040036015459946</v>
      </c>
      <c r="M426" s="208">
        <f>Parameters!K1324</f>
        <v>1.1959963984540054</v>
      </c>
      <c r="N426" s="138" t="str">
        <f>Tp_Non_CHG!$H$11</f>
        <v>[Franck Maunoury et al.2015]</v>
      </c>
      <c r="AF426" s="205"/>
    </row>
    <row r="427" spans="2:32" s="206" customFormat="1" ht="26" customHeight="1" x14ac:dyDescent="0.2">
      <c r="B427" s="205"/>
      <c r="J427" s="207" t="str">
        <f>Parameters!E1325</f>
        <v>Transition Probability from state 4 to state 1 on day 19 (Non-CHG)</v>
      </c>
      <c r="K427" s="208">
        <f>Parameters!H1325</f>
        <v>1</v>
      </c>
      <c r="L427" s="208">
        <f>Parameters!J1325</f>
        <v>0.8040036015459946</v>
      </c>
      <c r="M427" s="208">
        <f>Parameters!K1325</f>
        <v>1.1959963984540054</v>
      </c>
      <c r="N427" s="138" t="str">
        <f>Tp_Non_CHG!$H$11</f>
        <v>[Franck Maunoury et al.2015]</v>
      </c>
      <c r="AF427" s="205"/>
    </row>
    <row r="428" spans="2:32" s="206" customFormat="1" ht="26" customHeight="1" x14ac:dyDescent="0.2">
      <c r="B428" s="205"/>
      <c r="J428" s="207" t="str">
        <f>Parameters!E1326</f>
        <v>Transition Probability from state 4 to state 1 on day 20 (Non-CHG)</v>
      </c>
      <c r="K428" s="208">
        <f>Parameters!H1326</f>
        <v>1</v>
      </c>
      <c r="L428" s="208">
        <f>Parameters!J1326</f>
        <v>0.8040036015459946</v>
      </c>
      <c r="M428" s="208">
        <f>Parameters!K1326</f>
        <v>1.1959963984540054</v>
      </c>
      <c r="N428" s="138" t="str">
        <f>Tp_Non_CHG!$H$11</f>
        <v>[Franck Maunoury et al.2015]</v>
      </c>
      <c r="AF428" s="205"/>
    </row>
    <row r="429" spans="2:32" s="206" customFormat="1" ht="26" customHeight="1" x14ac:dyDescent="0.2">
      <c r="B429" s="205"/>
      <c r="J429" s="207" t="str">
        <f>Parameters!E1345</f>
        <v>Transition Probability from state 6 to state 8 on day 8 (Non-CHG)</v>
      </c>
      <c r="K429" s="208">
        <f>Parameters!H1345</f>
        <v>1</v>
      </c>
      <c r="L429" s="208">
        <f>Parameters!J1345</f>
        <v>0.8040036015459946</v>
      </c>
      <c r="M429" s="208">
        <f>Parameters!K1345</f>
        <v>1.1959963984540054</v>
      </c>
      <c r="N429" s="138" t="str">
        <f>Tp_Non_CHG!$H$11</f>
        <v>[Franck Maunoury et al.2015]</v>
      </c>
      <c r="AF429" s="205"/>
    </row>
    <row r="430" spans="2:32" s="206" customFormat="1" ht="26" customHeight="1" x14ac:dyDescent="0.2">
      <c r="B430" s="205"/>
      <c r="J430" s="207" t="str">
        <f>Parameters!E1347</f>
        <v>Transition Probability from state 6 to state 8 on day 9 (Non-CHG)</v>
      </c>
      <c r="K430" s="208">
        <f>Parameters!H1347</f>
        <v>1</v>
      </c>
      <c r="L430" s="208">
        <f>Parameters!J1347</f>
        <v>0.8040036015459946</v>
      </c>
      <c r="M430" s="208">
        <f>Parameters!K1347</f>
        <v>1.1959963984540054</v>
      </c>
      <c r="N430" s="138" t="str">
        <f>Tp_Non_CHG!$H$11</f>
        <v>[Franck Maunoury et al.2015]</v>
      </c>
      <c r="AF430" s="205"/>
    </row>
    <row r="431" spans="2:32" s="206" customFormat="1" ht="26" customHeight="1" x14ac:dyDescent="0.2">
      <c r="B431" s="205"/>
      <c r="J431" s="207" t="str">
        <f>Parameters!E1350</f>
        <v>Transition Probability from state 6 to state 7 on day 11 (Non-CHG)</v>
      </c>
      <c r="K431" s="208">
        <f>Parameters!H1350</f>
        <v>1</v>
      </c>
      <c r="L431" s="208">
        <f>Parameters!J1350</f>
        <v>0.8040036015459946</v>
      </c>
      <c r="M431" s="208">
        <f>Parameters!K1350</f>
        <v>1.1959963984540054</v>
      </c>
      <c r="N431" s="138" t="str">
        <f>Tp_Non_CHG!$H$11</f>
        <v>[Franck Maunoury et al.2015]</v>
      </c>
      <c r="AF431" s="205"/>
    </row>
    <row r="432" spans="2:32" s="206" customFormat="1" ht="26" customHeight="1" x14ac:dyDescent="0.2">
      <c r="B432" s="205"/>
      <c r="J432" s="207" t="str">
        <f>Parameters!E1353</f>
        <v>Transition Probability from state 6 to state 1 on day 14 (Non-CHG)</v>
      </c>
      <c r="K432" s="208">
        <f>Parameters!H1353</f>
        <v>1</v>
      </c>
      <c r="L432" s="208">
        <f>Parameters!J1353</f>
        <v>0.8040036015459946</v>
      </c>
      <c r="M432" s="208">
        <f>Parameters!K1353</f>
        <v>1.1959963984540054</v>
      </c>
      <c r="N432" s="138" t="str">
        <f>Tp_Non_CHG!$H$11</f>
        <v>[Franck Maunoury et al.2015]</v>
      </c>
      <c r="AF432" s="205"/>
    </row>
    <row r="433" spans="2:32" s="206" customFormat="1" ht="26" customHeight="1" x14ac:dyDescent="0.2">
      <c r="B433" s="205"/>
      <c r="J433" s="207" t="str">
        <f>Parameters!E1358</f>
        <v>Transition Probability from state 6 to state 1 on day 19 (Non-CHG)</v>
      </c>
      <c r="K433" s="208">
        <f>Parameters!H1358</f>
        <v>1</v>
      </c>
      <c r="L433" s="208">
        <f>Parameters!J1358</f>
        <v>0.8040036015459946</v>
      </c>
      <c r="M433" s="208">
        <f>Parameters!K1358</f>
        <v>1.1959963984540054</v>
      </c>
      <c r="N433" s="138" t="str">
        <f>Tp_Non_CHG!$H$11</f>
        <v>[Franck Maunoury et al.2015]</v>
      </c>
      <c r="AF433" s="205"/>
    </row>
    <row r="434" spans="2:32" s="206" customFormat="1" ht="26" customHeight="1" x14ac:dyDescent="0.2">
      <c r="B434" s="205"/>
      <c r="J434" s="207" t="str">
        <f>Parameters!E1361</f>
        <v>Transition Probability from state 6 to state 1 on day 22 (Non-CHG)</v>
      </c>
      <c r="K434" s="208">
        <f>Parameters!H1361</f>
        <v>1</v>
      </c>
      <c r="L434" s="208">
        <f>Parameters!J1361</f>
        <v>0.8040036015459946</v>
      </c>
      <c r="M434" s="208">
        <f>Parameters!K1361</f>
        <v>1.1959963984540054</v>
      </c>
      <c r="N434" s="138" t="str">
        <f>Tp_Non_CHG!$H$11</f>
        <v>[Franck Maunoury et al.2015]</v>
      </c>
      <c r="AF434" s="205"/>
    </row>
    <row r="435" spans="2:32" s="206" customFormat="1" ht="26" customHeight="1" x14ac:dyDescent="0.2">
      <c r="B435" s="205"/>
      <c r="J435" s="207" t="str">
        <f>Parameters!E1365</f>
        <v>Transition Probability from state 6 to state 5 on day 25 (Non-CHG)</v>
      </c>
      <c r="K435" s="208">
        <f>Parameters!H1365</f>
        <v>1</v>
      </c>
      <c r="L435" s="208">
        <f>Parameters!J1365</f>
        <v>0.8040036015459946</v>
      </c>
      <c r="M435" s="208">
        <f>Parameters!K1365</f>
        <v>1.1959963984540054</v>
      </c>
      <c r="N435" s="138" t="str">
        <f>Tp_Non_CHG!$H$11</f>
        <v>[Franck Maunoury et al.2015]</v>
      </c>
      <c r="AF435" s="205"/>
    </row>
    <row r="436" spans="2:32" s="206" customFormat="1" ht="26" customHeight="1" x14ac:dyDescent="0.2">
      <c r="B436" s="205"/>
      <c r="J436" s="207" t="str">
        <f>Parameters!E1367</f>
        <v>Transition Probability from state 6 to state 1 on day 27 (Non-CHG)</v>
      </c>
      <c r="K436" s="208">
        <f>Parameters!H1367</f>
        <v>1</v>
      </c>
      <c r="L436" s="208">
        <f>Parameters!J1367</f>
        <v>0.8040036015459946</v>
      </c>
      <c r="M436" s="208">
        <f>Parameters!K1367</f>
        <v>1.1959963984540054</v>
      </c>
      <c r="N436" s="138" t="str">
        <f>Tp_Non_CHG!$H$11</f>
        <v>[Franck Maunoury et al.2015]</v>
      </c>
      <c r="AF436" s="205"/>
    </row>
    <row r="437" spans="2:32" s="206" customFormat="1" ht="26" customHeight="1" x14ac:dyDescent="0.2">
      <c r="B437" s="205"/>
      <c r="J437" s="207" t="str">
        <f>Parameters!E1371</f>
        <v>Transition Probability from state 6 to state 5 on day 30 (Non-CHG)</v>
      </c>
      <c r="K437" s="208">
        <f>Parameters!H1371</f>
        <v>1</v>
      </c>
      <c r="L437" s="208">
        <f>Parameters!J1371</f>
        <v>0.8040036015459946</v>
      </c>
      <c r="M437" s="208">
        <f>Parameters!K1371</f>
        <v>1.1959963984540054</v>
      </c>
      <c r="N437" s="138" t="str">
        <f>Tp_Non_CHG!$H$11</f>
        <v>[Franck Maunoury et al.2015]</v>
      </c>
      <c r="AF437" s="205"/>
    </row>
    <row r="438" spans="2:32" s="206" customFormat="1" ht="26" customHeight="1" x14ac:dyDescent="0.2">
      <c r="B438" s="205"/>
      <c r="J438" s="207" t="str">
        <f>Parameters!E1372</f>
        <v>Transition Probability from state 1 to state 2 on day 27 (Non-CHG)</v>
      </c>
      <c r="K438" s="208">
        <f>Parameters!H1917</f>
        <v>1</v>
      </c>
      <c r="L438" s="208">
        <f>Parameters!J1917</f>
        <v>0.8040036015459946</v>
      </c>
      <c r="M438" s="208">
        <f>Parameters!K1917</f>
        <v>1.1959963984540054</v>
      </c>
      <c r="N438" s="138" t="str">
        <f>Tp_Non_CHG!$H$11</f>
        <v>[Franck Maunoury et al.2015]</v>
      </c>
      <c r="AF438" s="205"/>
    </row>
    <row r="439" spans="2:32" s="206" customFormat="1" ht="26" customHeight="1" x14ac:dyDescent="0.2">
      <c r="B439" s="205"/>
      <c r="J439" s="207" t="str">
        <f>Parameters!E1373</f>
        <v>Transition Probability from state 2 to state 2 on day 1 (Non-CHG)</v>
      </c>
      <c r="K439" s="208">
        <f>Parameters!H1918</f>
        <v>1</v>
      </c>
      <c r="L439" s="208">
        <f>Parameters!J1918</f>
        <v>0.8040036015459946</v>
      </c>
      <c r="M439" s="208">
        <f>Parameters!K1918</f>
        <v>1.1959963984540054</v>
      </c>
      <c r="N439" s="138" t="str">
        <f>Tp_Non_CHG!$H$11</f>
        <v>[Franck Maunoury et al.2015]</v>
      </c>
      <c r="AF439" s="205"/>
    </row>
    <row r="440" spans="2:32" s="206" customFormat="1" ht="26" customHeight="1" x14ac:dyDescent="0.2">
      <c r="B440" s="205"/>
      <c r="J440" s="207" t="str">
        <f>Parameters!E1375</f>
        <v>Transition Probability from state 2 to state 2 on day 3 (Non-CHG)</v>
      </c>
      <c r="K440" s="208">
        <f>Parameters!H1920</f>
        <v>1</v>
      </c>
      <c r="L440" s="208">
        <f>Parameters!J1920</f>
        <v>0.8040036015459946</v>
      </c>
      <c r="M440" s="208">
        <f>Parameters!K1920</f>
        <v>1.1959963984540054</v>
      </c>
      <c r="N440" s="138" t="str">
        <f>Tp_Non_CHG!$H$11</f>
        <v>[Franck Maunoury et al.2015]</v>
      </c>
      <c r="AF440" s="205"/>
    </row>
    <row r="441" spans="2:32" s="206" customFormat="1" ht="26" customHeight="1" x14ac:dyDescent="0.2">
      <c r="B441" s="205"/>
      <c r="J441" s="207" t="str">
        <f>Parameters!E1378</f>
        <v>Transition Probability from state 2 to state 2 on day 9 (Non-CHG)</v>
      </c>
      <c r="K441" s="208">
        <f>Parameters!H1923</f>
        <v>1</v>
      </c>
      <c r="L441" s="208">
        <f>Parameters!J1923</f>
        <v>0.8040036015459946</v>
      </c>
      <c r="M441" s="208">
        <f>Parameters!K1923</f>
        <v>1.1959963984540054</v>
      </c>
      <c r="N441" s="138" t="str">
        <f>Tp_Non_CHG!$H$11</f>
        <v>[Franck Maunoury et al.2015]</v>
      </c>
      <c r="AF441" s="205"/>
    </row>
    <row r="442" spans="2:32" s="206" customFormat="1" ht="26" customHeight="1" x14ac:dyDescent="0.2">
      <c r="B442" s="205"/>
      <c r="J442" s="207" t="str">
        <f>Parameters!E1383</f>
        <v>Transition Probability from state 2 to state 2 on day 15 (Non-CHG)</v>
      </c>
      <c r="K442" s="208">
        <f>Parameters!H1928</f>
        <v>1</v>
      </c>
      <c r="L442" s="208">
        <f>Parameters!J1928</f>
        <v>0.8040036015459946</v>
      </c>
      <c r="M442" s="208">
        <f>Parameters!K1928</f>
        <v>1.1959963984540054</v>
      </c>
      <c r="N442" s="138" t="str">
        <f>Tp_Non_CHG!$H$11</f>
        <v>[Franck Maunoury et al.2015]</v>
      </c>
      <c r="AF442" s="205"/>
    </row>
    <row r="443" spans="2:32" s="206" customFormat="1" ht="26" customHeight="1" x14ac:dyDescent="0.2">
      <c r="B443" s="205"/>
      <c r="J443" s="207" t="str">
        <f>Parameters!E1386</f>
        <v>Transition Probability from state 2 to state 2 on day 18 (Non-CHG)</v>
      </c>
      <c r="K443" s="208">
        <f>Parameters!H1931</f>
        <v>1</v>
      </c>
      <c r="L443" s="208">
        <f>Parameters!J1931</f>
        <v>0.8040036015459946</v>
      </c>
      <c r="M443" s="208">
        <f>Parameters!K1931</f>
        <v>1.1959963984540054</v>
      </c>
      <c r="N443" s="138" t="str">
        <f>Tp_Non_CHG!$H$11</f>
        <v>[Franck Maunoury et al.2015]</v>
      </c>
      <c r="AF443" s="205"/>
    </row>
    <row r="444" spans="2:32" s="206" customFormat="1" ht="26" customHeight="1" x14ac:dyDescent="0.2">
      <c r="B444" s="205"/>
      <c r="J444" s="207" t="str">
        <f>Parameters!E1389</f>
        <v>Transition Probability from state 2 to state 2 on day 22 (Non-CHG)</v>
      </c>
      <c r="K444" s="208">
        <f>Parameters!H1934</f>
        <v>1</v>
      </c>
      <c r="L444" s="208">
        <f>Parameters!J1934</f>
        <v>0.8040036015459946</v>
      </c>
      <c r="M444" s="208">
        <f>Parameters!K1934</f>
        <v>1.1959963984540054</v>
      </c>
      <c r="N444" s="138" t="str">
        <f>Tp_Non_CHG!$H$11</f>
        <v>[Franck Maunoury et al.2015]</v>
      </c>
      <c r="AF444" s="205"/>
    </row>
    <row r="445" spans="2:32" s="206" customFormat="1" ht="26" customHeight="1" x14ac:dyDescent="0.2">
      <c r="B445" s="205"/>
      <c r="J445" s="207" t="str">
        <f>Parameters!E1391</f>
        <v>Transition Probability from state 2 to state 2 on day 24 (Non-CHG)</v>
      </c>
      <c r="K445" s="208">
        <f>Parameters!H1936</f>
        <v>1</v>
      </c>
      <c r="L445" s="208">
        <f>Parameters!J1936</f>
        <v>0.8040036015459946</v>
      </c>
      <c r="M445" s="208">
        <f>Parameters!K1936</f>
        <v>1.1959963984540054</v>
      </c>
      <c r="N445" s="138" t="str">
        <f>Tp_Non_CHG!$H$11</f>
        <v>[Franck Maunoury et al.2015]</v>
      </c>
      <c r="AF445" s="205"/>
    </row>
    <row r="446" spans="2:32" s="206" customFormat="1" ht="26" customHeight="1" x14ac:dyDescent="0.2">
      <c r="B446" s="205"/>
      <c r="J446" s="207" t="str">
        <f>Parameters!E1394</f>
        <v>Transition Probability from state 2 to state 2 on day 27 (Non-CHG)</v>
      </c>
      <c r="K446" s="208">
        <f>Parameters!H1939</f>
        <v>1</v>
      </c>
      <c r="L446" s="208">
        <f>Parameters!J1939</f>
        <v>0.8040036015459946</v>
      </c>
      <c r="M446" s="208">
        <f>Parameters!K1939</f>
        <v>1.1959963984540054</v>
      </c>
      <c r="N446" s="138" t="str">
        <f>Tp_Non_CHG!$H$11</f>
        <v>[Franck Maunoury et al.2015]</v>
      </c>
      <c r="AF446" s="205"/>
    </row>
    <row r="447" spans="2:32" s="206" customFormat="1" ht="26" customHeight="1" x14ac:dyDescent="0.2">
      <c r="B447" s="205"/>
      <c r="J447" s="207" t="str">
        <f>Parameters!E1395</f>
        <v>Transition Probability from state 2 to state 2 on day 28 (Non-CHG)</v>
      </c>
      <c r="K447" s="208">
        <f>Parameters!H1940</f>
        <v>1</v>
      </c>
      <c r="L447" s="208">
        <f>Parameters!J1940</f>
        <v>0.8040036015459946</v>
      </c>
      <c r="M447" s="208">
        <f>Parameters!K1940</f>
        <v>1.1959963984540054</v>
      </c>
      <c r="N447" s="138" t="str">
        <f>Tp_Non_CHG!$H$11</f>
        <v>[Franck Maunoury et al.2015]</v>
      </c>
      <c r="AF447" s="205"/>
    </row>
    <row r="448" spans="2:32" s="206" customFormat="1" ht="26" customHeight="1" x14ac:dyDescent="0.2">
      <c r="B448" s="205"/>
      <c r="J448" s="260" t="s">
        <v>59</v>
      </c>
      <c r="K448" s="261"/>
      <c r="L448" s="261"/>
      <c r="M448" s="261"/>
      <c r="N448" s="262"/>
      <c r="AF448" s="205"/>
    </row>
    <row r="449" spans="2:32" s="206" customFormat="1" ht="26" customHeight="1" x14ac:dyDescent="0.2">
      <c r="B449" s="205"/>
      <c r="J449" s="141" t="s">
        <v>109</v>
      </c>
      <c r="K449" s="139" t="s">
        <v>110</v>
      </c>
      <c r="L449" s="139" t="s">
        <v>111</v>
      </c>
      <c r="M449" s="139" t="s">
        <v>112</v>
      </c>
      <c r="N449" s="142" t="s">
        <v>94</v>
      </c>
      <c r="AF449" s="205"/>
    </row>
    <row r="450" spans="2:32" s="206" customFormat="1" ht="26" customHeight="1" x14ac:dyDescent="0.2">
      <c r="B450" s="205"/>
      <c r="J450" s="207" t="str">
        <f>Parameters!E2169</f>
        <v>Non CHG Dressing</v>
      </c>
      <c r="K450" s="212">
        <f>Parameters!H2169</f>
        <v>0.18</v>
      </c>
      <c r="L450" s="212">
        <f>Parameters!J2169</f>
        <v>0.14472064827827902</v>
      </c>
      <c r="M450" s="212">
        <f>Parameters!K2169</f>
        <v>0.21527935172172097</v>
      </c>
      <c r="N450" s="138" t="str">
        <f>Costs!G12</f>
        <v>[reported by University Hospital of Poitiers]</v>
      </c>
      <c r="AF450" s="205"/>
    </row>
    <row r="451" spans="2:32" s="206" customFormat="1" ht="26" customHeight="1" x14ac:dyDescent="0.2">
      <c r="B451" s="205"/>
      <c r="J451" s="207" t="str">
        <f>Parameters!E2170</f>
        <v>CHG Dressing</v>
      </c>
      <c r="K451" s="212">
        <f>Parameters!H2170</f>
        <v>3.59</v>
      </c>
      <c r="L451" s="212">
        <f>Parameters!J2170</f>
        <v>2.8863729295501206</v>
      </c>
      <c r="M451" s="212">
        <f>Parameters!K2170</f>
        <v>4.2936270704498796</v>
      </c>
      <c r="N451" s="138" t="str">
        <f>Costs!G13</f>
        <v>[reported by University Hospital of Poitiers]</v>
      </c>
      <c r="AF451" s="205"/>
    </row>
    <row r="452" spans="2:32" s="206" customFormat="1" ht="26" customHeight="1" x14ac:dyDescent="0.2">
      <c r="B452" s="205"/>
      <c r="J452" s="263" t="s">
        <v>33</v>
      </c>
      <c r="K452" s="264"/>
      <c r="L452" s="264"/>
      <c r="M452" s="264"/>
      <c r="N452" s="265"/>
      <c r="AF452" s="205"/>
    </row>
    <row r="453" spans="2:32" s="206" customFormat="1" ht="26" customHeight="1" x14ac:dyDescent="0.2">
      <c r="B453" s="205"/>
      <c r="J453" s="207" t="str">
        <f>Parameters!E2171</f>
        <v>Semipermeable Non CHG Dressing</v>
      </c>
      <c r="K453" s="213">
        <f>Parameters!H2171</f>
        <v>0.06</v>
      </c>
      <c r="L453" s="213">
        <f>Parameters!J2171</f>
        <v>4.8240216092759677E-2</v>
      </c>
      <c r="M453" s="213">
        <f>Parameters!K2171</f>
        <v>7.1759783907240318E-2</v>
      </c>
      <c r="N453" s="135" t="str">
        <f>Costs!G14</f>
        <v>[reported by University Hospital of Poitiers]</v>
      </c>
      <c r="AF453" s="205"/>
    </row>
    <row r="454" spans="2:32" s="206" customFormat="1" ht="26" customHeight="1" x14ac:dyDescent="0.2">
      <c r="B454" s="205"/>
      <c r="J454" s="207" t="str">
        <f>Parameters!E2172</f>
        <v>Semipermeable CHG Dressing</v>
      </c>
      <c r="K454" s="213">
        <f>Parameters!H2172</f>
        <v>0.06</v>
      </c>
      <c r="L454" s="213">
        <f>Parameters!J2172</f>
        <v>4.8240216092759677E-2</v>
      </c>
      <c r="M454" s="213">
        <f>Parameters!K2172</f>
        <v>7.1759783907240318E-2</v>
      </c>
      <c r="N454" s="135" t="str">
        <f>Costs!G15</f>
        <v>[reported by University Hospital of Poitiers]</v>
      </c>
      <c r="AF454" s="205"/>
    </row>
    <row r="455" spans="2:32" s="206" customFormat="1" ht="26" customHeight="1" x14ac:dyDescent="0.2">
      <c r="B455" s="205"/>
      <c r="J455" s="260" t="s">
        <v>60</v>
      </c>
      <c r="K455" s="261"/>
      <c r="L455" s="261"/>
      <c r="M455" s="261"/>
      <c r="N455" s="262"/>
      <c r="AF455" s="205"/>
    </row>
    <row r="456" spans="2:32" s="206" customFormat="1" ht="26" customHeight="1" x14ac:dyDescent="0.2">
      <c r="B456" s="205"/>
      <c r="J456" s="141" t="s">
        <v>109</v>
      </c>
      <c r="K456" s="139" t="s">
        <v>110</v>
      </c>
      <c r="L456" s="139" t="s">
        <v>111</v>
      </c>
      <c r="M456" s="139" t="s">
        <v>112</v>
      </c>
      <c r="N456" s="142" t="s">
        <v>94</v>
      </c>
      <c r="AF456" s="205"/>
    </row>
    <row r="457" spans="2:32" s="206" customFormat="1" ht="26" customHeight="1" x14ac:dyDescent="0.2">
      <c r="B457" s="205"/>
      <c r="J457" s="207" t="str">
        <f>Parameters!E2173</f>
        <v>Catheter removal</v>
      </c>
      <c r="K457" s="213">
        <f>Parameters!H2173</f>
        <v>23.62</v>
      </c>
      <c r="L457" s="213">
        <f>Parameters!J2173</f>
        <v>18.990565068516393</v>
      </c>
      <c r="M457" s="213">
        <f>Parameters!K2173</f>
        <v>28.249434931483606</v>
      </c>
      <c r="N457" s="135" t="str">
        <f>Costs!G27</f>
        <v>[Carole  Schwebel et al.]</v>
      </c>
      <c r="AF457" s="205"/>
    </row>
    <row r="458" spans="2:32" s="206" customFormat="1" ht="26" customHeight="1" x14ac:dyDescent="0.2">
      <c r="B458" s="205"/>
      <c r="J458" s="207" t="str">
        <f>Parameters!E2174</f>
        <v>Catheter insertion</v>
      </c>
      <c r="K458" s="213">
        <f>Parameters!H2174</f>
        <v>94.87</v>
      </c>
      <c r="L458" s="213">
        <f>Parameters!J2174</f>
        <v>76.275821678668507</v>
      </c>
      <c r="M458" s="213">
        <f>Parameters!K2174</f>
        <v>113.46417832133149</v>
      </c>
      <c r="N458" s="135" t="str">
        <f>Costs!G28</f>
        <v>[Carole  Schwebel et al.]</v>
      </c>
      <c r="AF458" s="205"/>
    </row>
    <row r="459" spans="2:32" s="206" customFormat="1" ht="26" customHeight="1" x14ac:dyDescent="0.2">
      <c r="B459" s="205"/>
      <c r="J459" s="207" t="str">
        <f>Parameters!E2175</f>
        <v>Four gauze and tape dressings</v>
      </c>
      <c r="K459" s="213">
        <f>Parameters!H2175</f>
        <v>0.24</v>
      </c>
      <c r="L459" s="213">
        <f>Parameters!J2175</f>
        <v>0.19296086437103871</v>
      </c>
      <c r="M459" s="213">
        <f>Parameters!K2175</f>
        <v>0.28703913562896127</v>
      </c>
      <c r="N459" s="135" t="str">
        <f>Costs!G29</f>
        <v>[Carole  Schwebel et al.]</v>
      </c>
      <c r="AF459" s="205"/>
    </row>
    <row r="460" spans="2:32" s="206" customFormat="1" ht="26" customHeight="1" x14ac:dyDescent="0.2">
      <c r="B460" s="205"/>
      <c r="J460" s="260" t="s">
        <v>14</v>
      </c>
      <c r="K460" s="261"/>
      <c r="L460" s="261"/>
      <c r="M460" s="261"/>
      <c r="N460" s="262"/>
      <c r="AF460" s="205"/>
    </row>
    <row r="461" spans="2:32" s="206" customFormat="1" ht="26" customHeight="1" x14ac:dyDescent="0.2">
      <c r="B461" s="205"/>
      <c r="J461" s="141" t="s">
        <v>109</v>
      </c>
      <c r="K461" s="139" t="s">
        <v>110</v>
      </c>
      <c r="L461" s="139" t="s">
        <v>111</v>
      </c>
      <c r="M461" s="139" t="s">
        <v>112</v>
      </c>
      <c r="N461" s="142" t="s">
        <v>94</v>
      </c>
      <c r="AF461" s="205"/>
    </row>
    <row r="462" spans="2:32" s="206" customFormat="1" ht="26" customHeight="1" x14ac:dyDescent="0.2">
      <c r="B462" s="205"/>
      <c r="J462" s="214" t="s">
        <v>36</v>
      </c>
      <c r="K462" s="213">
        <f>p_treatment_cost</f>
        <v>580.26</v>
      </c>
      <c r="L462" s="213">
        <f>Parameters!J2176</f>
        <v>466.53112983307881</v>
      </c>
      <c r="M462" s="213">
        <f>Parameters!K2176</f>
        <v>693.98887016692117</v>
      </c>
      <c r="N462" s="135" t="str">
        <f>Costs!G17</f>
        <v>[Carole  Schwebel et al.]</v>
      </c>
      <c r="AF462" s="205"/>
    </row>
    <row r="463" spans="2:32" s="206" customFormat="1" ht="26" customHeight="1" x14ac:dyDescent="0.2">
      <c r="B463" s="205"/>
      <c r="J463" s="254" t="s">
        <v>15</v>
      </c>
      <c r="K463" s="255"/>
      <c r="L463" s="255"/>
      <c r="M463" s="255"/>
      <c r="N463" s="256"/>
      <c r="AF463" s="205"/>
    </row>
    <row r="464" spans="2:32" s="206" customFormat="1" ht="26" customHeight="1" x14ac:dyDescent="0.2">
      <c r="B464" s="205"/>
      <c r="J464" s="141" t="s">
        <v>109</v>
      </c>
      <c r="K464" s="139" t="s">
        <v>110</v>
      </c>
      <c r="L464" s="139" t="s">
        <v>111</v>
      </c>
      <c r="M464" s="139" t="s">
        <v>112</v>
      </c>
      <c r="N464" s="142" t="s">
        <v>94</v>
      </c>
      <c r="AF464" s="205"/>
    </row>
    <row r="465" spans="1:32" s="206" customFormat="1" ht="26" customHeight="1" x14ac:dyDescent="0.2">
      <c r="B465" s="205"/>
      <c r="J465" s="214" t="s">
        <v>98</v>
      </c>
      <c r="K465" s="213">
        <f>p_ICU_cost</f>
        <v>1265.93</v>
      </c>
      <c r="L465" s="213">
        <f>Parameters!J2177</f>
        <v>1017.812279305121</v>
      </c>
      <c r="M465" s="213">
        <f>Parameters!K2177</f>
        <v>1514.047720694879</v>
      </c>
      <c r="N465" s="135" t="str">
        <f>Costs!G20</f>
        <v>[Prof Olivier Mimoz et al.]</v>
      </c>
      <c r="AF465" s="205"/>
    </row>
    <row r="466" spans="1:32" s="206" customFormat="1" ht="26" customHeight="1" x14ac:dyDescent="0.2">
      <c r="B466" s="205"/>
      <c r="J466" s="214" t="s">
        <v>38</v>
      </c>
      <c r="K466" s="213">
        <f>p_add_cost_los</f>
        <v>9.33</v>
      </c>
      <c r="L466" s="213">
        <f>Parameters!J2178</f>
        <v>7.5013536024241301</v>
      </c>
      <c r="M466" s="213">
        <f>Parameters!K2178</f>
        <v>11.15864639757587</v>
      </c>
      <c r="N466" s="135" t="str">
        <f>Costs!G22</f>
        <v>[Prof Olivier Mimoz et al.]</v>
      </c>
      <c r="AF466" s="205"/>
    </row>
    <row r="467" spans="1:32" s="206" customFormat="1" ht="26" customHeight="1" x14ac:dyDescent="0.2">
      <c r="B467" s="205"/>
      <c r="J467" s="254" t="s">
        <v>61</v>
      </c>
      <c r="K467" s="255"/>
      <c r="L467" s="255"/>
      <c r="M467" s="255"/>
      <c r="N467" s="256"/>
      <c r="AF467" s="205"/>
    </row>
    <row r="468" spans="1:32" s="206" customFormat="1" ht="26" customHeight="1" x14ac:dyDescent="0.2">
      <c r="B468" s="205"/>
      <c r="J468" s="141" t="s">
        <v>109</v>
      </c>
      <c r="K468" s="139" t="s">
        <v>110</v>
      </c>
      <c r="L468" s="139" t="s">
        <v>111</v>
      </c>
      <c r="M468" s="139" t="s">
        <v>112</v>
      </c>
      <c r="N468" s="142" t="s">
        <v>94</v>
      </c>
      <c r="AF468" s="205"/>
    </row>
    <row r="469" spans="1:32" s="206" customFormat="1" ht="26" customHeight="1" thickBot="1" x14ac:dyDescent="0.25">
      <c r="B469" s="205"/>
      <c r="J469" s="215" t="s">
        <v>270</v>
      </c>
      <c r="K469" s="216">
        <f>p_Reso_cost</f>
        <v>94.97</v>
      </c>
      <c r="L469" s="216">
        <f>Parameters!J2179</f>
        <v>76.356222038823105</v>
      </c>
      <c r="M469" s="216">
        <f>Parameters!K2179</f>
        <v>113.58377796117689</v>
      </c>
      <c r="N469" s="140" t="str">
        <f>Costs!G24</f>
        <v>[Carole  Schwebel et al.]</v>
      </c>
      <c r="AF469" s="205"/>
    </row>
    <row r="470" spans="1:32" x14ac:dyDescent="0.2">
      <c r="B470" s="103"/>
      <c r="AF470" s="103"/>
    </row>
    <row r="471" spans="1:32" ht="16" thickBot="1" x14ac:dyDescent="0.25">
      <c r="A471" s="82"/>
      <c r="B471" s="87"/>
      <c r="C471" s="84"/>
      <c r="D471" s="84"/>
      <c r="E471" s="84"/>
      <c r="F471" s="84"/>
      <c r="G471" s="84"/>
      <c r="H471" s="84"/>
      <c r="I471" s="84"/>
      <c r="J471" s="84"/>
      <c r="K471" s="84"/>
      <c r="L471" s="84"/>
      <c r="M471" s="84"/>
      <c r="N471" s="84"/>
      <c r="O471" s="84"/>
      <c r="P471" s="84"/>
      <c r="Q471" s="84"/>
      <c r="R471" s="84"/>
      <c r="S471" s="84"/>
      <c r="T471" s="84"/>
      <c r="U471" s="84"/>
      <c r="V471" s="84"/>
      <c r="W471" s="84"/>
      <c r="X471" s="84"/>
      <c r="Y471" s="84"/>
      <c r="Z471" s="84"/>
      <c r="AA471" s="84"/>
      <c r="AB471" s="84"/>
      <c r="AC471" s="84"/>
      <c r="AD471" s="84"/>
      <c r="AE471" s="84"/>
      <c r="AF471" s="83"/>
    </row>
  </sheetData>
  <mergeCells count="8">
    <mergeCell ref="J463:N463"/>
    <mergeCell ref="J467:N467"/>
    <mergeCell ref="J8:N8"/>
    <mergeCell ref="J11:N11"/>
    <mergeCell ref="J448:N448"/>
    <mergeCell ref="J455:N455"/>
    <mergeCell ref="J460:N460"/>
    <mergeCell ref="J452:N452"/>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9B6B1-F75B-4DA3-A06F-C23C11F41AD0}">
  <sheetPr codeName="Sheet6">
    <tabColor theme="2" tint="-0.499984740745262"/>
  </sheetPr>
  <dimension ref="A1"/>
  <sheetViews>
    <sheetView workbookViewId="0"/>
  </sheetViews>
  <sheetFormatPr baseColWidth="10" defaultColWidth="8.83203125" defaultRowHeight="1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22EA99-C345-469F-BFBC-E878DA18D13F}">
  <sheetPr codeName="Sheet14">
    <tabColor theme="4"/>
  </sheetPr>
  <dimension ref="B2:F39"/>
  <sheetViews>
    <sheetView showGridLines="0" workbookViewId="0"/>
  </sheetViews>
  <sheetFormatPr baseColWidth="10" defaultColWidth="8.83203125" defaultRowHeight="15" x14ac:dyDescent="0.2"/>
  <cols>
    <col min="3" max="3" width="24.83203125" customWidth="1"/>
    <col min="4" max="4" width="15.33203125" customWidth="1"/>
    <col min="5" max="5" width="73" customWidth="1"/>
  </cols>
  <sheetData>
    <row r="2" spans="2:6" ht="17.5" customHeight="1" x14ac:dyDescent="0.2">
      <c r="D2" s="109"/>
      <c r="E2" s="109"/>
    </row>
    <row r="3" spans="2:6" ht="17.5" customHeight="1" x14ac:dyDescent="0.2">
      <c r="D3" s="109"/>
      <c r="E3" s="109" t="s">
        <v>176</v>
      </c>
    </row>
    <row r="4" spans="2:6" ht="16" thickBot="1" x14ac:dyDescent="0.25"/>
    <row r="5" spans="2:6" ht="16" thickBot="1" x14ac:dyDescent="0.25">
      <c r="B5" s="79"/>
      <c r="C5" s="80"/>
      <c r="D5" s="80"/>
      <c r="E5" s="80"/>
      <c r="F5" s="81"/>
    </row>
    <row r="6" spans="2:6" x14ac:dyDescent="0.2">
      <c r="B6" s="121"/>
      <c r="C6" s="122"/>
      <c r="D6" s="122"/>
      <c r="E6" s="122"/>
      <c r="F6" s="123"/>
    </row>
    <row r="7" spans="2:6" ht="21" thickBot="1" x14ac:dyDescent="0.3">
      <c r="B7" s="83"/>
      <c r="C7" s="124" t="s">
        <v>176</v>
      </c>
      <c r="D7" s="84"/>
      <c r="E7" s="84"/>
      <c r="F7" s="82"/>
    </row>
    <row r="8" spans="2:6" ht="16" thickBot="1" x14ac:dyDescent="0.25">
      <c r="B8" s="83"/>
      <c r="F8" s="82"/>
    </row>
    <row r="9" spans="2:6" ht="16" thickBot="1" x14ac:dyDescent="0.25">
      <c r="B9" s="83"/>
      <c r="C9" s="125" t="s">
        <v>177</v>
      </c>
      <c r="D9" s="125" t="s">
        <v>178</v>
      </c>
      <c r="E9" s="202" t="s">
        <v>179</v>
      </c>
      <c r="F9" s="82"/>
    </row>
    <row r="10" spans="2:6" ht="32" x14ac:dyDescent="0.2">
      <c r="B10" s="83"/>
      <c r="C10" s="126" t="s">
        <v>2</v>
      </c>
      <c r="D10" s="106">
        <v>44433</v>
      </c>
      <c r="E10" s="204" t="s">
        <v>240</v>
      </c>
      <c r="F10" s="82"/>
    </row>
    <row r="11" spans="2:6" x14ac:dyDescent="0.2">
      <c r="B11" s="83"/>
      <c r="C11" s="127"/>
      <c r="D11" s="128"/>
      <c r="E11" s="203"/>
      <c r="F11" s="82"/>
    </row>
    <row r="12" spans="2:6" x14ac:dyDescent="0.2">
      <c r="B12" s="83"/>
      <c r="C12" s="127"/>
      <c r="D12" s="128"/>
      <c r="E12" s="129"/>
      <c r="F12" s="82"/>
    </row>
    <row r="13" spans="2:6" x14ac:dyDescent="0.2">
      <c r="B13" s="83"/>
      <c r="C13" s="130"/>
      <c r="D13" s="130"/>
      <c r="E13" s="131"/>
      <c r="F13" s="82"/>
    </row>
    <row r="14" spans="2:6" x14ac:dyDescent="0.2">
      <c r="B14" s="83"/>
      <c r="C14" s="130"/>
      <c r="D14" s="130"/>
      <c r="E14" s="131"/>
      <c r="F14" s="82"/>
    </row>
    <row r="15" spans="2:6" x14ac:dyDescent="0.2">
      <c r="B15" s="83"/>
      <c r="C15" s="130"/>
      <c r="D15" s="130"/>
      <c r="E15" s="131"/>
      <c r="F15" s="82"/>
    </row>
    <row r="16" spans="2:6" x14ac:dyDescent="0.2">
      <c r="B16" s="83"/>
      <c r="C16" s="130"/>
      <c r="D16" s="130"/>
      <c r="E16" s="131"/>
      <c r="F16" s="82"/>
    </row>
    <row r="17" spans="2:6" x14ac:dyDescent="0.2">
      <c r="B17" s="83"/>
      <c r="C17" s="130"/>
      <c r="D17" s="130"/>
      <c r="E17" s="131"/>
      <c r="F17" s="82"/>
    </row>
    <row r="18" spans="2:6" x14ac:dyDescent="0.2">
      <c r="B18" s="83"/>
      <c r="C18" s="130"/>
      <c r="D18" s="130"/>
      <c r="E18" s="131"/>
      <c r="F18" s="82"/>
    </row>
    <row r="19" spans="2:6" x14ac:dyDescent="0.2">
      <c r="B19" s="83"/>
      <c r="C19" s="130"/>
      <c r="D19" s="130"/>
      <c r="E19" s="131"/>
      <c r="F19" s="82"/>
    </row>
    <row r="20" spans="2:6" x14ac:dyDescent="0.2">
      <c r="B20" s="83"/>
      <c r="C20" s="130"/>
      <c r="D20" s="130"/>
      <c r="E20" s="131"/>
      <c r="F20" s="82"/>
    </row>
    <row r="21" spans="2:6" x14ac:dyDescent="0.2">
      <c r="B21" s="83"/>
      <c r="C21" s="130"/>
      <c r="D21" s="130"/>
      <c r="E21" s="131"/>
      <c r="F21" s="82"/>
    </row>
    <row r="22" spans="2:6" x14ac:dyDescent="0.2">
      <c r="B22" s="83"/>
      <c r="C22" s="130"/>
      <c r="D22" s="130"/>
      <c r="E22" s="131"/>
      <c r="F22" s="82"/>
    </row>
    <row r="23" spans="2:6" x14ac:dyDescent="0.2">
      <c r="B23" s="83"/>
      <c r="C23" s="130"/>
      <c r="D23" s="130"/>
      <c r="E23" s="131"/>
      <c r="F23" s="82"/>
    </row>
    <row r="24" spans="2:6" x14ac:dyDescent="0.2">
      <c r="B24" s="83"/>
      <c r="C24" s="130"/>
      <c r="D24" s="130"/>
      <c r="E24" s="131"/>
      <c r="F24" s="82"/>
    </row>
    <row r="25" spans="2:6" x14ac:dyDescent="0.2">
      <c r="B25" s="83"/>
      <c r="C25" s="130"/>
      <c r="D25" s="130"/>
      <c r="E25" s="131"/>
      <c r="F25" s="82"/>
    </row>
    <row r="26" spans="2:6" x14ac:dyDescent="0.2">
      <c r="B26" s="83"/>
      <c r="C26" s="130"/>
      <c r="D26" s="130"/>
      <c r="E26" s="131"/>
      <c r="F26" s="82"/>
    </row>
    <row r="27" spans="2:6" x14ac:dyDescent="0.2">
      <c r="B27" s="83"/>
      <c r="C27" s="130"/>
      <c r="D27" s="130"/>
      <c r="E27" s="131"/>
      <c r="F27" s="82"/>
    </row>
    <row r="28" spans="2:6" x14ac:dyDescent="0.2">
      <c r="B28" s="83"/>
      <c r="C28" s="130"/>
      <c r="D28" s="130"/>
      <c r="E28" s="131"/>
      <c r="F28" s="82"/>
    </row>
    <row r="29" spans="2:6" x14ac:dyDescent="0.2">
      <c r="B29" s="83"/>
      <c r="C29" s="130"/>
      <c r="D29" s="130"/>
      <c r="E29" s="131"/>
      <c r="F29" s="82"/>
    </row>
    <row r="30" spans="2:6" x14ac:dyDescent="0.2">
      <c r="B30" s="83"/>
      <c r="C30" s="130"/>
      <c r="D30" s="130"/>
      <c r="E30" s="131"/>
      <c r="F30" s="82"/>
    </row>
    <row r="31" spans="2:6" x14ac:dyDescent="0.2">
      <c r="B31" s="83"/>
      <c r="C31" s="130"/>
      <c r="D31" s="130"/>
      <c r="E31" s="131"/>
      <c r="F31" s="82"/>
    </row>
    <row r="32" spans="2:6" x14ac:dyDescent="0.2">
      <c r="B32" s="83"/>
      <c r="C32" s="130"/>
      <c r="D32" s="130"/>
      <c r="E32" s="131"/>
      <c r="F32" s="82"/>
    </row>
    <row r="33" spans="2:6" x14ac:dyDescent="0.2">
      <c r="B33" s="83"/>
      <c r="C33" s="130"/>
      <c r="D33" s="130"/>
      <c r="E33" s="131"/>
      <c r="F33" s="82"/>
    </row>
    <row r="34" spans="2:6" x14ac:dyDescent="0.2">
      <c r="B34" s="83"/>
      <c r="C34" s="130"/>
      <c r="D34" s="130"/>
      <c r="E34" s="131"/>
      <c r="F34" s="82"/>
    </row>
    <row r="35" spans="2:6" x14ac:dyDescent="0.2">
      <c r="B35" s="83"/>
      <c r="C35" s="130"/>
      <c r="D35" s="130"/>
      <c r="E35" s="131"/>
      <c r="F35" s="82"/>
    </row>
    <row r="36" spans="2:6" x14ac:dyDescent="0.2">
      <c r="B36" s="83"/>
      <c r="C36" s="130"/>
      <c r="D36" s="130"/>
      <c r="E36" s="131"/>
      <c r="F36" s="82"/>
    </row>
    <row r="37" spans="2:6" ht="16" thickBot="1" x14ac:dyDescent="0.25">
      <c r="B37" s="83"/>
      <c r="C37" s="132"/>
      <c r="D37" s="132"/>
      <c r="E37" s="133"/>
      <c r="F37" s="82"/>
    </row>
    <row r="38" spans="2:6" x14ac:dyDescent="0.2">
      <c r="B38" s="83"/>
      <c r="F38" s="82"/>
    </row>
    <row r="39" spans="2:6" ht="16" thickBot="1" x14ac:dyDescent="0.25">
      <c r="B39" s="87"/>
      <c r="C39" s="84"/>
      <c r="D39" s="84"/>
      <c r="E39" s="84"/>
      <c r="F39" s="13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A6894E5B894AB49BC749F2545497438" ma:contentTypeVersion="13" ma:contentTypeDescription="Create a new document." ma:contentTypeScope="" ma:versionID="90e4a10fab40ab65703180f1a6391556">
  <xsd:schema xmlns:xsd="http://www.w3.org/2001/XMLSchema" xmlns:xs="http://www.w3.org/2001/XMLSchema" xmlns:p="http://schemas.microsoft.com/office/2006/metadata/properties" xmlns:ns2="b8138c5f-ea85-49fe-a114-1080ef91c40c" xmlns:ns3="92124dbe-dfba-4a2c-80f9-3e88e7a815ea" targetNamespace="http://schemas.microsoft.com/office/2006/metadata/properties" ma:root="true" ma:fieldsID="ca83e1ed0410d0b0e683bba960839d0d" ns2:_="" ns3:_="">
    <xsd:import namespace="b8138c5f-ea85-49fe-a114-1080ef91c40c"/>
    <xsd:import namespace="92124dbe-dfba-4a2c-80f9-3e88e7a815e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ServiceLocation"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8138c5f-ea85-49fe-a114-1080ef91c40c"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2124dbe-dfba-4a2c-80f9-3e88e7a815e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F1D9300-2621-4E92-817F-5D83011BE55C}">
  <ds:schemaRefs>
    <ds:schemaRef ds:uri="http://schemas.microsoft.com/sharepoint/v3/contenttype/forms"/>
  </ds:schemaRefs>
</ds:datastoreItem>
</file>

<file path=customXml/itemProps2.xml><?xml version="1.0" encoding="utf-8"?>
<ds:datastoreItem xmlns:ds="http://schemas.openxmlformats.org/officeDocument/2006/customXml" ds:itemID="{FF1645F9-6FDF-426E-B3C2-BCE8E5CC5C54}">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BF6C057A-8686-4472-B65D-5C4BF8B3E9B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8138c5f-ea85-49fe-a114-1080ef91c40c"/>
    <ds:schemaRef ds:uri="92124dbe-dfba-4a2c-80f9-3e88e7a815e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56</vt:i4>
      </vt:variant>
    </vt:vector>
  </HeadingPairs>
  <TitlesOfParts>
    <vt:vector size="77" baseType="lpstr">
      <vt:lpstr>Cover</vt:lpstr>
      <vt:lpstr>Introduction</vt:lpstr>
      <vt:lpstr>Model Structure</vt:lpstr>
      <vt:lpstr>Assumptions</vt:lpstr>
      <vt:lpstr>Model_Settings</vt:lpstr>
      <vt:lpstr>Costs</vt:lpstr>
      <vt:lpstr>Tp_CHG</vt:lpstr>
      <vt:lpstr>Tp_Non_CHG</vt:lpstr>
      <vt:lpstr>Results_1</vt:lpstr>
      <vt:lpstr>Results</vt:lpstr>
      <vt:lpstr>DSA_Results</vt:lpstr>
      <vt:lpstr>DSA</vt:lpstr>
      <vt:lpstr>PSA_Results</vt:lpstr>
      <vt:lpstr>PSA</vt:lpstr>
      <vt:lpstr>Parameters</vt:lpstr>
      <vt:lpstr>Calculation</vt:lpstr>
      <vt:lpstr>PF_CHG_Dressing</vt:lpstr>
      <vt:lpstr>PF_Non_CHG_Dressing</vt:lpstr>
      <vt:lpstr>Report Export</vt:lpstr>
      <vt:lpstr>Error</vt:lpstr>
      <vt:lpstr>Version Control Sheet</vt:lpstr>
      <vt:lpstr>Adverse_Event_Cost</vt:lpstr>
      <vt:lpstr>assumedSE</vt:lpstr>
      <vt:lpstr>c_currency</vt:lpstr>
      <vt:lpstr>CHG1_cost_perpatient</vt:lpstr>
      <vt:lpstr>con_age</vt:lpstr>
      <vt:lpstr>DSA_clear_LB</vt:lpstr>
      <vt:lpstr>DSA_clear_name</vt:lpstr>
      <vt:lpstr>DSA_clear_UB</vt:lpstr>
      <vt:lpstr>DSA_copy</vt:lpstr>
      <vt:lpstr>DSA_live_results</vt:lpstr>
      <vt:lpstr>DSA_output</vt:lpstr>
      <vt:lpstr>DSA_parameter</vt:lpstr>
      <vt:lpstr>DSA_paste_LB</vt:lpstr>
      <vt:lpstr>DSA_paste_UB</vt:lpstr>
      <vt:lpstr>DSA_range</vt:lpstr>
      <vt:lpstr>DSA_value_lb_ref</vt:lpstr>
      <vt:lpstr>DSA_value_ub_ref</vt:lpstr>
      <vt:lpstr>ICU_Cost_per_day_without</vt:lpstr>
      <vt:lpstr>ICU_cost_with</vt:lpstr>
      <vt:lpstr>ICU_Cost_without</vt:lpstr>
      <vt:lpstr>Incl_AE</vt:lpstr>
      <vt:lpstr>No_of_iterations_PSA</vt:lpstr>
      <vt:lpstr>owsa_activeResults</vt:lpstr>
      <vt:lpstr>owsa_base</vt:lpstr>
      <vt:lpstr>owsa_comp</vt:lpstr>
      <vt:lpstr>OWSA_include</vt:lpstr>
      <vt:lpstr>owsa_max</vt:lpstr>
      <vt:lpstr>owsa_min</vt:lpstr>
      <vt:lpstr>p_add_cost_los</vt:lpstr>
      <vt:lpstr>p_AE_c_derma</vt:lpstr>
      <vt:lpstr>p_con_age</vt:lpstr>
      <vt:lpstr>p_Control</vt:lpstr>
      <vt:lpstr>p_cost_CGH</vt:lpstr>
      <vt:lpstr>p_cost_Non_CHG</vt:lpstr>
      <vt:lpstr>p_ICU_cost</vt:lpstr>
      <vt:lpstr>p_OWSAN</vt:lpstr>
      <vt:lpstr>p_Reso_cost</vt:lpstr>
      <vt:lpstr>p_rows</vt:lpstr>
      <vt:lpstr>p_treatment_cost</vt:lpstr>
      <vt:lpstr>para_name</vt:lpstr>
      <vt:lpstr>pf_cost_CHG_T1</vt:lpstr>
      <vt:lpstr>pf_cost_PVI_T1</vt:lpstr>
      <vt:lpstr>pf_CRBSI_redu_CHG_T1</vt:lpstr>
      <vt:lpstr>pf_CRBSI_redu_PVI_T1</vt:lpstr>
      <vt:lpstr>psa_iteration</vt:lpstr>
      <vt:lpstr>PSA_live</vt:lpstr>
      <vt:lpstr>PSA_paste</vt:lpstr>
      <vt:lpstr>PSA_range</vt:lpstr>
      <vt:lpstr>PVI1_cost_perpatient</vt:lpstr>
      <vt:lpstr>Resource_cost</vt:lpstr>
      <vt:lpstr>Resource_use_cost</vt:lpstr>
      <vt:lpstr>tornado_lb_lef</vt:lpstr>
      <vt:lpstr>tornado_ub_ref</vt:lpstr>
      <vt:lpstr>treatment_cost</vt:lpstr>
      <vt:lpstr>Use_in_PSA</vt:lpstr>
      <vt:lpstr>WTP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CHEORS DELL 04</dc:creator>
  <cp:keywords/>
  <dc:description/>
  <cp:lastModifiedBy>Yadav, Shivani (yadavsn)</cp:lastModifiedBy>
  <cp:revision/>
  <dcterms:created xsi:type="dcterms:W3CDTF">2021-02-22T13:24:46Z</dcterms:created>
  <dcterms:modified xsi:type="dcterms:W3CDTF">2025-02-07T15:52:46Z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0x010100CA6894E5B894AB49BC749F2545497438</vt:lpwstr>
  </property>
</Properties>
</file>